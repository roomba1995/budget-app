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松本英朗\Downloads\"/>
    </mc:Choice>
  </mc:AlternateContent>
  <xr:revisionPtr revIDLastSave="0" documentId="8_{8C05B60C-6C04-4F16-A9F2-17D4F087120C}" xr6:coauthVersionLast="47" xr6:coauthVersionMax="47" xr10:uidLastSave="{00000000-0000-0000-0000-000000000000}"/>
  <bookViews>
    <workbookView xWindow="-110" yWindow="-110" windowWidth="19420" windowHeight="10300" xr2:uid="{BB25EE32-1045-4ABF-9B3E-0856000DC27D}"/>
  </bookViews>
  <sheets>
    <sheet name="【251001】アジア選手積算" sheetId="1" r:id="rId1"/>
  </sheets>
  <externalReferences>
    <externalReference r:id="rId2"/>
    <externalReference r:id="rId3"/>
    <externalReference r:id="rId4"/>
    <externalReference r:id="rId5"/>
    <externalReference r:id="rId6"/>
    <externalReference r:id="rId7"/>
    <externalReference r:id="rId8"/>
  </externalReferences>
  <definedNames>
    <definedName name="_" hidden="1">#REF!</definedName>
    <definedName name="__123Graph_Aアースロス" hidden="1">#REF!</definedName>
    <definedName name="__123Graph_Aアース拡底" hidden="1">#REF!</definedName>
    <definedName name="__123Graph_Aアース単杭" hidden="1">#REF!</definedName>
    <definedName name="__123Graph_Aリバース" hidden="1">#REF!</definedName>
    <definedName name="__123Graph_Aリバス拡底" hidden="1">#REF!</definedName>
    <definedName name="__123Graph_Aリバス単杭" hidden="1">#REF!</definedName>
    <definedName name="__123Graph_Bアースロス" hidden="1">#REF!</definedName>
    <definedName name="__123Graph_Bアース拡底" hidden="1">#REF!</definedName>
    <definedName name="__123Graph_Bアース単杭" hidden="1">#REF!</definedName>
    <definedName name="__123Graph_Bリバース" hidden="1">#REF!</definedName>
    <definedName name="__123Graph_Bリバス拡底" hidden="1">#REF!</definedName>
    <definedName name="__123Graph_Bリバス単杭" hidden="1">#REF!</definedName>
    <definedName name="__123Graph_Cアースロス" hidden="1">#REF!</definedName>
    <definedName name="__123Graph_Cアース拡底" hidden="1">#REF!</definedName>
    <definedName name="__123Graph_Cアース単杭" hidden="1">#REF!</definedName>
    <definedName name="__123Graph_Cリバース" hidden="1">#REF!</definedName>
    <definedName name="__123Graph_Cリバス拡底" hidden="1">#REF!</definedName>
    <definedName name="__123Graph_Cリバス単杭" hidden="1">#REF!</definedName>
    <definedName name="__123Graph_Xアースロス" hidden="1">#REF!</definedName>
    <definedName name="__123Graph_Xアース拡底" hidden="1">#REF!</definedName>
    <definedName name="__123Graph_Xアース単杭" hidden="1">#REF!</definedName>
    <definedName name="__123Graph_Xリバース" hidden="1">#REF!</definedName>
    <definedName name="__123Graph_Xリバス拡底" hidden="1">#REF!</definedName>
    <definedName name="__123Graph_Xリバス単杭" hidden="1">#REF!</definedName>
    <definedName name="_5面遮水">#REF!</definedName>
    <definedName name="_6面遮水">#REF!</definedName>
    <definedName name="_Fill" hidden="1">#REF!</definedName>
    <definedName name="_xlnm._FilterDatabase" localSheetId="0" hidden="1">【251001】アジア選手積算!$B$10:$JR$167</definedName>
    <definedName name="_Key1" hidden="1">#REF!</definedName>
    <definedName name="_Key2" hidden="1">#REF!</definedName>
    <definedName name="_Order1" hidden="1">255</definedName>
    <definedName name="_Order2" hidden="1">255</definedName>
    <definedName name="_Sort" hidden="1">#REF!</definedName>
    <definedName name="_シート無">#REF!</definedName>
    <definedName name="・・・">#REF!</definedName>
    <definedName name="a">#REF!</definedName>
    <definedName name="aaa" hidden="1">#REF!</definedName>
    <definedName name="aaaa" hidden="1">#REF!</definedName>
    <definedName name="AAM">#REF!</definedName>
    <definedName name="ah">#REF!</definedName>
    <definedName name="AIX">#REF!</definedName>
    <definedName name="AJC">#REF!</definedName>
    <definedName name="AJG">#REF!</definedName>
    <definedName name="AMM">#REF!</definedName>
    <definedName name="b">#REF!</definedName>
    <definedName name="bbbb" hidden="1">#REF!</definedName>
    <definedName name="BS_1500歩掛">#REF!</definedName>
    <definedName name="BS_2000歩掛">#REF!</definedName>
    <definedName name="BS_2500歩掛">#REF!</definedName>
    <definedName name="buzai_kg">[2]mst製品質量!$D$3:$G$240</definedName>
    <definedName name="ccccc" hidden="1">#REF!</definedName>
    <definedName name="cellレッカー規格1">[2]【入力】概要!$J$35</definedName>
    <definedName name="cellレッカー規格2">[2]【入力】概要!$J$36</definedName>
    <definedName name="cellレッカー種類1">[2]【入力】概要!$F$35</definedName>
    <definedName name="cellレッカー種類2">[2]【入力】概要!$F$36</definedName>
    <definedName name="cellレッカー賃料txt">[2]mst_単価!$A$52</definedName>
    <definedName name="cell営業所">[2]【入力】概要!$AC$14</definedName>
    <definedName name="cell管理番号">[2]【入力】概要!$AC$13</definedName>
    <definedName name="cell軽油">[2]【入力】詳細!$C$74</definedName>
    <definedName name="cell県">#REF!</definedName>
    <definedName name="cell工事費">[2]【入力】概要!$T$7</definedName>
    <definedName name="cell高n">[2]数量計算書_組立図ツール連動用!$AL$99</definedName>
    <definedName name="cell高さ">[2]【入力】概要!$H$4</definedName>
    <definedName name="cell担当者">[2]【入力】概要!$AC$15</definedName>
    <definedName name="cell地域">[2]【入力】概要!$P$34</definedName>
    <definedName name="cell年度">[2]mst_労務!$A$1</definedName>
    <definedName name="cell余裕高">[2]【入力】概要!$AE$6</definedName>
    <definedName name="change">#REF!</definedName>
    <definedName name="ddddd" hidden="1">#REF!</definedName>
    <definedName name="Dept_list">#REF!</definedName>
    <definedName name="Dept_to_FA">#REF!</definedName>
    <definedName name="E">#REF!</definedName>
    <definedName name="eee" hidden="1">#REF!</definedName>
    <definedName name="eeee" hidden="1">#REF!</definedName>
    <definedName name="fffff" hidden="1">#REF!</definedName>
    <definedName name="gggg" hidden="1">#REF!</definedName>
    <definedName name="hhhhh" hidden="1">#REF!</definedName>
    <definedName name="i" hidden="1">#REF!</definedName>
    <definedName name="I_1500歩掛">#REF!</definedName>
    <definedName name="I_2000歩掛">#REF!</definedName>
    <definedName name="I_2500歩掛">#REF!</definedName>
    <definedName name="iii" hidden="1">#REF!</definedName>
    <definedName name="iiiii" hidden="1">#REF!</definedName>
    <definedName name="inM3クラス">[2]【入力】標準組立図!$C$7</definedName>
    <definedName name="inふた幅">[2]【入力】標準組立図!$C$8</definedName>
    <definedName name="in県">[2]【入力】標準組立図!$C$5</definedName>
    <definedName name="in高さ">[2]【入力】標準組立図!$C$6</definedName>
    <definedName name="in製品重量">[2]【入力】標準組立図!$H$9</definedName>
    <definedName name="in製品単価">[2]【入力】標準組立図!$C$12</definedName>
    <definedName name="in余裕高">[2]【入力】標準組立図!$C$9</definedName>
    <definedName name="jjj" hidden="1">#REF!</definedName>
    <definedName name="jjjjj" hidden="1">#REF!</definedName>
    <definedName name="JTB担当">[3]DB!$F$2:$F$9</definedName>
    <definedName name="kk" hidden="1">#REF!</definedName>
    <definedName name="kkkkk" hidden="1">#REF!</definedName>
    <definedName name="lllll" hidden="1">#REF!</definedName>
    <definedName name="mm" hidden="1">#REF!</definedName>
    <definedName name="mmmm" hidden="1">#REF!</definedName>
    <definedName name="mst_Qfuta">'[2]参_ふた、端面D規格'!$B$23:$F$46</definedName>
    <definedName name="mst_Qtand">'[2]参_ふた、端面D規格'!$B$50:$G$91</definedName>
    <definedName name="NAME">#REF!</definedName>
    <definedName name="nnnn" hidden="1">#REF!</definedName>
    <definedName name="ooooo" hidden="1">#REF!</definedName>
    <definedName name="PIBO">#REF!</definedName>
    <definedName name="ppp" hidden="1">#REF!</definedName>
    <definedName name="ppppp" hidden="1">#REF!</definedName>
    <definedName name="_xlnm.Print_Area" localSheetId="0">【251001】アジア選手積算!$A$3:$KY$221</definedName>
    <definedName name="_xlnm.Print_Titles" localSheetId="0">【251001】アジア選手積算!$B:$H,【251001】アジア選手積算!$7:$10</definedName>
    <definedName name="q" hidden="1">#REF!</definedName>
    <definedName name="qqq" hidden="1">#REF!</definedName>
    <definedName name="qqqqq" hidden="1">#REF!</definedName>
    <definedName name="rrr" hidden="1">#REF!</definedName>
    <definedName name="rrrrr" hidden="1">#REF!</definedName>
    <definedName name="SH">#REF!</definedName>
    <definedName name="sssss" hidden="1">#REF!</definedName>
    <definedName name="sw">[2]数量計算書_組立図ツール連動用!$AI$2</definedName>
    <definedName name="tblCOST00">[2]mst_FB000!$BA$4:$BA$108</definedName>
    <definedName name="tblCOST06">[2]mst_FB600!$BA$4:$BA$108</definedName>
    <definedName name="tblHP">[2]mst!$C$160:$D$175</definedName>
    <definedName name="tblHP呼び径">[2]mst!$B$160:$B$175</definedName>
    <definedName name="tblSTDID_見出00">[2]mst_FB000!$B$4:$AZ$108</definedName>
    <definedName name="tblSTDID_見出06">[2]mst_FB600!$B$4:$AZ$108</definedName>
    <definedName name="tblSTDID00">[2]mst_FB000!$A$4:$A$108</definedName>
    <definedName name="tblSTDID06">[2]mst_FB600!$A$4:$A$108</definedName>
    <definedName name="tblクローラ">[2]mst_単価!$I$54:$N$54</definedName>
    <definedName name="tblクローラ2">[2]mst_単価!$I$72:$N$72</definedName>
    <definedName name="tblトラック">[2]mst_単価!$O$54:$S$54</definedName>
    <definedName name="tblはしご">[2]mst_単価!$A$73:$E$89</definedName>
    <definedName name="tblはしごタイプ">[2]mst_単価!$C$73:$C$74</definedName>
    <definedName name="tblラフテレーン">[2]mst_単価!$B$54:$H$54</definedName>
    <definedName name="tbl運搬">[2]mst_単価!$Z$3:$AC$3</definedName>
    <definedName name="tbl運搬クローラ">[2]mst_単価!$T$3:$W$3</definedName>
    <definedName name="tbl営業所_住所">[2]mst_営業所!$B$3:$C$28</definedName>
    <definedName name="tbl塩ビ管">[2]mst!$C$179:$D$192</definedName>
    <definedName name="tbl塩ビ管呼び径">[2]mst!$B$179:$B$192</definedName>
    <definedName name="tbl県">[2]mst_労務!$B$4:$B$50</definedName>
    <definedName name="tbl県_運搬">[2]mst_単価!$Z$4:$AC$49</definedName>
    <definedName name="tbl県_運搬クローラ">[2]mst_単価!$T$4:$W$49</definedName>
    <definedName name="tbl県_工種">[2]mst_単価!$B$4:$E$49</definedName>
    <definedName name="tbl県_職種">[2]mst_労務!$C$4:$U$50</definedName>
    <definedName name="tbl県_組立分解">[2]mst_単価!$N$4:$Q$49</definedName>
    <definedName name="tbl県_組立分解クローラ">[2]mst_単価!$H$4:$K$49</definedName>
    <definedName name="tbl見出00">[2]mst_FB000!$B$3:$AZ$3</definedName>
    <definedName name="tbl見出06">[2]mst_FB600!$B$3:$AZ$3</definedName>
    <definedName name="tbl工種">[2]mst_単価!$B$3:$E$3</definedName>
    <definedName name="tbl職種">[2]mst_労務!$C$3:$U$3</definedName>
    <definedName name="tbl組立分解">[2]mst_単価!$N$3:$Q$3</definedName>
    <definedName name="tbl組立分解クローラ">[2]mst_単価!$H$3:$K$3</definedName>
    <definedName name="tbl地域">[2]mst_単価!$A$55:$A$63</definedName>
    <definedName name="tbl地域_クローラ">[2]mst_単価!$I$55:$N$63</definedName>
    <definedName name="tbl地域_クローラ2">[2]mst_単価!$I$73:$N$81</definedName>
    <definedName name="tbl地域_トラック">[2]mst_単価!$O$55:$S$63</definedName>
    <definedName name="tbl地域_ラフテレーン">[2]mst_単価!$B$55:$H$63</definedName>
    <definedName name="tbl地域3">[2]mst_単価!$H$73:$H$81</definedName>
    <definedName name="ttt" hidden="1">#REF!</definedName>
    <definedName name="ttttt" hidden="1">#REF!</definedName>
    <definedName name="u" hidden="1">#REF!</definedName>
    <definedName name="uuuu" hidden="1">#REF!</definedName>
    <definedName name="VP">#REF!</definedName>
    <definedName name="vvvv" hidden="1">#REF!</definedName>
    <definedName name="wwww" hidden="1">#REF!</definedName>
    <definedName name="xxx" hidden="1">#REF!</definedName>
    <definedName name="xxxxx" hidden="1">#REF!</definedName>
    <definedName name="yy" hidden="1">#REF!</definedName>
    <definedName name="yyyyy" hidden="1">#REF!</definedName>
    <definedName name="yyyyyyy" hidden="1">#REF!</definedName>
    <definedName name="zzzzz" hidden="1">#REF!</definedName>
    <definedName name="エリア">[3]DB!$H$2:$H$8</definedName>
    <definedName name="ガソリン">#REF!</definedName>
    <definedName name="クエリー1">#REF!</definedName>
    <definedName name="ｿｰﾄ" hidden="1">#REF!</definedName>
    <definedName name="とび工">#REF!</definedName>
    <definedName name="ﾄﾗｯｸｸﾚｰﾝ">#REF!</definedName>
    <definedName name="トンネル作業員">#REF!</definedName>
    <definedName name="トンネル世話役">#REF!</definedName>
    <definedName name="トンネル特殊工">#REF!</definedName>
    <definedName name="はつり工">#REF!</definedName>
    <definedName name="ファンクション種類">[3]DB!$M$2:$M$5</definedName>
    <definedName name="一般運転手">#REF!</definedName>
    <definedName name="会議形態★">[4]会場形態!$A$2:$A$6</definedName>
    <definedName name="会場形態">#REF!</definedName>
    <definedName name="管渠延長">[5]入力!$G$6</definedName>
    <definedName name="管径">[5]入力!$G$4</definedName>
    <definedName name="機械工">#REF!</definedName>
    <definedName name="客室提供割合">[3]DB!$K$2:$K$6</definedName>
    <definedName name="客室提供率21年度比">[3]DB!$N$2:$N$5</definedName>
    <definedName name="空隙">#REF!</definedName>
    <definedName name="型枠工">#REF!</definedName>
    <definedName name="契約締結状況">[3]DB!$E$2:$E$9</definedName>
    <definedName name="軽油">#REF!</definedName>
    <definedName name="交通誘導員">#REF!</definedName>
    <definedName name="項目ごと状況記号">[3]DB!$I$2:$I$6</definedName>
    <definedName name="左官">#REF!</definedName>
    <definedName name="砕石">#REF!</definedName>
    <definedName name="施工歩掛り_世話役">[6]mst_規格!$AM$13:$AN$17</definedName>
    <definedName name="施工歩掛り_普通作業員">[6]mst_規格!$AO$13:$AP$17</definedName>
    <definedName name="施設_NO.">'[3]別添2　交渉優先度と客室提供率 (前サバキ)'!$C$4:$C$349</definedName>
    <definedName name="施設名">#REF!</definedName>
    <definedName name="社内担当者">#REF!</definedName>
    <definedName name="遮水">INDIRECT(#REF!)</definedName>
    <definedName name="遮水_図">INDIRECT(#REF!)</definedName>
    <definedName name="手段">[3]DB!$G$2:$G$5</definedName>
    <definedName name="書式2">#REF!</definedName>
    <definedName name="助手">#REF!</definedName>
    <definedName name="植樹経費計算書" hidden="1">#REF!</definedName>
    <definedName name="世話役">#REF!</definedName>
    <definedName name="生コン">#REF!</definedName>
    <definedName name="設計日打設量">#REF!</definedName>
    <definedName name="打合せ">#REF!</definedName>
    <definedName name="打設工法">#REF!</definedName>
    <definedName name="打設高さ水平距離">#REF!</definedName>
    <definedName name="地域">#REF!</definedName>
    <definedName name="鉄筋工">#REF!</definedName>
    <definedName name="電工">#REF!</definedName>
    <definedName name="電力料">#REF!</definedName>
    <definedName name="特殊運転手">#REF!</definedName>
    <definedName name="特殊作業員">#REF!</definedName>
    <definedName name="配管工">#REF!</definedName>
    <definedName name="配送データ">#REF!</definedName>
    <definedName name="泊数">#REF!</definedName>
    <definedName name="表1">#REF!</definedName>
    <definedName name="普通作業員">#REF!</definedName>
    <definedName name="平面X">#REF!</definedName>
    <definedName name="平面Y">#REF!</definedName>
    <definedName name="補正項目">[7]!case1補正率[項目]</definedName>
    <definedName name="有効水深Hy">#REF!</definedName>
    <definedName name="溶接工">#REF!</definedName>
    <definedName name="料金">[3]DB!$L$2:$L$5</definedName>
    <definedName name="連携・確認先">#REF!</definedName>
    <definedName name="路線延長">[5]入力!$G$5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193" i="1" l="1"/>
  <c r="BD193" i="1"/>
  <c r="KY176" i="1" a="1"/>
  <c r="KY176" i="1" s="1"/>
  <c r="IT176" i="1" s="1"/>
  <c r="JE176" i="1" a="1"/>
  <c r="JE176" i="1" s="1"/>
  <c r="JF176" i="1" s="1"/>
  <c r="JD176" i="1"/>
  <c r="IY176" i="1"/>
  <c r="IX176" i="1"/>
  <c r="IW176" i="1"/>
  <c r="IV176" i="1"/>
  <c r="IS176" i="1"/>
  <c r="IR176" i="1"/>
  <c r="IN176" i="1"/>
  <c r="IN176" i="1" a="1"/>
  <c r="GX176" i="1" a="1"/>
  <c r="GX176" i="1" s="1"/>
  <c r="GY176" i="1" s="1"/>
  <c r="GW176" i="1"/>
  <c r="DM176" i="1" a="1"/>
  <c r="DM176" i="1" s="1"/>
  <c r="BW176" i="1" a="1"/>
  <c r="BW176" i="1" s="1"/>
  <c r="BX176" i="1" s="1"/>
  <c r="BV176" i="1"/>
  <c r="KY175" i="1" a="1"/>
  <c r="KY175" i="1" s="1"/>
  <c r="IT175" i="1" s="1"/>
  <c r="IU175" i="1" s="1"/>
  <c r="JE175" i="1" a="1"/>
  <c r="JE175" i="1" s="1"/>
  <c r="JF175" i="1" s="1"/>
  <c r="IZ175" i="1" s="1"/>
  <c r="JD175" i="1"/>
  <c r="IY175" i="1"/>
  <c r="IX175" i="1"/>
  <c r="JA175" i="1" s="1"/>
  <c r="IW175" i="1"/>
  <c r="IV175" i="1"/>
  <c r="IS175" i="1"/>
  <c r="IR175" i="1"/>
  <c r="IN175" i="1"/>
  <c r="IN175" i="1" a="1"/>
  <c r="GX175" i="1"/>
  <c r="GY175" i="1" s="1"/>
  <c r="GX175" i="1" a="1"/>
  <c r="GW175" i="1"/>
  <c r="DM175" i="1" a="1"/>
  <c r="DM175" i="1" s="1"/>
  <c r="BW175" i="1"/>
  <c r="BX175" i="1" s="1"/>
  <c r="BW175" i="1" a="1"/>
  <c r="BV175" i="1"/>
  <c r="KY174" i="1"/>
  <c r="KY174" i="1" a="1"/>
  <c r="JE174" i="1"/>
  <c r="JF174" i="1" s="1"/>
  <c r="IZ174" i="1" s="1"/>
  <c r="JE174" i="1" a="1"/>
  <c r="JD174" i="1"/>
  <c r="IY174" i="1"/>
  <c r="IX174" i="1"/>
  <c r="JA174" i="1" s="1"/>
  <c r="IW174" i="1"/>
  <c r="IV174" i="1"/>
  <c r="IS174" i="1"/>
  <c r="IR174" i="1"/>
  <c r="IN174" i="1" a="1"/>
  <c r="IN174" i="1" s="1"/>
  <c r="GX174" i="1" a="1"/>
  <c r="GX174" i="1" s="1"/>
  <c r="GY174" i="1" s="1"/>
  <c r="GW174" i="1"/>
  <c r="DM174" i="1" a="1"/>
  <c r="DM174" i="1" s="1"/>
  <c r="BW174" i="1" a="1"/>
  <c r="BW174" i="1" s="1"/>
  <c r="BX174" i="1" s="1"/>
  <c r="BV174" i="1"/>
  <c r="KY173" i="1" a="1"/>
  <c r="KY173" i="1" s="1"/>
  <c r="IT173" i="1" s="1"/>
  <c r="JE173" i="1" a="1"/>
  <c r="JE173" i="1" s="1"/>
  <c r="JD173" i="1"/>
  <c r="IY173" i="1"/>
  <c r="IX173" i="1"/>
  <c r="IW173" i="1"/>
  <c r="IV173" i="1"/>
  <c r="IS173" i="1"/>
  <c r="IR173" i="1"/>
  <c r="IN173" i="1" a="1"/>
  <c r="IN173" i="1" s="1"/>
  <c r="GX173" i="1" a="1"/>
  <c r="GX173" i="1" s="1"/>
  <c r="GY173" i="1" s="1"/>
  <c r="GW173" i="1"/>
  <c r="DM173" i="1" a="1"/>
  <c r="DM173" i="1" s="1"/>
  <c r="BW173" i="1" a="1"/>
  <c r="BW173" i="1" s="1"/>
  <c r="BX173" i="1" s="1"/>
  <c r="BV173" i="1"/>
  <c r="KY172" i="1" a="1"/>
  <c r="KY172" i="1" s="1"/>
  <c r="IT172" i="1" s="1"/>
  <c r="IU172" i="1" s="1"/>
  <c r="JE172" i="1" a="1"/>
  <c r="JE172" i="1" s="1"/>
  <c r="JF172" i="1" s="1"/>
  <c r="JD172" i="1"/>
  <c r="IY172" i="1"/>
  <c r="IX172" i="1"/>
  <c r="IW172" i="1"/>
  <c r="IV172" i="1"/>
  <c r="IS172" i="1"/>
  <c r="IR172" i="1"/>
  <c r="IN172" i="1"/>
  <c r="IN172" i="1" a="1"/>
  <c r="GX172" i="1"/>
  <c r="GY172" i="1" s="1"/>
  <c r="GX172" i="1" a="1"/>
  <c r="GW172" i="1"/>
  <c r="DM172" i="1" a="1"/>
  <c r="DM172" i="1" s="1"/>
  <c r="BX172" i="1"/>
  <c r="BW172" i="1"/>
  <c r="BW172" i="1" a="1"/>
  <c r="BV172" i="1"/>
  <c r="KY171" i="1"/>
  <c r="KY171" i="1" a="1"/>
  <c r="JE171" i="1"/>
  <c r="JF171" i="1" s="1"/>
  <c r="IZ171" i="1" s="1"/>
  <c r="JE171" i="1" a="1"/>
  <c r="JD171" i="1"/>
  <c r="IY171" i="1"/>
  <c r="IX171" i="1"/>
  <c r="JA171" i="1" s="1"/>
  <c r="IW171" i="1"/>
  <c r="IV171" i="1"/>
  <c r="IS171" i="1"/>
  <c r="IR171" i="1"/>
  <c r="IN171" i="1"/>
  <c r="IN171" i="1" a="1"/>
  <c r="GX171" i="1" a="1"/>
  <c r="GX171" i="1" s="1"/>
  <c r="GW171" i="1"/>
  <c r="DM171" i="1" a="1"/>
  <c r="DM171" i="1" s="1"/>
  <c r="BW171" i="1" a="1"/>
  <c r="BW171" i="1" s="1"/>
  <c r="BX171" i="1" s="1"/>
  <c r="BV171" i="1"/>
  <c r="KY170" i="1"/>
  <c r="KY170" i="1" a="1"/>
  <c r="JE170" i="1" a="1"/>
  <c r="JE170" i="1" s="1"/>
  <c r="JF170" i="1" s="1"/>
  <c r="JA170" i="1" s="1"/>
  <c r="JD170" i="1"/>
  <c r="IY170" i="1"/>
  <c r="IX170" i="1"/>
  <c r="IW170" i="1"/>
  <c r="IV170" i="1"/>
  <c r="IS170" i="1"/>
  <c r="IR170" i="1"/>
  <c r="IZ170" i="1" s="1"/>
  <c r="IN170" i="1" a="1"/>
  <c r="IN170" i="1" s="1"/>
  <c r="GX170" i="1" a="1"/>
  <c r="GX170" i="1" s="1"/>
  <c r="GY170" i="1" s="1"/>
  <c r="GW170" i="1"/>
  <c r="DM170" i="1"/>
  <c r="DM170" i="1" a="1"/>
  <c r="BW170" i="1" a="1"/>
  <c r="BW170" i="1" s="1"/>
  <c r="BX170" i="1" s="1"/>
  <c r="BV170" i="1"/>
  <c r="GC166" i="1"/>
  <c r="GC165" i="1"/>
  <c r="GO164" i="1"/>
  <c r="GN164" i="1"/>
  <c r="GC164" i="1"/>
  <c r="DK164" i="1"/>
  <c r="DJ164" i="1"/>
  <c r="DI164" i="1"/>
  <c r="DI163" i="1" s="1"/>
  <c r="DH164" i="1"/>
  <c r="DG164" i="1"/>
  <c r="DF164" i="1"/>
  <c r="DE164" i="1"/>
  <c r="DE163" i="1" s="1"/>
  <c r="DD164" i="1"/>
  <c r="DD163" i="1" s="1"/>
  <c r="DC164" i="1"/>
  <c r="DB164" i="1"/>
  <c r="DB163" i="1" s="1"/>
  <c r="DA164" i="1"/>
  <c r="DA163" i="1" s="1"/>
  <c r="CZ164" i="1"/>
  <c r="CZ163" i="1" s="1"/>
  <c r="CY164" i="1"/>
  <c r="CX164" i="1"/>
  <c r="CW164" i="1"/>
  <c r="CW163" i="1" s="1"/>
  <c r="CV164" i="1"/>
  <c r="CU164" i="1"/>
  <c r="CT164" i="1"/>
  <c r="CS164" i="1"/>
  <c r="CS163" i="1" s="1"/>
  <c r="CR164" i="1"/>
  <c r="CR163" i="1" s="1"/>
  <c r="CQ164" i="1"/>
  <c r="CP164" i="1"/>
  <c r="CP163" i="1" s="1"/>
  <c r="CO164" i="1"/>
  <c r="CO163" i="1" s="1"/>
  <c r="CN164" i="1"/>
  <c r="CN163" i="1" s="1"/>
  <c r="CM164" i="1"/>
  <c r="CL164" i="1"/>
  <c r="CK164" i="1"/>
  <c r="CK163" i="1" s="1"/>
  <c r="CJ164" i="1"/>
  <c r="CI164" i="1"/>
  <c r="CH164" i="1"/>
  <c r="CG164" i="1"/>
  <c r="CG163" i="1" s="1"/>
  <c r="CF164" i="1"/>
  <c r="CF163" i="1" s="1"/>
  <c r="CE164" i="1"/>
  <c r="CD164" i="1"/>
  <c r="CD163" i="1" s="1"/>
  <c r="CC164" i="1"/>
  <c r="CC163" i="1" s="1"/>
  <c r="IL163" i="1"/>
  <c r="IK163" i="1"/>
  <c r="IJ163" i="1"/>
  <c r="II163" i="1"/>
  <c r="IH163" i="1"/>
  <c r="IG163" i="1"/>
  <c r="IF163" i="1"/>
  <c r="IE163" i="1"/>
  <c r="ID163" i="1"/>
  <c r="IC163" i="1"/>
  <c r="IB163" i="1"/>
  <c r="IA163" i="1"/>
  <c r="HZ163" i="1"/>
  <c r="HY163" i="1"/>
  <c r="HX163" i="1"/>
  <c r="HW163" i="1"/>
  <c r="HV163" i="1"/>
  <c r="HU163" i="1"/>
  <c r="HT163" i="1"/>
  <c r="HS163" i="1"/>
  <c r="HR163" i="1"/>
  <c r="HQ163" i="1"/>
  <c r="HP163" i="1"/>
  <c r="HO163" i="1"/>
  <c r="HN163" i="1"/>
  <c r="HM163" i="1"/>
  <c r="HL163" i="1"/>
  <c r="HK163" i="1"/>
  <c r="HJ163" i="1"/>
  <c r="HI163" i="1"/>
  <c r="HH163" i="1"/>
  <c r="HG163" i="1"/>
  <c r="HF163" i="1"/>
  <c r="HE163" i="1"/>
  <c r="HD163" i="1"/>
  <c r="GC163" i="1"/>
  <c r="GC167" i="1" s="1"/>
  <c r="DK163" i="1"/>
  <c r="DJ163" i="1"/>
  <c r="DH163" i="1"/>
  <c r="DG163" i="1"/>
  <c r="DF163" i="1"/>
  <c r="DC163" i="1"/>
  <c r="CY163" i="1"/>
  <c r="CX163" i="1"/>
  <c r="CV163" i="1"/>
  <c r="CU163" i="1"/>
  <c r="CT163" i="1"/>
  <c r="CQ163" i="1"/>
  <c r="CM163" i="1"/>
  <c r="CL163" i="1"/>
  <c r="CJ163" i="1"/>
  <c r="CI163" i="1"/>
  <c r="CH163" i="1"/>
  <c r="CE163" i="1"/>
  <c r="GR157" i="1"/>
  <c r="FT157" i="1"/>
  <c r="FS157" i="1"/>
  <c r="ER157" i="1"/>
  <c r="KY155" i="1" a="1"/>
  <c r="KY155" i="1" s="1"/>
  <c r="IT155" i="1" s="1"/>
  <c r="JE155" i="1"/>
  <c r="JF155" i="1" s="1"/>
  <c r="JA155" i="1" s="1"/>
  <c r="JE155" i="1" a="1"/>
  <c r="JD155" i="1"/>
  <c r="IY155" i="1"/>
  <c r="IX155" i="1"/>
  <c r="IW155" i="1"/>
  <c r="IV155" i="1"/>
  <c r="IS155" i="1"/>
  <c r="IR155" i="1"/>
  <c r="IN155" i="1"/>
  <c r="IN155" i="1" a="1"/>
  <c r="DT155" i="1"/>
  <c r="DM155" i="1" a="1"/>
  <c r="DM155" i="1" s="1"/>
  <c r="BW155" i="1" a="1"/>
  <c r="BW155" i="1" s="1"/>
  <c r="BX155" i="1" s="1"/>
  <c r="BK155" i="1" s="1"/>
  <c r="BV155" i="1"/>
  <c r="BU155" i="1"/>
  <c r="BT155" i="1"/>
  <c r="BN155" i="1"/>
  <c r="BL155" i="1" s="1"/>
  <c r="BM155" i="1"/>
  <c r="BJ155" i="1"/>
  <c r="BH155" i="1"/>
  <c r="BF155" i="1"/>
  <c r="BG155" i="1" s="1"/>
  <c r="BE155" i="1"/>
  <c r="BD155" i="1"/>
  <c r="BA155" i="1"/>
  <c r="AZ155" i="1"/>
  <c r="AY155" i="1"/>
  <c r="AX155" i="1"/>
  <c r="AQ155" i="1"/>
  <c r="AP155" i="1"/>
  <c r="AO155" i="1"/>
  <c r="AM155" i="1"/>
  <c r="AK155" i="1"/>
  <c r="AI155" i="1"/>
  <c r="AH155" i="1"/>
  <c r="BC155" i="1" s="1"/>
  <c r="AG155" i="1"/>
  <c r="AD155" i="1"/>
  <c r="DM153" i="1" a="1"/>
  <c r="DM153" i="1" s="1"/>
  <c r="BX153" i="1"/>
  <c r="BU153" i="1"/>
  <c r="BT153" i="1"/>
  <c r="AZ153" i="1"/>
  <c r="AO153" i="1"/>
  <c r="BH153" i="1" s="1"/>
  <c r="AM153" i="1"/>
  <c r="BF153" i="1" s="1"/>
  <c r="BG153" i="1" s="1"/>
  <c r="AK153" i="1"/>
  <c r="AG153" i="1"/>
  <c r="AD153" i="1"/>
  <c r="BW152" i="1" a="1"/>
  <c r="BW152" i="1" s="1"/>
  <c r="BV152" i="1"/>
  <c r="KY151" i="1" a="1"/>
  <c r="KY151" i="1" s="1"/>
  <c r="IN151" i="1" a="1"/>
  <c r="IN151" i="1" s="1"/>
  <c r="DT151" i="1"/>
  <c r="DO151" i="1"/>
  <c r="DM151" i="1" a="1"/>
  <c r="DM151" i="1" s="1"/>
  <c r="BW151" i="1" a="1"/>
  <c r="BW151" i="1" s="1"/>
  <c r="BX151" i="1" s="1"/>
  <c r="BV151" i="1"/>
  <c r="BU151" i="1"/>
  <c r="BT151" i="1"/>
  <c r="BN151" i="1"/>
  <c r="BL151" i="1" s="1"/>
  <c r="BM151" i="1"/>
  <c r="BJ151" i="1"/>
  <c r="BH151" i="1"/>
  <c r="BG151" i="1"/>
  <c r="BF151" i="1"/>
  <c r="BD151" i="1"/>
  <c r="BE151" i="1" s="1"/>
  <c r="BA151" i="1"/>
  <c r="AZ151" i="1"/>
  <c r="AY151" i="1"/>
  <c r="AX151" i="1"/>
  <c r="AQ151" i="1"/>
  <c r="AP151" i="1"/>
  <c r="AO151" i="1"/>
  <c r="AM151" i="1"/>
  <c r="AK151" i="1"/>
  <c r="AI151" i="1"/>
  <c r="AH151" i="1"/>
  <c r="AG151" i="1"/>
  <c r="AU151" i="1" s="1"/>
  <c r="AD151" i="1"/>
  <c r="BW150" i="1" a="1"/>
  <c r="BW150" i="1" s="1"/>
  <c r="BV150" i="1"/>
  <c r="KY149" i="1" a="1"/>
  <c r="KY149" i="1" s="1"/>
  <c r="IT149" i="1" s="1"/>
  <c r="JE149" i="1"/>
  <c r="JF149" i="1" s="1"/>
  <c r="JE149" i="1" a="1"/>
  <c r="JD149" i="1"/>
  <c r="IY149" i="1"/>
  <c r="IX149" i="1"/>
  <c r="IW149" i="1"/>
  <c r="IV149" i="1"/>
  <c r="IS149" i="1"/>
  <c r="IR149" i="1"/>
  <c r="IN149" i="1"/>
  <c r="IN149" i="1" a="1"/>
  <c r="DT149" i="1"/>
  <c r="DM149" i="1" a="1"/>
  <c r="DM149" i="1" s="1"/>
  <c r="BW149" i="1" a="1"/>
  <c r="BW149" i="1" s="1"/>
  <c r="BX149" i="1" s="1"/>
  <c r="BK149" i="1" s="1"/>
  <c r="BV149" i="1"/>
  <c r="BU149" i="1"/>
  <c r="BT149" i="1"/>
  <c r="BN149" i="1"/>
  <c r="BL149" i="1" s="1"/>
  <c r="BM149" i="1"/>
  <c r="BJ149" i="1"/>
  <c r="BA149" i="1"/>
  <c r="AZ149" i="1"/>
  <c r="AY149" i="1"/>
  <c r="AX149" i="1"/>
  <c r="BO149" i="1" s="1"/>
  <c r="AT149" i="1"/>
  <c r="AQ149" i="1"/>
  <c r="AP149" i="1"/>
  <c r="AO149" i="1"/>
  <c r="AM149" i="1"/>
  <c r="AL149" i="1"/>
  <c r="AK149" i="1"/>
  <c r="AI149" i="1"/>
  <c r="AH149" i="1"/>
  <c r="AG149" i="1"/>
  <c r="AU149" i="1" s="1"/>
  <c r="AD149" i="1"/>
  <c r="DT147" i="1"/>
  <c r="DM147" i="1"/>
  <c r="BD147" i="1" s="1"/>
  <c r="DM147" i="1" a="1"/>
  <c r="BW147" i="1" a="1"/>
  <c r="BW147" i="1" s="1"/>
  <c r="BX147" i="1" s="1"/>
  <c r="BV147" i="1"/>
  <c r="BU147" i="1"/>
  <c r="BT147" i="1"/>
  <c r="BP147" i="1"/>
  <c r="BQ147" i="1" s="1"/>
  <c r="BN147" i="1"/>
  <c r="BJ147" i="1"/>
  <c r="BI147" i="1"/>
  <c r="BH147" i="1"/>
  <c r="BF147" i="1"/>
  <c r="BG147" i="1" s="1"/>
  <c r="BE147" i="1"/>
  <c r="BB147" i="1"/>
  <c r="BA147" i="1"/>
  <c r="AZ147" i="1"/>
  <c r="AY147" i="1"/>
  <c r="AX147" i="1"/>
  <c r="AT147" i="1"/>
  <c r="AR147" i="1"/>
  <c r="AS147" i="1" s="1"/>
  <c r="AQ147" i="1"/>
  <c r="AU147" i="1" s="1"/>
  <c r="AP147" i="1"/>
  <c r="AO147" i="1"/>
  <c r="AM147" i="1"/>
  <c r="AK147" i="1"/>
  <c r="AI147" i="1"/>
  <c r="AG147" i="1"/>
  <c r="AD147" i="1"/>
  <c r="BW146" i="1" a="1"/>
  <c r="BW146" i="1" s="1"/>
  <c r="BV146" i="1"/>
  <c r="KY145" i="1" a="1"/>
  <c r="KY145" i="1" s="1"/>
  <c r="IT145" i="1" s="1"/>
  <c r="IU145" i="1" s="1"/>
  <c r="JE145" i="1" a="1"/>
  <c r="JE145" i="1" s="1"/>
  <c r="JF145" i="1" s="1"/>
  <c r="IZ145" i="1" s="1"/>
  <c r="JD145" i="1"/>
  <c r="IY145" i="1"/>
  <c r="IX145" i="1"/>
  <c r="JA145" i="1" s="1"/>
  <c r="IW145" i="1"/>
  <c r="IV145" i="1"/>
  <c r="IS145" i="1"/>
  <c r="IR145" i="1"/>
  <c r="IN145" i="1"/>
  <c r="IN145" i="1" a="1"/>
  <c r="DT145" i="1"/>
  <c r="DM145" i="1" a="1"/>
  <c r="DM145" i="1" s="1"/>
  <c r="AR145" i="1" s="1"/>
  <c r="AS145" i="1" s="1"/>
  <c r="BW145" i="1" a="1"/>
  <c r="BW145" i="1" s="1"/>
  <c r="BX145" i="1" s="1"/>
  <c r="BK145" i="1" s="1"/>
  <c r="BV145" i="1"/>
  <c r="BU145" i="1"/>
  <c r="BT145" i="1"/>
  <c r="BN145" i="1"/>
  <c r="BM145" i="1"/>
  <c r="BJ145" i="1"/>
  <c r="BI145" i="1"/>
  <c r="BH145" i="1"/>
  <c r="BA145" i="1"/>
  <c r="AZ145" i="1"/>
  <c r="BP145" i="1" s="1"/>
  <c r="BQ145" i="1" s="1"/>
  <c r="AY145" i="1"/>
  <c r="AX145" i="1"/>
  <c r="AQ145" i="1"/>
  <c r="AP145" i="1"/>
  <c r="AO145" i="1"/>
  <c r="AM145" i="1"/>
  <c r="AK145" i="1"/>
  <c r="AJ145" i="1" s="1"/>
  <c r="AI145" i="1"/>
  <c r="AH145" i="1"/>
  <c r="BC145" i="1" s="1"/>
  <c r="AG145" i="1"/>
  <c r="AT145" i="1" s="1"/>
  <c r="AL145" i="1" s="1"/>
  <c r="AD145" i="1"/>
  <c r="BW144" i="1"/>
  <c r="BW144" i="1" a="1"/>
  <c r="BV144" i="1"/>
  <c r="IN143" i="1"/>
  <c r="IN143" i="1" a="1"/>
  <c r="DT143" i="1"/>
  <c r="DM143" i="1" a="1"/>
  <c r="DM143" i="1" s="1"/>
  <c r="BW143" i="1" a="1"/>
  <c r="BW143" i="1" s="1"/>
  <c r="BV143" i="1"/>
  <c r="BU143" i="1"/>
  <c r="BT143" i="1"/>
  <c r="BN143" i="1"/>
  <c r="BM143" i="1"/>
  <c r="BJ143" i="1"/>
  <c r="BI143" i="1"/>
  <c r="BA143" i="1"/>
  <c r="AZ143" i="1"/>
  <c r="BP143" i="1" s="1"/>
  <c r="BQ143" i="1" s="1"/>
  <c r="AY143" i="1"/>
  <c r="AX143" i="1"/>
  <c r="AU143" i="1"/>
  <c r="AT143" i="1"/>
  <c r="AQ143" i="1"/>
  <c r="AP143" i="1"/>
  <c r="AO143" i="1"/>
  <c r="AM143" i="1"/>
  <c r="AK143" i="1"/>
  <c r="AI143" i="1"/>
  <c r="AH143" i="1"/>
  <c r="BC143" i="1" s="1"/>
  <c r="AG143" i="1"/>
  <c r="AD143" i="1"/>
  <c r="BW142" i="1" a="1"/>
  <c r="BW142" i="1" s="1"/>
  <c r="BV142" i="1"/>
  <c r="KY141" i="1" a="1"/>
  <c r="KY141" i="1" s="1"/>
  <c r="IT141" i="1" s="1"/>
  <c r="JE141" i="1" a="1"/>
  <c r="JE141" i="1" s="1"/>
  <c r="JF141" i="1" s="1"/>
  <c r="IZ141" i="1" s="1"/>
  <c r="JD141" i="1"/>
  <c r="IY141" i="1"/>
  <c r="IX141" i="1"/>
  <c r="IW141" i="1"/>
  <c r="IV141" i="1"/>
  <c r="IS141" i="1"/>
  <c r="IR141" i="1"/>
  <c r="IU141" i="1" s="1"/>
  <c r="IN141" i="1"/>
  <c r="IN141" i="1" a="1"/>
  <c r="DT141" i="1"/>
  <c r="DM141" i="1" a="1"/>
  <c r="DM141" i="1" s="1"/>
  <c r="BW141" i="1" a="1"/>
  <c r="BW141" i="1" s="1"/>
  <c r="BX141" i="1" s="1"/>
  <c r="BV141" i="1"/>
  <c r="BU141" i="1"/>
  <c r="BT141" i="1"/>
  <c r="BN141" i="1"/>
  <c r="BM141" i="1"/>
  <c r="BJ141" i="1"/>
  <c r="BI141" i="1"/>
  <c r="BA141" i="1"/>
  <c r="AZ141" i="1"/>
  <c r="BP141" i="1" s="1"/>
  <c r="BQ141" i="1" s="1"/>
  <c r="AY141" i="1"/>
  <c r="AX141" i="1"/>
  <c r="AQ141" i="1"/>
  <c r="AP141" i="1"/>
  <c r="AO141" i="1"/>
  <c r="AM141" i="1"/>
  <c r="AK141" i="1"/>
  <c r="AI141" i="1"/>
  <c r="AH141" i="1"/>
  <c r="AG141" i="1"/>
  <c r="AD141" i="1"/>
  <c r="BW140" i="1" a="1"/>
  <c r="BW140" i="1" s="1"/>
  <c r="BV140" i="1"/>
  <c r="KY139" i="1" a="1"/>
  <c r="KY139" i="1" s="1"/>
  <c r="IT139" i="1" s="1"/>
  <c r="JE139" i="1" a="1"/>
  <c r="JE139" i="1" s="1"/>
  <c r="JF139" i="1" s="1"/>
  <c r="JD139" i="1"/>
  <c r="JA139" i="1"/>
  <c r="IZ139" i="1"/>
  <c r="IY139" i="1"/>
  <c r="IX139" i="1"/>
  <c r="IW139" i="1"/>
  <c r="IV139" i="1"/>
  <c r="IS139" i="1"/>
  <c r="IR139" i="1"/>
  <c r="IU139" i="1" s="1"/>
  <c r="IN139" i="1" a="1"/>
  <c r="IN139" i="1" s="1"/>
  <c r="DT139" i="1"/>
  <c r="DM139" i="1" a="1"/>
  <c r="DM139" i="1" s="1"/>
  <c r="BW139" i="1" a="1"/>
  <c r="BW139" i="1" s="1"/>
  <c r="BX139" i="1" s="1"/>
  <c r="DO139" i="1" s="1"/>
  <c r="BV139" i="1"/>
  <c r="BU139" i="1"/>
  <c r="BT139" i="1"/>
  <c r="BN139" i="1"/>
  <c r="BL139" i="1" s="1"/>
  <c r="BM139" i="1"/>
  <c r="BK139" i="1" s="1"/>
  <c r="BJ139" i="1"/>
  <c r="BI139" i="1"/>
  <c r="BB139" i="1"/>
  <c r="BA139" i="1"/>
  <c r="BP139" i="1" s="1"/>
  <c r="BQ139" i="1" s="1"/>
  <c r="AZ139" i="1"/>
  <c r="AY139" i="1"/>
  <c r="AX139" i="1"/>
  <c r="AQ139" i="1"/>
  <c r="AP139" i="1"/>
  <c r="AO139" i="1"/>
  <c r="BH139" i="1" s="1"/>
  <c r="AM139" i="1"/>
  <c r="BF139" i="1" s="1"/>
  <c r="BG139" i="1" s="1"/>
  <c r="AK139" i="1"/>
  <c r="BD139" i="1" s="1"/>
  <c r="BE139" i="1" s="1"/>
  <c r="AI139" i="1"/>
  <c r="AH139" i="1"/>
  <c r="AG139" i="1"/>
  <c r="AU139" i="1" s="1"/>
  <c r="AD139" i="1"/>
  <c r="BW138" i="1" a="1"/>
  <c r="BW138" i="1" s="1"/>
  <c r="BV138" i="1"/>
  <c r="KY137" i="1" a="1"/>
  <c r="KY137" i="1" s="1"/>
  <c r="IT137" i="1" s="1"/>
  <c r="JE137" i="1" a="1"/>
  <c r="JE137" i="1" s="1"/>
  <c r="JF137" i="1" s="1"/>
  <c r="JD137" i="1"/>
  <c r="IY137" i="1"/>
  <c r="IX137" i="1"/>
  <c r="IW137" i="1"/>
  <c r="IV137" i="1"/>
  <c r="IS137" i="1"/>
  <c r="IR137" i="1"/>
  <c r="IN137" i="1"/>
  <c r="IN137" i="1" a="1"/>
  <c r="DT137" i="1"/>
  <c r="DM137" i="1" a="1"/>
  <c r="DM137" i="1" s="1"/>
  <c r="BW137" i="1" a="1"/>
  <c r="BW137" i="1" s="1"/>
  <c r="BX137" i="1" s="1"/>
  <c r="BV137" i="1"/>
  <c r="BU137" i="1"/>
  <c r="BT137" i="1"/>
  <c r="BQ137" i="1"/>
  <c r="BN137" i="1"/>
  <c r="BM137" i="1"/>
  <c r="BJ137" i="1"/>
  <c r="BI137" i="1"/>
  <c r="BA137" i="1"/>
  <c r="BP137" i="1" s="1"/>
  <c r="AZ137" i="1"/>
  <c r="AY137" i="1"/>
  <c r="AX137" i="1"/>
  <c r="AQ137" i="1"/>
  <c r="AP137" i="1"/>
  <c r="AT137" i="1" s="1"/>
  <c r="AO137" i="1"/>
  <c r="AM137" i="1"/>
  <c r="AK137" i="1"/>
  <c r="AI137" i="1"/>
  <c r="AH137" i="1"/>
  <c r="AG137" i="1"/>
  <c r="AD137" i="1"/>
  <c r="BW136" i="1" a="1"/>
  <c r="BW136" i="1" s="1"/>
  <c r="BV136" i="1"/>
  <c r="KY135" i="1" a="1"/>
  <c r="KY135" i="1" s="1"/>
  <c r="IT135" i="1" s="1"/>
  <c r="IU135" i="1" s="1"/>
  <c r="JE135" i="1" a="1"/>
  <c r="JE135" i="1" s="1"/>
  <c r="JF135" i="1" s="1"/>
  <c r="IZ135" i="1" s="1"/>
  <c r="JD135" i="1"/>
  <c r="IY135" i="1"/>
  <c r="IX135" i="1"/>
  <c r="IW135" i="1"/>
  <c r="IV135" i="1"/>
  <c r="IS135" i="1"/>
  <c r="IR135" i="1"/>
  <c r="IN135" i="1"/>
  <c r="IN135" i="1" a="1"/>
  <c r="DT135" i="1"/>
  <c r="DM135" i="1" a="1"/>
  <c r="DM135" i="1" s="1"/>
  <c r="BW135" i="1" a="1"/>
  <c r="BW135" i="1" s="1"/>
  <c r="BV135" i="1"/>
  <c r="BU135" i="1"/>
  <c r="BT135" i="1"/>
  <c r="BN135" i="1"/>
  <c r="BM135" i="1"/>
  <c r="BJ135" i="1"/>
  <c r="BI135" i="1"/>
  <c r="BA135" i="1"/>
  <c r="AZ135" i="1"/>
  <c r="BP135" i="1" s="1"/>
  <c r="BQ135" i="1" s="1"/>
  <c r="AY135" i="1"/>
  <c r="AX135" i="1"/>
  <c r="AU135" i="1"/>
  <c r="AT135" i="1"/>
  <c r="AQ135" i="1"/>
  <c r="AP135" i="1"/>
  <c r="AO135" i="1"/>
  <c r="AM135" i="1"/>
  <c r="AK135" i="1"/>
  <c r="AI135" i="1"/>
  <c r="AH135" i="1"/>
  <c r="BC135" i="1" s="1"/>
  <c r="AG135" i="1"/>
  <c r="AD135" i="1"/>
  <c r="BW134" i="1"/>
  <c r="BW134" i="1" a="1"/>
  <c r="BV134" i="1"/>
  <c r="KY133" i="1" a="1"/>
  <c r="KY133" i="1" s="1"/>
  <c r="IT133" i="1" s="1"/>
  <c r="JE133" i="1" a="1"/>
  <c r="JE133" i="1" s="1"/>
  <c r="JF133" i="1" s="1"/>
  <c r="IZ133" i="1" s="1"/>
  <c r="JD133" i="1"/>
  <c r="IY133" i="1"/>
  <c r="IX133" i="1"/>
  <c r="JA133" i="1" s="1"/>
  <c r="IW133" i="1"/>
  <c r="IV133" i="1"/>
  <c r="IS133" i="1"/>
  <c r="IR133" i="1"/>
  <c r="IN133" i="1"/>
  <c r="IN133" i="1" a="1"/>
  <c r="DT133" i="1"/>
  <c r="DM133" i="1" a="1"/>
  <c r="DM133" i="1" s="1"/>
  <c r="BX133" i="1"/>
  <c r="BL133" i="1" s="1"/>
  <c r="BW133" i="1" a="1"/>
  <c r="BW133" i="1" s="1"/>
  <c r="BV133" i="1"/>
  <c r="BU133" i="1"/>
  <c r="BT133" i="1"/>
  <c r="BN133" i="1"/>
  <c r="BM133" i="1"/>
  <c r="BJ133" i="1"/>
  <c r="BH133" i="1"/>
  <c r="BG133" i="1"/>
  <c r="BF133" i="1"/>
  <c r="BD133" i="1"/>
  <c r="BE133" i="1" s="1"/>
  <c r="BA133" i="1"/>
  <c r="AZ133" i="1"/>
  <c r="AY133" i="1"/>
  <c r="AX133" i="1"/>
  <c r="AU133" i="1"/>
  <c r="AQ133" i="1"/>
  <c r="AP133" i="1"/>
  <c r="AO133" i="1"/>
  <c r="AM133" i="1"/>
  <c r="AK133" i="1"/>
  <c r="AI133" i="1"/>
  <c r="AH133" i="1"/>
  <c r="BC133" i="1" s="1"/>
  <c r="AG133" i="1"/>
  <c r="AT133" i="1" s="1"/>
  <c r="AD133" i="1"/>
  <c r="BW132" i="1"/>
  <c r="BW132" i="1" a="1"/>
  <c r="BV132" i="1"/>
  <c r="KY131" i="1"/>
  <c r="IT131" i="1" s="1"/>
  <c r="KY131" i="1" a="1"/>
  <c r="JE131" i="1" a="1"/>
  <c r="JE131" i="1" s="1"/>
  <c r="JF131" i="1" s="1"/>
  <c r="JD131" i="1"/>
  <c r="JA131" i="1"/>
  <c r="IY131" i="1"/>
  <c r="IX131" i="1"/>
  <c r="IW131" i="1"/>
  <c r="IV131" i="1"/>
  <c r="IS131" i="1"/>
  <c r="IR131" i="1"/>
  <c r="IZ131" i="1" s="1"/>
  <c r="IN131" i="1"/>
  <c r="IN131" i="1" a="1"/>
  <c r="DT131" i="1"/>
  <c r="DM131" i="1" a="1"/>
  <c r="DM131" i="1" s="1"/>
  <c r="BC131" i="1" s="1"/>
  <c r="BW131" i="1" a="1"/>
  <c r="BW131" i="1" s="1"/>
  <c r="BX131" i="1" s="1"/>
  <c r="BK131" i="1" s="1"/>
  <c r="BV131" i="1"/>
  <c r="BU131" i="1"/>
  <c r="BT131" i="1"/>
  <c r="BN131" i="1"/>
  <c r="BL131" i="1" s="1"/>
  <c r="BM131" i="1"/>
  <c r="BJ131" i="1"/>
  <c r="BH131" i="1"/>
  <c r="BF131" i="1"/>
  <c r="BG131" i="1" s="1"/>
  <c r="BD131" i="1"/>
  <c r="BE131" i="1" s="1"/>
  <c r="BA131" i="1"/>
  <c r="AZ131" i="1"/>
  <c r="AY131" i="1"/>
  <c r="AX131" i="1"/>
  <c r="AQ131" i="1"/>
  <c r="AP131" i="1"/>
  <c r="AO131" i="1"/>
  <c r="AM131" i="1"/>
  <c r="AK131" i="1"/>
  <c r="AI131" i="1"/>
  <c r="AH131" i="1"/>
  <c r="AG131" i="1"/>
  <c r="AU131" i="1" s="1"/>
  <c r="AD131" i="1"/>
  <c r="BW130" i="1" a="1"/>
  <c r="BW130" i="1" s="1"/>
  <c r="BV130" i="1"/>
  <c r="KY129" i="1" a="1"/>
  <c r="KY129" i="1" s="1"/>
  <c r="IT129" i="1" s="1"/>
  <c r="JE129" i="1" a="1"/>
  <c r="JE129" i="1" s="1"/>
  <c r="JF129" i="1" s="1"/>
  <c r="JD129" i="1"/>
  <c r="IY129" i="1"/>
  <c r="IX129" i="1"/>
  <c r="IW129" i="1"/>
  <c r="IV129" i="1"/>
  <c r="IS129" i="1"/>
  <c r="IR129" i="1"/>
  <c r="IN129" i="1"/>
  <c r="IN129" i="1" a="1"/>
  <c r="DT129" i="1"/>
  <c r="DM129" i="1" a="1"/>
  <c r="DM129" i="1" s="1"/>
  <c r="BW129" i="1" a="1"/>
  <c r="BW129" i="1" s="1"/>
  <c r="BX129" i="1" s="1"/>
  <c r="BV129" i="1"/>
  <c r="BU129" i="1"/>
  <c r="BT129" i="1"/>
  <c r="BN129" i="1"/>
  <c r="BM129" i="1"/>
  <c r="BJ129" i="1"/>
  <c r="BI129" i="1"/>
  <c r="BA129" i="1"/>
  <c r="AZ129" i="1"/>
  <c r="BP129" i="1" s="1"/>
  <c r="BQ129" i="1" s="1"/>
  <c r="AY129" i="1"/>
  <c r="AX129" i="1"/>
  <c r="AQ129" i="1"/>
  <c r="AP129" i="1"/>
  <c r="AT129" i="1" s="1"/>
  <c r="AO129" i="1"/>
  <c r="AM129" i="1"/>
  <c r="AK129" i="1"/>
  <c r="AI129" i="1"/>
  <c r="AH129" i="1"/>
  <c r="AG129" i="1"/>
  <c r="AU129" i="1" s="1"/>
  <c r="AD129" i="1"/>
  <c r="BW128" i="1"/>
  <c r="BW128" i="1" a="1"/>
  <c r="BV128" i="1"/>
  <c r="KY127" i="1"/>
  <c r="KY127" i="1" a="1"/>
  <c r="IN127" i="1" a="1"/>
  <c r="IN127" i="1" s="1"/>
  <c r="DT127" i="1"/>
  <c r="DM127" i="1"/>
  <c r="DM127" i="1" a="1"/>
  <c r="BW127" i="1"/>
  <c r="BX127" i="1" s="1"/>
  <c r="BW127" i="1" a="1"/>
  <c r="BV127" i="1"/>
  <c r="BU127" i="1"/>
  <c r="BT127" i="1"/>
  <c r="BN127" i="1"/>
  <c r="BL127" i="1" s="1"/>
  <c r="BM127" i="1"/>
  <c r="BK127" i="1" s="1"/>
  <c r="BJ127" i="1"/>
  <c r="BA127" i="1"/>
  <c r="AZ127" i="1"/>
  <c r="AY127" i="1"/>
  <c r="AX127" i="1"/>
  <c r="AU127" i="1"/>
  <c r="AQ127" i="1"/>
  <c r="AP127" i="1"/>
  <c r="AT127" i="1" s="1"/>
  <c r="AO127" i="1"/>
  <c r="BH127" i="1" s="1"/>
  <c r="AM127" i="1"/>
  <c r="BF127" i="1" s="1"/>
  <c r="BG127" i="1" s="1"/>
  <c r="AK127" i="1"/>
  <c r="AI127" i="1"/>
  <c r="BB127" i="1" s="1"/>
  <c r="AH127" i="1"/>
  <c r="AG127" i="1"/>
  <c r="AD127" i="1"/>
  <c r="BW126" i="1" a="1"/>
  <c r="BW126" i="1" s="1"/>
  <c r="BV126" i="1"/>
  <c r="KY125" i="1" a="1"/>
  <c r="KY125" i="1" s="1"/>
  <c r="IT125" i="1" s="1"/>
  <c r="JE125" i="1" a="1"/>
  <c r="JE125" i="1" s="1"/>
  <c r="JF125" i="1" s="1"/>
  <c r="JD125" i="1"/>
  <c r="IY125" i="1"/>
  <c r="IX125" i="1"/>
  <c r="IW125" i="1"/>
  <c r="IV125" i="1"/>
  <c r="IS125" i="1"/>
  <c r="IR125" i="1"/>
  <c r="IN125" i="1"/>
  <c r="IN125" i="1" a="1"/>
  <c r="DT125" i="1"/>
  <c r="DM125" i="1"/>
  <c r="DO125" i="1" s="1"/>
  <c r="DM125" i="1" a="1"/>
  <c r="BX125" i="1"/>
  <c r="BL125" i="1" s="1"/>
  <c r="BW125" i="1"/>
  <c r="BW125" i="1" a="1"/>
  <c r="BV125" i="1"/>
  <c r="BU125" i="1"/>
  <c r="BT125" i="1"/>
  <c r="BP125" i="1"/>
  <c r="BQ125" i="1" s="1"/>
  <c r="BN125" i="1"/>
  <c r="BM125" i="1"/>
  <c r="BJ125" i="1"/>
  <c r="BI125" i="1"/>
  <c r="BF125" i="1"/>
  <c r="BG125" i="1" s="1"/>
  <c r="BE125" i="1"/>
  <c r="BD125" i="1"/>
  <c r="BC125" i="1"/>
  <c r="BA125" i="1"/>
  <c r="AZ125" i="1"/>
  <c r="AY125" i="1"/>
  <c r="AX125" i="1"/>
  <c r="AR125" i="1"/>
  <c r="AQ125" i="1"/>
  <c r="AP125" i="1"/>
  <c r="AO125" i="1"/>
  <c r="BH125" i="1" s="1"/>
  <c r="AM125" i="1"/>
  <c r="AK125" i="1"/>
  <c r="AI125" i="1"/>
  <c r="BB125" i="1" s="1"/>
  <c r="AH125" i="1"/>
  <c r="AG125" i="1"/>
  <c r="AD125" i="1"/>
  <c r="DM123" i="1" a="1"/>
  <c r="DM123" i="1" s="1"/>
  <c r="BW123" i="1" a="1"/>
  <c r="BW123" i="1" s="1"/>
  <c r="BX123" i="1" s="1"/>
  <c r="BV123" i="1"/>
  <c r="BU123" i="1"/>
  <c r="BT123" i="1"/>
  <c r="BD123" i="1"/>
  <c r="BE123" i="1" s="1"/>
  <c r="BA123" i="1"/>
  <c r="AZ123" i="1"/>
  <c r="AX123" i="1"/>
  <c r="AO123" i="1"/>
  <c r="AM123" i="1"/>
  <c r="BF123" i="1" s="1"/>
  <c r="BG123" i="1" s="1"/>
  <c r="AK123" i="1"/>
  <c r="AG123" i="1"/>
  <c r="AD123" i="1"/>
  <c r="BW122" i="1" a="1"/>
  <c r="BW122" i="1" s="1"/>
  <c r="BV122" i="1"/>
  <c r="KY121" i="1" a="1"/>
  <c r="KY121" i="1" s="1"/>
  <c r="IN121" i="1"/>
  <c r="IN121" i="1" a="1"/>
  <c r="DT121" i="1"/>
  <c r="DM121" i="1" a="1"/>
  <c r="DM121" i="1" s="1"/>
  <c r="BW121" i="1" a="1"/>
  <c r="BW121" i="1" s="1"/>
  <c r="BX121" i="1" s="1"/>
  <c r="BV121" i="1"/>
  <c r="BU121" i="1"/>
  <c r="BT121" i="1"/>
  <c r="BN121" i="1"/>
  <c r="BM121" i="1"/>
  <c r="BJ121" i="1"/>
  <c r="BF121" i="1"/>
  <c r="BG121" i="1" s="1"/>
  <c r="AY121" i="1"/>
  <c r="AX121" i="1"/>
  <c r="AR121" i="1"/>
  <c r="AS121" i="1" s="1"/>
  <c r="AQ121" i="1"/>
  <c r="AP121" i="1"/>
  <c r="AT121" i="1" s="1"/>
  <c r="AO121" i="1"/>
  <c r="AM121" i="1"/>
  <c r="AK121" i="1"/>
  <c r="AI121" i="1"/>
  <c r="BB121" i="1" s="1"/>
  <c r="AH121" i="1"/>
  <c r="BC121" i="1" s="1"/>
  <c r="AG121" i="1"/>
  <c r="AD121" i="1"/>
  <c r="BW120" i="1"/>
  <c r="BW120" i="1" a="1"/>
  <c r="BV120" i="1"/>
  <c r="KY119" i="1" a="1"/>
  <c r="KY119" i="1" s="1"/>
  <c r="IT119" i="1" s="1"/>
  <c r="JE119" i="1" a="1"/>
  <c r="JE119" i="1" s="1"/>
  <c r="JF119" i="1" s="1"/>
  <c r="JA119" i="1" s="1"/>
  <c r="JD119" i="1"/>
  <c r="IY119" i="1"/>
  <c r="IS119" i="1"/>
  <c r="IR119" i="1"/>
  <c r="IN119" i="1"/>
  <c r="IN119" i="1" a="1"/>
  <c r="DT119" i="1"/>
  <c r="DM119" i="1" a="1"/>
  <c r="DM119" i="1" s="1"/>
  <c r="BW119" i="1" a="1"/>
  <c r="BW119" i="1" s="1"/>
  <c r="BX119" i="1" s="1"/>
  <c r="BA119" i="1" s="1"/>
  <c r="BO119" i="1" s="1"/>
  <c r="BV119" i="1"/>
  <c r="BU119" i="1"/>
  <c r="BT119" i="1"/>
  <c r="BN119" i="1"/>
  <c r="BM119" i="1"/>
  <c r="BJ119" i="1"/>
  <c r="AY119" i="1"/>
  <c r="AX119" i="1"/>
  <c r="AQ119" i="1"/>
  <c r="AP119" i="1"/>
  <c r="AO119" i="1"/>
  <c r="AM119" i="1"/>
  <c r="AK119" i="1"/>
  <c r="AI119" i="1"/>
  <c r="AH119" i="1"/>
  <c r="AG119" i="1"/>
  <c r="AU119" i="1" s="1"/>
  <c r="AD119" i="1"/>
  <c r="BW118" i="1"/>
  <c r="BW118" i="1" a="1"/>
  <c r="BV118" i="1"/>
  <c r="KY117" i="1"/>
  <c r="IT117" i="1" s="1"/>
  <c r="KY117" i="1" a="1"/>
  <c r="JE117" i="1" a="1"/>
  <c r="JE117" i="1" s="1"/>
  <c r="JF117" i="1" s="1"/>
  <c r="JD117" i="1"/>
  <c r="IY117" i="1"/>
  <c r="IX117" i="1"/>
  <c r="IW117" i="1"/>
  <c r="IV117" i="1"/>
  <c r="IS117" i="1"/>
  <c r="IR117" i="1"/>
  <c r="IN117" i="1"/>
  <c r="IN117" i="1" a="1"/>
  <c r="DT117" i="1"/>
  <c r="DM117" i="1" a="1"/>
  <c r="DM117" i="1" s="1"/>
  <c r="BW117" i="1" a="1"/>
  <c r="BW117" i="1" s="1"/>
  <c r="BX117" i="1" s="1"/>
  <c r="BV117" i="1"/>
  <c r="BU117" i="1"/>
  <c r="BT117" i="1"/>
  <c r="BN117" i="1"/>
  <c r="BM117" i="1"/>
  <c r="BJ117" i="1"/>
  <c r="BI117" i="1"/>
  <c r="BA117" i="1"/>
  <c r="AZ117" i="1"/>
  <c r="BP117" i="1" s="1"/>
  <c r="BQ117" i="1" s="1"/>
  <c r="AY117" i="1"/>
  <c r="AX117" i="1"/>
  <c r="AQ117" i="1"/>
  <c r="AU117" i="1" s="1"/>
  <c r="AP117" i="1"/>
  <c r="AO117" i="1"/>
  <c r="AM117" i="1"/>
  <c r="AK117" i="1"/>
  <c r="AI117" i="1"/>
  <c r="AH117" i="1"/>
  <c r="AG117" i="1"/>
  <c r="AT117" i="1" s="1"/>
  <c r="AJ117" i="1" s="1"/>
  <c r="AD117" i="1"/>
  <c r="BW116" i="1" a="1"/>
  <c r="BW116" i="1" s="1"/>
  <c r="BV116" i="1"/>
  <c r="KY115" i="1" a="1"/>
  <c r="KY115" i="1" s="1"/>
  <c r="JE115" i="1" a="1"/>
  <c r="JE115" i="1" s="1"/>
  <c r="JF115" i="1" s="1"/>
  <c r="JD115" i="1"/>
  <c r="IY115" i="1"/>
  <c r="IX115" i="1"/>
  <c r="IW115" i="1"/>
  <c r="IV115" i="1"/>
  <c r="IT115" i="1"/>
  <c r="IS115" i="1"/>
  <c r="IR115" i="1"/>
  <c r="IN115" i="1"/>
  <c r="IN115" i="1" a="1"/>
  <c r="DT115" i="1"/>
  <c r="DM115" i="1"/>
  <c r="DM115" i="1" a="1"/>
  <c r="BW115" i="1"/>
  <c r="BW115" i="1" a="1"/>
  <c r="BV115" i="1"/>
  <c r="BX115" i="1" s="1"/>
  <c r="AR115" i="1" s="1"/>
  <c r="BU115" i="1"/>
  <c r="BT115" i="1"/>
  <c r="BO115" i="1"/>
  <c r="BN115" i="1"/>
  <c r="BM115" i="1"/>
  <c r="BJ115" i="1"/>
  <c r="BI115" i="1"/>
  <c r="BP115" i="1" s="1"/>
  <c r="BQ115" i="1" s="1"/>
  <c r="BF115" i="1"/>
  <c r="BG115" i="1" s="1"/>
  <c r="BD115" i="1"/>
  <c r="BE115" i="1" s="1"/>
  <c r="BC115" i="1"/>
  <c r="BB115" i="1"/>
  <c r="BA115" i="1"/>
  <c r="AZ115" i="1"/>
  <c r="AY115" i="1"/>
  <c r="AX115" i="1"/>
  <c r="AQ115" i="1"/>
  <c r="AU115" i="1" s="1"/>
  <c r="AP115" i="1"/>
  <c r="AO115" i="1"/>
  <c r="BH115" i="1" s="1"/>
  <c r="AM115" i="1"/>
  <c r="AK115" i="1"/>
  <c r="AI115" i="1"/>
  <c r="AG115" i="1"/>
  <c r="AT115" i="1" s="1"/>
  <c r="DM113" i="1"/>
  <c r="DM113" i="1" a="1"/>
  <c r="BW113" i="1" a="1"/>
  <c r="BW113" i="1" s="1"/>
  <c r="BX113" i="1" s="1"/>
  <c r="BK113" i="1" s="1"/>
  <c r="BV113" i="1"/>
  <c r="BN113" i="1"/>
  <c r="BI113" i="1"/>
  <c r="BD113" i="1"/>
  <c r="BE113" i="1" s="1"/>
  <c r="BA113" i="1"/>
  <c r="AZ113" i="1"/>
  <c r="BP113" i="1" s="1"/>
  <c r="AX113" i="1"/>
  <c r="AG113" i="1"/>
  <c r="AD113" i="1"/>
  <c r="BW112" i="1" a="1"/>
  <c r="BW112" i="1" s="1"/>
  <c r="BV112" i="1"/>
  <c r="KY111" i="1"/>
  <c r="KY111" i="1" a="1"/>
  <c r="IN111" i="1" a="1"/>
  <c r="IN111" i="1" s="1"/>
  <c r="DM111" i="1" a="1"/>
  <c r="DM111" i="1" s="1"/>
  <c r="BW110" i="1" a="1"/>
  <c r="BW110" i="1" s="1"/>
  <c r="BV110" i="1"/>
  <c r="KY109" i="1" a="1"/>
  <c r="KY109" i="1" s="1"/>
  <c r="JE109" i="1"/>
  <c r="JF109" i="1" s="1"/>
  <c r="JE109" i="1" a="1"/>
  <c r="JD109" i="1"/>
  <c r="IZ109" i="1"/>
  <c r="IY109" i="1"/>
  <c r="IX109" i="1"/>
  <c r="JA109" i="1" s="1"/>
  <c r="IW109" i="1"/>
  <c r="IV109" i="1"/>
  <c r="IT109" i="1"/>
  <c r="IS109" i="1"/>
  <c r="IR109" i="1"/>
  <c r="IN109" i="1"/>
  <c r="IN109" i="1" a="1"/>
  <c r="DT109" i="1"/>
  <c r="DM109" i="1" a="1"/>
  <c r="DM109" i="1" s="1"/>
  <c r="BW109" i="1"/>
  <c r="BW109" i="1" a="1"/>
  <c r="BV109" i="1"/>
  <c r="BX109" i="1" s="1"/>
  <c r="BJ109" i="1"/>
  <c r="BI109" i="1"/>
  <c r="BA109" i="1"/>
  <c r="AY109" i="1"/>
  <c r="AX109" i="1"/>
  <c r="AU109" i="1"/>
  <c r="AT109" i="1"/>
  <c r="AJ109" i="1" s="1"/>
  <c r="AP109" i="1"/>
  <c r="AL109" i="1"/>
  <c r="AI109" i="1"/>
  <c r="AH109" i="1"/>
  <c r="AG109" i="1"/>
  <c r="AZ109" i="1" s="1"/>
  <c r="BP109" i="1" s="1"/>
  <c r="BQ109" i="1" s="1"/>
  <c r="DM107" i="1"/>
  <c r="BH107" i="1" s="1"/>
  <c r="DM107" i="1" a="1"/>
  <c r="BX107" i="1"/>
  <c r="BK107" i="1" s="1"/>
  <c r="BW107" i="1" a="1"/>
  <c r="BW107" i="1" s="1"/>
  <c r="BV107" i="1"/>
  <c r="BU107" i="1"/>
  <c r="BT107" i="1"/>
  <c r="BN107" i="1"/>
  <c r="BD107" i="1"/>
  <c r="BE107" i="1" s="1"/>
  <c r="AZ107" i="1"/>
  <c r="BP107" i="1" s="1"/>
  <c r="AQ107" i="1"/>
  <c r="AP107" i="1"/>
  <c r="AO107" i="1"/>
  <c r="AM107" i="1"/>
  <c r="AK107" i="1"/>
  <c r="AG107" i="1"/>
  <c r="AD107" i="1"/>
  <c r="BW106" i="1" a="1"/>
  <c r="BW106" i="1" s="1"/>
  <c r="BV106" i="1"/>
  <c r="BW105" i="1" a="1"/>
  <c r="BW105" i="1" s="1"/>
  <c r="BV105" i="1"/>
  <c r="KY104" i="1" a="1"/>
  <c r="KY104" i="1" s="1"/>
  <c r="IT104" i="1" s="1"/>
  <c r="JF104" i="1"/>
  <c r="JE104" i="1" a="1"/>
  <c r="JE104" i="1" s="1"/>
  <c r="JD104" i="1"/>
  <c r="IZ104" i="1"/>
  <c r="IY104" i="1"/>
  <c r="IX104" i="1"/>
  <c r="JA104" i="1" s="1"/>
  <c r="IW104" i="1"/>
  <c r="IV104" i="1"/>
  <c r="IS104" i="1"/>
  <c r="IR104" i="1"/>
  <c r="IU104" i="1" s="1"/>
  <c r="IN104" i="1"/>
  <c r="IN104" i="1" a="1"/>
  <c r="DT104" i="1"/>
  <c r="DM104" i="1" a="1"/>
  <c r="DM104" i="1" s="1"/>
  <c r="BX104" i="1"/>
  <c r="BL104" i="1" s="1"/>
  <c r="BW104" i="1"/>
  <c r="BW104" i="1" a="1"/>
  <c r="BV104" i="1"/>
  <c r="BU104" i="1"/>
  <c r="BT104" i="1"/>
  <c r="BQ104" i="1"/>
  <c r="BN104" i="1"/>
  <c r="BM104" i="1"/>
  <c r="BK104" i="1"/>
  <c r="BJ104" i="1"/>
  <c r="BI104" i="1"/>
  <c r="BA104" i="1"/>
  <c r="AZ104" i="1"/>
  <c r="BP104" i="1" s="1"/>
  <c r="AY104" i="1"/>
  <c r="AX104" i="1"/>
  <c r="AQ104" i="1"/>
  <c r="AP104" i="1"/>
  <c r="AO104" i="1"/>
  <c r="AM104" i="1"/>
  <c r="AK104" i="1"/>
  <c r="AI104" i="1"/>
  <c r="AH104" i="1"/>
  <c r="AG104" i="1"/>
  <c r="AD104" i="1"/>
  <c r="BW103" i="1"/>
  <c r="BW103" i="1" a="1"/>
  <c r="BV103" i="1"/>
  <c r="BW102" i="1" a="1"/>
  <c r="BW102" i="1" s="1"/>
  <c r="BV102" i="1"/>
  <c r="KY101" i="1" a="1"/>
  <c r="KY101" i="1" s="1"/>
  <c r="IT101" i="1" s="1"/>
  <c r="JE101" i="1" a="1"/>
  <c r="JE101" i="1" s="1"/>
  <c r="JF101" i="1" s="1"/>
  <c r="JD101" i="1"/>
  <c r="IY101" i="1"/>
  <c r="IX101" i="1"/>
  <c r="IW101" i="1"/>
  <c r="IV101" i="1"/>
  <c r="IS101" i="1"/>
  <c r="IR101" i="1"/>
  <c r="IN101" i="1" a="1"/>
  <c r="IN101" i="1" s="1"/>
  <c r="DT101" i="1"/>
  <c r="DM101" i="1"/>
  <c r="BC101" i="1" s="1"/>
  <c r="DM101" i="1" a="1"/>
  <c r="BX101" i="1"/>
  <c r="BW101" i="1"/>
  <c r="BW101" i="1" a="1"/>
  <c r="BV101" i="1"/>
  <c r="BU101" i="1"/>
  <c r="BT101" i="1"/>
  <c r="BN101" i="1"/>
  <c r="BM101" i="1"/>
  <c r="BJ101" i="1"/>
  <c r="BI101" i="1"/>
  <c r="AY101" i="1"/>
  <c r="AX101" i="1"/>
  <c r="BO101" i="1" s="1"/>
  <c r="AT101" i="1"/>
  <c r="AQ101" i="1"/>
  <c r="AP101" i="1"/>
  <c r="AO101" i="1"/>
  <c r="AM101" i="1"/>
  <c r="AK101" i="1"/>
  <c r="AI101" i="1"/>
  <c r="BB101" i="1" s="1"/>
  <c r="AH101" i="1"/>
  <c r="AG101" i="1"/>
  <c r="AD101" i="1"/>
  <c r="BW100" i="1"/>
  <c r="BW100" i="1" a="1"/>
  <c r="BV100" i="1"/>
  <c r="KY99" i="1"/>
  <c r="KY99" i="1" a="1"/>
  <c r="JE99" i="1" a="1"/>
  <c r="JE99" i="1" s="1"/>
  <c r="JF99" i="1" s="1"/>
  <c r="JD99" i="1"/>
  <c r="IY99" i="1"/>
  <c r="IX99" i="1"/>
  <c r="IW99" i="1"/>
  <c r="IV99" i="1"/>
  <c r="IT99" i="1"/>
  <c r="IS99" i="1"/>
  <c r="IR99" i="1"/>
  <c r="IN99" i="1"/>
  <c r="IN99" i="1" a="1"/>
  <c r="DT99" i="1"/>
  <c r="DM99" i="1" a="1"/>
  <c r="DM99" i="1" s="1"/>
  <c r="BW99" i="1" a="1"/>
  <c r="BW99" i="1" s="1"/>
  <c r="BX99" i="1" s="1"/>
  <c r="BV99" i="1"/>
  <c r="BU99" i="1"/>
  <c r="BT99" i="1"/>
  <c r="BP99" i="1"/>
  <c r="BQ99" i="1" s="1"/>
  <c r="BN99" i="1"/>
  <c r="BM99" i="1"/>
  <c r="BK99" i="1"/>
  <c r="BJ99" i="1"/>
  <c r="BI99" i="1"/>
  <c r="BA99" i="1"/>
  <c r="AZ99" i="1"/>
  <c r="AY99" i="1"/>
  <c r="AX99" i="1"/>
  <c r="AT99" i="1"/>
  <c r="AQ99" i="1"/>
  <c r="AP99" i="1"/>
  <c r="AO99" i="1"/>
  <c r="AM99" i="1"/>
  <c r="AL99" i="1" s="1"/>
  <c r="AK99" i="1"/>
  <c r="AJ99" i="1" s="1"/>
  <c r="AI99" i="1"/>
  <c r="AH99" i="1"/>
  <c r="BC99" i="1" s="1"/>
  <c r="AG99" i="1"/>
  <c r="AU99" i="1" s="1"/>
  <c r="AD99" i="1"/>
  <c r="DT97" i="1"/>
  <c r="DM97" i="1" a="1"/>
  <c r="DM97" i="1" s="1"/>
  <c r="BX97" i="1"/>
  <c r="BW97" i="1"/>
  <c r="BW97" i="1" a="1"/>
  <c r="BV97" i="1"/>
  <c r="BU97" i="1"/>
  <c r="BT97" i="1"/>
  <c r="BN97" i="1"/>
  <c r="BJ97" i="1"/>
  <c r="BI97" i="1"/>
  <c r="BC97" i="1"/>
  <c r="BA97" i="1"/>
  <c r="AZ97" i="1"/>
  <c r="BP97" i="1" s="1"/>
  <c r="BQ97" i="1" s="1"/>
  <c r="AY97" i="1"/>
  <c r="AX97" i="1"/>
  <c r="AQ97" i="1"/>
  <c r="AP97" i="1"/>
  <c r="AI97" i="1"/>
  <c r="AH97" i="1"/>
  <c r="AG97" i="1"/>
  <c r="AU97" i="1" s="1"/>
  <c r="AD97" i="1"/>
  <c r="BW96" i="1" a="1"/>
  <c r="BW96" i="1" s="1"/>
  <c r="BV96" i="1"/>
  <c r="KY95" i="1" a="1"/>
  <c r="KY95" i="1" s="1"/>
  <c r="IN95" i="1"/>
  <c r="IN95" i="1" a="1"/>
  <c r="DT95" i="1"/>
  <c r="DM95" i="1" a="1"/>
  <c r="DM95" i="1" s="1"/>
  <c r="BW95" i="1" a="1"/>
  <c r="BW95" i="1" s="1"/>
  <c r="BX95" i="1" s="1"/>
  <c r="BV95" i="1"/>
  <c r="BU95" i="1"/>
  <c r="BT95" i="1"/>
  <c r="BN95" i="1"/>
  <c r="BM95" i="1"/>
  <c r="BJ95" i="1"/>
  <c r="BI95" i="1"/>
  <c r="BA95" i="1"/>
  <c r="AZ95" i="1"/>
  <c r="AY95" i="1"/>
  <c r="AX95" i="1"/>
  <c r="AQ95" i="1"/>
  <c r="AP95" i="1"/>
  <c r="AI95" i="1"/>
  <c r="AH95" i="1"/>
  <c r="BC95" i="1" s="1"/>
  <c r="AG95" i="1"/>
  <c r="AD95" i="1"/>
  <c r="BW94" i="1" a="1"/>
  <c r="BW94" i="1" s="1"/>
  <c r="BV94" i="1"/>
  <c r="KY93" i="1"/>
  <c r="IT93" i="1" s="1"/>
  <c r="IU93" i="1" s="1"/>
  <c r="KY93" i="1" a="1"/>
  <c r="JE93" i="1" a="1"/>
  <c r="JE93" i="1" s="1"/>
  <c r="JF93" i="1" s="1"/>
  <c r="JA93" i="1" s="1"/>
  <c r="JD93" i="1"/>
  <c r="IY93" i="1"/>
  <c r="IX93" i="1"/>
  <c r="IW93" i="1"/>
  <c r="IV93" i="1"/>
  <c r="IS93" i="1"/>
  <c r="IR93" i="1"/>
  <c r="IN93" i="1" a="1"/>
  <c r="IN93" i="1" s="1"/>
  <c r="DT93" i="1"/>
  <c r="DM93" i="1" a="1"/>
  <c r="DM93" i="1" s="1"/>
  <c r="AR93" i="1" s="1"/>
  <c r="AS93" i="1" s="1"/>
  <c r="BW93" i="1" a="1"/>
  <c r="BW93" i="1" s="1"/>
  <c r="BX93" i="1" s="1"/>
  <c r="BV93" i="1"/>
  <c r="BU93" i="1"/>
  <c r="BT93" i="1"/>
  <c r="BN93" i="1"/>
  <c r="BM93" i="1"/>
  <c r="BJ93" i="1"/>
  <c r="BI93" i="1"/>
  <c r="BP93" i="1" s="1"/>
  <c r="BQ93" i="1" s="1"/>
  <c r="BA93" i="1"/>
  <c r="AZ93" i="1"/>
  <c r="AY93" i="1"/>
  <c r="AX93" i="1"/>
  <c r="AU93" i="1"/>
  <c r="AQ93" i="1"/>
  <c r="AP93" i="1"/>
  <c r="AT93" i="1" s="1"/>
  <c r="AI93" i="1"/>
  <c r="AH93" i="1"/>
  <c r="AG93" i="1"/>
  <c r="AD93" i="1"/>
  <c r="BW92" i="1"/>
  <c r="BW92" i="1" a="1"/>
  <c r="BV92" i="1"/>
  <c r="KY91" i="1"/>
  <c r="IT91" i="1" s="1"/>
  <c r="IU91" i="1" s="1"/>
  <c r="KY91" i="1" a="1"/>
  <c r="JE91" i="1" a="1"/>
  <c r="JE91" i="1" s="1"/>
  <c r="JD91" i="1"/>
  <c r="IY91" i="1"/>
  <c r="IX91" i="1"/>
  <c r="IW91" i="1"/>
  <c r="IV91" i="1"/>
  <c r="IS91" i="1"/>
  <c r="IR91" i="1"/>
  <c r="IN91" i="1" a="1"/>
  <c r="IN91" i="1" s="1"/>
  <c r="DT91" i="1"/>
  <c r="DM91" i="1"/>
  <c r="DM91" i="1" a="1"/>
  <c r="BW91" i="1"/>
  <c r="BX91" i="1" s="1"/>
  <c r="AR91" i="1" s="1"/>
  <c r="AS91" i="1" s="1"/>
  <c r="BW91" i="1" a="1"/>
  <c r="BV91" i="1"/>
  <c r="BU91" i="1"/>
  <c r="BT91" i="1"/>
  <c r="BP91" i="1"/>
  <c r="BQ91" i="1" s="1"/>
  <c r="BN91" i="1"/>
  <c r="BM91" i="1"/>
  <c r="BJ91" i="1"/>
  <c r="BI91" i="1"/>
  <c r="BA91" i="1"/>
  <c r="AZ91" i="1"/>
  <c r="AY91" i="1"/>
  <c r="AX91" i="1"/>
  <c r="AU91" i="1"/>
  <c r="AT91" i="1"/>
  <c r="AQ91" i="1"/>
  <c r="AP91" i="1"/>
  <c r="AI91" i="1"/>
  <c r="AH91" i="1"/>
  <c r="BC91" i="1" s="1"/>
  <c r="AG91" i="1"/>
  <c r="AD91" i="1"/>
  <c r="BW90" i="1" a="1"/>
  <c r="BW90" i="1" s="1"/>
  <c r="BV90" i="1"/>
  <c r="KY89" i="1" a="1"/>
  <c r="KY89" i="1" s="1"/>
  <c r="JE89" i="1"/>
  <c r="JF89" i="1" s="1"/>
  <c r="JA89" i="1" s="1"/>
  <c r="JE89" i="1" a="1"/>
  <c r="JD89" i="1"/>
  <c r="IY89" i="1"/>
  <c r="IX89" i="1"/>
  <c r="IW89" i="1"/>
  <c r="IV89" i="1"/>
  <c r="IT89" i="1"/>
  <c r="IS89" i="1"/>
  <c r="IR89" i="1"/>
  <c r="IN89" i="1" a="1"/>
  <c r="IN89" i="1" s="1"/>
  <c r="DT89" i="1"/>
  <c r="DM89" i="1" a="1"/>
  <c r="DM89" i="1" s="1"/>
  <c r="BW89" i="1" a="1"/>
  <c r="BW89" i="1" s="1"/>
  <c r="BX89" i="1" s="1"/>
  <c r="DO89" i="1" s="1"/>
  <c r="BV89" i="1"/>
  <c r="BU89" i="1"/>
  <c r="BT89" i="1"/>
  <c r="BN89" i="1"/>
  <c r="BM89" i="1"/>
  <c r="BI89" i="1"/>
  <c r="BG89" i="1"/>
  <c r="BE89" i="1"/>
  <c r="BA89" i="1"/>
  <c r="AZ89" i="1"/>
  <c r="BP89" i="1" s="1"/>
  <c r="BQ89" i="1" s="1"/>
  <c r="AY89" i="1"/>
  <c r="AX89" i="1"/>
  <c r="AU89" i="1"/>
  <c r="AQ89" i="1"/>
  <c r="AP89" i="1"/>
  <c r="AO89" i="1"/>
  <c r="AM89" i="1"/>
  <c r="AK89" i="1"/>
  <c r="AI89" i="1"/>
  <c r="AH89" i="1"/>
  <c r="BC89" i="1" s="1"/>
  <c r="AG89" i="1"/>
  <c r="AD89" i="1"/>
  <c r="BW88" i="1" a="1"/>
  <c r="BW88" i="1" s="1"/>
  <c r="BV88" i="1"/>
  <c r="KY87" i="1" a="1"/>
  <c r="KY87" i="1" s="1"/>
  <c r="IT87" i="1" s="1"/>
  <c r="IU87" i="1" s="1"/>
  <c r="JE87" i="1" a="1"/>
  <c r="JE87" i="1" s="1"/>
  <c r="JF87" i="1" s="1"/>
  <c r="JD87" i="1"/>
  <c r="IY87" i="1"/>
  <c r="IX87" i="1"/>
  <c r="IW87" i="1"/>
  <c r="IV87" i="1"/>
  <c r="IS87" i="1"/>
  <c r="IR87" i="1"/>
  <c r="IN87" i="1"/>
  <c r="IN87" i="1" a="1"/>
  <c r="DT87" i="1"/>
  <c r="DM87" i="1" a="1"/>
  <c r="DM87" i="1" s="1"/>
  <c r="BB87" i="1" s="1"/>
  <c r="BW87" i="1"/>
  <c r="BX87" i="1" s="1"/>
  <c r="BW87" i="1" a="1"/>
  <c r="BV87" i="1"/>
  <c r="BU87" i="1"/>
  <c r="BT87" i="1"/>
  <c r="BQ87" i="1"/>
  <c r="BP87" i="1"/>
  <c r="BN87" i="1"/>
  <c r="BM87" i="1"/>
  <c r="AH87" i="1"/>
  <c r="AD87" i="1"/>
  <c r="BW86" i="1" a="1"/>
  <c r="BW86" i="1" s="1"/>
  <c r="BV86" i="1"/>
  <c r="KY85" i="1" a="1"/>
  <c r="KY85" i="1" s="1"/>
  <c r="IT85" i="1" s="1"/>
  <c r="IU85" i="1" s="1"/>
  <c r="JE85" i="1" a="1"/>
  <c r="JE85" i="1" s="1"/>
  <c r="JF85" i="1" s="1"/>
  <c r="IZ85" i="1" s="1"/>
  <c r="JD85" i="1"/>
  <c r="IY85" i="1"/>
  <c r="IX85" i="1"/>
  <c r="IW85" i="1"/>
  <c r="IV85" i="1"/>
  <c r="IS85" i="1"/>
  <c r="IR85" i="1"/>
  <c r="IN85" i="1"/>
  <c r="IN85" i="1" a="1"/>
  <c r="DT85" i="1"/>
  <c r="DM85" i="1" a="1"/>
  <c r="DM85" i="1" s="1"/>
  <c r="BX85" i="1"/>
  <c r="BK85" i="1" s="1"/>
  <c r="BW85" i="1"/>
  <c r="BW85" i="1" a="1"/>
  <c r="BV85" i="1"/>
  <c r="BU85" i="1"/>
  <c r="BT85" i="1"/>
  <c r="BN85" i="1"/>
  <c r="BM85" i="1"/>
  <c r="BJ85" i="1"/>
  <c r="BI85" i="1"/>
  <c r="BA85" i="1"/>
  <c r="AZ85" i="1"/>
  <c r="AY85" i="1"/>
  <c r="AX85" i="1"/>
  <c r="AQ85" i="1"/>
  <c r="AP85" i="1"/>
  <c r="AT85" i="1" s="1"/>
  <c r="AJ85" i="1" s="1"/>
  <c r="AO85" i="1"/>
  <c r="AM85" i="1"/>
  <c r="AL85" i="1"/>
  <c r="AK85" i="1"/>
  <c r="AI85" i="1"/>
  <c r="AH85" i="1"/>
  <c r="AG85" i="1"/>
  <c r="AU85" i="1" s="1"/>
  <c r="AD85" i="1"/>
  <c r="IN83" i="1" a="1"/>
  <c r="IN83" i="1" s="1"/>
  <c r="DT83" i="1"/>
  <c r="DM83" i="1" a="1"/>
  <c r="DM83" i="1" s="1"/>
  <c r="BW83" i="1" a="1"/>
  <c r="BW83" i="1" s="1"/>
  <c r="BX83" i="1" s="1"/>
  <c r="BV83" i="1"/>
  <c r="BU83" i="1"/>
  <c r="BT83" i="1"/>
  <c r="BN83" i="1"/>
  <c r="BM83" i="1"/>
  <c r="BJ83" i="1"/>
  <c r="AZ83" i="1"/>
  <c r="AY83" i="1"/>
  <c r="AU83" i="1"/>
  <c r="AT83" i="1"/>
  <c r="AQ83" i="1"/>
  <c r="AP83" i="1"/>
  <c r="AO83" i="1"/>
  <c r="AM83" i="1"/>
  <c r="AK83" i="1"/>
  <c r="AI83" i="1"/>
  <c r="AH83" i="1"/>
  <c r="AG83" i="1"/>
  <c r="AD83" i="1"/>
  <c r="BW82" i="1" a="1"/>
  <c r="BW82" i="1" s="1"/>
  <c r="BV82" i="1"/>
  <c r="KY81" i="1" a="1"/>
  <c r="KY81" i="1" s="1"/>
  <c r="IT81" i="1" s="1"/>
  <c r="JF81" i="1"/>
  <c r="IZ81" i="1" s="1"/>
  <c r="JE81" i="1" a="1"/>
  <c r="JE81" i="1" s="1"/>
  <c r="JD81" i="1"/>
  <c r="IY81" i="1"/>
  <c r="IX81" i="1"/>
  <c r="JA81" i="1" s="1"/>
  <c r="IW81" i="1"/>
  <c r="IV81" i="1"/>
  <c r="IU81" i="1"/>
  <c r="IS81" i="1"/>
  <c r="IR81" i="1"/>
  <c r="IN81" i="1"/>
  <c r="IN81" i="1" a="1"/>
  <c r="DT81" i="1"/>
  <c r="DM81" i="1" a="1"/>
  <c r="DM81" i="1" s="1"/>
  <c r="BW81" i="1" a="1"/>
  <c r="BW81" i="1" s="1"/>
  <c r="BX81" i="1" s="1"/>
  <c r="BV81" i="1"/>
  <c r="BU81" i="1"/>
  <c r="BT81" i="1"/>
  <c r="BN81" i="1"/>
  <c r="BM81" i="1"/>
  <c r="BJ81" i="1"/>
  <c r="BI81" i="1"/>
  <c r="BC81" i="1"/>
  <c r="BA81" i="1"/>
  <c r="AZ81" i="1"/>
  <c r="AY81" i="1"/>
  <c r="AX81" i="1"/>
  <c r="AQ81" i="1"/>
  <c r="AU81" i="1" s="1"/>
  <c r="AP81" i="1"/>
  <c r="AT81" i="1" s="1"/>
  <c r="AI81" i="1"/>
  <c r="AH81" i="1"/>
  <c r="AG81" i="1"/>
  <c r="AD81" i="1"/>
  <c r="KY74" i="1" a="1"/>
  <c r="KY74" i="1" s="1"/>
  <c r="JE74" i="1" a="1"/>
  <c r="JE74" i="1" s="1"/>
  <c r="JF74" i="1" s="1"/>
  <c r="IZ74" i="1" s="1"/>
  <c r="JD74" i="1"/>
  <c r="IY74" i="1"/>
  <c r="IX74" i="1"/>
  <c r="IW74" i="1"/>
  <c r="IV74" i="1"/>
  <c r="IT74" i="1"/>
  <c r="IU74" i="1" s="1"/>
  <c r="IS74" i="1"/>
  <c r="IR74" i="1"/>
  <c r="IN74" i="1"/>
  <c r="IN74" i="1" a="1"/>
  <c r="DT74" i="1"/>
  <c r="DM74" i="1" a="1"/>
  <c r="DM74" i="1" s="1"/>
  <c r="BW74" i="1" a="1"/>
  <c r="BW74" i="1" s="1"/>
  <c r="BX74" i="1" s="1"/>
  <c r="BV74" i="1"/>
  <c r="BU74" i="1"/>
  <c r="BT74" i="1"/>
  <c r="BN74" i="1"/>
  <c r="BM74" i="1"/>
  <c r="BJ74" i="1"/>
  <c r="BA74" i="1"/>
  <c r="AZ74" i="1"/>
  <c r="AY74" i="1"/>
  <c r="AQ74" i="1"/>
  <c r="AP74" i="1"/>
  <c r="AT74" i="1" s="1"/>
  <c r="AI74" i="1"/>
  <c r="AH74" i="1"/>
  <c r="AG74" i="1"/>
  <c r="AD74" i="1"/>
  <c r="BW73" i="1" a="1"/>
  <c r="BW73" i="1" s="1"/>
  <c r="BV73" i="1"/>
  <c r="KY72" i="1" a="1"/>
  <c r="KY72" i="1" s="1"/>
  <c r="JE72" i="1" a="1"/>
  <c r="JE72" i="1" s="1"/>
  <c r="JF72" i="1" s="1"/>
  <c r="JA72" i="1" s="1"/>
  <c r="JD72" i="1"/>
  <c r="IY72" i="1"/>
  <c r="IX72" i="1"/>
  <c r="IW72" i="1"/>
  <c r="IV72" i="1"/>
  <c r="IT72" i="1"/>
  <c r="IS72" i="1"/>
  <c r="IR72" i="1"/>
  <c r="IN72" i="1"/>
  <c r="IN72" i="1" a="1"/>
  <c r="DT72" i="1"/>
  <c r="DM72" i="1"/>
  <c r="BB72" i="1" s="1"/>
  <c r="DM72" i="1" a="1"/>
  <c r="BW72" i="1"/>
  <c r="BX72" i="1" s="1"/>
  <c r="BW72" i="1" a="1"/>
  <c r="BV72" i="1"/>
  <c r="BU72" i="1"/>
  <c r="BT72" i="1"/>
  <c r="BP72" i="1"/>
  <c r="BQ72" i="1" s="1"/>
  <c r="BN72" i="1"/>
  <c r="BM72" i="1"/>
  <c r="BJ72" i="1"/>
  <c r="BI72" i="1"/>
  <c r="AD72" i="1"/>
  <c r="BW71" i="1" a="1"/>
  <c r="BW71" i="1" s="1"/>
  <c r="BV71" i="1"/>
  <c r="KY70" i="1" a="1"/>
  <c r="KY70" i="1" s="1"/>
  <c r="IT70" i="1" s="1"/>
  <c r="IU70" i="1" s="1"/>
  <c r="JF70" i="1"/>
  <c r="IZ70" i="1" s="1"/>
  <c r="JE70" i="1" a="1"/>
  <c r="JE70" i="1" s="1"/>
  <c r="JD70" i="1"/>
  <c r="IY70" i="1"/>
  <c r="IX70" i="1"/>
  <c r="IW70" i="1"/>
  <c r="IV70" i="1"/>
  <c r="IS70" i="1"/>
  <c r="IR70" i="1"/>
  <c r="IN70" i="1"/>
  <c r="IN70" i="1" a="1"/>
  <c r="DT70" i="1"/>
  <c r="DM70" i="1"/>
  <c r="DM70" i="1" a="1"/>
  <c r="BW70" i="1" a="1"/>
  <c r="BW70" i="1" s="1"/>
  <c r="BX70" i="1" s="1"/>
  <c r="BV70" i="1"/>
  <c r="BU70" i="1"/>
  <c r="BT70" i="1"/>
  <c r="BN70" i="1"/>
  <c r="BM70" i="1"/>
  <c r="BJ70" i="1"/>
  <c r="BI70" i="1"/>
  <c r="BP70" i="1" s="1"/>
  <c r="BQ70" i="1" s="1"/>
  <c r="BH70" i="1"/>
  <c r="BF70" i="1"/>
  <c r="BG70" i="1" s="1"/>
  <c r="BD70" i="1"/>
  <c r="BE70" i="1" s="1"/>
  <c r="BC70" i="1"/>
  <c r="BA70" i="1"/>
  <c r="AZ70" i="1"/>
  <c r="AY70" i="1"/>
  <c r="AX70" i="1"/>
  <c r="AU70" i="1"/>
  <c r="AT70" i="1"/>
  <c r="AQ70" i="1"/>
  <c r="AP70" i="1"/>
  <c r="AO70" i="1"/>
  <c r="AM70" i="1"/>
  <c r="AK70" i="1"/>
  <c r="AI70" i="1"/>
  <c r="BB70" i="1" s="1"/>
  <c r="AH70" i="1"/>
  <c r="AG70" i="1"/>
  <c r="AD70" i="1"/>
  <c r="DM68" i="1"/>
  <c r="BH68" i="1" s="1"/>
  <c r="DM68" i="1" a="1"/>
  <c r="BW68" i="1" a="1"/>
  <c r="BW68" i="1" s="1"/>
  <c r="BX68" i="1" s="1"/>
  <c r="BK68" i="1" s="1"/>
  <c r="BV68" i="1"/>
  <c r="BN68" i="1"/>
  <c r="BA68" i="1"/>
  <c r="AZ68" i="1"/>
  <c r="BP68" i="1" s="1"/>
  <c r="AX68" i="1"/>
  <c r="AO68" i="1"/>
  <c r="AM68" i="1"/>
  <c r="AK68" i="1"/>
  <c r="AG68" i="1"/>
  <c r="AD68" i="1"/>
  <c r="DM66" i="1" a="1"/>
  <c r="DM66" i="1" s="1"/>
  <c r="BW66" i="1" a="1"/>
  <c r="BW66" i="1" s="1"/>
  <c r="BX66" i="1" s="1"/>
  <c r="BK66" i="1" s="1"/>
  <c r="BV66" i="1"/>
  <c r="BN66" i="1"/>
  <c r="BA66" i="1"/>
  <c r="AZ66" i="1"/>
  <c r="BP66" i="1" s="1"/>
  <c r="AY66" i="1"/>
  <c r="AX66" i="1"/>
  <c r="AQ66" i="1"/>
  <c r="AP66" i="1"/>
  <c r="AO66" i="1"/>
  <c r="AM66" i="1"/>
  <c r="AK66" i="1"/>
  <c r="AG66" i="1"/>
  <c r="AD66" i="1"/>
  <c r="DM64" i="1" a="1"/>
  <c r="DM64" i="1" s="1"/>
  <c r="BW64" i="1" a="1"/>
  <c r="BW64" i="1" s="1"/>
  <c r="BX64" i="1" s="1"/>
  <c r="BL64" i="1" s="1"/>
  <c r="BV64" i="1"/>
  <c r="BN64" i="1"/>
  <c r="BA64" i="1"/>
  <c r="BP64" i="1" s="1"/>
  <c r="AZ64" i="1"/>
  <c r="AY64" i="1"/>
  <c r="AX64" i="1"/>
  <c r="AQ64" i="1"/>
  <c r="AP64" i="1"/>
  <c r="AG64" i="1"/>
  <c r="AD64" i="1"/>
  <c r="DM62" i="1" a="1"/>
  <c r="DM62" i="1" s="1"/>
  <c r="BW62" i="1"/>
  <c r="BX62" i="1" s="1"/>
  <c r="BK62" i="1" s="1"/>
  <c r="BW62" i="1" a="1"/>
  <c r="BV62" i="1"/>
  <c r="BN62" i="1"/>
  <c r="BA62" i="1"/>
  <c r="BP62" i="1" s="1"/>
  <c r="AZ62" i="1"/>
  <c r="AY62" i="1"/>
  <c r="AX62" i="1"/>
  <c r="AQ62" i="1"/>
  <c r="AP62" i="1"/>
  <c r="AO62" i="1"/>
  <c r="AM62" i="1"/>
  <c r="AK62" i="1"/>
  <c r="AG62" i="1"/>
  <c r="AD62" i="1"/>
  <c r="DO60" i="1"/>
  <c r="DM60" i="1"/>
  <c r="DM60" i="1" a="1"/>
  <c r="BW60" i="1"/>
  <c r="BX60" i="1" s="1"/>
  <c r="BL60" i="1" s="1"/>
  <c r="BW60" i="1" a="1"/>
  <c r="BV60" i="1"/>
  <c r="BN60" i="1"/>
  <c r="BK60" i="1"/>
  <c r="BH60" i="1"/>
  <c r="BA60" i="1"/>
  <c r="BP60" i="1" s="1"/>
  <c r="AZ60" i="1"/>
  <c r="AY60" i="1"/>
  <c r="AX60" i="1"/>
  <c r="AQ60" i="1"/>
  <c r="AP60" i="1"/>
  <c r="AO60" i="1"/>
  <c r="AM60" i="1"/>
  <c r="BF60" i="1" s="1"/>
  <c r="BG60" i="1" s="1"/>
  <c r="AK60" i="1"/>
  <c r="BD60" i="1" s="1"/>
  <c r="BE60" i="1" s="1"/>
  <c r="AG60" i="1"/>
  <c r="AD60" i="1"/>
  <c r="BW59" i="1" a="1"/>
  <c r="BW59" i="1" s="1"/>
  <c r="BV59" i="1"/>
  <c r="KY58" i="1" a="1"/>
  <c r="KY58" i="1" s="1"/>
  <c r="IN58" i="1" a="1"/>
  <c r="IN58" i="1" s="1"/>
  <c r="DT58" i="1"/>
  <c r="DM58" i="1" a="1"/>
  <c r="DM58" i="1" s="1"/>
  <c r="BW58" i="1" a="1"/>
  <c r="BW58" i="1" s="1"/>
  <c r="BX58" i="1" s="1"/>
  <c r="BV58" i="1"/>
  <c r="BU58" i="1"/>
  <c r="BT58" i="1"/>
  <c r="BN58" i="1"/>
  <c r="BL58" i="1" s="1"/>
  <c r="BM58" i="1"/>
  <c r="BK58" i="1" s="1"/>
  <c r="BJ58" i="1"/>
  <c r="BI58" i="1"/>
  <c r="BA58" i="1"/>
  <c r="AZ58" i="1"/>
  <c r="BP58" i="1" s="1"/>
  <c r="BQ58" i="1" s="1"/>
  <c r="AY58" i="1"/>
  <c r="AX58" i="1"/>
  <c r="AU58" i="1"/>
  <c r="AT58" i="1"/>
  <c r="AQ58" i="1"/>
  <c r="AP58" i="1"/>
  <c r="AO58" i="1"/>
  <c r="AM58" i="1"/>
  <c r="AK58" i="1"/>
  <c r="AI58" i="1"/>
  <c r="BB58" i="1" s="1"/>
  <c r="AH58" i="1"/>
  <c r="AG58" i="1"/>
  <c r="AD58" i="1"/>
  <c r="DT56" i="1"/>
  <c r="DM56" i="1" a="1"/>
  <c r="DM56" i="1" s="1"/>
  <c r="BW56" i="1" a="1"/>
  <c r="BW56" i="1" s="1"/>
  <c r="BV56" i="1"/>
  <c r="BU56" i="1"/>
  <c r="BT56" i="1"/>
  <c r="BN56" i="1"/>
  <c r="BJ56" i="1"/>
  <c r="BI56" i="1"/>
  <c r="BF56" i="1"/>
  <c r="BG56" i="1" s="1"/>
  <c r="BD56" i="1"/>
  <c r="BE56" i="1" s="1"/>
  <c r="BA56" i="1"/>
  <c r="BP56" i="1" s="1"/>
  <c r="BQ56" i="1" s="1"/>
  <c r="AZ56" i="1"/>
  <c r="AY56" i="1"/>
  <c r="AU56" i="1"/>
  <c r="AO56" i="1"/>
  <c r="BH56" i="1" s="1"/>
  <c r="AM56" i="1"/>
  <c r="AK56" i="1"/>
  <c r="AI56" i="1"/>
  <c r="BB56" i="1" s="1"/>
  <c r="AG56" i="1"/>
  <c r="AT56" i="1" s="1"/>
  <c r="AJ56" i="1" s="1"/>
  <c r="AD56" i="1"/>
  <c r="DT54" i="1"/>
  <c r="DM54" i="1" a="1"/>
  <c r="DM54" i="1" s="1"/>
  <c r="BW54" i="1" a="1"/>
  <c r="BW54" i="1" s="1"/>
  <c r="BX54" i="1" s="1"/>
  <c r="BK54" i="1" s="1"/>
  <c r="BV54" i="1"/>
  <c r="BU54" i="1"/>
  <c r="BT54" i="1"/>
  <c r="BN54" i="1"/>
  <c r="BJ54" i="1"/>
  <c r="BI54" i="1"/>
  <c r="BH54" i="1"/>
  <c r="AZ54" i="1"/>
  <c r="AY54" i="1"/>
  <c r="AU54" i="1"/>
  <c r="AT54" i="1"/>
  <c r="AO54" i="1"/>
  <c r="AM54" i="1"/>
  <c r="AK54" i="1"/>
  <c r="AI54" i="1"/>
  <c r="BB54" i="1" s="1"/>
  <c r="AG54" i="1"/>
  <c r="AD54" i="1"/>
  <c r="BW53" i="1"/>
  <c r="BW53" i="1" a="1"/>
  <c r="BV53" i="1"/>
  <c r="KY52" i="1" a="1"/>
  <c r="KY52" i="1" s="1"/>
  <c r="IT52" i="1" s="1"/>
  <c r="IU52" i="1" s="1"/>
  <c r="JE52" i="1"/>
  <c r="JF52" i="1" s="1"/>
  <c r="JA52" i="1" s="1"/>
  <c r="JE52" i="1" a="1"/>
  <c r="JD52" i="1"/>
  <c r="IY52" i="1"/>
  <c r="IX52" i="1"/>
  <c r="IW52" i="1"/>
  <c r="IV52" i="1"/>
  <c r="IS52" i="1"/>
  <c r="IR52" i="1"/>
  <c r="IN52" i="1" a="1"/>
  <c r="IN52" i="1" s="1"/>
  <c r="DT52" i="1"/>
  <c r="DM52" i="1" a="1"/>
  <c r="DM52" i="1" s="1"/>
  <c r="BW52" i="1" a="1"/>
  <c r="BW52" i="1" s="1"/>
  <c r="BV52" i="1"/>
  <c r="BU52" i="1"/>
  <c r="BT52" i="1"/>
  <c r="BO52" i="1"/>
  <c r="BN52" i="1"/>
  <c r="BM52" i="1"/>
  <c r="BJ52" i="1"/>
  <c r="BI52" i="1"/>
  <c r="BF52" i="1"/>
  <c r="BC52" i="1"/>
  <c r="BA52" i="1"/>
  <c r="AY52" i="1"/>
  <c r="AX52" i="1"/>
  <c r="AU52" i="1"/>
  <c r="AT52" i="1"/>
  <c r="AQ52" i="1"/>
  <c r="AP52" i="1"/>
  <c r="AO52" i="1"/>
  <c r="BH52" i="1" s="1"/>
  <c r="AM52" i="1"/>
  <c r="AK52" i="1"/>
  <c r="AI52" i="1"/>
  <c r="BB52" i="1" s="1"/>
  <c r="AH52" i="1"/>
  <c r="AG52" i="1"/>
  <c r="AD52" i="1"/>
  <c r="BW51" i="1"/>
  <c r="BW51" i="1" a="1"/>
  <c r="BV51" i="1"/>
  <c r="KY50" i="1" a="1"/>
  <c r="KY50" i="1" s="1"/>
  <c r="IN50" i="1"/>
  <c r="IN50" i="1" a="1"/>
  <c r="DT50" i="1"/>
  <c r="DM50" i="1" a="1"/>
  <c r="DM50" i="1" s="1"/>
  <c r="BW50" i="1"/>
  <c r="BX50" i="1" s="1"/>
  <c r="BW50" i="1" a="1"/>
  <c r="BV50" i="1"/>
  <c r="BU50" i="1"/>
  <c r="BT50" i="1"/>
  <c r="BS50" i="1"/>
  <c r="BN50" i="1"/>
  <c r="BM50" i="1"/>
  <c r="BJ50" i="1"/>
  <c r="BI50" i="1"/>
  <c r="BC50" i="1"/>
  <c r="BA50" i="1"/>
  <c r="AZ50" i="1"/>
  <c r="AY50" i="1"/>
  <c r="AX50" i="1"/>
  <c r="AQ50" i="1"/>
  <c r="AQ157" i="1" s="1"/>
  <c r="AP50" i="1"/>
  <c r="AO50" i="1"/>
  <c r="AM50" i="1"/>
  <c r="AK50" i="1"/>
  <c r="AI50" i="1"/>
  <c r="AH50" i="1"/>
  <c r="AG50" i="1"/>
  <c r="AU50" i="1" s="1"/>
  <c r="AD50" i="1"/>
  <c r="KY36" i="1"/>
  <c r="KY36" i="1" a="1"/>
  <c r="IN36" i="1" a="1"/>
  <c r="IN36" i="1" s="1"/>
  <c r="DM36" i="1" a="1"/>
  <c r="DM36" i="1" s="1"/>
  <c r="BX36" i="1"/>
  <c r="BL36" i="1" s="1"/>
  <c r="BW36" i="1" a="1"/>
  <c r="BW36" i="1" s="1"/>
  <c r="BV36" i="1"/>
  <c r="BN36" i="1"/>
  <c r="BM36" i="1"/>
  <c r="BJ36" i="1"/>
  <c r="BI36" i="1"/>
  <c r="BA36" i="1"/>
  <c r="AZ36" i="1"/>
  <c r="BP36" i="1" s="1"/>
  <c r="BQ36" i="1" s="1"/>
  <c r="AY36" i="1"/>
  <c r="AX36" i="1"/>
  <c r="AR36" i="1"/>
  <c r="AQ36" i="1"/>
  <c r="AP36" i="1"/>
  <c r="AI36" i="1"/>
  <c r="AH36" i="1"/>
  <c r="AG36" i="1"/>
  <c r="AD36" i="1"/>
  <c r="KY11" i="1"/>
  <c r="KY11" i="1" a="1"/>
  <c r="IN11" i="1" a="1"/>
  <c r="IN11" i="1" s="1"/>
  <c r="DM11" i="1" a="1"/>
  <c r="DM11" i="1" s="1"/>
  <c r="BD11" i="1" s="1"/>
  <c r="BW11" i="1" a="1"/>
  <c r="BW11" i="1" s="1"/>
  <c r="BX11" i="1" s="1"/>
  <c r="BK11" i="1" s="1"/>
  <c r="BV11" i="1"/>
  <c r="BN11" i="1"/>
  <c r="BM11" i="1"/>
  <c r="BJ11" i="1"/>
  <c r="BI11" i="1"/>
  <c r="BF11" i="1"/>
  <c r="BB11" i="1"/>
  <c r="BA11" i="1"/>
  <c r="AZ11" i="1"/>
  <c r="AY11" i="1"/>
  <c r="AX11" i="1"/>
  <c r="AR11" i="1"/>
  <c r="AQ11" i="1"/>
  <c r="AP11" i="1"/>
  <c r="AI11" i="1"/>
  <c r="AH11" i="1"/>
  <c r="BC11" i="1" s="1"/>
  <c r="AG11" i="1"/>
  <c r="AD11" i="1"/>
  <c r="AO3" i="1"/>
  <c r="AK3" i="1"/>
  <c r="BL50" i="1" l="1"/>
  <c r="BK50" i="1"/>
  <c r="DO66" i="1"/>
  <c r="BH66" i="1"/>
  <c r="BF66" i="1"/>
  <c r="BG66" i="1" s="1"/>
  <c r="BL81" i="1"/>
  <c r="BK81" i="1"/>
  <c r="BL83" i="1"/>
  <c r="BA83" i="1"/>
  <c r="BP83" i="1" s="1"/>
  <c r="BQ83" i="1" s="1"/>
  <c r="BK83" i="1"/>
  <c r="AR58" i="1"/>
  <c r="AS58" i="1" s="1"/>
  <c r="BH58" i="1"/>
  <c r="DO58" i="1"/>
  <c r="BL70" i="1"/>
  <c r="BK70" i="1"/>
  <c r="AR70" i="1"/>
  <c r="AS70" i="1" s="1"/>
  <c r="BD83" i="1"/>
  <c r="BE83" i="1" s="1"/>
  <c r="BF83" i="1"/>
  <c r="DO83" i="1"/>
  <c r="BI83" i="1"/>
  <c r="AR83" i="1"/>
  <c r="AS83" i="1" s="1"/>
  <c r="BL74" i="1"/>
  <c r="BK74" i="1"/>
  <c r="BI74" i="1"/>
  <c r="BH74" i="1"/>
  <c r="AR74" i="1"/>
  <c r="AS74" i="1" s="1"/>
  <c r="DO74" i="1"/>
  <c r="BD36" i="1"/>
  <c r="BD185" i="1" s="1"/>
  <c r="BF36" i="1"/>
  <c r="BF185" i="1" s="1"/>
  <c r="BB36" i="1"/>
  <c r="DO62" i="1"/>
  <c r="BF62" i="1"/>
  <c r="BG62" i="1" s="1"/>
  <c r="BD62" i="1"/>
  <c r="BE62" i="1" s="1"/>
  <c r="BL95" i="1"/>
  <c r="BK95" i="1"/>
  <c r="BL56" i="1"/>
  <c r="BB83" i="1"/>
  <c r="JA85" i="1"/>
  <c r="BK97" i="1"/>
  <c r="BL97" i="1"/>
  <c r="JA99" i="1"/>
  <c r="AP157" i="1"/>
  <c r="AT50" i="1"/>
  <c r="DO64" i="1"/>
  <c r="BD68" i="1"/>
  <c r="BE68" i="1" s="1"/>
  <c r="DO70" i="1"/>
  <c r="IU72" i="1"/>
  <c r="IZ72" i="1"/>
  <c r="BP74" i="1"/>
  <c r="BQ74" i="1" s="1"/>
  <c r="BP81" i="1"/>
  <c r="BQ81" i="1" s="1"/>
  <c r="IZ89" i="1"/>
  <c r="IU89" i="1"/>
  <c r="BK93" i="1"/>
  <c r="AR97" i="1"/>
  <c r="DO97" i="1"/>
  <c r="IZ52" i="1"/>
  <c r="BF58" i="1"/>
  <c r="BG58" i="1" s="1"/>
  <c r="AJ89" i="1"/>
  <c r="BC93" i="1"/>
  <c r="AU95" i="1"/>
  <c r="AT95" i="1"/>
  <c r="DO81" i="1"/>
  <c r="AR81" i="1"/>
  <c r="AS81" i="1" s="1"/>
  <c r="BH83" i="1"/>
  <c r="BP85" i="1"/>
  <c r="BQ85" i="1" s="1"/>
  <c r="AT104" i="1"/>
  <c r="AU104" i="1"/>
  <c r="BF104" i="1"/>
  <c r="BG104" i="1" s="1"/>
  <c r="DO104" i="1"/>
  <c r="AR104" i="1"/>
  <c r="AS104" i="1" s="1"/>
  <c r="BO164" i="1"/>
  <c r="AZ168" i="1"/>
  <c r="BP54" i="1"/>
  <c r="BQ54" i="1" s="1"/>
  <c r="BC54" i="1"/>
  <c r="DO54" i="1"/>
  <c r="BD54" i="1"/>
  <c r="BE54" i="1" s="1"/>
  <c r="BX56" i="1"/>
  <c r="DO56" i="1" s="1"/>
  <c r="BD66" i="1"/>
  <c r="BE66" i="1" s="1"/>
  <c r="DO68" i="1"/>
  <c r="AU74" i="1"/>
  <c r="AR85" i="1"/>
  <c r="AS85" i="1" s="1"/>
  <c r="DO85" i="1"/>
  <c r="BC104" i="1"/>
  <c r="BP50" i="1"/>
  <c r="AZ52" i="1"/>
  <c r="BP52" i="1" s="1"/>
  <c r="BQ52" i="1" s="1"/>
  <c r="BC56" i="1"/>
  <c r="BF188" i="1" s="1"/>
  <c r="BL62" i="1"/>
  <c r="BL66" i="1"/>
  <c r="BC74" i="1"/>
  <c r="BC85" i="1"/>
  <c r="IZ93" i="1"/>
  <c r="IZ87" i="1"/>
  <c r="JA87" i="1"/>
  <c r="DO91" i="1"/>
  <c r="BD104" i="1"/>
  <c r="BE104" i="1" s="1"/>
  <c r="DO109" i="1"/>
  <c r="BF109" i="1"/>
  <c r="BG109" i="1" s="1"/>
  <c r="BD109" i="1"/>
  <c r="BE109" i="1" s="1"/>
  <c r="AR109" i="1"/>
  <c r="AS109" i="1" s="1"/>
  <c r="BH109" i="1"/>
  <c r="BL91" i="1"/>
  <c r="BL101" i="1"/>
  <c r="BK101" i="1"/>
  <c r="BA101" i="1"/>
  <c r="AZ164" i="1" s="1"/>
  <c r="AZ101" i="1"/>
  <c r="BP101" i="1" s="1"/>
  <c r="BQ101" i="1" s="1"/>
  <c r="BL141" i="1"/>
  <c r="BK141" i="1"/>
  <c r="BC36" i="1"/>
  <c r="BX52" i="1"/>
  <c r="BK64" i="1"/>
  <c r="BF68" i="1"/>
  <c r="BG68" i="1" s="1"/>
  <c r="BK91" i="1"/>
  <c r="DO93" i="1"/>
  <c r="BL11" i="1"/>
  <c r="BK36" i="1"/>
  <c r="BH62" i="1"/>
  <c r="BH157" i="1" s="1"/>
  <c r="DO95" i="1"/>
  <c r="AR95" i="1"/>
  <c r="AS95" i="1" s="1"/>
  <c r="DO117" i="1"/>
  <c r="AR117" i="1"/>
  <c r="AS117" i="1" s="1"/>
  <c r="BC117" i="1"/>
  <c r="DO52" i="1"/>
  <c r="BD52" i="1"/>
  <c r="BF54" i="1"/>
  <c r="BG54" i="1" s="1"/>
  <c r="BL54" i="1"/>
  <c r="BC58" i="1"/>
  <c r="BP95" i="1"/>
  <c r="BQ95" i="1" s="1"/>
  <c r="AZ165" i="1"/>
  <c r="DM156" i="1"/>
  <c r="DO50" i="1"/>
  <c r="AR50" i="1"/>
  <c r="BG52" i="1"/>
  <c r="AL56" i="1"/>
  <c r="AM3" i="1"/>
  <c r="IN156" i="1"/>
  <c r="AR54" i="1"/>
  <c r="AS54" i="1" s="1"/>
  <c r="BD58" i="1"/>
  <c r="BE58" i="1" s="1"/>
  <c r="BL68" i="1"/>
  <c r="JA70" i="1"/>
  <c r="JA74" i="1"/>
  <c r="AT89" i="1"/>
  <c r="BK89" i="1"/>
  <c r="DO115" i="1"/>
  <c r="DO119" i="1"/>
  <c r="AR119" i="1"/>
  <c r="AS119" i="1" s="1"/>
  <c r="BI119" i="1"/>
  <c r="BC119" i="1"/>
  <c r="BA121" i="1"/>
  <c r="BL121" i="1"/>
  <c r="BK121" i="1"/>
  <c r="BI123" i="1"/>
  <c r="BH123" i="1"/>
  <c r="DO123" i="1"/>
  <c r="IZ125" i="1"/>
  <c r="IU125" i="1"/>
  <c r="BP127" i="1"/>
  <c r="BQ127" i="1" s="1"/>
  <c r="BC129" i="1"/>
  <c r="IZ129" i="1"/>
  <c r="IU129" i="1"/>
  <c r="BI133" i="1"/>
  <c r="AR133" i="1"/>
  <c r="AS133" i="1" s="1"/>
  <c r="DO133" i="1"/>
  <c r="BF137" i="1"/>
  <c r="BG137" i="1" s="1"/>
  <c r="AR137" i="1"/>
  <c r="AS137" i="1" s="1"/>
  <c r="BB137" i="1"/>
  <c r="DO137" i="1"/>
  <c r="BH137" i="1"/>
  <c r="BF141" i="1"/>
  <c r="BG141" i="1" s="1"/>
  <c r="AR143" i="1"/>
  <c r="AS143" i="1" s="1"/>
  <c r="BD143" i="1"/>
  <c r="BE143" i="1" s="1"/>
  <c r="BB143" i="1"/>
  <c r="DO143" i="1"/>
  <c r="IT171" i="1"/>
  <c r="IU171" i="1" s="1"/>
  <c r="AU101" i="1"/>
  <c r="DO121" i="1"/>
  <c r="BI121" i="1"/>
  <c r="BH121" i="1"/>
  <c r="BI127" i="1"/>
  <c r="AR127" i="1"/>
  <c r="AS127" i="1" s="1"/>
  <c r="BC127" i="1"/>
  <c r="BK129" i="1"/>
  <c r="AU137" i="1"/>
  <c r="BD137" i="1"/>
  <c r="BE137" i="1" s="1"/>
  <c r="BH141" i="1"/>
  <c r="JF173" i="1"/>
  <c r="IZ176" i="1"/>
  <c r="BP11" i="1"/>
  <c r="BQ11" i="1" s="1"/>
  <c r="BL89" i="1"/>
  <c r="DO99" i="1"/>
  <c r="AR99" i="1"/>
  <c r="AS99" i="1" s="1"/>
  <c r="JA117" i="1"/>
  <c r="AZ119" i="1"/>
  <c r="BP119" i="1" s="1"/>
  <c r="BQ119" i="1" s="1"/>
  <c r="BD121" i="1"/>
  <c r="BE121" i="1" s="1"/>
  <c r="AU125" i="1"/>
  <c r="DO127" i="1"/>
  <c r="BL129" i="1"/>
  <c r="BC137" i="1"/>
  <c r="BC139" i="1"/>
  <c r="AR139" i="1"/>
  <c r="JA141" i="1"/>
  <c r="JA149" i="1"/>
  <c r="IU109" i="1"/>
  <c r="AZ121" i="1"/>
  <c r="BP123" i="1"/>
  <c r="AL129" i="1"/>
  <c r="DO131" i="1"/>
  <c r="BI131" i="1"/>
  <c r="BP131" i="1" s="1"/>
  <c r="BQ131" i="1" s="1"/>
  <c r="AR131" i="1"/>
  <c r="BF143" i="1"/>
  <c r="BG143" i="1" s="1"/>
  <c r="BH143" i="1"/>
  <c r="BL145" i="1"/>
  <c r="DO147" i="1"/>
  <c r="BL147" i="1"/>
  <c r="BK147" i="1"/>
  <c r="BI153" i="1"/>
  <c r="BP153" i="1" s="1"/>
  <c r="DO153" i="1"/>
  <c r="BD153" i="1"/>
  <c r="BE153" i="1" s="1"/>
  <c r="JA101" i="1"/>
  <c r="DO113" i="1"/>
  <c r="BH113" i="1"/>
  <c r="BF113" i="1"/>
  <c r="BG113" i="1" s="1"/>
  <c r="IZ115" i="1"/>
  <c r="IU115" i="1"/>
  <c r="BL117" i="1"/>
  <c r="BK117" i="1"/>
  <c r="IZ119" i="1"/>
  <c r="IU119" i="1"/>
  <c r="JA125" i="1"/>
  <c r="BD127" i="1"/>
  <c r="BE127" i="1" s="1"/>
  <c r="JA129" i="1"/>
  <c r="BK133" i="1"/>
  <c r="IU133" i="1"/>
  <c r="JA135" i="1"/>
  <c r="IZ137" i="1"/>
  <c r="IU137" i="1"/>
  <c r="AR155" i="1"/>
  <c r="AS155" i="1" s="1"/>
  <c r="DO155" i="1"/>
  <c r="BI155" i="1"/>
  <c r="BP155" i="1" s="1"/>
  <c r="BQ155" i="1" s="1"/>
  <c r="BX135" i="1"/>
  <c r="BK135" i="1" s="1"/>
  <c r="BK137" i="1"/>
  <c r="BK151" i="1"/>
  <c r="AU155" i="1"/>
  <c r="JA176" i="1"/>
  <c r="BD135" i="1"/>
  <c r="BE135" i="1" s="1"/>
  <c r="BB135" i="1"/>
  <c r="BL137" i="1"/>
  <c r="AR141" i="1"/>
  <c r="DO141" i="1"/>
  <c r="DO149" i="1"/>
  <c r="AR149" i="1"/>
  <c r="AS149" i="1" s="1"/>
  <c r="BI149" i="1"/>
  <c r="BP149" i="1" s="1"/>
  <c r="BQ149" i="1" s="1"/>
  <c r="BC149" i="1"/>
  <c r="IT170" i="1"/>
  <c r="IU170" i="1" s="1"/>
  <c r="IZ173" i="1"/>
  <c r="BL93" i="1"/>
  <c r="JF91" i="1"/>
  <c r="DO101" i="1"/>
  <c r="BB104" i="1"/>
  <c r="BL143" i="1"/>
  <c r="IT174" i="1"/>
  <c r="IU174" i="1" s="1"/>
  <c r="AZ166" i="1"/>
  <c r="AS50" i="1"/>
  <c r="BC83" i="1"/>
  <c r="BL85" i="1"/>
  <c r="BF107" i="1"/>
  <c r="BG107" i="1" s="1"/>
  <c r="DO107" i="1"/>
  <c r="DO129" i="1"/>
  <c r="AR129" i="1"/>
  <c r="AS129" i="1" s="1"/>
  <c r="JA137" i="1"/>
  <c r="AU141" i="1"/>
  <c r="AT141" i="1"/>
  <c r="AS141" i="1"/>
  <c r="BF145" i="1"/>
  <c r="BG145" i="1" s="1"/>
  <c r="BD145" i="1"/>
  <c r="BE145" i="1" s="1"/>
  <c r="DO145" i="1"/>
  <c r="IZ155" i="1"/>
  <c r="IU155" i="1"/>
  <c r="JA172" i="1"/>
  <c r="IZ172" i="1"/>
  <c r="IZ99" i="1"/>
  <c r="IU99" i="1"/>
  <c r="AR101" i="1"/>
  <c r="AS101" i="1" s="1"/>
  <c r="JA115" i="1"/>
  <c r="IZ117" i="1"/>
  <c r="BP133" i="1"/>
  <c r="BQ133" i="1" s="1"/>
  <c r="BF135" i="1"/>
  <c r="BG135" i="1" s="1"/>
  <c r="BH135" i="1"/>
  <c r="BC141" i="1"/>
  <c r="AT97" i="1"/>
  <c r="AS97" i="1"/>
  <c r="BL99" i="1"/>
  <c r="AD157" i="1"/>
  <c r="AR89" i="1"/>
  <c r="AS89" i="1" s="1"/>
  <c r="BH104" i="1"/>
  <c r="BC109" i="1"/>
  <c r="BL113" i="1"/>
  <c r="AJ133" i="1"/>
  <c r="AL133" i="1"/>
  <c r="BB141" i="1"/>
  <c r="IZ149" i="1"/>
  <c r="IU149" i="1"/>
  <c r="JA173" i="1"/>
  <c r="IZ101" i="1"/>
  <c r="IU101" i="1"/>
  <c r="BL107" i="1"/>
  <c r="BB109" i="1"/>
  <c r="AL117" i="1"/>
  <c r="IU117" i="1"/>
  <c r="BL119" i="1"/>
  <c r="BK119" i="1"/>
  <c r="BD141" i="1"/>
  <c r="BE141" i="1" s="1"/>
  <c r="BX143" i="1"/>
  <c r="BK143" i="1" s="1"/>
  <c r="BC151" i="1"/>
  <c r="BI151" i="1"/>
  <c r="BP151" i="1" s="1"/>
  <c r="BQ151" i="1" s="1"/>
  <c r="AR151" i="1"/>
  <c r="GY171" i="1"/>
  <c r="AU145" i="1"/>
  <c r="AS125" i="1"/>
  <c r="AT155" i="1"/>
  <c r="AL155" i="1" s="1"/>
  <c r="AS115" i="1"/>
  <c r="AU121" i="1"/>
  <c r="AT125" i="1"/>
  <c r="IU173" i="1"/>
  <c r="IU176" i="1"/>
  <c r="AS131" i="1"/>
  <c r="IU131" i="1"/>
  <c r="AS139" i="1"/>
  <c r="AT131" i="1"/>
  <c r="AT139" i="1"/>
  <c r="AS151" i="1"/>
  <c r="BK125" i="1"/>
  <c r="AT151" i="1"/>
  <c r="AL151" i="1" s="1"/>
  <c r="AT119" i="1"/>
  <c r="BC147" i="1"/>
  <c r="GC180" i="1" l="1"/>
  <c r="GW164" i="1" s="1"/>
  <c r="BF157" i="1"/>
  <c r="BD188" i="1"/>
  <c r="BL52" i="1"/>
  <c r="BL164" i="1" s="1"/>
  <c r="BK52" i="1"/>
  <c r="BK164" i="1" s="1"/>
  <c r="AR52" i="1"/>
  <c r="AS52" i="1" s="1"/>
  <c r="BL135" i="1"/>
  <c r="DO135" i="1"/>
  <c r="BK56" i="1"/>
  <c r="AR56" i="1"/>
  <c r="AS56" i="1" s="1"/>
  <c r="AL119" i="1"/>
  <c r="AJ119" i="1"/>
  <c r="JA91" i="1"/>
  <c r="AZ180" i="1" s="1"/>
  <c r="BV164" i="1" s="1"/>
  <c r="IZ91" i="1"/>
  <c r="GC179" i="1" s="1"/>
  <c r="AZ163" i="1"/>
  <c r="AZ167" i="1" s="1"/>
  <c r="AZ169" i="1" s="1"/>
  <c r="BQ50" i="1"/>
  <c r="BD157" i="1"/>
  <c r="BE52" i="1"/>
  <c r="AR135" i="1"/>
  <c r="AS135" i="1" s="1"/>
  <c r="BF189" i="1"/>
  <c r="BF190" i="1" s="1"/>
  <c r="BF192" i="1" s="1"/>
  <c r="BD189" i="1"/>
  <c r="BP121" i="1"/>
  <c r="BQ121" i="1" s="1"/>
  <c r="BQ164" i="1" s="1"/>
  <c r="GC181" i="1" l="1"/>
  <c r="GW167" i="1" s="1"/>
  <c r="GW163" i="1"/>
  <c r="BD190" i="1"/>
  <c r="BD192" i="1" s="1"/>
  <c r="IZ179" i="1"/>
  <c r="JA179" i="1"/>
  <c r="AZ179" i="1"/>
  <c r="BP157" i="1"/>
  <c r="JD179" i="1" l="1"/>
  <c r="AZ181" i="1"/>
  <c r="BV167" i="1" s="1"/>
  <c r="BV16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tc={B3475308-584A-4AE3-B0BF-39319C5F8E56}</author>
    <author>tc={E602FF51-00CB-4F4C-9E01-F034330E3494}</author>
    <author>tc={0FF307A7-158D-4D43-B268-F1D896755B80}</author>
    <author>tc={EE7EE60A-6481-4EFE-8287-BF440E9AD148}</author>
    <author>tc={750065AE-2E8A-414B-A3FA-6237089E5F86}</author>
    <author>tc={05591143-19A7-4BB4-8597-F777146287E3}</author>
    <author>tc={E6E3DA75-80AC-4450-B518-A89CAAA264B4}</author>
    <author>tc={B8A109EC-C0B8-457C-A210-4CA3BD5A7C36}</author>
    <author>tc={CE9FFD10-C6FB-4C5B-A7FB-4B7C31EE05A0}</author>
    <author>tc={869F42D1-8EAE-4B0B-ADB9-4044D013128E}</author>
    <author>tc={A4AD1D6E-4D0F-4849-B415-997EDE415F0E}</author>
    <author>tc={3D362FB7-4BB0-46CA-B515-B3C873DD1AF8}</author>
    <author>tc={5638029F-B005-46DE-BDB5-2A79938BC2AA}</author>
    <author>tc={84177927-A8FC-45D4-9864-DDDE12E87FE9}</author>
    <author>tc={3A761293-1010-4CC5-A574-AED069A3F561}</author>
    <author>tc={FEE5BCC1-A8E4-4900-901E-0982F2DB9E5B}</author>
    <author>tc={816EC7F4-40B4-49D6-9067-A71A21AA764F}</author>
    <author>tc={3DB39A08-AC6E-4424-94E5-EFCFF90638F4}</author>
    <author>tc={981EE3C1-EC4E-4D23-8263-8F5B7318D839}</author>
    <author>tc={FAAC7187-883B-498F-8937-05E605EA5C03}</author>
    <author>tc={B8745179-C8B9-491D-B6E1-6A5D2BEFF3D2}</author>
    <author>tc={B7C75C0C-0C76-478C-A1E1-AA82FCA74E1F}</author>
    <author>tc={80E1BC6F-BBC4-4A9D-A31C-AE486010BE4B}</author>
    <author>tc={3EFB37A3-93E2-4F4F-A481-51513CBB80CE}</author>
    <author>tc={2AA93280-0F3B-48AE-90B0-34E48B44E356}</author>
    <author>tc={99C6AD61-0B8C-4431-97E7-3F03A32777BF}</author>
    <author>tc={A6465ABF-9883-41BF-A137-4518F224A6D4}</author>
    <author>tc={B30826BA-0308-46BF-834C-70F891D8A0AA}</author>
    <author>tc={DB689F6A-F3D7-4F26-8BE4-480A6906AA42}</author>
    <author>tc={6FDDABA0-A5E5-41B1-A527-A780AE8DD751}</author>
    <author>tc={C729784A-7047-46F3-A8E2-0CC081D9B109}</author>
    <author>tc={F47D73A7-1C58-4B33-BFA1-4260CF58C031}</author>
    <author>tc={0F053B84-7317-4CFC-A095-5B0506513B3A}</author>
    <author>tc={EBFBB23C-D3E6-4432-8245-916F660C984F}</author>
    <author>tc={329B0DC6-1C07-4494-99D3-D6CD4BAA0CB0}</author>
    <author>tc={59C4840B-FE39-4E01-BFBF-2A0CC2BAA07F}</author>
    <author>tc={5D6FEDEF-2C2A-4905-B0F8-F0154C979923}</author>
    <author>tc={7CAFDC26-EAA8-4639-B3F3-D899274F59AC}</author>
    <author>tc={EEB3F32E-857E-4069-87AA-5C99A60A0AAC}</author>
    <author>tc={05D7E6F5-1FC0-4121-8406-D74CD443BC94}</author>
    <author>tc={DFB5791A-AD6E-4671-8E50-5ACE2BB5EBFA}</author>
    <author>tc={3854A97B-D7A6-429A-A83D-E8259058D7A1}</author>
    <author>tc={1424DEC3-E86A-4D67-B4E9-341060CE522E}</author>
    <author>tc={6B2948FE-9B70-494B-A1C5-F350CC0D8E5F}</author>
    <author>tc={85B83530-4DE1-4E38-91CF-02A2187F30A9}</author>
    <author>tc={454636B2-2692-4B1F-8FA8-C47EDDFFFA12}</author>
    <author>tc={F9611B3D-D032-4CFE-BFAA-9AF3F0A4B325}</author>
    <author>tc={FB5DDBF1-9267-4AFA-A3D3-5C40281F9B95}</author>
    <author>tc={BAB3CA19-07DD-417D-A27C-B0D59B4B252F}</author>
    <author>tc={E918CCB6-EF1B-4232-987B-093549C1CBC5}</author>
    <author>tc={8CA5B841-AC12-4CC5-B784-AE1AF08C0071}</author>
    <author>tc={FF143881-79BA-4AF1-AC87-2A4FE0AC4243}</author>
    <author>tc={653D7FF3-3BEE-4224-AB54-F9F96F2E2461}</author>
    <author>tc={429C2722-1D52-4D7D-AAB1-6DA7D8A9D0E6}</author>
    <author>tc={A7B4C612-AB85-410B-9515-19AEBBBF5A52}</author>
    <author>tc={7DC88CA1-CF66-4C67-AA66-9FF41BAA0D4E}</author>
    <author>tc={F6B30331-8E5A-4EA1-988B-72732C8CAE80}</author>
    <author>tc={278C7279-E8A8-48ED-85FD-053EC69C7B15}</author>
    <author>tc={DA028638-FF06-4087-B842-50F35F742332}</author>
    <author>tc={AAD375AC-DFFF-4AF0-BA3C-25473AF98A15}</author>
    <author>tc={92C71319-790E-43B4-B75F-98F304302FF4}</author>
    <author>tc={99E8A9C5-0DF4-4C88-A88D-8AB286491A0E}</author>
    <author>tc={58D7B0A1-3567-4FBD-B3F3-85F91EBA9782}</author>
    <author>tc={C687B7F0-1A96-4F4C-9267-97A22BE1A7A3}</author>
    <author>tc={006C9088-8521-44FA-ADFF-817DA48FBF6B}</author>
    <author>tc={1EE88415-F40F-49B1-9996-DD4FAD44301F}</author>
    <author>tc={E65D085B-3A87-46C5-9FE5-7DADBE377A97}</author>
    <author>tc={BC5DD768-7819-4EA5-9D2B-122E38304AD4}</author>
    <author>tc={4111AD1A-C144-4170-8240-DCFB78411F46}</author>
    <author>tc={F7E20710-5EF7-4400-A6EA-1C12DCB342FA}</author>
    <author>tc={FC4B4D02-50AF-479D-B813-C192933E681F}</author>
    <author>tc={742686AB-EFD9-4AF2-860C-6C699EC7D29A}</author>
    <author>tc={83A4D6D9-285B-4C6F-8D45-A6E5CF64647C}</author>
    <author>tc={1AC58AE8-9D11-4AE8-BF30-EFF44B73B3F5}</author>
    <author>tc={AD06199E-B0F4-4740-93C1-C19B7F2A9241}</author>
    <author>tc={5EE57DA6-2F29-4BFE-85C5-5CD9DCEBCC40}</author>
    <author>tc={7194AA07-CB79-4D93-8BBD-5F26E69C539C}</author>
    <author>tc={C0A82476-DE5D-4B61-BC53-4078BAFD20AB}</author>
    <author>tc={DB0BD520-5DEC-4A71-9599-31B9FF223D45}</author>
    <author>tc={72F366CE-31BD-465F-98DB-1E3FE0F87B1A}</author>
    <author>tc={46ACE5F7-8FD1-4ED9-83AB-B9B8BCFFAEE4}</author>
    <author>tc={0AECAE69-89EB-4F5F-83DF-16A80A44EAEB}</author>
    <author>tc={33FC11C4-6EF2-4816-B60E-6C3B1621EAED}</author>
    <author>tc={14AF7BBC-CEF2-4CB8-9BB4-2312DFAD445A}</author>
    <author>tc={AADC94BA-0559-403F-8CB6-3F19AF44F5F7}</author>
    <author>tc={01C0E48B-6350-4381-A0DF-7032C5E386AA}</author>
    <author>tc={538C62C2-4520-4D7D-8365-7D42E4386A4E}</author>
    <author>tc={3F09955C-E2B6-44E2-9347-959FB145DA07}</author>
    <author>tc={D63F9984-5467-4B1C-8212-62DDDCA5538A}</author>
    <author>tc={94E4FF6C-E02B-4F6F-83B6-C4ED56C1E71B}</author>
    <author>tc={593BC9B8-0E54-4845-AC78-51D2798A2A83}</author>
    <author>tc={9E74E027-84D0-4ECE-BF4B-7837A9C27DF4}</author>
    <author>tc={1A7F0497-8CD0-4516-8CEF-5628A27B84C8}</author>
    <author>tc={44CCCFB9-CCEB-4D67-80BF-7C71670B7ECF}</author>
    <author>tc={19A30AF4-AB8D-4D3C-8DA9-097BBD90E6B9}</author>
    <author>tc={D83BF23A-FF26-4420-B9EE-B613EDFC267F}</author>
    <author>tc={8ACB1C08-6682-4AE9-8847-4E60DA632734}</author>
    <author>tc={EBF84EC4-66E0-4F54-90DA-F220032D930C}</author>
    <author>tc={6E57E20C-1218-4822-86BB-E14B5FBD8F70}</author>
    <author>tc={0B41042D-F4E7-4F24-A555-EB7944F8D1CE}</author>
    <author>tc={88153823-7FB7-47D6-B451-6B704CF1F513}</author>
    <author>tc={2DD3FA9B-08AF-494C-9BB8-BAF57555B557}</author>
    <author>tc={70AAF8BB-BF64-4B5C-9B0E-2C8688842766}</author>
    <author>tc={1BB63612-D30E-4E75-BE20-5D4DE6AEE860}</author>
    <author>tc={01DA27AF-152E-46D9-B150-4EE106BE0869}</author>
    <author>tc={7CED8A66-D191-45A3-86EA-7E5E269FABF5}</author>
    <author>tc={EFBF16C6-1D8A-4C03-8D65-F25F36D00860}</author>
    <author>tc={84B7C416-7594-47DC-8252-C351A7FBA9A0}</author>
    <author>tc={9AE511F9-705B-47CF-BD24-8893594DED1F}</author>
    <author>tc={291FE1F9-1284-4424-A5B7-159078B74E8E}</author>
    <author>tc={454E0FBA-8CE5-49F1-88DC-87F26BC9C5B7}</author>
    <author>tc={FB1843C2-000B-42B8-961D-052755DCC3F4}</author>
    <author>tc={ADC227CC-617B-41E1-9CEE-BC62E4394695}</author>
    <author>tc={71C53BF0-AEC0-4EC7-978F-569526FB0C6B}</author>
    <author>tc={9B71FE6F-D0BC-49DB-822F-F74C224BE0CD}</author>
    <author>tc={1022D811-5BC7-4FA8-8A39-D5B52454EE82}</author>
    <author>tc={724C449F-45C3-4DAF-9021-4D41E4F27969}</author>
  </authors>
  <commentList>
    <comment ref="AG2" authorId="0" shapeId="0" xr:uid="{B3475308-584A-4AE3-B0BF-39319C5F8E5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正確には1/20シミュを基にした財政見通し資料（1/22版）のResultsシートを参照</t>
      </text>
    </comment>
    <comment ref="FP2" authorId="1" shapeId="0" xr:uid="{E602FF51-00CB-4F4C-9E01-F034330E349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正確には1/20シミュを基にした財政見通し資料（1/22版）のResultsシートを参照</t>
      </text>
    </comment>
    <comment ref="AZ6" authorId="2" shapeId="0" xr:uid="{0FF307A7-158D-4D43-B268-F1D896755B8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日によって人数に幅があるのでこの考え方だとかなり多くなってしまいます。要検討です。一旦仮で計算はしてあります。
考えられるパターンとしては、１人あたり平均単価に全日の人数合計を掛ける感じでしょうか？便宜的ですが。</t>
      </text>
    </comment>
    <comment ref="BA6" authorId="3" shapeId="0" xr:uid="{EE7EE60A-6481-4EFE-8287-BF440E9AD14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日によって人数に幅があるのでこの考え方だとかなり多くなってしまいます。要検討です。一旦仮で計算はしてあります。
考えられるパターンとしては、１人あたり平均単価に全日の人数合計を掛ける感じでしょうか？便宜的ですが。</t>
      </text>
    </comment>
    <comment ref="GC6" authorId="4" shapeId="0" xr:uid="{750065AE-2E8A-414B-A3FA-6237089E5F8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日によって人数に幅があるのでこの考え方だとかなり多くなってしまいます。要検討です。一旦仮で計算はしてあります。
考えられるパターンとしては、１人あたり平均単価に全日の人数合計を掛ける感じでしょうか？便宜的ですが。</t>
      </text>
    </comment>
    <comment ref="GD6" authorId="5" shapeId="0" xr:uid="{05591143-19A7-4BB4-8597-F777146287E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日によって人数に幅があるのでこの考え方だとかなり多くなってしまいます。要検討です。一旦仮で計算はしてあります。
考えられるパターンとしては、１人あたり平均単価に全日の人数合計を掛ける感じでしょうか？便宜的ですが。</t>
      </text>
    </comment>
    <comment ref="AS9" authorId="6" shapeId="0" xr:uid="{E6E3DA75-80AC-4450-B518-A89CAAA264B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×客室１室あたり平均単価　○１人あたり平均単価</t>
      </text>
    </comment>
    <comment ref="BA9" authorId="7" shapeId="0" xr:uid="{B8A109EC-C0B8-457C-A210-4CA3BD5A7C3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ファンクションは泊数ではなく日数のため、＋0.5日足して計算</t>
      </text>
    </comment>
    <comment ref="BM9" authorId="8" shapeId="0" xr:uid="{CE9FFD10-C6FB-4C5B-A7FB-4B7C31EE05A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フロア数で仮定。なお棟が別の建物の客室フロア設置分は選手の目に触れないため考えないというような考え方。棟が別でも共用部であれば該当するような考え方ではあるが、そこまで想定の精度は高くない</t>
      </text>
    </comment>
    <comment ref="BN9" authorId="9" shapeId="0" xr:uid="{869F42D1-8EAE-4B0B-ADB9-4044D013128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一棟貸し等による営業補償と被る場合は積算せず</t>
      </text>
    </comment>
    <comment ref="DX9" authorId="10" shapeId="0" xr:uid="{A4AD1D6E-4D0F-4849-B415-997EDE415F0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ファンクションは泊数ではなく日数のため、＋0.5日足して計算</t>
      </text>
    </comment>
    <comment ref="FV9" authorId="11" shapeId="0" xr:uid="{3D362FB7-4BB0-46CA-B515-B3C873DD1AF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×客室１室あたり平均単価　○１人あたり平均単価</t>
      </text>
    </comment>
    <comment ref="GD9" authorId="12" shapeId="0" xr:uid="{5638029F-B005-46DE-BDB5-2A79938BC2A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ファンクションは泊数ではなく日数のため、＋0.5日足して計算</t>
      </text>
    </comment>
    <comment ref="GP9" authorId="13" shapeId="0" xr:uid="{84177927-A8FC-45D4-9864-DDDE12E87FE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フロア数で仮定。なお棟が別の建物の客室フロア設置分は選手の目に触れないため考えないというような考え方。棟が別でも共用部であれば該当するような考え方ではあるが、そこまで想定の精度は高くない</t>
      </text>
    </comment>
    <comment ref="GQ9" authorId="14" shapeId="0" xr:uid="{3A761293-1010-4CC5-A574-AED069A3F56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一棟貸し等による営業補償と被る場合は積算せず</t>
      </text>
    </comment>
    <comment ref="IU9" authorId="15" shapeId="0" xr:uid="{FEE5BCC1-A8E4-4900-901E-0982F2DB9E5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×客室１室あたり平均単価　○１人あたり平均単価</t>
      </text>
    </comment>
    <comment ref="CN11" authorId="16" shapeId="0" xr:uid="{816EC7F4-40B4-49D6-9067-A71A21AA764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競技日程変更前提</t>
      </text>
    </comment>
    <comment ref="DI11" authorId="17" shapeId="0" xr:uid="{3DB39A08-AC6E-4424-94E5-EFCFF90638F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競技日程変更前提</t>
      </text>
    </comment>
    <comment ref="HO11" authorId="18" shapeId="0" xr:uid="{981EE3C1-EC4E-4D23-8263-8F5B7318D83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競技日程変更前提</t>
      </text>
    </comment>
    <comment ref="HP11" authorId="19" shapeId="0" xr:uid="{FAAC7187-883B-498F-8937-05E605EA5C0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競技日程変更前提</t>
      </text>
    </comment>
    <comment ref="HQ11" authorId="20" shapeId="0" xr:uid="{B8745179-C8B9-491D-B6E1-6A5D2BEFF3D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競技日程変更前提</t>
      </text>
    </comment>
    <comment ref="IJ11" authorId="21" shapeId="0" xr:uid="{B7C75C0C-0C76-478C-A1E1-AA82FCA74E1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競技日程変更前提</t>
      </text>
    </comment>
    <comment ref="F36" authorId="22" shapeId="0" xr:uid="{80E1BC6F-BBC4-4A9D-A31C-AE486010BE4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【渉外G】
フルボード提供必須の場合、満室受入れ難しい。客室提供はFNBサポート次第。７月末を目途に何室提供可能か返答をもらうことになっている。（回答はまだ不明）
返信:
感触的にはどうか？ニッコースタイルやJALシティに振り替えたほうが良いか？
返信:
@松雄 裕太 
JTB経由でベッセルへ提供客室数の催促していますが、返事がありません。
引き続き催促はします。
ニッコースタイルは、食事に対して反応がかなり渋かったですが選手不可とは言われていませんので可能性はありです。ここもFNBのサポート次第（どこまでホテルのレベルに寄り添えるか次第）です。
なお、グリーンリッチですが９月〆切を目途に今見積依頼中で10月中には使用するかしないか返事がほしいと言われています。キャパが少ないため、シミュレーションからは敬遠されているのかと思いますが選手団受入れに大変好意的で飲食も他の名古屋市内の施設に比較するとこちらの求めるレベルを完璧にするのは無理とのことでしたがある程度対応できるといわれましたので、使う方向でいってほしいと思います。
返信:
継続。</t>
      </text>
    </comment>
    <comment ref="H36" authorId="23" shapeId="0" xr:uid="{3EFB37A3-93E2-4F4F-A481-51513CBB80C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400戸と仮定
1室4名収容の場合、1600人収容
内300人分をNOC本部スタッフが使用することを想定</t>
      </text>
    </comment>
    <comment ref="IR50" authorId="24" shapeId="0" xr:uid="{2AA93280-0F3B-48AE-90B0-34E48B44E35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IX50" authorId="25" shapeId="0" xr:uid="{99C6AD61-0B8C-4431-97E7-3F03A32777B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IZ50" authorId="26" shapeId="0" xr:uid="{A6465ABF-9883-41BF-A137-4518F224A6D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JA50" authorId="27" shapeId="0" xr:uid="{B30826BA-0308-46BF-834C-70F891D8A0A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IR58" authorId="28" shapeId="0" xr:uid="{DB689F6A-F3D7-4F26-8BE4-480A6906AA4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IX58" authorId="29" shapeId="0" xr:uid="{6FDDABA0-A5E5-41B1-A527-A780AE8DD75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IZ58" authorId="30" shapeId="0" xr:uid="{C729784A-7047-46F3-A8E2-0CC081D9B10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JA58" authorId="31" shapeId="0" xr:uid="{F47D73A7-1C58-4B33-BFA1-4260CF58C03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GA72" authorId="32" shapeId="0" xr:uid="{0F053B84-7317-4CFC-A095-5B0506513B3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以前のシミュレーションのものがそのまま残っている（変動なし）ためそのまま参照
返信:
これ要らない？</t>
      </text>
    </comment>
    <comment ref="BB74" authorId="33" shapeId="0" xr:uid="{EBFBB23C-D3E6-4432-8245-916F660C984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仮設厨房</t>
      </text>
    </comment>
    <comment ref="DY74" authorId="34" shapeId="0" xr:uid="{329B0DC6-1C07-4494-99D3-D6CD4BAA0CB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仮設厨房</t>
      </text>
    </comment>
    <comment ref="GI74" authorId="35" shapeId="0" xr:uid="{59C4840B-FE39-4E01-BFBF-2A0CC2BAA07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仮設厨房</t>
      </text>
    </comment>
    <comment ref="BB81" authorId="36" shapeId="0" xr:uid="{5D6FEDEF-2C2A-4905-B0F8-F0154C97992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仮設厨房</t>
      </text>
    </comment>
    <comment ref="DY81" authorId="37" shapeId="0" xr:uid="{7CAFDC26-EAA8-4639-B3F3-D899274F59A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仮設厨房</t>
      </text>
    </comment>
    <comment ref="GI81" authorId="38" shapeId="0" xr:uid="{EEB3F32E-857E-4069-87AA-5C99A60A0AA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仮設厨房</t>
      </text>
    </comment>
    <comment ref="AO85" authorId="39" shapeId="0" xr:uid="{05D7E6F5-1FC0-4121-8406-D74CD443BC9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仮置き、実際は交渉中</t>
      </text>
    </comment>
    <comment ref="F89" authorId="40" shapeId="0" xr:uid="{DFB5791A-AD6E-4671-8E50-5ACE2BB5EBF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【渉外】
食事の提供数について難色。人的、物的サポートは必須。その前提で前向きに検討はしてもらっている
返信:
このままハイブリッド方式て検討を進めてよいか？
返信:
【継続】
グランドティアラ的には、一応なんとか700食くらい提供できるように前向きに検討はしてくれている。ただし、機器や人材のサポートは必須。
お金さえあれば大丈夫。
ない場合…は…　ﾖｳｿｳﾀﾞﾝ</t>
      </text>
    </comment>
    <comment ref="AK89" authorId="41" shapeId="0" xr:uid="{3854A97B-D7A6-429A-A83D-E8259058D7A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聞き取りベース</t>
      </text>
    </comment>
    <comment ref="AM89" authorId="42" shapeId="0" xr:uid="{1424DEC3-E86A-4D67-B4E9-341060CE522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聞き取りベース</t>
      </text>
    </comment>
    <comment ref="AO89" authorId="43" shapeId="0" xr:uid="{6B2948FE-9B70-494B-A1C5-F350CC0D8E5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聞き取りベース</t>
      </text>
    </comment>
    <comment ref="BB89" authorId="44" shapeId="0" xr:uid="{85B83530-4DE1-4E38-91CF-02A2187F30A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ハイブリッド方式</t>
      </text>
    </comment>
    <comment ref="BJ89" authorId="45" shapeId="0" xr:uid="{454636B2-2692-4B1F-8FA8-C47EDDFFFA1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別紙1-2の積算に合算</t>
      </text>
    </comment>
    <comment ref="DY89" authorId="46" shapeId="0" xr:uid="{F9611B3D-D032-4CFE-BFAA-9AF3F0A4B32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ハイブリッド方式</t>
      </text>
    </comment>
    <comment ref="BB91" authorId="47" shapeId="0" xr:uid="{FB5DDBF1-9267-4AFA-A3D3-5C40281F9B9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ハイブリッド方式</t>
      </text>
    </comment>
    <comment ref="DY91" authorId="48" shapeId="0" xr:uid="{BAB3CA19-07DD-417D-A27C-B0D59B4B252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ハイブリッド方式</t>
      </text>
    </comment>
    <comment ref="FY91" authorId="49" shapeId="0" xr:uid="{E918CCB6-EF1B-4232-987B-093549C1CBC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注意：数式働いてません。</t>
      </text>
    </comment>
    <comment ref="FZ91" authorId="50" shapeId="0" xr:uid="{8CA5B841-AC12-4CC5-B784-AE1AF08C007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注意：数式働いてません。</t>
      </text>
    </comment>
    <comment ref="BB93" authorId="51" shapeId="0" xr:uid="{FF143881-79BA-4AF1-AC87-2A4FE0AC424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ハイブリッド方式</t>
      </text>
    </comment>
    <comment ref="DY93" authorId="52" shapeId="0" xr:uid="{653D7FF3-3BEE-4224-AB54-F9F96F2E246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ハイブリッド方式</t>
      </text>
    </comment>
    <comment ref="FY93" authorId="53" shapeId="0" xr:uid="{429C2722-1D52-4D7D-AAB1-6DA7D8A9D0E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注意：数式働いてません。</t>
      </text>
    </comment>
    <comment ref="FZ93" authorId="54" shapeId="0" xr:uid="{A7B4C612-AB85-410B-9515-19AEBBBF5A5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注意：数式働いてません。</t>
      </text>
    </comment>
    <comment ref="BB95" authorId="55" shapeId="0" xr:uid="{7DC88CA1-CF66-4C67-AA66-9FF41BAA0D4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ハイブリッド方式</t>
      </text>
    </comment>
    <comment ref="DY95" authorId="56" shapeId="0" xr:uid="{F6B30331-8E5A-4EA1-988B-72732C8CAE8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ハイブリッド方式</t>
      </text>
    </comment>
    <comment ref="FS95" authorId="57" shapeId="0" xr:uid="{278C7279-E8A8-48ED-85FD-053EC69C7B1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フロア貸切マストの場合、8Fの4室6ベッド減ります。</t>
      </text>
    </comment>
    <comment ref="FU95" authorId="58" shapeId="0" xr:uid="{DA028638-FF06-4087-B842-50F35F74233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フロア貸切マストの場合、8Fの4室6ベッド減ります。</t>
      </text>
    </comment>
    <comment ref="GA95" authorId="59" shapeId="0" xr:uid="{AAD375AC-DFFF-4AF0-BA3C-25473AF98A1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これいる？０で積算？</t>
      </text>
    </comment>
    <comment ref="IR95" authorId="60" shapeId="0" xr:uid="{92C71319-790E-43B4-B75F-98F304302FF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IX95" authorId="61" shapeId="0" xr:uid="{99E8A9C5-0DF4-4C88-A88D-8AB286491A0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BB97" authorId="62" shapeId="0" xr:uid="{58D7B0A1-3567-4FBD-B3F3-85F91EBA978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ハイブリッド方式</t>
      </text>
    </comment>
    <comment ref="DY97" authorId="63" shapeId="0" xr:uid="{C687B7F0-1A96-4F4C-9267-97A22BE1A7A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ハイブリッド方式</t>
      </text>
    </comment>
    <comment ref="GA101" authorId="64" shapeId="0" xr:uid="{006C9088-8521-44FA-ADFF-817DA48FBF6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前は山吹減らして考えたが今回は一旦積む。</t>
      </text>
    </comment>
    <comment ref="GB101" authorId="65" shapeId="0" xr:uid="{1EE88415-F40F-49B1-9996-DD4FAD44301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前は山吹減らして考えたが今回は一旦積む。</t>
      </text>
    </comment>
    <comment ref="AV111" authorId="66" shapeId="0" xr:uid="{E65D085B-3A87-46C5-9FE5-7DADBE377A9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注意：数式働いてません。</t>
      </text>
    </comment>
    <comment ref="AW111" authorId="67" shapeId="0" xr:uid="{BC5DD768-7819-4EA5-9D2B-122E38304AD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注意：数式働いてません。</t>
      </text>
    </comment>
    <comment ref="FY111" authorId="68" shapeId="0" xr:uid="{4111AD1A-C144-4170-8240-DCFB78411F4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注意：数式働いてません。</t>
      </text>
    </comment>
    <comment ref="FZ111" authorId="69" shapeId="0" xr:uid="{F7E20710-5EF7-4400-A6EA-1C12DCB342F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注意：数式働いてません。</t>
      </text>
    </comment>
    <comment ref="IR111" authorId="70" shapeId="0" xr:uid="{FC4B4D02-50AF-479D-B813-C192933E681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IX111" authorId="71" shapeId="0" xr:uid="{742686AB-EFD9-4AF2-860C-6C699EC7D29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IZ111" authorId="72" shapeId="0" xr:uid="{83A4D6D9-285B-4C6F-8D45-A6E5CF64647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JA111" authorId="73" shapeId="0" xr:uid="{1AC58AE8-9D11-4AE8-BF30-EFF44B73B3F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H115" authorId="74" shapeId="0" xr:uid="{AD06199E-B0F4-4740-93C1-C19B7F2A924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和室の客室利用想定から96人の収容を想定</t>
      </text>
    </comment>
    <comment ref="FY115" authorId="75" shapeId="0" xr:uid="{5EE57DA6-2F29-4BFE-85C5-5CD9DCEBCC4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１棟いくらという表記のため平均単価を記載</t>
      </text>
    </comment>
    <comment ref="FZ115" authorId="76" shapeId="0" xr:uid="{7194AA07-CB79-4D93-8BBD-5F26E69C539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１棟いくらという表記のため平均単価を記載</t>
      </text>
    </comment>
    <comment ref="FT117" authorId="77" shapeId="0" xr:uid="{C0A82476-DE5D-4B61-BC53-4078BAFD20A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あぶれた部分は日本選手団</t>
      </text>
    </comment>
    <comment ref="FV117" authorId="78" shapeId="0" xr:uid="{DB0BD520-5DEC-4A71-9599-31B9FF223D4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キャパが200なので200で割ります</t>
      </text>
    </comment>
    <comment ref="IU117" authorId="79" shapeId="0" xr:uid="{72F366CE-31BD-465F-98DB-1E3FE0F87B1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キャパが200なので200で割ります</t>
      </text>
    </comment>
    <comment ref="AA119" authorId="80" shapeId="0" xr:uid="{46ACE5F7-8FD1-4ED9-83AB-B9B8BCFFAEE4}">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出発地点：蒲郡市商工会議所 </t>
      </text>
    </comment>
    <comment ref="BU119" authorId="81" shapeId="0" xr:uid="{0AECAE69-89EB-4F5F-83DF-16A80A44EAE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ファンクションは29日まで</t>
      </text>
    </comment>
    <comment ref="DQ119" authorId="82" shapeId="0" xr:uid="{33FC11C4-6EF2-4816-B60E-6C3B1621EAED}">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出発地点：蒲郡市商工会議所 </t>
      </text>
    </comment>
    <comment ref="EO119" authorId="83" shapeId="0" xr:uid="{14AF7BBC-CEF2-4CB8-9BB4-2312DFAD445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出発地点：蒲郡市商工会議所 </t>
      </text>
    </comment>
    <comment ref="IV119" authorId="84" shapeId="0" xr:uid="{AADC94BA-0559-403F-8CB6-3F19AF44F5F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１棟いくらという表記のため平均単価を記載</t>
      </text>
    </comment>
    <comment ref="IW119" authorId="85" shapeId="0" xr:uid="{01C0E48B-6350-4381-A0DF-7032C5E386A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１棟いくらという表記のため平均単価を記載</t>
      </text>
    </comment>
    <comment ref="JA119" authorId="86" shapeId="0" xr:uid="{538C62C2-4520-4D7D-8365-7D42E4386A4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財政見通しで積算漏れの可能性大
50,730,935</t>
      </text>
    </comment>
    <comment ref="EX120" authorId="87" shapeId="0" xr:uid="{3F09955C-E2B6-44E2-9347-959FB145DA0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岡崎市中央総合公園への所要時間</t>
      </text>
    </comment>
    <comment ref="FA120" authorId="88" shapeId="0" xr:uid="{D63F9984-5467-4B1C-8212-62DDDCA5538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豊橋市民球場への所要時間</t>
      </text>
    </comment>
    <comment ref="EX121" authorId="89" shapeId="0" xr:uid="{94E4FF6C-E02B-4F6F-83B6-C4ED56C1E71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岡崎市中央総合公園への所要時間</t>
      </text>
    </comment>
    <comment ref="FA121" authorId="90" shapeId="0" xr:uid="{593BC9B8-0E54-4845-AC78-51D2798A2A8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豊橋市民球場への所要時間</t>
      </text>
    </comment>
    <comment ref="IR121" authorId="91" shapeId="0" xr:uid="{9E74E027-84D0-4ECE-BF4B-7837A9C27DF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IX121" authorId="92" shapeId="0" xr:uid="{1A7F0497-8CD0-4516-8CEF-5628A27B84C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IZ121" authorId="93" shapeId="0" xr:uid="{44CCCFB9-CCEB-4D67-80BF-7C71670B7EC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JA121" authorId="94" shapeId="0" xr:uid="{19A30AF4-AB8D-4D3C-8DA9-097BBD90E6B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AA125" authorId="95" shapeId="0" xr:uid="{D83BF23A-FF26-4420-B9EE-B613EDFC267F}">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出発地点：新城市桜淵公園 </t>
      </text>
    </comment>
    <comment ref="BT125" authorId="96" shapeId="0" xr:uid="{8ACB1C08-6682-4AE9-8847-4E60DA63273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ファンクションは9/13～？</t>
      </text>
    </comment>
    <comment ref="DQ125" authorId="97" shapeId="0" xr:uid="{EBF84EC4-66E0-4F54-90DA-F220032D930C}">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出発地点：新城市桜淵公園 </t>
      </text>
    </comment>
    <comment ref="EO125" authorId="98" shapeId="0" xr:uid="{6E57E20C-1218-4822-86BB-E14B5FBD8F70}">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出発地点：新城市桜淵公園 </t>
      </text>
    </comment>
    <comment ref="AK127" authorId="99" shapeId="0" xr:uid="{0B41042D-F4E7-4F24-A555-EB7944F8D1C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聞き取りベース</t>
      </text>
    </comment>
    <comment ref="AM127" authorId="100" shapeId="0" xr:uid="{88153823-7FB7-47D6-B451-6B704CF1F51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聞き取りベース</t>
      </text>
    </comment>
    <comment ref="IR127" authorId="101" shapeId="0" xr:uid="{2DD3FA9B-08AF-494C-9BB8-BAF57555B55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IX127" authorId="102" shapeId="0" xr:uid="{70AAF8BB-BF64-4B5C-9B0E-2C868884276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IZ127" authorId="103" shapeId="0" xr:uid="{1BB63612-D30E-4E75-BE20-5D4DE6AEE86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JA127" authorId="104" shapeId="0" xr:uid="{01DA27AF-152E-46D9-B150-4EE106BE086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FO131" authorId="105" shapeId="0" xr:uid="{7CED8A66-D191-45A3-86EA-7E5E269FABF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調整中</t>
      </text>
    </comment>
    <comment ref="FO135" authorId="106" shapeId="0" xr:uid="{EFBF16C6-1D8A-4C03-8D65-F25F36D0086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調整中</t>
      </text>
    </comment>
    <comment ref="IR143" authorId="107" shapeId="0" xr:uid="{84B7C416-7594-47DC-8252-C351A7FBA9A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IX143" authorId="108" shapeId="0" xr:uid="{9AE511F9-705B-47CF-BD24-8893594DED1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IZ143" authorId="109" shapeId="0" xr:uid="{291FE1F9-1284-4424-A5B7-159078B74E8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JA143" authorId="110" shapeId="0" xr:uid="{454E0FBA-8CE5-49F1-88DC-87F26BC9C5B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GA151" authorId="111" shapeId="0" xr:uid="{FB1843C2-000B-42B8-961D-052755DCC3F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見積来てない</t>
      </text>
    </comment>
    <comment ref="IR151" authorId="112" shapeId="0" xr:uid="{ADC227CC-617B-41E1-9CEE-BC62E439469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IX151" authorId="113" shapeId="0" xr:uid="{71C53BF0-AEC0-4EC7-978F-569526FB0C6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IZ151" authorId="114" shapeId="0" xr:uid="{9B71FE6F-D0BC-49DB-822F-F74C224BE0C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JA151" authorId="115" shapeId="0" xr:uid="{1022D811-5BC7-4FA8-8A39-D5B52454EE8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1031財政見通しではシミュレーションに入っておらず積算なし</t>
      </text>
    </comment>
    <comment ref="BB188" authorId="116" shapeId="0" xr:uid="{724C449F-45C3-4DAF-9021-4D41E4F2796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附属契約の見積もりがあるところは既に通常朝食を差し引いて算出しているので、除く</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<sst xmlns="http://schemas.openxmlformats.org/spreadsheetml/2006/main" count="3275" uniqueCount="666">
  <si>
    <t>契約現状０のため法的には確保０です。この数字に法的拘束力はありません</t>
    <phoneticPr fontId="4"/>
  </si>
  <si>
    <t>ホテル独自見積</t>
    <rPh sb="3" eb="5">
      <t>ドクジ</t>
    </rPh>
    <rPh sb="5" eb="7">
      <t>ミツ</t>
    </rPh>
    <phoneticPr fontId="4"/>
  </si>
  <si>
    <t>契約現状０のため</t>
    <rPh sb="0" eb="2">
      <t>ケイヤク</t>
    </rPh>
    <rPh sb="2" eb="4">
      <t>ゲンジョウ</t>
    </rPh>
    <phoneticPr fontId="4"/>
  </si>
  <si>
    <t>1/20シミュ（射撃が豊田Ver.）</t>
    <phoneticPr fontId="4"/>
  </si>
  <si>
    <t>現状の平均額</t>
    <rPh sb="0" eb="2">
      <t>ゲンジョウ</t>
    </rPh>
    <rPh sb="3" eb="6">
      <t>ヘイキンガク</t>
    </rPh>
    <phoneticPr fontId="4"/>
  </si>
  <si>
    <t>最新版</t>
    <rPh sb="0" eb="3">
      <t>サイシンバン</t>
    </rPh>
    <phoneticPr fontId="4"/>
  </si>
  <si>
    <t>予算要求時の平均額</t>
    <rPh sb="0" eb="5">
      <t>ヨサンヨウキュウジ</t>
    </rPh>
    <rPh sb="6" eb="9">
      <t>ヘイキンガク</t>
    </rPh>
    <phoneticPr fontId="4"/>
  </si>
  <si>
    <t>ｽｲｰﾄは除いてます</t>
    <rPh sb="5" eb="6">
      <t>ノゾ</t>
    </rPh>
    <phoneticPr fontId="4"/>
  </si>
  <si>
    <t>2026/2/5時点資料</t>
    <rPh sb="8" eb="10">
      <t>ジテン</t>
    </rPh>
    <rPh sb="10" eb="12">
      <t>シリョウ</t>
    </rPh>
    <phoneticPr fontId="4"/>
  </si>
  <si>
    <t>2/5時点資料</t>
    <rPh sb="3" eb="5">
      <t>ジテン</t>
    </rPh>
    <rPh sb="5" eb="7">
      <t>シリョウ</t>
    </rPh>
    <phoneticPr fontId="4"/>
  </si>
  <si>
    <t>→これより右は数式なし</t>
    <rPh sb="5" eb="6">
      <t>ミギ</t>
    </rPh>
    <rPh sb="7" eb="9">
      <t>スウシキ</t>
    </rPh>
    <phoneticPr fontId="4"/>
  </si>
  <si>
    <t>予算要求時点資料</t>
    <rPh sb="0" eb="4">
      <t>ヨサンヨウキュウ</t>
    </rPh>
    <rPh sb="4" eb="6">
      <t>ジテン</t>
    </rPh>
    <rPh sb="6" eb="8">
      <t>シリョウ</t>
    </rPh>
    <phoneticPr fontId="4"/>
  </si>
  <si>
    <t>7/25時点資料</t>
    <rPh sb="4" eb="6">
      <t>ジテン</t>
    </rPh>
    <rPh sb="6" eb="8">
      <t>シリョウ</t>
    </rPh>
    <phoneticPr fontId="4"/>
  </si>
  <si>
    <t>この数字に法的拘束力はありません</t>
    <rPh sb="2" eb="4">
      <t>スウジ</t>
    </rPh>
    <rPh sb="5" eb="10">
      <t>ホウテキコウソクリョク</t>
    </rPh>
    <phoneticPr fontId="4"/>
  </si>
  <si>
    <t>金額はホテルから見積もり取得済みのもの以外は上がる可能性があります</t>
    <rPh sb="0" eb="2">
      <t>キンガク</t>
    </rPh>
    <rPh sb="8" eb="10">
      <t>ミツ</t>
    </rPh>
    <rPh sb="12" eb="14">
      <t>シュトク</t>
    </rPh>
    <rPh sb="14" eb="15">
      <t>ズ</t>
    </rPh>
    <rPh sb="19" eb="21">
      <t>イガイ</t>
    </rPh>
    <rPh sb="22" eb="23">
      <t>ア</t>
    </rPh>
    <rPh sb="25" eb="28">
      <t>カノウセイ</t>
    </rPh>
    <phoneticPr fontId="4"/>
  </si>
  <si>
    <t>１日あたり総額×差引日数</t>
    <rPh sb="1" eb="2">
      <t>ニチ</t>
    </rPh>
    <rPh sb="5" eb="7">
      <t>ソウガク</t>
    </rPh>
    <rPh sb="8" eb="9">
      <t>サ</t>
    </rPh>
    <rPh sb="9" eb="10">
      <t>ヒ</t>
    </rPh>
    <rPh sb="10" eb="12">
      <t>ニッスウ</t>
    </rPh>
    <phoneticPr fontId="4"/>
  </si>
  <si>
    <t>仮で入れてあります</t>
    <rPh sb="0" eb="1">
      <t>カリ</t>
    </rPh>
    <rPh sb="2" eb="3">
      <t>イ</t>
    </rPh>
    <phoneticPr fontId="4"/>
  </si>
  <si>
    <t>※除くスイートルーム</t>
    <rPh sb="1" eb="2">
      <t>ノゾ</t>
    </rPh>
    <phoneticPr fontId="4"/>
  </si>
  <si>
    <t>仮入力</t>
    <rPh sb="0" eb="1">
      <t>カリ</t>
    </rPh>
    <rPh sb="1" eb="3">
      <t>ニュウリョク</t>
    </rPh>
    <phoneticPr fontId="4"/>
  </si>
  <si>
    <t>隠し計算用</t>
    <rPh sb="0" eb="1">
      <t>カク</t>
    </rPh>
    <rPh sb="2" eb="5">
      <t>ケイサンヨウ</t>
    </rPh>
    <phoneticPr fontId="4"/>
  </si>
  <si>
    <t>アジア競技大会における選手団宿泊施設想定</t>
    <rPh sb="3" eb="5">
      <t>キョウギ</t>
    </rPh>
    <rPh sb="5" eb="7">
      <t>タイカイ</t>
    </rPh>
    <rPh sb="11" eb="14">
      <t>センシュダン</t>
    </rPh>
    <rPh sb="14" eb="20">
      <t>シュクハクシセツソウテイ</t>
    </rPh>
    <phoneticPr fontId="17"/>
  </si>
  <si>
    <t>　</t>
    <phoneticPr fontId="4"/>
  </si>
  <si>
    <t>単位：円</t>
    <rPh sb="0" eb="2">
      <t>タンイ</t>
    </rPh>
    <rPh sb="3" eb="4">
      <t>エン</t>
    </rPh>
    <phoneticPr fontId="4"/>
  </si>
  <si>
    <t>計算用</t>
    <rPh sb="0" eb="3">
      <t>ケイサンヨウ</t>
    </rPh>
    <phoneticPr fontId="4"/>
  </si>
  <si>
    <t>※黄色：仮置き。見積もりが来ているホテルの見積単価の平均値を他のホテルに反映</t>
    <rPh sb="1" eb="3">
      <t>キイロ</t>
    </rPh>
    <rPh sb="4" eb="6">
      <t>カリオ</t>
    </rPh>
    <rPh sb="8" eb="10">
      <t>ミツ</t>
    </rPh>
    <rPh sb="13" eb="14">
      <t>キ</t>
    </rPh>
    <rPh sb="21" eb="23">
      <t>ミツモリ</t>
    </rPh>
    <rPh sb="23" eb="25">
      <t>タンカ</t>
    </rPh>
    <rPh sb="26" eb="29">
      <t>ヘイキンチ</t>
    </rPh>
    <rPh sb="30" eb="31">
      <t>ホカ</t>
    </rPh>
    <rPh sb="36" eb="38">
      <t>ハンエイ</t>
    </rPh>
    <phoneticPr fontId="4"/>
  </si>
  <si>
    <t>6割</t>
    <rPh sb="1" eb="2">
      <t>ワリ</t>
    </rPh>
    <phoneticPr fontId="4"/>
  </si>
  <si>
    <t>参考</t>
    <rPh sb="0" eb="2">
      <t>サンコウ</t>
    </rPh>
    <phoneticPr fontId="4"/>
  </si>
  <si>
    <t>６割</t>
    <rPh sb="1" eb="2">
      <t>ワリ</t>
    </rPh>
    <phoneticPr fontId="4"/>
  </si>
  <si>
    <t>これいる？</t>
    <phoneticPr fontId="4"/>
  </si>
  <si>
    <t>４割</t>
    <rPh sb="1" eb="2">
      <t>ワリ</t>
    </rPh>
    <phoneticPr fontId="4"/>
  </si>
  <si>
    <t>3割</t>
    <rPh sb="1" eb="2">
      <t>ワリ</t>
    </rPh>
    <phoneticPr fontId="4"/>
  </si>
  <si>
    <t>取り扱い注意</t>
    <rPh sb="0" eb="1">
      <t>ト</t>
    </rPh>
    <phoneticPr fontId="4"/>
  </si>
  <si>
    <t>けんしょー</t>
    <phoneticPr fontId="4"/>
  </si>
  <si>
    <t>1031財政見通し積算（12,600人の時点の配宿シミュレーション）</t>
    <rPh sb="4" eb="6">
      <t>ザイセイ</t>
    </rPh>
    <rPh sb="6" eb="8">
      <t>ミトオ</t>
    </rPh>
    <rPh sb="9" eb="11">
      <t>セキサン</t>
    </rPh>
    <rPh sb="18" eb="19">
      <t>ニン</t>
    </rPh>
    <rPh sb="20" eb="22">
      <t>ジテン</t>
    </rPh>
    <rPh sb="23" eb="25">
      <t>ハイシュク</t>
    </rPh>
    <phoneticPr fontId="4"/>
  </si>
  <si>
    <t>非表示</t>
    <rPh sb="0" eb="3">
      <t>ヒヒョウジ</t>
    </rPh>
    <phoneticPr fontId="4"/>
  </si>
  <si>
    <t>編集中</t>
    <rPh sb="0" eb="3">
      <t>ヘンシュウチュウ</t>
    </rPh>
    <phoneticPr fontId="4"/>
  </si>
  <si>
    <r>
      <rPr>
        <b/>
        <sz val="16"/>
        <color theme="1"/>
        <rFont val="Meiryo UI"/>
        <family val="3"/>
        <charset val="128"/>
      </rPr>
      <t>非表示</t>
    </r>
    <r>
      <rPr>
        <sz val="16"/>
        <color theme="1"/>
        <rFont val="Meiryo UI"/>
        <family val="3"/>
        <charset val="128"/>
      </rPr>
      <t>※全棟貸切：企業契約や長期滞在者を除く貸切をイメージ</t>
    </r>
    <rPh sb="0" eb="3">
      <t>ヒヒョウジ</t>
    </rPh>
    <rPh sb="4" eb="8">
      <t>ゼントウカシキリ</t>
    </rPh>
    <rPh sb="9" eb="11">
      <t>キギョウ</t>
    </rPh>
    <rPh sb="11" eb="13">
      <t>ケイヤク</t>
    </rPh>
    <rPh sb="14" eb="16">
      <t>チョウキ</t>
    </rPh>
    <rPh sb="16" eb="18">
      <t>タイザイ</t>
    </rPh>
    <rPh sb="18" eb="19">
      <t>シャ</t>
    </rPh>
    <rPh sb="20" eb="21">
      <t>ノゾ</t>
    </rPh>
    <rPh sb="22" eb="24">
      <t>カシキリ</t>
    </rPh>
    <phoneticPr fontId="4"/>
  </si>
  <si>
    <t>開会式</t>
    <rPh sb="0" eb="3">
      <t>カイカイシキ</t>
    </rPh>
    <phoneticPr fontId="17"/>
  </si>
  <si>
    <t>閉会式</t>
    <rPh sb="0" eb="3">
      <t>ヘイカイシキ</t>
    </rPh>
    <phoneticPr fontId="17"/>
  </si>
  <si>
    <t>総長レク時非表示？</t>
    <rPh sb="0" eb="2">
      <t>ソウチョウ</t>
    </rPh>
    <rPh sb="4" eb="5">
      <t>ジ</t>
    </rPh>
    <rPh sb="5" eb="8">
      <t>ヒヒョウジ</t>
    </rPh>
    <phoneticPr fontId="4"/>
  </si>
  <si>
    <t>所在地</t>
    <rPh sb="0" eb="3">
      <t>ショザイチ</t>
    </rPh>
    <phoneticPr fontId="17"/>
  </si>
  <si>
    <t>通し
番号</t>
    <rPh sb="0" eb="1">
      <t>トオ</t>
    </rPh>
    <rPh sb="3" eb="5">
      <t>バンゴウ</t>
    </rPh>
    <phoneticPr fontId="4"/>
  </si>
  <si>
    <t>施設
番号</t>
    <rPh sb="0" eb="2">
      <t>シセツ</t>
    </rPh>
    <rPh sb="3" eb="5">
      <t>バンゴウ</t>
    </rPh>
    <phoneticPr fontId="4"/>
  </si>
  <si>
    <t>宿泊施設基本情報</t>
    <rPh sb="0" eb="4">
      <t>シュクハクシセツ</t>
    </rPh>
    <rPh sb="4" eb="8">
      <t>キホンジョウホウ</t>
    </rPh>
    <phoneticPr fontId="4"/>
  </si>
  <si>
    <t>保有客室</t>
    <phoneticPr fontId="17"/>
  </si>
  <si>
    <t>提供可能客室数</t>
    <rPh sb="0" eb="2">
      <t>テイキョウ</t>
    </rPh>
    <rPh sb="2" eb="4">
      <t>カノウ</t>
    </rPh>
    <rPh sb="4" eb="7">
      <t>キャクシツスウ</t>
    </rPh>
    <phoneticPr fontId="17"/>
  </si>
  <si>
    <t>おためし 整合性管理</t>
    <rPh sb="5" eb="8">
      <t>セイゴウセイ</t>
    </rPh>
    <rPh sb="8" eb="10">
      <t>カンリ</t>
    </rPh>
    <phoneticPr fontId="4"/>
  </si>
  <si>
    <t>最大
瞬間風速</t>
    <rPh sb="0" eb="2">
      <t>サイダイ</t>
    </rPh>
    <rPh sb="3" eb="5">
      <t>シュンカン</t>
    </rPh>
    <rPh sb="5" eb="7">
      <t>フウソク</t>
    </rPh>
    <phoneticPr fontId="4"/>
  </si>
  <si>
    <t>ﾌｧﾝｸｼｮﾝ
保有数</t>
    <rPh sb="8" eb="11">
      <t>ホユウスウ</t>
    </rPh>
    <phoneticPr fontId="17"/>
  </si>
  <si>
    <t>食事提供
難易度</t>
    <rPh sb="0" eb="4">
      <t>ショクジテイキョウ</t>
    </rPh>
    <rPh sb="5" eb="8">
      <t>ナンイド</t>
    </rPh>
    <phoneticPr fontId="17"/>
  </si>
  <si>
    <t>食事提供
主体想定</t>
    <rPh sb="0" eb="4">
      <t>ショクジテイキョウ</t>
    </rPh>
    <rPh sb="5" eb="9">
      <t>シュタイソウテイ</t>
    </rPh>
    <phoneticPr fontId="17"/>
  </si>
  <si>
    <t>朝食会場
座席数</t>
    <phoneticPr fontId="17"/>
  </si>
  <si>
    <t>その他宿泊施設機能</t>
    <rPh sb="2" eb="3">
      <t>タ</t>
    </rPh>
    <rPh sb="3" eb="7">
      <t>シュクハクシセツ</t>
    </rPh>
    <rPh sb="7" eb="9">
      <t>キノウ</t>
    </rPh>
    <phoneticPr fontId="17"/>
  </si>
  <si>
    <t>乗降場</t>
    <rPh sb="0" eb="3">
      <t>ジョウコウジョウ</t>
    </rPh>
    <phoneticPr fontId="17"/>
  </si>
  <si>
    <t>利用想定</t>
    <rPh sb="0" eb="4">
      <t>リヨウソウテイ</t>
    </rPh>
    <phoneticPr fontId="4"/>
  </si>
  <si>
    <t>貸切
想定（※）</t>
    <rPh sb="0" eb="2">
      <t>カシキリ</t>
    </rPh>
    <rPh sb="3" eb="5">
      <t>ソウテイ</t>
    </rPh>
    <phoneticPr fontId="17"/>
  </si>
  <si>
    <t>別紙</t>
    <rPh sb="0" eb="2">
      <t>ベッシ</t>
    </rPh>
    <phoneticPr fontId="4"/>
  </si>
  <si>
    <t>15,000人</t>
    <phoneticPr fontId="4"/>
  </si>
  <si>
    <t>変動有無</t>
    <rPh sb="0" eb="4">
      <t>ヘンドウウム</t>
    </rPh>
    <phoneticPr fontId="4"/>
  </si>
  <si>
    <t>見積もり取得状況</t>
    <phoneticPr fontId="4"/>
  </si>
  <si>
    <t>一日あたり
客室総額
（税込）</t>
    <rPh sb="0" eb="2">
      <t>イチニチ</t>
    </rPh>
    <rPh sb="6" eb="8">
      <t>キャクシツ</t>
    </rPh>
    <rPh sb="8" eb="10">
      <t>ソウガク</t>
    </rPh>
    <rPh sb="12" eb="14">
      <t>ゼイコ</t>
    </rPh>
    <phoneticPr fontId="4"/>
  </si>
  <si>
    <t>朝食単価
（素泊まり契約の場合は０）</t>
    <rPh sb="0" eb="2">
      <t>チョウショク</t>
    </rPh>
    <rPh sb="2" eb="4">
      <t>タンカ</t>
    </rPh>
    <rPh sb="6" eb="8">
      <t>スド</t>
    </rPh>
    <rPh sb="10" eb="12">
      <t>ケイヤク</t>
    </rPh>
    <rPh sb="13" eb="15">
      <t>バアイ</t>
    </rPh>
    <phoneticPr fontId="4"/>
  </si>
  <si>
    <t>附属契約</t>
    <rPh sb="0" eb="4">
      <t>フゾクケイヤク</t>
    </rPh>
    <phoneticPr fontId="4"/>
  </si>
  <si>
    <t>附属</t>
    <rPh sb="0" eb="2">
      <t>フゾク</t>
    </rPh>
    <phoneticPr fontId="4"/>
  </si>
  <si>
    <t>利用想定
客室数</t>
    <rPh sb="0" eb="4">
      <t>リヨウソウテイ</t>
    </rPh>
    <rPh sb="5" eb="7">
      <t>キャクシツ</t>
    </rPh>
    <rPh sb="7" eb="8">
      <t>スウ</t>
    </rPh>
    <phoneticPr fontId="4"/>
  </si>
  <si>
    <t>収容可能人数</t>
    <rPh sb="0" eb="2">
      <t>シュウヨウ</t>
    </rPh>
    <rPh sb="2" eb="4">
      <t>カノウ</t>
    </rPh>
    <rPh sb="4" eb="6">
      <t>ニンズウ</t>
    </rPh>
    <phoneticPr fontId="4"/>
  </si>
  <si>
    <t>平均宿泊人数</t>
    <rPh sb="0" eb="2">
      <t>ヘイキン</t>
    </rPh>
    <rPh sb="2" eb="4">
      <t>シュクハク</t>
    </rPh>
    <rPh sb="4" eb="6">
      <t>ニンズウ</t>
    </rPh>
    <phoneticPr fontId="4"/>
  </si>
  <si>
    <t>一人あたり
平均単価
（税込）</t>
    <rPh sb="0" eb="2">
      <t>ヒトリ</t>
    </rPh>
    <rPh sb="6" eb="10">
      <t>ヘイキンタンカ</t>
    </rPh>
    <rPh sb="12" eb="14">
      <t>ゼイコミ</t>
    </rPh>
    <phoneticPr fontId="4"/>
  </si>
  <si>
    <t>1室あたり単価
（税込）</t>
    <rPh sb="1" eb="2">
      <t>シツ</t>
    </rPh>
    <rPh sb="5" eb="7">
      <t>タンカ</t>
    </rPh>
    <rPh sb="9" eb="11">
      <t>ゼイコミ</t>
    </rPh>
    <phoneticPr fontId="4"/>
  </si>
  <si>
    <t>1ベッドあたり単価
（税込）</t>
    <rPh sb="7" eb="9">
      <t>タンカ</t>
    </rPh>
    <rPh sb="11" eb="13">
      <t>ゼイコミ</t>
    </rPh>
    <phoneticPr fontId="4"/>
  </si>
  <si>
    <t>客室単価幅
最低
（税抜）</t>
    <rPh sb="0" eb="2">
      <t>キャクシツ</t>
    </rPh>
    <rPh sb="2" eb="4">
      <t>タンカ</t>
    </rPh>
    <rPh sb="4" eb="5">
      <t>ハバ</t>
    </rPh>
    <rPh sb="6" eb="8">
      <t>サイテイ</t>
    </rPh>
    <rPh sb="10" eb="12">
      <t>ゼイヌ</t>
    </rPh>
    <phoneticPr fontId="4"/>
  </si>
  <si>
    <t>客室単価幅
最高
（税抜）</t>
    <rPh sb="0" eb="2">
      <t>キャクシツ</t>
    </rPh>
    <rPh sb="2" eb="4">
      <t>タンカ</t>
    </rPh>
    <rPh sb="4" eb="5">
      <t>ハバ</t>
    </rPh>
    <rPh sb="6" eb="8">
      <t>サイコウ</t>
    </rPh>
    <rPh sb="10" eb="12">
      <t>ゼイヌ</t>
    </rPh>
    <phoneticPr fontId="4"/>
  </si>
  <si>
    <t>一日あたりﾌｧﾝｸｼｮﾝ総額
（税込）</t>
    <rPh sb="0" eb="2">
      <t>イチニチ</t>
    </rPh>
    <rPh sb="12" eb="14">
      <t>ソウガク</t>
    </rPh>
    <rPh sb="17" eb="18">
      <t>コミ</t>
    </rPh>
    <phoneticPr fontId="4"/>
  </si>
  <si>
    <t>ﾌｧﾝｸｼｮﾝ
利用想定数</t>
    <rPh sb="8" eb="10">
      <t>リヨウ</t>
    </rPh>
    <rPh sb="10" eb="12">
      <t>ソウテイ</t>
    </rPh>
    <rPh sb="12" eb="13">
      <t>スウ</t>
    </rPh>
    <phoneticPr fontId="4"/>
  </si>
  <si>
    <t>客室総計
（税込）</t>
    <rPh sb="0" eb="2">
      <t>キャクシツ</t>
    </rPh>
    <rPh sb="2" eb="4">
      <t>ソウケイ</t>
    </rPh>
    <rPh sb="7" eb="8">
      <t>コミ</t>
    </rPh>
    <phoneticPr fontId="4"/>
  </si>
  <si>
    <t>ﾌｧﾝｸｼｮﾝ
総計
（税込）</t>
    <rPh sb="8" eb="10">
      <t>ソウケイ</t>
    </rPh>
    <rPh sb="13" eb="14">
      <t>コミ</t>
    </rPh>
    <phoneticPr fontId="4"/>
  </si>
  <si>
    <t>基本契約に含まれる朝食代</t>
    <rPh sb="0" eb="4">
      <t>キホンケイヤク</t>
    </rPh>
    <rPh sb="5" eb="6">
      <t>フク</t>
    </rPh>
    <rPh sb="9" eb="11">
      <t>チョウショク</t>
    </rPh>
    <rPh sb="11" eb="12">
      <t>ダイ</t>
    </rPh>
    <phoneticPr fontId="4"/>
  </si>
  <si>
    <t>入湯税or宿泊税</t>
    <rPh sb="0" eb="3">
      <t>ニュウトウゼイ</t>
    </rPh>
    <rPh sb="5" eb="8">
      <t>シュクハクゼイ</t>
    </rPh>
    <phoneticPr fontId="4"/>
  </si>
  <si>
    <t>その他</t>
    <rPh sb="2" eb="3">
      <t>タ</t>
    </rPh>
    <phoneticPr fontId="4"/>
  </si>
  <si>
    <t>想定</t>
    <rPh sb="0" eb="2">
      <t>ソウテイ</t>
    </rPh>
    <phoneticPr fontId="4"/>
  </si>
  <si>
    <t>テナントの数（ショップ含む）</t>
    <rPh sb="5" eb="6">
      <t>カズ</t>
    </rPh>
    <rPh sb="11" eb="12">
      <t>フク</t>
    </rPh>
    <phoneticPr fontId="4"/>
  </si>
  <si>
    <t>キャンセルポリシーにより</t>
    <phoneticPr fontId="4"/>
  </si>
  <si>
    <t>7月末財政見通しとの</t>
    <rPh sb="1" eb="2">
      <t>ガツ</t>
    </rPh>
    <rPh sb="2" eb="3">
      <t>マツ</t>
    </rPh>
    <rPh sb="3" eb="7">
      <t>ザイセイミトオ</t>
    </rPh>
    <phoneticPr fontId="4"/>
  </si>
  <si>
    <t>チェックイン</t>
    <phoneticPr fontId="4"/>
  </si>
  <si>
    <t>チェックアウト</t>
    <phoneticPr fontId="4"/>
  </si>
  <si>
    <t>開始日</t>
    <rPh sb="0" eb="3">
      <t>カイシビ</t>
    </rPh>
    <phoneticPr fontId="4"/>
  </si>
  <si>
    <t>終了日</t>
    <rPh sb="0" eb="3">
      <t>シュウリョウビ</t>
    </rPh>
    <phoneticPr fontId="4"/>
  </si>
  <si>
    <t>確保
泊数</t>
    <rPh sb="0" eb="2">
      <t>カクホ</t>
    </rPh>
    <rPh sb="3" eb="5">
      <t>ハクスウ</t>
    </rPh>
    <phoneticPr fontId="4"/>
  </si>
  <si>
    <t>競技会場</t>
    <rPh sb="0" eb="4">
      <t>キョウギカイジョウ</t>
    </rPh>
    <phoneticPr fontId="4"/>
  </si>
  <si>
    <t>練習会場①</t>
    <rPh sb="0" eb="4">
      <t>レンシュウカイジョウ</t>
    </rPh>
    <phoneticPr fontId="4"/>
  </si>
  <si>
    <t>練習会場②</t>
    <rPh sb="0" eb="4">
      <t>レンシュウカイジョウ</t>
    </rPh>
    <phoneticPr fontId="4"/>
  </si>
  <si>
    <t>練習会場③</t>
    <rPh sb="0" eb="4">
      <t>レンシュウカイジョウ</t>
    </rPh>
    <phoneticPr fontId="4"/>
  </si>
  <si>
    <t>練習会場④</t>
    <rPh sb="0" eb="4">
      <t>レンシュウカイジョウ</t>
    </rPh>
    <phoneticPr fontId="4"/>
  </si>
  <si>
    <t>最大瞬間
風速時
予備ベッド数</t>
    <rPh sb="0" eb="2">
      <t>サイダイ</t>
    </rPh>
    <rPh sb="2" eb="4">
      <t>シュンカン</t>
    </rPh>
    <rPh sb="5" eb="7">
      <t>フウソク</t>
    </rPh>
    <rPh sb="7" eb="8">
      <t>ジ</t>
    </rPh>
    <rPh sb="9" eb="11">
      <t>ヨビ</t>
    </rPh>
    <rPh sb="14" eb="15">
      <t>スウ</t>
    </rPh>
    <phoneticPr fontId="4"/>
  </si>
  <si>
    <t>予備率</t>
    <rPh sb="0" eb="3">
      <t>ヨビリツ</t>
    </rPh>
    <phoneticPr fontId="4"/>
  </si>
  <si>
    <t>区分</t>
    <rPh sb="0" eb="2">
      <t>クブン</t>
    </rPh>
    <phoneticPr fontId="4"/>
  </si>
  <si>
    <t>契約交渉状況</t>
    <rPh sb="0" eb="4">
      <t>ケイヤクコウショウ</t>
    </rPh>
    <rPh sb="4" eb="6">
      <t>ジョウキョウ</t>
    </rPh>
    <phoneticPr fontId="4"/>
  </si>
  <si>
    <t>見積もり取得状況</t>
    <rPh sb="0" eb="2">
      <t>ミツ</t>
    </rPh>
    <rPh sb="4" eb="6">
      <t>シュトク</t>
    </rPh>
    <rPh sb="6" eb="8">
      <t>ジョウキョウ</t>
    </rPh>
    <phoneticPr fontId="4"/>
  </si>
  <si>
    <t>4100との差額</t>
    <rPh sb="6" eb="8">
      <t>サガク</t>
    </rPh>
    <phoneticPr fontId="4"/>
  </si>
  <si>
    <t>アスリートミール差額の朝食加算</t>
    <rPh sb="8" eb="10">
      <t>サガク</t>
    </rPh>
    <phoneticPr fontId="4"/>
  </si>
  <si>
    <t>案1～3の記載
案1…あらゆるSH想定
案2・・・除外SH想定
案3・・・今あるもので決め打ち</t>
    <rPh sb="0" eb="1">
      <t>アン</t>
    </rPh>
    <rPh sb="5" eb="7">
      <t>キサイ</t>
    </rPh>
    <rPh sb="8" eb="9">
      <t>アン</t>
    </rPh>
    <rPh sb="17" eb="19">
      <t>ソウテイ</t>
    </rPh>
    <rPh sb="20" eb="21">
      <t>アン</t>
    </rPh>
    <rPh sb="25" eb="27">
      <t>ジョガイ</t>
    </rPh>
    <rPh sb="29" eb="31">
      <t>ソウテイ</t>
    </rPh>
    <rPh sb="32" eb="33">
      <t>アン</t>
    </rPh>
    <rPh sb="37" eb="38">
      <t>イマ</t>
    </rPh>
    <rPh sb="43" eb="44">
      <t>キ</t>
    </rPh>
    <rPh sb="45" eb="46">
      <t>ウ</t>
    </rPh>
    <phoneticPr fontId="4"/>
  </si>
  <si>
    <t>備考
※除外SH・競技（＝確実に配宿されないことから確保期間に反映させなくてよいSH)などを記載</t>
    <rPh sb="0" eb="2">
      <t>ビコウ</t>
    </rPh>
    <rPh sb="4" eb="6">
      <t>ジョガイ</t>
    </rPh>
    <rPh sb="9" eb="11">
      <t>キョウギ</t>
    </rPh>
    <rPh sb="13" eb="15">
      <t>カクジツ</t>
    </rPh>
    <rPh sb="16" eb="18">
      <t>ハイシュク</t>
    </rPh>
    <rPh sb="26" eb="28">
      <t>カクホ</t>
    </rPh>
    <rPh sb="28" eb="30">
      <t>キカン</t>
    </rPh>
    <rPh sb="31" eb="33">
      <t>ハンエイ</t>
    </rPh>
    <rPh sb="46" eb="48">
      <t>キサイ</t>
    </rPh>
    <phoneticPr fontId="17"/>
  </si>
  <si>
    <t>一人当たり
平均単価
（税込）</t>
    <rPh sb="0" eb="3">
      <t>ヒトリア</t>
    </rPh>
    <rPh sb="6" eb="10">
      <t>ヘイキンタンカ</t>
    </rPh>
    <rPh sb="12" eb="14">
      <t>ゼイコミ</t>
    </rPh>
    <phoneticPr fontId="4"/>
  </si>
  <si>
    <t>食費</t>
    <rPh sb="0" eb="2">
      <t>ショクヒ</t>
    </rPh>
    <phoneticPr fontId="4"/>
  </si>
  <si>
    <t>新財政見通し（作成中）積算</t>
    <rPh sb="0" eb="1">
      <t>シン</t>
    </rPh>
    <rPh sb="1" eb="3">
      <t>ザイセイ</t>
    </rPh>
    <rPh sb="3" eb="5">
      <t>ミトオ</t>
    </rPh>
    <rPh sb="7" eb="10">
      <t>サクセイチュウ</t>
    </rPh>
    <rPh sb="11" eb="13">
      <t>セキサン</t>
    </rPh>
    <phoneticPr fontId="4"/>
  </si>
  <si>
    <t>エリア</t>
    <phoneticPr fontId="4"/>
  </si>
  <si>
    <t>市町村郡</t>
    <phoneticPr fontId="4"/>
  </si>
  <si>
    <t>施設名</t>
  </si>
  <si>
    <t>総客室数</t>
    <rPh sb="0" eb="4">
      <t>ソウキャクシツスウ</t>
    </rPh>
    <phoneticPr fontId="17"/>
  </si>
  <si>
    <t>収容可能人数</t>
    <rPh sb="0" eb="6">
      <t>シュウヨウカノウニンズウ</t>
    </rPh>
    <phoneticPr fontId="17"/>
  </si>
  <si>
    <t>客室数</t>
    <rPh sb="0" eb="3">
      <t>キャクシツスウ</t>
    </rPh>
    <phoneticPr fontId="17"/>
  </si>
  <si>
    <t>ジム</t>
  </si>
  <si>
    <t>サウナ</t>
  </si>
  <si>
    <t>コイン
ランドリー</t>
  </si>
  <si>
    <t>乗降場詳細</t>
    <rPh sb="0" eb="5">
      <t>ジョウコウジョウショウサイ</t>
    </rPh>
    <phoneticPr fontId="17"/>
  </si>
  <si>
    <t>配宿競技</t>
    <rPh sb="0" eb="4">
      <t>ハイシュクキョウギ</t>
    </rPh>
    <phoneticPr fontId="4"/>
  </si>
  <si>
    <t>会場</t>
    <rPh sb="0" eb="2">
      <t>カイジョウ</t>
    </rPh>
    <phoneticPr fontId="4"/>
  </si>
  <si>
    <t>人数</t>
    <rPh sb="0" eb="2">
      <t>ニンズウ</t>
    </rPh>
    <phoneticPr fontId="4"/>
  </si>
  <si>
    <t>施設別
人数</t>
    <rPh sb="0" eb="2">
      <t>シセツ</t>
    </rPh>
    <rPh sb="2" eb="3">
      <t>ベツ</t>
    </rPh>
    <rPh sb="4" eb="6">
      <t>ニンズウ</t>
    </rPh>
    <phoneticPr fontId="4"/>
  </si>
  <si>
    <t>4100円との差額</t>
    <rPh sb="4" eb="5">
      <t>エン</t>
    </rPh>
    <rPh sb="7" eb="9">
      <t>サガク</t>
    </rPh>
    <phoneticPr fontId="4"/>
  </si>
  <si>
    <t>受領見積単価
（通常）</t>
    <rPh sb="0" eb="2">
      <t>ズリョウ</t>
    </rPh>
    <rPh sb="2" eb="4">
      <t>ミツモリ</t>
    </rPh>
    <rPh sb="4" eb="6">
      <t>タンカ</t>
    </rPh>
    <rPh sb="8" eb="10">
      <t>ツウジョウ</t>
    </rPh>
    <phoneticPr fontId="4"/>
  </si>
  <si>
    <r>
      <t xml:space="preserve">受領見積単価
</t>
    </r>
    <r>
      <rPr>
        <b/>
        <sz val="14"/>
        <rFont val="ＭＳ Ｐゴシック"/>
        <family val="3"/>
        <charset val="128"/>
        <scheme val="minor"/>
      </rPr>
      <t>（ハラルヴィーガン）</t>
    </r>
    <rPh sb="0" eb="2">
      <t>ズリョウ</t>
    </rPh>
    <rPh sb="2" eb="4">
      <t>ミツモリ</t>
    </rPh>
    <rPh sb="4" eb="6">
      <t>タンカ</t>
    </rPh>
    <phoneticPr fontId="4"/>
  </si>
  <si>
    <t>ハラル
支援</t>
    <rPh sb="4" eb="6">
      <t>シエン</t>
    </rPh>
    <phoneticPr fontId="4"/>
  </si>
  <si>
    <r>
      <t xml:space="preserve">受領見積単価
</t>
    </r>
    <r>
      <rPr>
        <b/>
        <sz val="14"/>
        <rFont val="ＭＳ Ｐゴシック"/>
        <family val="3"/>
        <charset val="128"/>
        <scheme val="minor"/>
      </rPr>
      <t>（グラブ＆ゴー）</t>
    </r>
    <rPh sb="0" eb="2">
      <t>ズリョウ</t>
    </rPh>
    <rPh sb="2" eb="4">
      <t>ミツモリ</t>
    </rPh>
    <rPh sb="4" eb="6">
      <t>タンカ</t>
    </rPh>
    <phoneticPr fontId="4"/>
  </si>
  <si>
    <t>通常食合計</t>
    <rPh sb="0" eb="3">
      <t>ツウジョウショク</t>
    </rPh>
    <rPh sb="3" eb="5">
      <t>ゴウケイ</t>
    </rPh>
    <phoneticPr fontId="4"/>
  </si>
  <si>
    <t>予算との乖離
（通常食）</t>
    <rPh sb="0" eb="2">
      <t>ヨサン</t>
    </rPh>
    <rPh sb="4" eb="6">
      <t>カイリ</t>
    </rPh>
    <rPh sb="8" eb="11">
      <t>ツウジョウショク</t>
    </rPh>
    <phoneticPr fontId="4"/>
  </si>
  <si>
    <t>ハラルヴィーガン合計</t>
    <rPh sb="8" eb="10">
      <t>ゴウケイ</t>
    </rPh>
    <phoneticPr fontId="4"/>
  </si>
  <si>
    <r>
      <t xml:space="preserve">予算との乖離
</t>
    </r>
    <r>
      <rPr>
        <b/>
        <sz val="14"/>
        <rFont val="ＭＳ Ｐゴシック"/>
        <family val="3"/>
        <charset val="128"/>
        <scheme val="minor"/>
      </rPr>
      <t>（ハラルヴィーガン）</t>
    </r>
    <rPh sb="0" eb="2">
      <t>ヨサン</t>
    </rPh>
    <rPh sb="4" eb="6">
      <t>カイリ</t>
    </rPh>
    <phoneticPr fontId="4"/>
  </si>
  <si>
    <t>グラブアンドゴー合計</t>
    <rPh sb="8" eb="10">
      <t>ゴウケイ</t>
    </rPh>
    <phoneticPr fontId="4"/>
  </si>
  <si>
    <t>営業補償等</t>
    <rPh sb="0" eb="4">
      <t>エイギョウホショウ</t>
    </rPh>
    <rPh sb="4" eb="5">
      <t>ナド</t>
    </rPh>
    <phoneticPr fontId="4"/>
  </si>
  <si>
    <t>クリーンベニュー
営業補償 自販機</t>
    <rPh sb="9" eb="13">
      <t>エイギョウホショウ</t>
    </rPh>
    <rPh sb="14" eb="17">
      <t>ジハンキ</t>
    </rPh>
    <phoneticPr fontId="4"/>
  </si>
  <si>
    <t>クリーンベニュー
営業補償 テナント</t>
    <rPh sb="9" eb="13">
      <t>エイギョウホショウ</t>
    </rPh>
    <phoneticPr fontId="4"/>
  </si>
  <si>
    <t>自販機の数</t>
    <rPh sb="0" eb="3">
      <t>ジハンキ</t>
    </rPh>
    <rPh sb="4" eb="5">
      <t>カズ</t>
    </rPh>
    <phoneticPr fontId="4"/>
  </si>
  <si>
    <t>返せなかった分</t>
    <rPh sb="0" eb="1">
      <t>カエ</t>
    </rPh>
    <rPh sb="6" eb="7">
      <t>ブン</t>
    </rPh>
    <phoneticPr fontId="4"/>
  </si>
  <si>
    <t>施設合計</t>
    <rPh sb="0" eb="2">
      <t>シセツ</t>
    </rPh>
    <rPh sb="2" eb="4">
      <t>ゴウケイ</t>
    </rPh>
    <phoneticPr fontId="4"/>
  </si>
  <si>
    <t>差額</t>
    <rPh sb="0" eb="2">
      <t>サガク</t>
    </rPh>
    <phoneticPr fontId="4"/>
  </si>
  <si>
    <t>経緯</t>
    <rPh sb="0" eb="2">
      <t>ケイイ</t>
    </rPh>
    <phoneticPr fontId="4"/>
  </si>
  <si>
    <t>1031有無</t>
    <rPh sb="4" eb="6">
      <t>ウム</t>
    </rPh>
    <phoneticPr fontId="4"/>
  </si>
  <si>
    <t>契約開始日</t>
    <rPh sb="0" eb="2">
      <t>ケイヤク</t>
    </rPh>
    <rPh sb="2" eb="5">
      <t>カイシビ</t>
    </rPh>
    <phoneticPr fontId="4"/>
  </si>
  <si>
    <t>契約終了日</t>
    <rPh sb="0" eb="5">
      <t>ケイヤクシュウリョウビ</t>
    </rPh>
    <phoneticPr fontId="4"/>
  </si>
  <si>
    <t>月</t>
    <rPh sb="0" eb="1">
      <t>ゲツ</t>
    </rPh>
    <phoneticPr fontId="4"/>
  </si>
  <si>
    <t>火</t>
    <rPh sb="0" eb="1">
      <t>ヒ</t>
    </rPh>
    <phoneticPr fontId="4"/>
  </si>
  <si>
    <t>水</t>
    <rPh sb="0" eb="1">
      <t>スイ</t>
    </rPh>
    <phoneticPr fontId="4"/>
  </si>
  <si>
    <t>木</t>
    <rPh sb="0" eb="1">
      <t>モク</t>
    </rPh>
    <phoneticPr fontId="4"/>
  </si>
  <si>
    <t>金</t>
  </si>
  <si>
    <t>土</t>
  </si>
  <si>
    <t>日</t>
  </si>
  <si>
    <t>月</t>
    <rPh sb="0" eb="1">
      <t>ゲツ</t>
    </rPh>
    <phoneticPr fontId="17"/>
  </si>
  <si>
    <t>火</t>
    <rPh sb="0" eb="1">
      <t>カ</t>
    </rPh>
    <phoneticPr fontId="17"/>
  </si>
  <si>
    <t>月</t>
  </si>
  <si>
    <t>火</t>
  </si>
  <si>
    <t>水</t>
  </si>
  <si>
    <t>木</t>
  </si>
  <si>
    <t>火</t>
    <phoneticPr fontId="4"/>
  </si>
  <si>
    <t>のべ宿泊</t>
    <rPh sb="2" eb="4">
      <t>シュクハク</t>
    </rPh>
    <phoneticPr fontId="4"/>
  </si>
  <si>
    <t>収入計算用</t>
    <rPh sb="0" eb="2">
      <t>シュウニュウ</t>
    </rPh>
    <rPh sb="2" eb="4">
      <t>ケイサン</t>
    </rPh>
    <rPh sb="4" eb="5">
      <t>ヨウ</t>
    </rPh>
    <phoneticPr fontId="4"/>
  </si>
  <si>
    <t>確認用　配宿人数</t>
    <rPh sb="0" eb="2">
      <t>カクニン</t>
    </rPh>
    <rPh sb="2" eb="3">
      <t>ヨウ</t>
    </rPh>
    <rPh sb="4" eb="8">
      <t>ハイシュクニンズウ</t>
    </rPh>
    <phoneticPr fontId="4"/>
  </si>
  <si>
    <t>距離</t>
    <rPh sb="0" eb="2">
      <t>キョリ</t>
    </rPh>
    <phoneticPr fontId="4"/>
  </si>
  <si>
    <t>移動時間</t>
    <rPh sb="0" eb="4">
      <t>イドウジカン</t>
    </rPh>
    <phoneticPr fontId="4"/>
  </si>
  <si>
    <t>積算金額確認用</t>
    <rPh sb="0" eb="4">
      <t>セキサンキンガク</t>
    </rPh>
    <rPh sb="4" eb="7">
      <t>カクニンヨウ</t>
    </rPh>
    <phoneticPr fontId="4"/>
  </si>
  <si>
    <t>営業補償等</t>
    <rPh sb="0" eb="2">
      <t>エイギョウ</t>
    </rPh>
    <rPh sb="2" eb="4">
      <t>ホショウ</t>
    </rPh>
    <rPh sb="4" eb="5">
      <t>ナド</t>
    </rPh>
    <phoneticPr fontId="4"/>
  </si>
  <si>
    <t>客室総額
（一日あたり）</t>
    <rPh sb="0" eb="2">
      <t>キャクシツ</t>
    </rPh>
    <rPh sb="2" eb="4">
      <t>ソウガク</t>
    </rPh>
    <rPh sb="6" eb="8">
      <t>ツイタチ</t>
    </rPh>
    <phoneticPr fontId="4"/>
  </si>
  <si>
    <t>ファンクション総額
（1日あたり）</t>
    <rPh sb="7" eb="9">
      <t>ソウガク</t>
    </rPh>
    <rPh sb="12" eb="13">
      <t>ニチ</t>
    </rPh>
    <phoneticPr fontId="4"/>
  </si>
  <si>
    <t>名古屋</t>
    <rPh sb="0" eb="3">
      <t>ナゴヤ</t>
    </rPh>
    <phoneticPr fontId="17"/>
  </si>
  <si>
    <t>金城ふ頭</t>
    <rPh sb="0" eb="2">
      <t>キンジョウ</t>
    </rPh>
    <rPh sb="3" eb="4">
      <t>トウ</t>
    </rPh>
    <phoneticPr fontId="4"/>
  </si>
  <si>
    <t/>
  </si>
  <si>
    <t>ホテルシップ</t>
    <phoneticPr fontId="4"/>
  </si>
  <si>
    <t>調査中</t>
  </si>
  <si>
    <t>宿泊施設</t>
  </si>
  <si>
    <t>○</t>
  </si>
  <si>
    <t>－</t>
  </si>
  <si>
    <t>岸壁整備</t>
    <rPh sb="0" eb="2">
      <t>ガンペキ</t>
    </rPh>
    <rPh sb="2" eb="4">
      <t>セイビ</t>
    </rPh>
    <phoneticPr fontId="4"/>
  </si>
  <si>
    <t>全棟</t>
    <rPh sb="0" eb="2">
      <t>ゼントウ</t>
    </rPh>
    <phoneticPr fontId="4"/>
  </si>
  <si>
    <t>ハンドボール（男子）</t>
    <rPh sb="7" eb="9">
      <t>ダンシ</t>
    </rPh>
    <phoneticPr fontId="4"/>
  </si>
  <si>
    <t>稲沢市</t>
  </si>
  <si>
    <t>有</t>
    <rPh sb="0" eb="1">
      <t>アリ</t>
    </rPh>
    <phoneticPr fontId="4"/>
  </si>
  <si>
    <t>ー</t>
    <phoneticPr fontId="4"/>
  </si>
  <si>
    <t>準備</t>
    <rPh sb="0" eb="2">
      <t>ジュンビ</t>
    </rPh>
    <phoneticPr fontId="4"/>
  </si>
  <si>
    <t>撤去</t>
    <rPh sb="0" eb="2">
      <t>テッキョ</t>
    </rPh>
    <phoneticPr fontId="4"/>
  </si>
  <si>
    <t>豊田合成記念体育館［エントリオ］</t>
  </si>
  <si>
    <t>名古屋市名東スポーツセンター</t>
  </si>
  <si>
    <t>名古屋市中村スポーツセンター</t>
  </si>
  <si>
    <t>稲沢市総合体育館</t>
  </si>
  <si>
    <t>中部大学</t>
  </si>
  <si>
    <t>ホテルシップ　合計</t>
  </si>
  <si>
    <t>アーチェリー</t>
  </si>
  <si>
    <t>岡崎市</t>
  </si>
  <si>
    <t>岡崎中央総合公園多目的広場</t>
  </si>
  <si>
    <t>競技会場に設置</t>
  </si>
  <si>
    <t>ー</t>
  </si>
  <si>
    <t>3x3 バスケットボール（男子）</t>
    <rPh sb="13" eb="15">
      <t>ダンシ</t>
    </rPh>
    <phoneticPr fontId="4"/>
  </si>
  <si>
    <t>名古屋市</t>
  </si>
  <si>
    <t>金城ふ頭駅前特設コート</t>
  </si>
  <si>
    <t>3x3 バスケットボール（女子）</t>
    <rPh sb="13" eb="15">
      <t>ジョシ</t>
    </rPh>
    <phoneticPr fontId="4"/>
  </si>
  <si>
    <t>カヌー・カヤック（スプリント）</t>
  </si>
  <si>
    <t>みよし市</t>
  </si>
  <si>
    <t>三好池</t>
  </si>
  <si>
    <t>自転車競技（マウンテンバイク）</t>
  </si>
  <si>
    <t>小幡緑地</t>
  </si>
  <si>
    <t>自転車競技（BMXレース）</t>
  </si>
  <si>
    <t>名古屋市競輪場BMXレースコース</t>
  </si>
  <si>
    <t>体操</t>
    <rPh sb="0" eb="2">
      <t>タイソウ</t>
    </rPh>
    <phoneticPr fontId="4"/>
  </si>
  <si>
    <t>名古屋市総合体育館［レインボーホール］</t>
  </si>
  <si>
    <t>ポートメッセなごや第二展示館</t>
  </si>
  <si>
    <t>新体操</t>
    <rPh sb="0" eb="3">
      <t>シンタイソウ</t>
    </rPh>
    <phoneticPr fontId="4"/>
  </si>
  <si>
    <t>トランポリン</t>
  </si>
  <si>
    <t>柔道</t>
    <rPh sb="0" eb="2">
      <t>ジュウドウ</t>
    </rPh>
    <phoneticPr fontId="4"/>
  </si>
  <si>
    <t>愛知国際アリーナ</t>
  </si>
  <si>
    <t>愛知県体育館or露橋スポーツセンター</t>
  </si>
  <si>
    <t>カバディ（男子）</t>
    <rPh sb="5" eb="7">
      <t>ダンシ</t>
    </rPh>
    <phoneticPr fontId="4"/>
  </si>
  <si>
    <t>東海市</t>
  </si>
  <si>
    <t>東海市民体育館</t>
  </si>
  <si>
    <t>知多市民体育館</t>
  </si>
  <si>
    <t>カバディ（女子）</t>
    <rPh sb="5" eb="7">
      <t>ジョシ</t>
    </rPh>
    <phoneticPr fontId="4"/>
  </si>
  <si>
    <t>クラッシュ</t>
  </si>
  <si>
    <t>愛知県武道館</t>
  </si>
  <si>
    <t>甚目寺総合体育館or露橋スポーツセンター</t>
  </si>
  <si>
    <t>ローイング</t>
  </si>
  <si>
    <t>海津市/愛西市</t>
    <rPh sb="4" eb="7">
      <t>アイサイシ</t>
    </rPh>
    <phoneticPr fontId="4"/>
  </si>
  <si>
    <t>海津市</t>
  </si>
  <si>
    <t>長良川国際レガッタコース</t>
  </si>
  <si>
    <t>ラグビー（男子）</t>
    <rPh sb="5" eb="7">
      <t>ダンシ</t>
    </rPh>
    <phoneticPr fontId="4"/>
  </si>
  <si>
    <t>名古屋市瑞穂公園ラグビー場</t>
  </si>
  <si>
    <t>口論義運動公園サッカー場</t>
  </si>
  <si>
    <t>朝宮公園陸上競技場</t>
  </si>
  <si>
    <t>名城大学日進グラウンド</t>
  </si>
  <si>
    <t>愛知学院大学グラウンド</t>
  </si>
  <si>
    <t>ラグビー（女子）</t>
    <rPh sb="5" eb="7">
      <t>ジョシ</t>
    </rPh>
    <phoneticPr fontId="4"/>
  </si>
  <si>
    <t>セパタクロー</t>
  </si>
  <si>
    <t>名古屋市瑞穂公園体育館</t>
  </si>
  <si>
    <t>北名古屋市健康ドーム</t>
  </si>
  <si>
    <t xml:space="preserve">                                                                                                                                                                                                                                                                                                                                                                                                                                                                                                                                                                                                                                                                 </t>
    <phoneticPr fontId="4"/>
  </si>
  <si>
    <t>スポーツクライミング</t>
  </si>
  <si>
    <t>名古屋市国際展示場［ポートメッセなごや］</t>
  </si>
  <si>
    <t>スカッシュ</t>
  </si>
  <si>
    <t>名古屋市金城ふ頭アリーナ</t>
  </si>
  <si>
    <t>テニス</t>
  </si>
  <si>
    <t>名古屋市東山公園テニスセンター</t>
  </si>
  <si>
    <t>ウェイトリフティング</t>
  </si>
  <si>
    <t>名古屋市中小企業振興会館</t>
  </si>
  <si>
    <t>レスリング</t>
  </si>
  <si>
    <t>稲永スポーツセンター</t>
  </si>
  <si>
    <t>愛知県体育館</t>
  </si>
  <si>
    <t>武術太極拳</t>
    <rPh sb="0" eb="5">
      <t>ブジュツタイキョクケン</t>
    </rPh>
    <phoneticPr fontId="4"/>
  </si>
  <si>
    <t>親水公園総合体育館</t>
  </si>
  <si>
    <t>総合格闘技</t>
    <rPh sb="0" eb="5">
      <t>ソウゴウカクトウギ</t>
    </rPh>
    <phoneticPr fontId="4"/>
  </si>
  <si>
    <t>あまり</t>
    <phoneticPr fontId="4"/>
  </si>
  <si>
    <t>部屋</t>
    <rPh sb="0" eb="2">
      <t>ヘヤ</t>
    </rPh>
    <phoneticPr fontId="4"/>
  </si>
  <si>
    <t>知多市</t>
  </si>
  <si>
    <t>新舞子マリンパーク</t>
  </si>
  <si>
    <t>南陽プール</t>
  </si>
  <si>
    <t>ガーデンふ頭</t>
    <rPh sb="5" eb="6">
      <t>トウ</t>
    </rPh>
    <phoneticPr fontId="4"/>
  </si>
  <si>
    <t>移動式宿泊施設</t>
    <rPh sb="0" eb="7">
      <t>イドウシキシュクハクシセツ</t>
    </rPh>
    <phoneticPr fontId="4"/>
  </si>
  <si>
    <t>水球（女子）</t>
    <rPh sb="0" eb="2">
      <t>スイキュウ</t>
    </rPh>
    <rPh sb="3" eb="5">
      <t>ジョシ</t>
    </rPh>
    <phoneticPr fontId="4"/>
  </si>
  <si>
    <t>名古屋市総合体育館［レインボープール］</t>
  </si>
  <si>
    <t>口論義運動公園プール</t>
  </si>
  <si>
    <t>春日井市温水プール</t>
  </si>
  <si>
    <t>移動式宿泊施設　合計</t>
  </si>
  <si>
    <t>水球（男子）</t>
    <rPh sb="0" eb="2">
      <t>スイキュウ</t>
    </rPh>
    <rPh sb="3" eb="5">
      <t>ダンシ</t>
    </rPh>
    <phoneticPr fontId="4"/>
  </si>
  <si>
    <t>バスケットボール（５×５／男子）</t>
    <rPh sb="13" eb="15">
      <t>ダンシ</t>
    </rPh>
    <phoneticPr fontId="4"/>
  </si>
  <si>
    <t>愛知県新体育館［愛知国際アリーナ］</t>
  </si>
  <si>
    <t>ウィングアリーナ刈谷</t>
  </si>
  <si>
    <t>知立市福祉体育館</t>
  </si>
  <si>
    <t>バスケットボール（５×５／女子）</t>
    <rPh sb="13" eb="15">
      <t>ジョシ</t>
    </rPh>
    <phoneticPr fontId="4"/>
  </si>
  <si>
    <t>サッカー（男子／女子／港）</t>
    <rPh sb="5" eb="7">
      <t>ダンシ</t>
    </rPh>
    <rPh sb="8" eb="10">
      <t>ジョシ</t>
    </rPh>
    <rPh sb="11" eb="12">
      <t>ミナト</t>
    </rPh>
    <phoneticPr fontId="4"/>
  </si>
  <si>
    <t>名古屋市港サッカー場</t>
  </si>
  <si>
    <t>東員町スポーツ公園陸上競技場（三重）</t>
  </si>
  <si>
    <t>半田陸上競技場（愛知）</t>
  </si>
  <si>
    <t>阿久比陸上競技場（愛知）</t>
  </si>
  <si>
    <t>柔術</t>
    <rPh sb="0" eb="2">
      <t>ジュウジュツ</t>
    </rPh>
    <phoneticPr fontId="4"/>
  </si>
  <si>
    <t>クリケット（男子）</t>
    <rPh sb="6" eb="8">
      <t>ダンシ</t>
    </rPh>
    <phoneticPr fontId="4"/>
  </si>
  <si>
    <t>日進市</t>
  </si>
  <si>
    <t>近代五種</t>
  </si>
  <si>
    <t>安城市</t>
  </si>
  <si>
    <t>安城市総合運動公園陸上競技場他</t>
  </si>
  <si>
    <t>配宿無し</t>
    <rPh sb="0" eb="3">
      <t>ハイシュクナ</t>
    </rPh>
    <phoneticPr fontId="4"/>
  </si>
  <si>
    <t>ソフトテニス</t>
    <phoneticPr fontId="4"/>
  </si>
  <si>
    <t>バレーボール（男子）</t>
    <rPh sb="7" eb="9">
      <t>ダンシ</t>
    </rPh>
    <phoneticPr fontId="4"/>
  </si>
  <si>
    <t>岡崎市／小牧市</t>
  </si>
  <si>
    <t>岡崎市中央総合公園総合体育館</t>
  </si>
  <si>
    <t>愛知県農協体育館</t>
  </si>
  <si>
    <t>トヨタスポーツセンター第二体育館</t>
  </si>
  <si>
    <t>バレーボール（女子）</t>
    <rPh sb="7" eb="9">
      <t>ジョシ</t>
    </rPh>
    <phoneticPr fontId="4"/>
  </si>
  <si>
    <t>小牧市スポーツ公園総合体育館</t>
  </si>
  <si>
    <t>江南市民スポーツセンター</t>
  </si>
  <si>
    <t>犬山市体育館</t>
  </si>
  <si>
    <t>NOC本部スタッフ</t>
    <rPh sb="3" eb="5">
      <t>ホンブ</t>
    </rPh>
    <phoneticPr fontId="4"/>
  </si>
  <si>
    <t>名古屋市</t>
    <rPh sb="0" eb="4">
      <t>ナゴヤシ</t>
    </rPh>
    <phoneticPr fontId="4"/>
  </si>
  <si>
    <t>名古屋東急ホテル</t>
    <rPh sb="0" eb="5">
      <t>ナゴヤトウキュウ</t>
    </rPh>
    <phoneticPr fontId="4"/>
  </si>
  <si>
    <t>0121_名古屋東急ホテル</t>
  </si>
  <si>
    <t>○(ｼﾞﾑ内等)</t>
  </si>
  <si>
    <t>玄関前（屋根付）2台</t>
  </si>
  <si>
    <t>◎</t>
    <phoneticPr fontId="4"/>
  </si>
  <si>
    <t>バドミントン</t>
  </si>
  <si>
    <t>一宮市</t>
  </si>
  <si>
    <t>無</t>
    <rPh sb="0" eb="1">
      <t>ナシ</t>
    </rPh>
    <phoneticPr fontId="4"/>
  </si>
  <si>
    <t>見積取得済</t>
  </si>
  <si>
    <t>不要</t>
    <rPh sb="0" eb="2">
      <t>フヨウ</t>
    </rPh>
    <phoneticPr fontId="4"/>
  </si>
  <si>
    <t>一宮市総合体育館</t>
  </si>
  <si>
    <t>名古屋東急ホテル　合計</t>
  </si>
  <si>
    <t>契約済</t>
  </si>
  <si>
    <t>無</t>
    <rPh sb="0" eb="1">
      <t>ナ</t>
    </rPh>
    <phoneticPr fontId="4"/>
  </si>
  <si>
    <t>※実施方法検討中</t>
    <rPh sb="1" eb="3">
      <t>ジッシ</t>
    </rPh>
    <rPh sb="3" eb="5">
      <t>ホウホウ</t>
    </rPh>
    <rPh sb="5" eb="8">
      <t>ケントウチュウ</t>
    </rPh>
    <phoneticPr fontId="4"/>
  </si>
  <si>
    <t>ホテルメルパルク名古屋</t>
    <rPh sb="8" eb="11">
      <t>ナゴヤ</t>
    </rPh>
    <phoneticPr fontId="4"/>
  </si>
  <si>
    <t>0024_ホテルメルパルク名古屋</t>
  </si>
  <si>
    <t>低</t>
  </si>
  <si>
    <t>玄関前（屋根付）3台</t>
  </si>
  <si>
    <t>サッカー（男子／女子／瑞穂）</t>
    <rPh sb="5" eb="7">
      <t>ダンシ</t>
    </rPh>
    <rPh sb="8" eb="10">
      <t>ジョシ</t>
    </rPh>
    <rPh sb="11" eb="13">
      <t>ミズホ</t>
    </rPh>
    <phoneticPr fontId="4"/>
  </si>
  <si>
    <t>要</t>
    <rPh sb="0" eb="1">
      <t>ヨウ</t>
    </rPh>
    <phoneticPr fontId="4"/>
  </si>
  <si>
    <t>サッカーの日程変更</t>
    <rPh sb="5" eb="9">
      <t>ニッテイヘンコウ</t>
    </rPh>
    <phoneticPr fontId="4"/>
  </si>
  <si>
    <t>豊田運動公園陸上競技場（愛知）</t>
  </si>
  <si>
    <t>豊田運動公園球技場（愛知）</t>
  </si>
  <si>
    <t>トヨタスポーツセンター陸上競技場（愛知）</t>
  </si>
  <si>
    <t>ホテルメルパルク名古屋　合計</t>
  </si>
  <si>
    <t>サッカー（男子／刈谷）</t>
    <rPh sb="5" eb="7">
      <t>ダンシ</t>
    </rPh>
    <rPh sb="8" eb="10">
      <t>カリヤ</t>
    </rPh>
    <phoneticPr fontId="4"/>
  </si>
  <si>
    <t>刈谷市</t>
  </si>
  <si>
    <t>ウェーブスタジアム刈谷</t>
  </si>
  <si>
    <t>ホテルJALシティ名古屋　錦</t>
  </si>
  <si>
    <t>中</t>
  </si>
  <si>
    <t>路上1台</t>
  </si>
  <si>
    <t>フロア</t>
  </si>
  <si>
    <t>ゴルフ</t>
  </si>
  <si>
    <t>春日井市</t>
  </si>
  <si>
    <t>見積依頼中</t>
  </si>
  <si>
    <t>ソフトテニス</t>
  </si>
  <si>
    <t>グリーンリッチホテル名古屋錦</t>
  </si>
  <si>
    <t>路上</t>
  </si>
  <si>
    <t>ゴルフ➁</t>
  </si>
  <si>
    <t>ゴルフ➁</t>
    <phoneticPr fontId="4"/>
  </si>
  <si>
    <t>アパホテル&lt;名古屋錦&gt; EXCELLENT</t>
  </si>
  <si>
    <t>0111_アパホテル&lt;名古屋錦&gt; EXCELLENT</t>
  </si>
  <si>
    <t>卓球</t>
    <rPh sb="0" eb="2">
      <t>タッキュウ</t>
    </rPh>
    <phoneticPr fontId="4"/>
  </si>
  <si>
    <t>豊田市</t>
  </si>
  <si>
    <t>ソフトボール</t>
    <phoneticPr fontId="4"/>
  </si>
  <si>
    <t>安城市総合公園ソフトボール場</t>
  </si>
  <si>
    <t>アパホテル&lt;名古屋錦&gt; EXCELLENT　合計</t>
  </si>
  <si>
    <t>契約書提示中</t>
  </si>
  <si>
    <t>クリケット（女子）</t>
    <rPh sb="6" eb="8">
      <t>ジョシ</t>
    </rPh>
    <phoneticPr fontId="4"/>
  </si>
  <si>
    <t>ストリングスホテル名古屋</t>
    <rPh sb="9" eb="12">
      <t>ナゴヤ</t>
    </rPh>
    <phoneticPr fontId="4"/>
  </si>
  <si>
    <t>テニス①</t>
  </si>
  <si>
    <t>名古屋観光ホテル</t>
    <rPh sb="0" eb="5">
      <t>ナゴヤカンコウ</t>
    </rPh>
    <phoneticPr fontId="4"/>
  </si>
  <si>
    <t>テニス②</t>
  </si>
  <si>
    <t>名古屋マリオットアソシアホテル</t>
    <rPh sb="0" eb="3">
      <t>ナゴヤ</t>
    </rPh>
    <phoneticPr fontId="4"/>
  </si>
  <si>
    <t>日進市</t>
    <rPh sb="0" eb="3">
      <t>ニッシンシ</t>
    </rPh>
    <phoneticPr fontId="4"/>
  </si>
  <si>
    <t>安城市</t>
    <rPh sb="0" eb="3">
      <t>アンジョウシ</t>
    </rPh>
    <phoneticPr fontId="4"/>
  </si>
  <si>
    <t>名鉄グランドホテル</t>
    <rPh sb="0" eb="2">
      <t>メイテツ</t>
    </rPh>
    <phoneticPr fontId="4"/>
  </si>
  <si>
    <t>岡崎市/小牧市</t>
    <rPh sb="0" eb="3">
      <t>オカザキシ</t>
    </rPh>
    <rPh sb="4" eb="7">
      <t>コマキシ</t>
    </rPh>
    <phoneticPr fontId="4"/>
  </si>
  <si>
    <t>岡崎市/小牧市</t>
    <phoneticPr fontId="4"/>
  </si>
  <si>
    <t>アイリス愛知</t>
    <rPh sb="4" eb="6">
      <t>アイチ</t>
    </rPh>
    <phoneticPr fontId="4"/>
  </si>
  <si>
    <t>DPRK</t>
    <phoneticPr fontId="4"/>
  </si>
  <si>
    <t>尾張</t>
    <rPh sb="0" eb="2">
      <t>オワリ</t>
    </rPh>
    <phoneticPr fontId="4"/>
  </si>
  <si>
    <t>小牧市</t>
  </si>
  <si>
    <t>ルートイングランティア小牧</t>
    <phoneticPr fontId="4"/>
  </si>
  <si>
    <t>0012_ルートイングランティア小牧</t>
  </si>
  <si>
    <t>高</t>
  </si>
  <si>
    <t>玄関前（屋根無）1台</t>
  </si>
  <si>
    <t>ハンドボール（女子）</t>
    <rPh sb="7" eb="9">
      <t>ジョシ</t>
    </rPh>
    <phoneticPr fontId="4"/>
  </si>
  <si>
    <t>春日井市総合体育館</t>
  </si>
  <si>
    <t>ルートイングランティア小牧　合計</t>
  </si>
  <si>
    <t>犬山市</t>
    <rPh sb="0" eb="3">
      <t>イヌヤマシ</t>
    </rPh>
    <phoneticPr fontId="4"/>
  </si>
  <si>
    <t>ホテルミュースタイル犬山エクスペリエンス</t>
    <rPh sb="10" eb="12">
      <t>イヌヤマ</t>
    </rPh>
    <phoneticPr fontId="4"/>
  </si>
  <si>
    <t>1007_ホテルミュースタイル犬山エクスペリエンス</t>
  </si>
  <si>
    <t>ゴルフ</t>
    <phoneticPr fontId="4"/>
  </si>
  <si>
    <t>春日井カントリークラブ　東コース</t>
  </si>
  <si>
    <t>ホテルミュースタイル犬山エクスペリエンス　合計</t>
  </si>
  <si>
    <t>知多</t>
    <rPh sb="0" eb="2">
      <t>チタ</t>
    </rPh>
    <phoneticPr fontId="17"/>
  </si>
  <si>
    <t>常滑市</t>
  </si>
  <si>
    <t>東横INN中部国際空港２</t>
    <phoneticPr fontId="4"/>
  </si>
  <si>
    <t>0299_東横INN中部国際空港2</t>
  </si>
  <si>
    <t>ケータリング</t>
  </si>
  <si>
    <t>路上2台</t>
  </si>
  <si>
    <t>陸上競技（トラック／フィールド）</t>
    <rPh sb="0" eb="2">
      <t>リクジョウ</t>
    </rPh>
    <rPh sb="2" eb="4">
      <t>キョウギ</t>
    </rPh>
    <phoneticPr fontId="4"/>
  </si>
  <si>
    <t>名古屋市瑞穂公園陸上競技場</t>
  </si>
  <si>
    <t>美浜町運動公園陸上競技場（投てき）</t>
  </si>
  <si>
    <t>東横INN中部国際空港２　合計</t>
  </si>
  <si>
    <t>陸上競技（マラソン）</t>
    <rPh sb="0" eb="4">
      <t>リクジョウキョウギ</t>
    </rPh>
    <phoneticPr fontId="4"/>
  </si>
  <si>
    <t>名古屋市瑞穂公園陸上競技場（都心コース）</t>
  </si>
  <si>
    <t>知多陸上競技場（その他）</t>
  </si>
  <si>
    <t>陸上競技（競歩）</t>
    <rPh sb="0" eb="4">
      <t>リクジョウキョウギ</t>
    </rPh>
    <rPh sb="5" eb="7">
      <t>キョウホ</t>
    </rPh>
    <phoneticPr fontId="4"/>
  </si>
  <si>
    <t>愛知県庁・名古屋市役所周辺コース</t>
  </si>
  <si>
    <t>Eスポーツ②</t>
  </si>
  <si>
    <t>Eスポーツ②</t>
    <phoneticPr fontId="4"/>
  </si>
  <si>
    <t>愛知県国際展示場［Aichi Sky Expo］</t>
  </si>
  <si>
    <t>スケートボード</t>
  </si>
  <si>
    <t>スケートボード</t>
    <phoneticPr fontId="4"/>
  </si>
  <si>
    <t>自転車競技（BMXフリースタイル）</t>
    <rPh sb="0" eb="5">
      <t>ジテンシャキョウギ</t>
    </rPh>
    <phoneticPr fontId="4"/>
  </si>
  <si>
    <t>ブレイキン</t>
  </si>
  <si>
    <t>ブレイキン</t>
    <phoneticPr fontId="4"/>
  </si>
  <si>
    <t>東横INN中部国際空港1</t>
    <phoneticPr fontId="4"/>
  </si>
  <si>
    <t>0300_東横INN中部国際空港1</t>
  </si>
  <si>
    <t>Eスポーツ①</t>
  </si>
  <si>
    <t>Eスポーツ①</t>
    <phoneticPr fontId="4"/>
  </si>
  <si>
    <t>東横INN中部国際空港1　合計</t>
  </si>
  <si>
    <t>中部国際空港セントレアホテル</t>
    <rPh sb="0" eb="6">
      <t>チュウブコクサイクウコウ</t>
    </rPh>
    <phoneticPr fontId="4"/>
  </si>
  <si>
    <t>中</t>
    <phoneticPr fontId="4"/>
  </si>
  <si>
    <t>宿泊施設</t>
    <phoneticPr fontId="4"/>
  </si>
  <si>
    <t>付近に乗降場無し（空港乗降場所）</t>
  </si>
  <si>
    <t>ビーチバレーボール（男子）</t>
    <rPh sb="10" eb="12">
      <t>ダンシ</t>
    </rPh>
    <phoneticPr fontId="4"/>
  </si>
  <si>
    <t>碧南市</t>
  </si>
  <si>
    <t>契約書提示前</t>
  </si>
  <si>
    <t>ビーチバレーボール（女子）</t>
    <rPh sb="10" eb="12">
      <t>ジョシ</t>
    </rPh>
    <phoneticPr fontId="4"/>
  </si>
  <si>
    <t>フォーポイント　バイ　シェラトン名古屋　中部国際空港</t>
    <phoneticPr fontId="4"/>
  </si>
  <si>
    <t>0298_フォーポイントバイシェラトン名古屋中部空港</t>
  </si>
  <si>
    <t>専用乗降場所（屋根無）2台</t>
  </si>
  <si>
    <t>フェンシング</t>
  </si>
  <si>
    <t>フェンシング</t>
    <phoneticPr fontId="4"/>
  </si>
  <si>
    <t>フォーポイント　バイ　シェラトン名古屋　中部国際空港　合計</t>
  </si>
  <si>
    <t>J・ホテルりんくう</t>
    <phoneticPr fontId="4"/>
  </si>
  <si>
    <t>0304_J・ホテルりんくう</t>
  </si>
  <si>
    <t>付近に乗降場無し（りんくう駅前ロータリー）</t>
  </si>
  <si>
    <t>碧南緑地ビーチコート</t>
  </si>
  <si>
    <t>トヨタ自動車衣浦ビーチバレーボール施設</t>
  </si>
  <si>
    <t>J・ホテルりんくう　合計</t>
  </si>
  <si>
    <t>西三河</t>
    <rPh sb="0" eb="3">
      <t>ニシミカワ</t>
    </rPh>
    <phoneticPr fontId="4"/>
  </si>
  <si>
    <t>ホテルグランドティアラ南名古屋</t>
    <phoneticPr fontId="4"/>
  </si>
  <si>
    <t>0221_ホテルグランドティアラ南名古屋</t>
  </si>
  <si>
    <t>玄関前（屋根無）2台</t>
  </si>
  <si>
    <t>近代五種</t>
    <rPh sb="0" eb="4">
      <t>キンダイゴシュ</t>
    </rPh>
    <phoneticPr fontId="4"/>
  </si>
  <si>
    <t>射撃①</t>
    <rPh sb="0" eb="2">
      <t>シャゲキ</t>
    </rPh>
    <phoneticPr fontId="4"/>
  </si>
  <si>
    <t>愛知県総合射撃場</t>
  </si>
  <si>
    <t>ホテルグランドティアラ南名古屋　合計</t>
  </si>
  <si>
    <t>クリケット（男子）①</t>
    <rPh sb="6" eb="8">
      <t>ダンシ</t>
    </rPh>
    <phoneticPr fontId="4"/>
  </si>
  <si>
    <t>東横INN三河安城駅新幹線南口１</t>
    <phoneticPr fontId="4"/>
  </si>
  <si>
    <t>0220_東横INN三河安城駅新幹線南口1</t>
  </si>
  <si>
    <t>射撃②</t>
    <rPh sb="0" eb="2">
      <t>シャゲキ</t>
    </rPh>
    <phoneticPr fontId="4"/>
  </si>
  <si>
    <t>東横INN三河安城駅新幹線南口１　合計</t>
  </si>
  <si>
    <t>東横INN三河安城駅新幹線南口２</t>
    <rPh sb="0" eb="2">
      <t>トウヨコ</t>
    </rPh>
    <rPh sb="5" eb="10">
      <t>ミカワアンジョウエキ</t>
    </rPh>
    <rPh sb="10" eb="13">
      <t>シンカンセン</t>
    </rPh>
    <rPh sb="13" eb="15">
      <t>ミナミグチ</t>
    </rPh>
    <phoneticPr fontId="4"/>
  </si>
  <si>
    <t>0219_東横INN三河安城駅新幹線南口2</t>
  </si>
  <si>
    <t>射撃③</t>
    <rPh sb="0" eb="2">
      <t>シャゲキ</t>
    </rPh>
    <phoneticPr fontId="4"/>
  </si>
  <si>
    <t>東横INN三河安城駅新幹線南口２　合計</t>
  </si>
  <si>
    <t>天然温泉　三州の湯　ドーミーイン　EXPRESS　三河安城</t>
  </si>
  <si>
    <t>0223_天然温泉三州の湯ドーミーインEXPRESS三河安城</t>
  </si>
  <si>
    <t>専用乗降場所（屋根無）1台</t>
  </si>
  <si>
    <t>射撃④</t>
    <rPh sb="0" eb="2">
      <t>シャゲキ</t>
    </rPh>
    <phoneticPr fontId="4"/>
  </si>
  <si>
    <t>天然温泉　三州の湯　ドーミーイン　EXPRESS　三河安城　合計</t>
  </si>
  <si>
    <t>HOTEL LiVEMAX三河安城駅前</t>
  </si>
  <si>
    <t>72</t>
  </si>
  <si>
    <t>0</t>
  </si>
  <si>
    <t>クリケット（男子）➁</t>
    <rPh sb="6" eb="8">
      <t>ダンシ</t>
    </rPh>
    <phoneticPr fontId="4"/>
  </si>
  <si>
    <t>射撃⑤</t>
    <rPh sb="0" eb="2">
      <t>シャゲキ</t>
    </rPh>
    <phoneticPr fontId="4"/>
  </si>
  <si>
    <t>全トヨタ労連研修センター　つどいの丘</t>
    <phoneticPr fontId="4"/>
  </si>
  <si>
    <t>0201_全トヨタ労連研修センター つどいの丘</t>
  </si>
  <si>
    <t>カヌー・カヤック（スラローム）</t>
  </si>
  <si>
    <t>カヌー・カヤック（スラローム）</t>
    <phoneticPr fontId="4"/>
  </si>
  <si>
    <t>矢作川カヌースラロームコース</t>
  </si>
  <si>
    <t>全トヨタ労連研修センター　つどいの丘　合計</t>
  </si>
  <si>
    <t>※空き分については技術役員との同宿可</t>
    <rPh sb="1" eb="2">
      <t>ア</t>
    </rPh>
    <rPh sb="3" eb="4">
      <t>ブン</t>
    </rPh>
    <rPh sb="9" eb="13">
      <t>ギジュツヤクイン</t>
    </rPh>
    <rPh sb="15" eb="17">
      <t>ドウシュク</t>
    </rPh>
    <rPh sb="17" eb="18">
      <t>カ</t>
    </rPh>
    <phoneticPr fontId="4"/>
  </si>
  <si>
    <t>ホテルトヨタキャッスル</t>
    <phoneticPr fontId="4"/>
  </si>
  <si>
    <t>0206_トヨタキャッスルホテル</t>
  </si>
  <si>
    <t>玄関前（屋根付）1台</t>
  </si>
  <si>
    <t>卓球①</t>
    <rPh sb="0" eb="2">
      <t>タッキュウ</t>
    </rPh>
    <phoneticPr fontId="4"/>
  </si>
  <si>
    <t>スカイホール豊田</t>
  </si>
  <si>
    <t>ホテルトヨタキャッスル　合計</t>
  </si>
  <si>
    <t>サッカー（男子／豊田）</t>
    <rPh sb="5" eb="7">
      <t>ダンシ</t>
    </rPh>
    <rPh sb="8" eb="10">
      <t>トヨタ</t>
    </rPh>
    <phoneticPr fontId="4"/>
  </si>
  <si>
    <t>豊田スタジアム</t>
  </si>
  <si>
    <t>豊田市五ヶ丘運動広場球技場（愛知）</t>
  </si>
  <si>
    <t>岡崎市龍北総合運動場（愛知）</t>
  </si>
  <si>
    <t>サッカー（男子／豊田／決勝T）</t>
    <rPh sb="5" eb="7">
      <t>ダンシ</t>
    </rPh>
    <rPh sb="8" eb="10">
      <t>トヨタ</t>
    </rPh>
    <rPh sb="11" eb="13">
      <t>ケッショウ</t>
    </rPh>
    <phoneticPr fontId="4"/>
  </si>
  <si>
    <t>名鉄トヨタホテル</t>
    <phoneticPr fontId="4"/>
  </si>
  <si>
    <t>0210_名鉄トヨタホテル</t>
  </si>
  <si>
    <t>カヌー・カヤック（スプリント）➀</t>
  </si>
  <si>
    <t>卓球②</t>
    <rPh sb="0" eb="2">
      <t>タッキュウ</t>
    </rPh>
    <phoneticPr fontId="4"/>
  </si>
  <si>
    <t>名鉄トヨタホテル　合計</t>
  </si>
  <si>
    <t>アットインホテル豊田市駅</t>
    <rPh sb="8" eb="12">
      <t>トヨタシエキ</t>
    </rPh>
    <phoneticPr fontId="4"/>
  </si>
  <si>
    <t>カヌー・カヤック（スプリント）②</t>
    <phoneticPr fontId="4"/>
  </si>
  <si>
    <t>みよし市</t>
    <rPh sb="3" eb="4">
      <t>シ</t>
    </rPh>
    <phoneticPr fontId="4"/>
  </si>
  <si>
    <t>トヨタスポーツセンター</t>
    <phoneticPr fontId="4"/>
  </si>
  <si>
    <t>3025_トヨタスポーツセンター</t>
  </si>
  <si>
    <t>卓球③</t>
    <rPh sb="0" eb="2">
      <t>タッキュウ</t>
    </rPh>
    <phoneticPr fontId="4"/>
  </si>
  <si>
    <t>トヨタスポーツセンター　合計</t>
  </si>
  <si>
    <t>見積依頼前</t>
  </si>
  <si>
    <t>※要施設調整</t>
    <rPh sb="1" eb="2">
      <t>ヨウ</t>
    </rPh>
    <rPh sb="2" eb="4">
      <t>シセツ</t>
    </rPh>
    <rPh sb="4" eb="6">
      <t>チョウセイ</t>
    </rPh>
    <phoneticPr fontId="4"/>
  </si>
  <si>
    <t>東三河</t>
    <rPh sb="0" eb="1">
      <t>ヒガシ</t>
    </rPh>
    <rPh sb="1" eb="3">
      <t>ミカワ</t>
    </rPh>
    <phoneticPr fontId="17"/>
  </si>
  <si>
    <t>蒲郡市</t>
  </si>
  <si>
    <t>ホテル三河　海陽閣</t>
    <rPh sb="3" eb="5">
      <t>ミカワ</t>
    </rPh>
    <rPh sb="6" eb="8">
      <t>カイヨウ</t>
    </rPh>
    <rPh sb="8" eb="9">
      <t>カク</t>
    </rPh>
    <phoneticPr fontId="4"/>
  </si>
  <si>
    <t>1015_ホテル三河　海陽閣</t>
  </si>
  <si>
    <t>専用乗降場所（屋根無）5台</t>
  </si>
  <si>
    <t>西尾市総合体育館</t>
  </si>
  <si>
    <t>西尾市中央体育館</t>
  </si>
  <si>
    <t>ホテル東海園　合計</t>
  </si>
  <si>
    <t>あいち健康の森プラザホテル</t>
    <rPh sb="3" eb="5">
      <t>ケンコウ</t>
    </rPh>
    <rPh sb="6" eb="7">
      <t>モリ</t>
    </rPh>
    <phoneticPr fontId="4"/>
  </si>
  <si>
    <t>ホテル平野屋</t>
    <rPh sb="3" eb="6">
      <t>ヒラノヤ</t>
    </rPh>
    <phoneticPr fontId="4"/>
  </si>
  <si>
    <t>0252_株式会社平野屋</t>
  </si>
  <si>
    <t>ボクシング②</t>
    <phoneticPr fontId="4"/>
  </si>
  <si>
    <t>西尾市</t>
  </si>
  <si>
    <t>ボクシング</t>
    <phoneticPr fontId="4"/>
  </si>
  <si>
    <t>和のリゾートはづ　合計</t>
  </si>
  <si>
    <t>変なホテル　ラグーナテンボス</t>
    <phoneticPr fontId="4"/>
  </si>
  <si>
    <t>0245_変なホテルラグーナテンボス</t>
  </si>
  <si>
    <t>セーリング</t>
  </si>
  <si>
    <t>セーリング</t>
    <phoneticPr fontId="4"/>
  </si>
  <si>
    <t>海陽ヨットハーバー</t>
  </si>
  <si>
    <t>変なホテル　ラグーナテンボス　合計</t>
  </si>
  <si>
    <t>ホテル竹島</t>
    <phoneticPr fontId="4"/>
  </si>
  <si>
    <t>0261_ホテル竹島</t>
  </si>
  <si>
    <t>玄関前（屋根無）4台</t>
  </si>
  <si>
    <t>トライアスロン</t>
  </si>
  <si>
    <t>トライアスロン</t>
    <phoneticPr fontId="4"/>
  </si>
  <si>
    <t>蒲郡市内特設コース</t>
  </si>
  <si>
    <t>蒲郡市公園グラウンド陸上競技場</t>
  </si>
  <si>
    <t>蒲郡市三谷中学校</t>
  </si>
  <si>
    <t>ホテル竹島　合計</t>
  </si>
  <si>
    <t>野球①</t>
    <rPh sb="0" eb="2">
      <t>ヤキュウ</t>
    </rPh>
    <phoneticPr fontId="4"/>
  </si>
  <si>
    <t>岡崎／豊橋</t>
  </si>
  <si>
    <t>岡崎市中央総合公園／豊橋市民球場</t>
  </si>
  <si>
    <t>ホテル明山荘</t>
    <rPh sb="3" eb="4">
      <t>アカ</t>
    </rPh>
    <rPh sb="4" eb="5">
      <t>ヤマ</t>
    </rPh>
    <rPh sb="5" eb="6">
      <t>ソウ</t>
    </rPh>
    <phoneticPr fontId="4"/>
  </si>
  <si>
    <t>0249_ホテル明山荘</t>
  </si>
  <si>
    <t>全棟</t>
  </si>
  <si>
    <t>ボクシング➀</t>
  </si>
  <si>
    <t>西尾市</t>
    <phoneticPr fontId="4"/>
  </si>
  <si>
    <t>ボクシング①</t>
    <phoneticPr fontId="4"/>
  </si>
  <si>
    <t>野球②</t>
    <rPh sb="0" eb="2">
      <t>ヤキュウ</t>
    </rPh>
    <phoneticPr fontId="4"/>
  </si>
  <si>
    <t>ホテル明山荘　合計</t>
  </si>
  <si>
    <t>蒲郡ホテル</t>
    <rPh sb="0" eb="2">
      <t>ガマゴオリ</t>
    </rPh>
    <phoneticPr fontId="4"/>
  </si>
  <si>
    <t>ボクシング②</t>
  </si>
  <si>
    <t>新城市</t>
  </si>
  <si>
    <t>ホテルルートイン新城</t>
    <phoneticPr fontId="4"/>
  </si>
  <si>
    <t>1003_ホテルルートイン新城</t>
  </si>
  <si>
    <t>専用乗降場所（屋根無）3台</t>
  </si>
  <si>
    <t>自転車競技（ロードレース）</t>
    <rPh sb="0" eb="6">
      <t>ジテンシャ</t>
    </rPh>
    <phoneticPr fontId="4"/>
  </si>
  <si>
    <t>新城市内発着コース</t>
  </si>
  <si>
    <t>ホテルルートイン新城　合計</t>
  </si>
  <si>
    <t>田原市</t>
  </si>
  <si>
    <t>伊良湖オーシャンリゾート</t>
    <phoneticPr fontId="4"/>
  </si>
  <si>
    <t>1029_伊良湖オーシャンリゾート</t>
  </si>
  <si>
    <t>サーフィン</t>
  </si>
  <si>
    <t>サーフィン</t>
    <phoneticPr fontId="4"/>
  </si>
  <si>
    <t>田原市赤羽根町大石河岸（ロングビーチ）他</t>
  </si>
  <si>
    <t>伊良湖リゾート＆コンベンションホテル（旧伊良湖シーパーク＆スパ）　合計</t>
  </si>
  <si>
    <t>豊橋市</t>
  </si>
  <si>
    <t>ロワジールホテル豊橋</t>
    <phoneticPr fontId="4"/>
  </si>
  <si>
    <t>0281_ロワジール豊橋</t>
  </si>
  <si>
    <t>空手</t>
    <rPh sb="0" eb="2">
      <t>カラテ</t>
    </rPh>
    <phoneticPr fontId="4"/>
  </si>
  <si>
    <t>豊橋市総合体育館</t>
  </si>
  <si>
    <t>豊川市総合体育館</t>
  </si>
  <si>
    <t>ロワジールホテル豊橋　合計</t>
  </si>
  <si>
    <t>テコンドー</t>
  </si>
  <si>
    <t>テコンドー</t>
    <phoneticPr fontId="4"/>
  </si>
  <si>
    <t>県外</t>
    <rPh sb="0" eb="2">
      <t>ケンガイ</t>
    </rPh>
    <phoneticPr fontId="17"/>
  </si>
  <si>
    <t>岐阜市</t>
  </si>
  <si>
    <t>岐阜グランドホテル</t>
    <phoneticPr fontId="17"/>
  </si>
  <si>
    <t>2026_岐阜グランドホテル</t>
  </si>
  <si>
    <t>ホッケー（女子）</t>
    <rPh sb="5" eb="7">
      <t>ジョシ</t>
    </rPh>
    <phoneticPr fontId="4"/>
  </si>
  <si>
    <t>各務原市</t>
  </si>
  <si>
    <t>ホッケー①</t>
    <phoneticPr fontId="4"/>
  </si>
  <si>
    <t>岐阜県グリーンスタジアム</t>
  </si>
  <si>
    <t>朝日大学</t>
  </si>
  <si>
    <t>県立岐阜総合学園高校</t>
  </si>
  <si>
    <t>岐阜グランドホテル　合計</t>
  </si>
  <si>
    <t>※和室、スイート含む</t>
    <rPh sb="1" eb="3">
      <t>ワシツ</t>
    </rPh>
    <rPh sb="8" eb="9">
      <t>フク</t>
    </rPh>
    <phoneticPr fontId="4"/>
  </si>
  <si>
    <t>サッカー（女子／岐阜）</t>
    <rPh sb="5" eb="7">
      <t>ジョシ</t>
    </rPh>
    <rPh sb="8" eb="10">
      <t>ギフ</t>
    </rPh>
    <phoneticPr fontId="4"/>
  </si>
  <si>
    <t>長良川競技場</t>
  </si>
  <si>
    <t>グリーン・フィールド中池（岐阜）</t>
  </si>
  <si>
    <t>長良川球技メドウ（岐阜）</t>
  </si>
  <si>
    <t>都ホテル岐阜長良川</t>
    <phoneticPr fontId="4"/>
  </si>
  <si>
    <t>2027_都ホテル岐阜長良川</t>
  </si>
  <si>
    <t>ホッケー（男子）➀</t>
    <rPh sb="5" eb="7">
      <t>ダンシ</t>
    </rPh>
    <phoneticPr fontId="4"/>
  </si>
  <si>
    <t>ホッケー②</t>
    <phoneticPr fontId="4"/>
  </si>
  <si>
    <t>都ホテル岐阜長良川　合計</t>
  </si>
  <si>
    <t>大垣市</t>
    <rPh sb="0" eb="2">
      <t>オオガキ</t>
    </rPh>
    <rPh sb="2" eb="3">
      <t>シ</t>
    </rPh>
    <phoneticPr fontId="4"/>
  </si>
  <si>
    <t>大垣フォーラムホテル</t>
    <phoneticPr fontId="4"/>
  </si>
  <si>
    <t>2032_大垣フォーラムホテル</t>
  </si>
  <si>
    <t>ホッケー（男子）➁</t>
    <rPh sb="5" eb="7">
      <t>ダンシ</t>
    </rPh>
    <phoneticPr fontId="4"/>
  </si>
  <si>
    <t>ホッケー③</t>
    <phoneticPr fontId="4"/>
  </si>
  <si>
    <t>大垣フォーラムホテル　合計</t>
  </si>
  <si>
    <t>クインテッサホテル 大垣</t>
    <phoneticPr fontId="4"/>
  </si>
  <si>
    <t>2045_クインテッサホテル大垣</t>
  </si>
  <si>
    <t>ホッケー（男子）➂</t>
    <rPh sb="5" eb="7">
      <t>ダンシ</t>
    </rPh>
    <phoneticPr fontId="4"/>
  </si>
  <si>
    <t>ホッケー④</t>
    <phoneticPr fontId="4"/>
  </si>
  <si>
    <t>クインテッサホテル 大垣　合計</t>
  </si>
  <si>
    <t>伊豆市</t>
  </si>
  <si>
    <t>ホテルラフォーレ修善寺</t>
    <phoneticPr fontId="4"/>
  </si>
  <si>
    <t>2022_ホテルラフォーレ修善寺</t>
  </si>
  <si>
    <t>自転車競技（トラック）</t>
    <rPh sb="0" eb="5">
      <t>ジテンシャキョウギ</t>
    </rPh>
    <phoneticPr fontId="4"/>
  </si>
  <si>
    <t>伊豆ベロドローム</t>
  </si>
  <si>
    <t>ホテルラフォーレ修善寺　合計</t>
  </si>
  <si>
    <t>掛川市</t>
  </si>
  <si>
    <t>つま恋リゾート　彩の郷</t>
    <phoneticPr fontId="4"/>
  </si>
  <si>
    <t>2016_つま恋リゾート彩の郷</t>
  </si>
  <si>
    <t>サッカー（女子／静岡）①</t>
    <rPh sb="5" eb="7">
      <t>ジョシ</t>
    </rPh>
    <rPh sb="8" eb="10">
      <t>シズオカ</t>
    </rPh>
    <phoneticPr fontId="4"/>
  </si>
  <si>
    <t>袋井市</t>
  </si>
  <si>
    <t>小笠山総合運動公園エコパスタジアム</t>
  </si>
  <si>
    <t>エコパスタジアム補助競技場（静岡）</t>
  </si>
  <si>
    <t>磐田市ゆめりあ競技場（静岡）</t>
  </si>
  <si>
    <t>つま恋リゾート　彩の郷　合計</t>
  </si>
  <si>
    <t>掛川グランドホテル</t>
    <rPh sb="0" eb="2">
      <t>カケガワ</t>
    </rPh>
    <phoneticPr fontId="4"/>
  </si>
  <si>
    <t>サッカー（女子／静岡）②</t>
    <rPh sb="5" eb="7">
      <t>ジョシ</t>
    </rPh>
    <rPh sb="8" eb="10">
      <t>シズオカ</t>
    </rPh>
    <phoneticPr fontId="4"/>
  </si>
  <si>
    <t>浜松市</t>
  </si>
  <si>
    <t>ホテルコンコルド浜松</t>
  </si>
  <si>
    <t>2041_ホテルコンコルド浜松</t>
  </si>
  <si>
    <t>アーティスティックスイミング</t>
  </si>
  <si>
    <t>有</t>
  </si>
  <si>
    <t>アーティスティックスイミング</t>
    <phoneticPr fontId="4"/>
  </si>
  <si>
    <t>古橋廣之進記念浜松市総合水泳場［ToBiO］</t>
  </si>
  <si>
    <t>ホテルコンコルド浜松　合計</t>
  </si>
  <si>
    <t>グランドメルキュール浜名湖リゾート＆スパ</t>
  </si>
  <si>
    <t>ﾐｽﾄｻｳﾅ</t>
  </si>
  <si>
    <t>野球</t>
    <rPh sb="0" eb="2">
      <t>ヤキュウ</t>
    </rPh>
    <phoneticPr fontId="4"/>
  </si>
  <si>
    <t>野球➀</t>
    <rPh sb="0" eb="2">
      <t>ヤキュウ</t>
    </rPh>
    <phoneticPr fontId="4"/>
  </si>
  <si>
    <t>野球➁</t>
    <rPh sb="0" eb="3">
      <t>ヤキュウ2</t>
    </rPh>
    <phoneticPr fontId="4"/>
  </si>
  <si>
    <t>堺市</t>
  </si>
  <si>
    <t>ホテルアゴーラリージェンシー大阪堺</t>
    <phoneticPr fontId="4"/>
  </si>
  <si>
    <t>2008_ホテルアゴーラリージェンシー大阪堺</t>
  </si>
  <si>
    <t>玄関前（屋根付）7台</t>
  </si>
  <si>
    <t>サッカー（男子／女子／大阪）</t>
    <rPh sb="5" eb="7">
      <t>ダンシ</t>
    </rPh>
    <rPh sb="8" eb="10">
      <t>ジョシ</t>
    </rPh>
    <rPh sb="11" eb="13">
      <t>オオサカ</t>
    </rPh>
    <phoneticPr fontId="4"/>
  </si>
  <si>
    <t>大阪市</t>
  </si>
  <si>
    <t>長居陸上競技場</t>
  </si>
  <si>
    <t>Jグリーン堺（大阪）</t>
  </si>
  <si>
    <t>万博記念競技場（大阪）</t>
  </si>
  <si>
    <t>ホテルアゴーラリージェンシー大阪堺　合計</t>
  </si>
  <si>
    <t>東京都</t>
    <phoneticPr fontId="4"/>
  </si>
  <si>
    <t>日本青年館ホテル</t>
    <rPh sb="0" eb="5">
      <t>ニホンセイネンカン</t>
    </rPh>
    <phoneticPr fontId="4"/>
  </si>
  <si>
    <t>馬術</t>
    <rPh sb="0" eb="2">
      <t>バジュツ</t>
    </rPh>
    <phoneticPr fontId="4"/>
  </si>
  <si>
    <t>東京都</t>
  </si>
  <si>
    <t>JRA馬事公苑</t>
  </si>
  <si>
    <t>日本青年館ホテル　合計</t>
  </si>
  <si>
    <t>×</t>
    <phoneticPr fontId="4"/>
  </si>
  <si>
    <t>KKRホテル中目黒</t>
    <rPh sb="6" eb="9">
      <t>ナカメグロ</t>
    </rPh>
    <phoneticPr fontId="4"/>
  </si>
  <si>
    <t>馬術（グルーム）渉外馬術</t>
    <rPh sb="0" eb="2">
      <t>バジュツ</t>
    </rPh>
    <rPh sb="8" eb="12">
      <t>ショウガイバジュツ</t>
    </rPh>
    <phoneticPr fontId="4"/>
  </si>
  <si>
    <t>馬術（グルーム）総合馬術</t>
    <rPh sb="0" eb="2">
      <t>バジュツ</t>
    </rPh>
    <rPh sb="8" eb="10">
      <t>ソウゴウ</t>
    </rPh>
    <rPh sb="10" eb="12">
      <t>バジュツ</t>
    </rPh>
    <phoneticPr fontId="4"/>
  </si>
  <si>
    <t>東京ベイ潮見プリンスホテル</t>
    <phoneticPr fontId="4"/>
  </si>
  <si>
    <t>2051_東京ベイ潮見プリンスホテル</t>
  </si>
  <si>
    <t>競泳</t>
    <rPh sb="0" eb="2">
      <t>キョウエイ</t>
    </rPh>
    <phoneticPr fontId="4"/>
  </si>
  <si>
    <t>東京アクアティクスセンター</t>
  </si>
  <si>
    <t>東京ベイ潮見プリンスホテル　合計</t>
  </si>
  <si>
    <t>飛込</t>
    <rPh sb="0" eb="2">
      <t>トビコミ</t>
    </rPh>
    <phoneticPr fontId="4"/>
  </si>
  <si>
    <t>ホテルシップ</t>
    <phoneticPr fontId="17"/>
  </si>
  <si>
    <t>移動式宿泊施設</t>
    <rPh sb="0" eb="7">
      <t>イドウシキシュクハクシセツ</t>
    </rPh>
    <phoneticPr fontId="17"/>
  </si>
  <si>
    <t>愛知県内（名古屋市内）</t>
    <rPh sb="0" eb="2">
      <t>アイチ</t>
    </rPh>
    <rPh sb="2" eb="3">
      <t>ケン</t>
    </rPh>
    <rPh sb="3" eb="4">
      <t>ナイ</t>
    </rPh>
    <rPh sb="5" eb="8">
      <t>ナゴヤ</t>
    </rPh>
    <rPh sb="8" eb="10">
      <t>シナイ</t>
    </rPh>
    <phoneticPr fontId="17"/>
  </si>
  <si>
    <t>愛知県内（名古屋市外）</t>
    <rPh sb="0" eb="2">
      <t>アイチ</t>
    </rPh>
    <rPh sb="2" eb="3">
      <t>ケン</t>
    </rPh>
    <rPh sb="3" eb="4">
      <t>ナイ</t>
    </rPh>
    <rPh sb="5" eb="10">
      <t>ナゴヤシガイ</t>
    </rPh>
    <phoneticPr fontId="17"/>
  </si>
  <si>
    <t>愛知県外</t>
    <rPh sb="0" eb="2">
      <t>アイチ</t>
    </rPh>
    <rPh sb="2" eb="4">
      <t>ケンガイ</t>
    </rPh>
    <phoneticPr fontId="17"/>
  </si>
  <si>
    <t>合計</t>
    <rPh sb="0" eb="2">
      <t>ゴウケイ</t>
    </rPh>
    <phoneticPr fontId="17"/>
  </si>
  <si>
    <t>客室総計</t>
    <rPh sb="0" eb="2">
      <t>キャクシツ</t>
    </rPh>
    <rPh sb="2" eb="4">
      <t>ソウケイ</t>
    </rPh>
    <phoneticPr fontId="4"/>
  </si>
  <si>
    <t>前回
との
差額</t>
    <rPh sb="0" eb="2">
      <t>ゼンカイ</t>
    </rPh>
    <rPh sb="6" eb="8">
      <t>サガク</t>
    </rPh>
    <phoneticPr fontId="4"/>
  </si>
  <si>
    <t>ファンクション総計</t>
    <rPh sb="7" eb="9">
      <t>ソウケイ</t>
    </rPh>
    <phoneticPr fontId="4"/>
  </si>
  <si>
    <t>チェック</t>
  </si>
  <si>
    <t>15,000人</t>
  </si>
  <si>
    <t>朝食差額計</t>
    <rPh sb="0" eb="4">
      <t>チョウショクサガク</t>
    </rPh>
    <rPh sb="4" eb="5">
      <t>ケイ</t>
    </rPh>
    <phoneticPr fontId="4"/>
  </si>
  <si>
    <t>返却不可額総額</t>
    <rPh sb="0" eb="2">
      <t>ヘンキャク</t>
    </rPh>
    <rPh sb="2" eb="4">
      <t>フカ</t>
    </rPh>
    <rPh sb="4" eb="5">
      <t>ガク</t>
    </rPh>
    <rPh sb="5" eb="7">
      <t>ソウガク</t>
    </rPh>
    <phoneticPr fontId="4"/>
  </si>
  <si>
    <t>全体増減</t>
    <rPh sb="0" eb="2">
      <t>ゼンタイ</t>
    </rPh>
    <rPh sb="2" eb="4">
      <t>ゾウゲン</t>
    </rPh>
    <phoneticPr fontId="4"/>
  </si>
  <si>
    <t>その他（営業補償）計</t>
    <rPh sb="2" eb="3">
      <t>タ</t>
    </rPh>
    <rPh sb="4" eb="8">
      <t>エイギョウホショウ</t>
    </rPh>
    <rPh sb="9" eb="10">
      <t>ケイ</t>
    </rPh>
    <phoneticPr fontId="4"/>
  </si>
  <si>
    <t>-</t>
    <phoneticPr fontId="4"/>
  </si>
  <si>
    <t>全体総計</t>
    <rPh sb="0" eb="2">
      <t>ゼンタイ</t>
    </rPh>
    <rPh sb="2" eb="4">
      <t>ソウケイ</t>
    </rPh>
    <phoneticPr fontId="4"/>
  </si>
  <si>
    <t>12,000人</t>
  </si>
  <si>
    <t>返却不可額計</t>
    <rPh sb="0" eb="2">
      <t>ヘンキャク</t>
    </rPh>
    <rPh sb="2" eb="4">
      <t>フカ</t>
    </rPh>
    <rPh sb="4" eb="5">
      <t>ガク</t>
    </rPh>
    <rPh sb="5" eb="6">
      <t>ケイ</t>
    </rPh>
    <phoneticPr fontId="4"/>
  </si>
  <si>
    <t>実際総計</t>
    <rPh sb="0" eb="2">
      <t>ジッサイ</t>
    </rPh>
    <rPh sb="2" eb="4">
      <t>ソウケイ</t>
    </rPh>
    <phoneticPr fontId="4"/>
  </si>
  <si>
    <t>ロイヤルホテルうお八</t>
    <rPh sb="9" eb="10">
      <t>ハチ</t>
    </rPh>
    <phoneticPr fontId="4"/>
  </si>
  <si>
    <t>LIVEMAX三河安城</t>
    <rPh sb="7" eb="11">
      <t>ミカワアンジョウ</t>
    </rPh>
    <phoneticPr fontId="4"/>
  </si>
  <si>
    <t>ホテル東海園</t>
    <rPh sb="3" eb="6">
      <t>トウカイエン</t>
    </rPh>
    <phoneticPr fontId="4"/>
  </si>
  <si>
    <t>コンフォート中部国際</t>
    <rPh sb="6" eb="10">
      <t>チュウブコクサイ</t>
    </rPh>
    <phoneticPr fontId="4"/>
  </si>
  <si>
    <t>伊良湖シーパーク</t>
    <rPh sb="0" eb="3">
      <t>イラゴ</t>
    </rPh>
    <phoneticPr fontId="4"/>
  </si>
  <si>
    <t>ホテルコーヨー</t>
    <phoneticPr fontId="4"/>
  </si>
  <si>
    <t>神戸ポートピアホテル</t>
    <rPh sb="0" eb="2">
      <t>コウベ</t>
    </rPh>
    <phoneticPr fontId="4"/>
  </si>
  <si>
    <t>客室</t>
    <rPh sb="0" eb="2">
      <t>キャクシツ</t>
    </rPh>
    <phoneticPr fontId="4"/>
  </si>
  <si>
    <t>ファンクション</t>
    <phoneticPr fontId="4"/>
  </si>
  <si>
    <t>1031財政見通し</t>
    <rPh sb="4" eb="6">
      <t>ザイセイ</t>
    </rPh>
    <rPh sb="6" eb="8">
      <t>ミトオ</t>
    </rPh>
    <phoneticPr fontId="4"/>
  </si>
  <si>
    <t>1031
財政見通し</t>
    <phoneticPr fontId="4"/>
  </si>
  <si>
    <t>合計</t>
    <rPh sb="0" eb="2">
      <t>ゴウケイ</t>
    </rPh>
    <phoneticPr fontId="4"/>
  </si>
  <si>
    <t>条件付</t>
    <rPh sb="0" eb="3">
      <t>ジョウケンツ</t>
    </rPh>
    <phoneticPr fontId="4"/>
  </si>
  <si>
    <t>飲食</t>
    <rPh sb="0" eb="2">
      <t>インショク</t>
    </rPh>
    <phoneticPr fontId="4"/>
  </si>
  <si>
    <t>今回算出金額</t>
    <rPh sb="0" eb="2">
      <t>コンカイ</t>
    </rPh>
    <rPh sb="2" eb="4">
      <t>サンシュツ</t>
    </rPh>
    <rPh sb="4" eb="6">
      <t>キンガク</t>
    </rPh>
    <phoneticPr fontId="4"/>
  </si>
  <si>
    <t>予算要求額</t>
    <rPh sb="0" eb="5">
      <t>ヨサンヨウキュウガク</t>
    </rPh>
    <phoneticPr fontId="4"/>
  </si>
  <si>
    <t>通常朝食分</t>
    <rPh sb="0" eb="2">
      <t>ツウジョウ</t>
    </rPh>
    <rPh sb="2" eb="4">
      <t>チョウショク</t>
    </rPh>
    <rPh sb="4" eb="5">
      <t>ブン</t>
    </rPh>
    <phoneticPr fontId="4"/>
  </si>
  <si>
    <t>差額朝食分</t>
    <rPh sb="0" eb="2">
      <t>サガク</t>
    </rPh>
    <rPh sb="2" eb="4">
      <t>チョウショク</t>
    </rPh>
    <rPh sb="4" eb="5">
      <t>ブン</t>
    </rPh>
    <phoneticPr fontId="4"/>
  </si>
  <si>
    <t>予算要求時との乖離</t>
    <rPh sb="0" eb="5">
      <t>ヨサンヨウキュウジ</t>
    </rPh>
    <rPh sb="7" eb="9">
      <t>カイリ</t>
    </rPh>
    <phoneticPr fontId="4"/>
  </si>
  <si>
    <t>パラの方</t>
    <rPh sb="3" eb="4">
      <t>ホウ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</si>
</sst>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 #,##0_ ;_ * \-#,##0_ ;_ * &quot;-&quot;_ ;_ @_ "/>
    <numFmt numFmtId="176" formatCode="#"/>
    <numFmt numFmtId="177" formatCode="#,##0_ ;[Red]\-#,##0\ "/>
    <numFmt numFmtId="178" formatCode="#,##0_);[Red]\(#,##0\)"/>
    <numFmt numFmtId="179" formatCode="#,##0_ "/>
    <numFmt numFmtId="180" formatCode="m/d"/>
    <numFmt numFmtId="181" formatCode="d"/>
    <numFmt numFmtId="182" formatCode="_ * #,##0_ ;_ * \-#,##0_ ;_ * &quot;ー&quot;_ ;_ @_ "/>
    <numFmt numFmtId="183" formatCode="_ * #,##0_ ;_ * \-#,##0_ ;_ * &quot;準備&quot;_ ;_ @_ "/>
    <numFmt numFmtId="184" formatCode="#,##0&quot;km&quot;"/>
    <numFmt numFmtId="185" formatCode="#,##0&quot;分&quot;"/>
    <numFmt numFmtId="186" formatCode="_ * #,##0_ ;_ * \-#,##0_ ;_ * &quot;撤去&quot;_ ;_ @_ "/>
    <numFmt numFmtId="187" formatCode="#,##0.000;[Red]\-#,##0.000"/>
    <numFmt numFmtId="188" formatCode="0&quot;施&quot;&quot;設&quot;"/>
    <numFmt numFmtId="189" formatCode="#,##0&quot;人&quot;"/>
    <numFmt numFmtId="190" formatCode="#,##0&quot;施&quot;&quot;設&quot;_ "/>
  </numFmts>
  <fonts count="72">
    <font>
      <sz val="11"/>
      <color theme="1"/>
      <name val="ＭＳ Ｐゴシック"/>
      <family val="2"/>
      <charset val="128"/>
      <scheme val="minor"/>
    </font>
    <font>
      <sz val="11"/>
      <color theme="1"/>
      <name val="ＭＳ Ｐゴシック"/>
      <family val="2"/>
      <charset val="128"/>
      <scheme val="minor"/>
    </font>
    <font>
      <u/>
      <sz val="11"/>
      <color theme="10"/>
      <name val="ＭＳ Ｐゴシック"/>
      <family val="2"/>
      <charset val="128"/>
      <scheme val="minor"/>
    </font>
    <font>
      <sz val="12"/>
      <color theme="1"/>
      <name val="Meiryo UI"/>
      <family val="3"/>
      <charset val="128"/>
    </font>
    <font>
      <sz val="6"/>
      <name val="ＭＳ Ｐゴシック"/>
      <family val="2"/>
      <charset val="128"/>
      <scheme val="minor"/>
    </font>
    <font>
      <sz val="12"/>
      <name val="Meiryo UI"/>
      <family val="3"/>
    </font>
    <font>
      <b/>
      <sz val="12"/>
      <color theme="1"/>
      <name val="Meiryo UI"/>
      <family val="3"/>
      <charset val="128"/>
    </font>
    <font>
      <b/>
      <sz val="12"/>
      <color rgb="FFFF0000"/>
      <name val="Meiryo UI"/>
      <family val="3"/>
      <charset val="128"/>
    </font>
    <font>
      <b/>
      <sz val="12"/>
      <name val="Meiryo UI"/>
      <family val="3"/>
      <charset val="128"/>
    </font>
    <font>
      <b/>
      <sz val="26"/>
      <color rgb="FFFF0000"/>
      <name val="Meiryo UI"/>
      <family val="3"/>
      <charset val="128"/>
    </font>
    <font>
      <sz val="36"/>
      <color rgb="FFFF0000"/>
      <name val="Meiryo UI"/>
      <family val="3"/>
    </font>
    <font>
      <b/>
      <sz val="22"/>
      <color rgb="FFFF0000"/>
      <name val="Meiryo UI"/>
      <family val="3"/>
      <charset val="128"/>
    </font>
    <font>
      <b/>
      <sz val="20"/>
      <color rgb="FFFF0000"/>
      <name val="Meiryo UI"/>
      <family val="3"/>
      <charset val="128"/>
    </font>
    <font>
      <sz val="28"/>
      <color rgb="FFFF0000"/>
      <name val="Meiryo UI"/>
      <family val="3"/>
    </font>
    <font>
      <b/>
      <sz val="18"/>
      <color rgb="FFFF0000"/>
      <name val="Meiryo UI"/>
      <family val="3"/>
      <charset val="128"/>
    </font>
    <font>
      <sz val="11"/>
      <color theme="1"/>
      <name val="ＭＳ Ｐゴシック"/>
      <family val="2"/>
      <scheme val="minor"/>
    </font>
    <font>
      <b/>
      <sz val="36"/>
      <color theme="1"/>
      <name val="Meiryo UI"/>
      <family val="3"/>
      <charset val="128"/>
    </font>
    <font>
      <sz val="6"/>
      <name val="ＭＳ Ｐゴシック"/>
      <family val="3"/>
      <charset val="128"/>
      <scheme val="minor"/>
    </font>
    <font>
      <b/>
      <sz val="20"/>
      <name val="Meiryo UI"/>
      <family val="3"/>
      <charset val="128"/>
    </font>
    <font>
      <sz val="20"/>
      <name val="Meiryo UI"/>
      <family val="3"/>
      <charset val="128"/>
    </font>
    <font>
      <b/>
      <sz val="12"/>
      <name val="Meiryo UI"/>
      <family val="3"/>
    </font>
    <font>
      <sz val="11"/>
      <name val="Meiryo UI"/>
      <family val="3"/>
      <charset val="128"/>
    </font>
    <font>
      <sz val="14"/>
      <name val="Meiryo UI"/>
      <family val="3"/>
      <charset val="128"/>
    </font>
    <font>
      <b/>
      <sz val="11"/>
      <name val="Meiryo UI"/>
      <family val="3"/>
      <charset val="128"/>
    </font>
    <font>
      <b/>
      <sz val="11"/>
      <color rgb="FFFF0000"/>
      <name val="Meiryo UI"/>
      <family val="3"/>
      <charset val="128"/>
    </font>
    <font>
      <sz val="12"/>
      <color theme="1"/>
      <name val="ＭＳ Ｐゴシック"/>
      <family val="2"/>
      <charset val="128"/>
      <scheme val="minor"/>
    </font>
    <font>
      <sz val="36"/>
      <color rgb="FFFF0000"/>
      <name val="Meiryo UI"/>
      <family val="3"/>
      <charset val="128"/>
    </font>
    <font>
      <b/>
      <sz val="24"/>
      <color rgb="FFFF0000"/>
      <name val="Meiryo UI"/>
      <family val="3"/>
      <charset val="128"/>
    </font>
    <font>
      <b/>
      <sz val="18"/>
      <color theme="1"/>
      <name val="Meiryo UI"/>
      <family val="3"/>
      <charset val="128"/>
    </font>
    <font>
      <sz val="20"/>
      <color theme="1"/>
      <name val="Meiryo UI"/>
      <family val="3"/>
      <charset val="128"/>
    </font>
    <font>
      <b/>
      <sz val="16"/>
      <color theme="1"/>
      <name val="Meiryo UI"/>
      <family val="3"/>
      <charset val="128"/>
    </font>
    <font>
      <sz val="16"/>
      <color theme="1"/>
      <name val="Meiryo UI"/>
      <family val="3"/>
      <charset val="128"/>
    </font>
    <font>
      <b/>
      <sz val="12"/>
      <color theme="1"/>
      <name val="ＭＳ Ｐゴシック"/>
      <family val="2"/>
      <charset val="128"/>
      <scheme val="minor"/>
    </font>
    <font>
      <b/>
      <sz val="16"/>
      <name val="Meiryo UI"/>
      <family val="3"/>
    </font>
    <font>
      <b/>
      <sz val="16"/>
      <name val="Meiryo UI"/>
      <family val="3"/>
      <charset val="128"/>
    </font>
    <font>
      <b/>
      <sz val="14"/>
      <color theme="1"/>
      <name val="Meiryo UI"/>
      <family val="3"/>
      <charset val="128"/>
    </font>
    <font>
      <b/>
      <sz val="14"/>
      <name val="Meiryo UI"/>
      <family val="3"/>
      <charset val="128"/>
    </font>
    <font>
      <b/>
      <sz val="18"/>
      <name val="ＭＳ Ｐゴシック"/>
      <family val="3"/>
      <charset val="128"/>
      <scheme val="minor"/>
    </font>
    <font>
      <b/>
      <sz val="16"/>
      <name val="ＭＳ Ｐゴシック"/>
      <family val="3"/>
      <charset val="128"/>
      <scheme val="minor"/>
    </font>
    <font>
      <b/>
      <sz val="12"/>
      <name val="ＭＳ Ｐゴシック"/>
      <family val="3"/>
      <charset val="128"/>
      <scheme val="minor"/>
    </font>
    <font>
      <b/>
      <sz val="18"/>
      <color rgb="FFFF0000"/>
      <name val="ＭＳ Ｐゴシック"/>
      <family val="3"/>
      <charset val="128"/>
      <scheme val="minor"/>
    </font>
    <font>
      <b/>
      <sz val="18"/>
      <color theme="1"/>
      <name val="ＭＳ Ｐゴシック"/>
      <family val="3"/>
      <charset val="128"/>
      <scheme val="minor"/>
    </font>
    <font>
      <b/>
      <sz val="14"/>
      <name val="ＭＳ Ｐゴシック"/>
      <family val="3"/>
      <charset val="128"/>
      <scheme val="minor"/>
    </font>
    <font>
      <b/>
      <sz val="12"/>
      <color theme="1"/>
      <name val="ＭＳ Ｐゴシック"/>
      <family val="3"/>
      <charset val="128"/>
      <scheme val="minor"/>
    </font>
    <font>
      <sz val="16"/>
      <color theme="1"/>
      <name val="Meiryo UI"/>
      <family val="3"/>
    </font>
    <font>
      <sz val="16"/>
      <name val="Meiryo UI"/>
      <family val="3"/>
      <charset val="128"/>
    </font>
    <font>
      <b/>
      <sz val="16"/>
      <color rgb="FF0070C0"/>
      <name val="Meiryo UI"/>
      <family val="3"/>
      <charset val="128"/>
    </font>
    <font>
      <sz val="16"/>
      <color rgb="FF0070C0"/>
      <name val="Meiryo UI"/>
      <family val="3"/>
      <charset val="128"/>
    </font>
    <font>
      <sz val="18"/>
      <name val="Meiryo UI"/>
      <family val="3"/>
      <charset val="128"/>
    </font>
    <font>
      <sz val="16"/>
      <color rgb="FFFF0000"/>
      <name val="Meiryo UI"/>
      <family val="3"/>
      <charset val="128"/>
    </font>
    <font>
      <b/>
      <sz val="16"/>
      <color rgb="FFFF0000"/>
      <name val="Meiryo UI"/>
      <family val="3"/>
      <charset val="128"/>
    </font>
    <font>
      <sz val="16"/>
      <name val="Meiryo UI"/>
      <family val="3"/>
    </font>
    <font>
      <b/>
      <sz val="16"/>
      <color rgb="FFFF0000"/>
      <name val="Meiryo UI"/>
      <family val="3"/>
    </font>
    <font>
      <sz val="16"/>
      <color rgb="FF1607DB"/>
      <name val="Meiryo UI"/>
      <family val="3"/>
      <charset val="128"/>
    </font>
    <font>
      <sz val="16"/>
      <color rgb="FFEE0000"/>
      <name val="Meiryo UI"/>
      <family val="3"/>
      <charset val="128"/>
    </font>
    <font>
      <sz val="16"/>
      <color rgb="FFFF0000"/>
      <name val="Meiryo UI"/>
      <family val="3"/>
    </font>
    <font>
      <b/>
      <sz val="16"/>
      <color rgb="FF1607DB"/>
      <name val="Meiryo UI"/>
      <family val="3"/>
      <charset val="128"/>
    </font>
    <font>
      <sz val="16"/>
      <color theme="0"/>
      <name val="Meiryo UI"/>
      <family val="3"/>
      <charset val="128"/>
    </font>
    <font>
      <b/>
      <sz val="16"/>
      <color theme="0"/>
      <name val="Meiryo UI"/>
      <family val="3"/>
      <charset val="128"/>
    </font>
    <font>
      <sz val="12"/>
      <color theme="1"/>
      <name val="Meiryo UI"/>
      <family val="3"/>
    </font>
    <font>
      <b/>
      <sz val="16"/>
      <color theme="1"/>
      <name val="Meiryo UI"/>
      <family val="3"/>
    </font>
    <font>
      <sz val="16"/>
      <color rgb="FFC00000"/>
      <name val="Meiryo UI"/>
      <family val="3"/>
      <charset val="128"/>
    </font>
    <font>
      <sz val="14"/>
      <color theme="1"/>
      <name val="Meiryo UI"/>
      <family val="3"/>
      <charset val="128"/>
    </font>
    <font>
      <sz val="18"/>
      <color theme="1"/>
      <name val="Meiryo UI"/>
      <family val="3"/>
      <charset val="128"/>
    </font>
    <font>
      <b/>
      <sz val="20"/>
      <color theme="1"/>
      <name val="Meiryo UI"/>
      <family val="3"/>
      <charset val="128"/>
    </font>
    <font>
      <b/>
      <sz val="28"/>
      <name val="Meiryo UI"/>
      <family val="3"/>
      <charset val="128"/>
    </font>
    <font>
      <b/>
      <sz val="24"/>
      <color theme="1"/>
      <name val="Meiryo UI"/>
      <family val="3"/>
      <charset val="128"/>
    </font>
    <font>
      <b/>
      <sz val="28"/>
      <color theme="1"/>
      <name val="Meiryo UI"/>
      <family val="3"/>
      <charset val="128"/>
    </font>
    <font>
      <b/>
      <sz val="26"/>
      <color theme="1"/>
      <name val="Meiryo UI"/>
      <family val="3"/>
      <charset val="128"/>
    </font>
    <font>
      <b/>
      <sz val="12"/>
      <color theme="2" tint="-9.9978637043366805E-2"/>
      <name val="Meiryo UI"/>
      <family val="3"/>
      <charset val="128"/>
    </font>
    <font>
      <sz val="12"/>
      <color theme="2" tint="-9.9978637043366805E-2"/>
      <name val="Meiryo UI"/>
      <family val="3"/>
      <charset val="128"/>
    </font>
    <font>
      <sz val="9"/>
      <color indexed="81"/>
      <name val="MS P ゴシック"/>
      <family val="3"/>
      <charset val="128"/>
    </font>
  </fonts>
  <fills count="29">
    <fill>
      <patternFill patternType="none"/>
    </fill>
    <fill>
      <patternFill patternType="gray125"/>
    </fill>
    <fill>
      <patternFill patternType="solid">
        <fgColor theme="9"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theme="8"/>
        <bgColor indexed="64"/>
      </patternFill>
    </fill>
    <fill>
      <patternFill patternType="solid">
        <fgColor rgb="FF92D05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FF66FF"/>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rgb="FF99FF99"/>
        <bgColor indexed="64"/>
      </patternFill>
    </fill>
    <fill>
      <patternFill patternType="solid">
        <fgColor rgb="FFFFCCFF"/>
        <bgColor indexed="64"/>
      </patternFill>
    </fill>
    <fill>
      <patternFill patternType="solid">
        <fgColor rgb="FFFFFF99"/>
        <bgColor indexed="64"/>
      </patternFill>
    </fill>
    <fill>
      <patternFill patternType="solid">
        <fgColor theme="8" tint="0.59999389629810485"/>
        <bgColor indexed="64"/>
      </patternFill>
    </fill>
    <fill>
      <patternFill patternType="solid">
        <fgColor rgb="FFCC99FF"/>
        <bgColor indexed="64"/>
      </patternFill>
    </fill>
    <fill>
      <patternFill patternType="solid">
        <fgColor rgb="FFFF99FF"/>
        <bgColor indexed="64"/>
      </patternFill>
    </fill>
    <fill>
      <patternFill patternType="solid">
        <fgColor theme="2" tint="-0.499984740745262"/>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CCCCFF"/>
        <bgColor indexed="64"/>
      </patternFill>
    </fill>
    <fill>
      <patternFill patternType="solid">
        <fgColor theme="2"/>
        <bgColor indexed="64"/>
      </patternFill>
    </fill>
    <fill>
      <patternFill patternType="solid">
        <fgColor theme="8" tint="0.79998168889431442"/>
        <bgColor indexed="64"/>
      </patternFill>
    </fill>
    <fill>
      <patternFill patternType="solid">
        <fgColor theme="0"/>
        <bgColor indexed="64"/>
      </patternFill>
    </fill>
  </fills>
  <borders count="293">
    <border>
      <left/>
      <right/>
      <top/>
      <bottom/>
      <diagonal/>
    </border>
    <border>
      <left style="medium">
        <color indexed="64"/>
      </left>
      <right/>
      <top/>
      <bottom/>
      <diagonal/>
    </border>
    <border>
      <left/>
      <right style="thick">
        <color indexed="64"/>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style="medium">
        <color indexed="64"/>
      </left>
      <right style="thick">
        <color indexed="64"/>
      </right>
      <top style="thick">
        <color indexed="64"/>
      </top>
      <bottom style="thick">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ck">
        <color indexed="64"/>
      </bottom>
      <diagonal/>
    </border>
    <border>
      <left style="medium">
        <color indexed="64"/>
      </left>
      <right style="medium">
        <color indexed="64"/>
      </right>
      <top style="medium">
        <color indexed="64"/>
      </top>
      <bottom/>
      <diagonal/>
    </border>
    <border>
      <left/>
      <right/>
      <top/>
      <bottom style="medium">
        <color indexed="64"/>
      </bottom>
      <diagonal/>
    </border>
    <border>
      <left style="thick">
        <color indexed="64"/>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auto="1"/>
      </right>
      <top style="thick">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top style="thick">
        <color indexed="64"/>
      </top>
      <bottom/>
      <diagonal/>
    </border>
    <border>
      <left style="thick">
        <color indexed="64"/>
      </left>
      <right style="thin">
        <color indexed="64"/>
      </right>
      <top style="thick">
        <color indexed="64"/>
      </top>
      <bottom/>
      <diagonal/>
    </border>
    <border>
      <left style="thin">
        <color indexed="64"/>
      </left>
      <right/>
      <top style="thick">
        <color indexed="64"/>
      </top>
      <bottom/>
      <diagonal/>
    </border>
    <border>
      <left style="thick">
        <color rgb="FFFF0000"/>
      </left>
      <right style="thick">
        <color rgb="FFFF0000"/>
      </right>
      <top style="thick">
        <color rgb="FFFF0000"/>
      </top>
      <bottom/>
      <diagonal/>
    </border>
    <border>
      <left/>
      <right style="thin">
        <color auto="1"/>
      </right>
      <top style="thick">
        <color indexed="64"/>
      </top>
      <bottom/>
      <diagonal/>
    </border>
    <border>
      <left style="thin">
        <color auto="1"/>
      </left>
      <right style="thick">
        <color auto="1"/>
      </right>
      <top style="thick">
        <color indexed="64"/>
      </top>
      <bottom/>
      <diagonal/>
    </border>
    <border>
      <left style="thick">
        <color indexed="64"/>
      </left>
      <right style="thin">
        <color indexed="64"/>
      </right>
      <top style="thick">
        <color indexed="64"/>
      </top>
      <bottom style="thin">
        <color indexed="64"/>
      </bottom>
      <diagonal/>
    </border>
    <border>
      <left style="medium">
        <color rgb="FFFF0000"/>
      </left>
      <right style="medium">
        <color rgb="FFFF0000"/>
      </right>
      <top style="medium">
        <color rgb="FFFF0000"/>
      </top>
      <bottom style="thin">
        <color indexed="64"/>
      </bottom>
      <diagonal/>
    </border>
    <border>
      <left style="thin">
        <color indexed="64"/>
      </left>
      <right style="thick">
        <color indexed="64"/>
      </right>
      <top style="thick">
        <color indexed="64"/>
      </top>
      <bottom style="thin">
        <color indexed="64"/>
      </bottom>
      <diagonal/>
    </border>
    <border>
      <left/>
      <right style="thick">
        <color indexed="64"/>
      </right>
      <top style="thick">
        <color indexed="64"/>
      </top>
      <bottom style="thin">
        <color indexed="64"/>
      </bottom>
      <diagonal/>
    </border>
    <border>
      <left style="medium">
        <color rgb="FFFF0000"/>
      </left>
      <right style="medium">
        <color rgb="FFFF0000"/>
      </right>
      <top style="thick">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auto="1"/>
      </top>
      <bottom/>
      <diagonal/>
    </border>
    <border>
      <left/>
      <right style="medium">
        <color indexed="64"/>
      </right>
      <top style="medium">
        <color indexed="64"/>
      </top>
      <bottom/>
      <diagonal/>
    </border>
    <border>
      <left style="medium">
        <color indexed="64"/>
      </left>
      <right style="medium">
        <color indexed="64"/>
      </right>
      <top style="thick">
        <color indexed="64"/>
      </top>
      <bottom style="thin">
        <color indexed="64"/>
      </bottom>
      <diagonal/>
    </border>
    <border>
      <left style="thick">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ck">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ck">
        <color indexed="64"/>
      </left>
      <right style="thin">
        <color indexed="64"/>
      </right>
      <top/>
      <bottom style="medium">
        <color indexed="64"/>
      </bottom>
      <diagonal/>
    </border>
    <border>
      <left style="thin">
        <color auto="1"/>
      </left>
      <right style="thin">
        <color auto="1"/>
      </right>
      <top/>
      <bottom/>
      <diagonal/>
    </border>
    <border>
      <left style="thin">
        <color indexed="64"/>
      </left>
      <right/>
      <top/>
      <bottom style="medium">
        <color indexed="64"/>
      </bottom>
      <diagonal/>
    </border>
    <border>
      <left style="thick">
        <color rgb="FFFF0000"/>
      </left>
      <right style="thick">
        <color rgb="FFFF0000"/>
      </right>
      <top/>
      <bottom style="medium">
        <color indexed="64"/>
      </bottom>
      <diagonal/>
    </border>
    <border>
      <left/>
      <right style="thin">
        <color indexed="64"/>
      </right>
      <top/>
      <bottom style="medium">
        <color indexed="64"/>
      </bottom>
      <diagonal/>
    </border>
    <border>
      <left style="thin">
        <color indexed="64"/>
      </left>
      <right style="thin">
        <color indexed="64"/>
      </right>
      <top/>
      <bottom style="double">
        <color indexed="64"/>
      </bottom>
      <diagonal/>
    </border>
    <border>
      <left style="thin">
        <color indexed="64"/>
      </left>
      <right style="thick">
        <color indexed="64"/>
      </right>
      <top/>
      <bottom style="medium">
        <color indexed="64"/>
      </bottom>
      <diagonal/>
    </border>
    <border>
      <left style="medium">
        <color rgb="FFFF0000"/>
      </left>
      <right style="medium">
        <color rgb="FFFF0000"/>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n">
        <color indexed="64"/>
      </left>
      <right style="dotted">
        <color indexed="64"/>
      </right>
      <top style="thin">
        <color indexed="64"/>
      </top>
      <bottom style="medium">
        <color indexed="64"/>
      </bottom>
      <diagonal/>
    </border>
    <border>
      <left style="dotted">
        <color indexed="64"/>
      </left>
      <right style="thin">
        <color auto="1"/>
      </right>
      <top style="thin">
        <color indexed="64"/>
      </top>
      <bottom style="medium">
        <color indexed="64"/>
      </bottom>
      <diagonal/>
    </border>
    <border>
      <left style="dotted">
        <color indexed="64"/>
      </left>
      <right style="thick">
        <color indexed="64"/>
      </right>
      <top style="thin">
        <color indexed="64"/>
      </top>
      <bottom style="medium">
        <color indexed="64"/>
      </bottom>
      <diagonal/>
    </border>
    <border>
      <left/>
      <right style="thin">
        <color auto="1"/>
      </right>
      <top style="thick">
        <color indexed="64"/>
      </top>
      <bottom style="medium">
        <color indexed="64"/>
      </bottom>
      <diagonal/>
    </border>
    <border>
      <left style="thin">
        <color indexed="64"/>
      </left>
      <right/>
      <top style="thick">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ck">
        <color indexed="64"/>
      </left>
      <right style="thin">
        <color indexed="64"/>
      </right>
      <top/>
      <bottom/>
      <diagonal/>
    </border>
    <border>
      <left style="thin">
        <color auto="1"/>
      </left>
      <right style="thin">
        <color auto="1"/>
      </right>
      <top/>
      <bottom style="dotted">
        <color auto="1"/>
      </bottom>
      <diagonal/>
    </border>
    <border>
      <left style="thin">
        <color auto="1"/>
      </left>
      <right/>
      <top/>
      <bottom/>
      <diagonal/>
    </border>
    <border>
      <left style="thick">
        <color indexed="64"/>
      </left>
      <right/>
      <top/>
      <bottom/>
      <diagonal/>
    </border>
    <border>
      <left style="thick">
        <color rgb="FFFF0000"/>
      </left>
      <right style="thick">
        <color rgb="FFFF0000"/>
      </right>
      <top/>
      <bottom/>
      <diagonal/>
    </border>
    <border>
      <left/>
      <right style="thin">
        <color indexed="64"/>
      </right>
      <top/>
      <bottom/>
      <diagonal/>
    </border>
    <border>
      <left style="medium">
        <color indexed="64"/>
      </left>
      <right style="thin">
        <color indexed="64"/>
      </right>
      <top style="thin">
        <color indexed="64"/>
      </top>
      <bottom/>
      <diagonal/>
    </border>
    <border>
      <left style="thin">
        <color auto="1"/>
      </left>
      <right style="thin">
        <color auto="1"/>
      </right>
      <top style="thin">
        <color auto="1"/>
      </top>
      <bottom/>
      <diagonal/>
    </border>
    <border>
      <left style="thin">
        <color indexed="64"/>
      </left>
      <right style="thick">
        <color indexed="64"/>
      </right>
      <top style="thin">
        <color indexed="64"/>
      </top>
      <bottom/>
      <diagonal/>
    </border>
    <border>
      <left style="medium">
        <color rgb="FFFF0000"/>
      </left>
      <right style="medium">
        <color rgb="FFFF0000"/>
      </right>
      <top/>
      <bottom/>
      <diagonal/>
    </border>
    <border>
      <left style="thin">
        <color indexed="64"/>
      </left>
      <right style="thick">
        <color indexed="64"/>
      </right>
      <top/>
      <bottom/>
      <diagonal/>
    </border>
    <border>
      <left style="thin">
        <color indexed="64"/>
      </left>
      <right style="dotted">
        <color indexed="64"/>
      </right>
      <top/>
      <bottom style="dotted">
        <color auto="1"/>
      </bottom>
      <diagonal/>
    </border>
    <border>
      <left style="dotted">
        <color indexed="64"/>
      </left>
      <right style="thin">
        <color auto="1"/>
      </right>
      <top/>
      <bottom style="dotted">
        <color auto="1"/>
      </bottom>
      <diagonal/>
    </border>
    <border>
      <left/>
      <right style="thin">
        <color auto="1"/>
      </right>
      <top/>
      <bottom style="dotted">
        <color auto="1"/>
      </bottom>
      <diagonal/>
    </border>
    <border>
      <left style="dotted">
        <color indexed="64"/>
      </left>
      <right/>
      <top/>
      <bottom style="dotted">
        <color auto="1"/>
      </bottom>
      <diagonal/>
    </border>
    <border>
      <left style="medium">
        <color indexed="64"/>
      </left>
      <right style="thin">
        <color indexed="64"/>
      </right>
      <top/>
      <bottom/>
      <diagonal/>
    </border>
    <border>
      <left style="thin">
        <color auto="1"/>
      </left>
      <right/>
      <top/>
      <bottom style="dotted">
        <color auto="1"/>
      </bottom>
      <diagonal/>
    </border>
    <border>
      <left/>
      <right/>
      <top style="thick">
        <color rgb="FFFF0000"/>
      </top>
      <bottom/>
      <diagonal/>
    </border>
    <border>
      <left style="thick">
        <color indexed="64"/>
      </left>
      <right/>
      <top style="thick">
        <color rgb="FFFF0000"/>
      </top>
      <bottom/>
      <diagonal/>
    </border>
    <border>
      <left/>
      <right style="thick">
        <color indexed="64"/>
      </right>
      <top style="thick">
        <color rgb="FFFF0000"/>
      </top>
      <bottom/>
      <diagonal/>
    </border>
    <border>
      <left style="thin">
        <color auto="1"/>
      </left>
      <right style="thin">
        <color auto="1"/>
      </right>
      <top style="dotted">
        <color auto="1"/>
      </top>
      <bottom style="dotted">
        <color auto="1"/>
      </bottom>
      <diagonal/>
    </border>
    <border>
      <left style="thick">
        <color indexed="64"/>
      </left>
      <right/>
      <top style="dotted">
        <color indexed="64"/>
      </top>
      <bottom/>
      <diagonal/>
    </border>
    <border>
      <left/>
      <right/>
      <top style="dotted">
        <color indexed="64"/>
      </top>
      <bottom/>
      <diagonal/>
    </border>
    <border>
      <left style="thick">
        <color rgb="FFFF0000"/>
      </left>
      <right style="thick">
        <color rgb="FFFF0000"/>
      </right>
      <top style="dotted">
        <color auto="1"/>
      </top>
      <bottom/>
      <diagonal/>
    </border>
    <border>
      <left/>
      <right style="thick">
        <color indexed="64"/>
      </right>
      <top style="dotted">
        <color indexed="64"/>
      </top>
      <bottom/>
      <diagonal/>
    </border>
    <border>
      <left style="thick">
        <color indexed="64"/>
      </left>
      <right style="thin">
        <color auto="1"/>
      </right>
      <top style="dotted">
        <color auto="1"/>
      </top>
      <bottom/>
      <diagonal/>
    </border>
    <border>
      <left style="thin">
        <color auto="1"/>
      </left>
      <right style="thin">
        <color auto="1"/>
      </right>
      <top style="dotted">
        <color auto="1"/>
      </top>
      <bottom/>
      <diagonal/>
    </border>
    <border>
      <left/>
      <right style="thin">
        <color indexed="64"/>
      </right>
      <top style="dotted">
        <color indexed="64"/>
      </top>
      <bottom/>
      <diagonal/>
    </border>
    <border>
      <left style="thin">
        <color auto="1"/>
      </left>
      <right/>
      <top style="dotted">
        <color auto="1"/>
      </top>
      <bottom/>
      <diagonal/>
    </border>
    <border>
      <left style="medium">
        <color rgb="FFFF0000"/>
      </left>
      <right style="medium">
        <color rgb="FFFF0000"/>
      </right>
      <top style="dotted">
        <color auto="1"/>
      </top>
      <bottom/>
      <diagonal/>
    </border>
    <border>
      <left style="thin">
        <color indexed="64"/>
      </left>
      <right style="thick">
        <color indexed="64"/>
      </right>
      <top style="dotted">
        <color indexed="64"/>
      </top>
      <bottom/>
      <diagonal/>
    </border>
    <border>
      <left style="thin">
        <color indexed="64"/>
      </left>
      <right style="dotted">
        <color indexed="64"/>
      </right>
      <top style="dotted">
        <color auto="1"/>
      </top>
      <bottom style="dotted">
        <color auto="1"/>
      </bottom>
      <diagonal/>
    </border>
    <border>
      <left style="dotted">
        <color indexed="64"/>
      </left>
      <right style="thin">
        <color auto="1"/>
      </right>
      <top style="dotted">
        <color auto="1"/>
      </top>
      <bottom style="dotted">
        <color auto="1"/>
      </bottom>
      <diagonal/>
    </border>
    <border>
      <left/>
      <right style="thin">
        <color indexed="64"/>
      </right>
      <top style="dotted">
        <color indexed="64"/>
      </top>
      <bottom style="dotted">
        <color indexed="64"/>
      </bottom>
      <diagonal/>
    </border>
    <border>
      <left style="dotted">
        <color indexed="64"/>
      </left>
      <right/>
      <top style="dotted">
        <color auto="1"/>
      </top>
      <bottom style="dotted">
        <color auto="1"/>
      </bottom>
      <diagonal/>
    </border>
    <border>
      <left style="thin">
        <color auto="1"/>
      </left>
      <right style="medium">
        <color indexed="64"/>
      </right>
      <top/>
      <bottom/>
      <diagonal/>
    </border>
    <border>
      <left style="thin">
        <color auto="1"/>
      </left>
      <right/>
      <top style="dotted">
        <color auto="1"/>
      </top>
      <bottom style="dotted">
        <color auto="1"/>
      </bottom>
      <diagonal/>
    </border>
    <border>
      <left/>
      <right/>
      <top style="medium">
        <color indexed="64"/>
      </top>
      <bottom/>
      <diagonal/>
    </border>
    <border>
      <left/>
      <right style="thick">
        <color auto="1"/>
      </right>
      <top style="medium">
        <color auto="1"/>
      </top>
      <bottom/>
      <diagonal/>
    </border>
    <border>
      <left style="thick">
        <color indexed="64"/>
      </left>
      <right/>
      <top style="medium">
        <color indexed="64"/>
      </top>
      <bottom/>
      <diagonal/>
    </border>
    <border>
      <left style="thick">
        <color indexed="64"/>
      </left>
      <right style="thin">
        <color auto="1"/>
      </right>
      <top style="dotted">
        <color auto="1"/>
      </top>
      <bottom style="thin">
        <color auto="1"/>
      </bottom>
      <diagonal/>
    </border>
    <border>
      <left style="thin">
        <color auto="1"/>
      </left>
      <right style="thin">
        <color auto="1"/>
      </right>
      <top style="dotted">
        <color auto="1"/>
      </top>
      <bottom style="thin">
        <color auto="1"/>
      </bottom>
      <diagonal/>
    </border>
    <border>
      <left style="thin">
        <color auto="1"/>
      </left>
      <right/>
      <top style="dotted">
        <color auto="1"/>
      </top>
      <bottom style="thin">
        <color auto="1"/>
      </bottom>
      <diagonal/>
    </border>
    <border>
      <left style="medium">
        <color rgb="FFFF0000"/>
      </left>
      <right style="medium">
        <color rgb="FFFF0000"/>
      </right>
      <top style="dotted">
        <color auto="1"/>
      </top>
      <bottom style="thin">
        <color auto="1"/>
      </bottom>
      <diagonal/>
    </border>
    <border>
      <left/>
      <right style="thin">
        <color auto="1"/>
      </right>
      <top style="dotted">
        <color auto="1"/>
      </top>
      <bottom style="thin">
        <color auto="1"/>
      </bottom>
      <diagonal/>
    </border>
    <border>
      <left style="thin">
        <color indexed="64"/>
      </left>
      <right style="dotted">
        <color indexed="64"/>
      </right>
      <top style="dotted">
        <color auto="1"/>
      </top>
      <bottom/>
      <diagonal/>
    </border>
    <border>
      <left style="dotted">
        <color indexed="64"/>
      </left>
      <right style="thin">
        <color auto="1"/>
      </right>
      <top style="dotted">
        <color auto="1"/>
      </top>
      <bottom/>
      <diagonal/>
    </border>
    <border>
      <left style="medium">
        <color indexed="64"/>
      </left>
      <right style="thin">
        <color indexed="64"/>
      </right>
      <top/>
      <bottom style="thin">
        <color auto="1"/>
      </bottom>
      <diagonal/>
    </border>
    <border>
      <left style="thin">
        <color auto="1"/>
      </left>
      <right style="thin">
        <color auto="1"/>
      </right>
      <top/>
      <bottom style="thin">
        <color auto="1"/>
      </bottom>
      <diagonal/>
    </border>
    <border>
      <left style="thin">
        <color indexed="64"/>
      </left>
      <right/>
      <top/>
      <bottom style="thin">
        <color auto="1"/>
      </bottom>
      <diagonal/>
    </border>
    <border>
      <left style="thin">
        <color auto="1"/>
      </left>
      <right style="thin">
        <color auto="1"/>
      </right>
      <top style="thin">
        <color auto="1"/>
      </top>
      <bottom style="dotted">
        <color auto="1"/>
      </bottom>
      <diagonal/>
    </border>
    <border>
      <left style="thin">
        <color indexed="64"/>
      </left>
      <right/>
      <top style="thin">
        <color indexed="64"/>
      </top>
      <bottom/>
      <diagonal/>
    </border>
    <border>
      <left/>
      <right/>
      <top style="thin">
        <color indexed="64"/>
      </top>
      <bottom/>
      <diagonal/>
    </border>
    <border>
      <left style="thick">
        <color rgb="FFFF0000"/>
      </left>
      <right style="thick">
        <color rgb="FFFF0000"/>
      </right>
      <top style="thin">
        <color auto="1"/>
      </top>
      <bottom/>
      <diagonal/>
    </border>
    <border>
      <left/>
      <right style="thin">
        <color indexed="64"/>
      </right>
      <top style="thin">
        <color indexed="64"/>
      </top>
      <bottom/>
      <diagonal/>
    </border>
    <border>
      <left style="thick">
        <color indexed="64"/>
      </left>
      <right style="thin">
        <color auto="1"/>
      </right>
      <top style="thin">
        <color auto="1"/>
      </top>
      <bottom style="dotted">
        <color auto="1"/>
      </bottom>
      <diagonal/>
    </border>
    <border>
      <left/>
      <right style="thin">
        <color indexed="64"/>
      </right>
      <top style="thin">
        <color indexed="64"/>
      </top>
      <bottom style="dotted">
        <color indexed="64"/>
      </bottom>
      <diagonal/>
    </border>
    <border>
      <left style="thin">
        <color auto="1"/>
      </left>
      <right/>
      <top style="thin">
        <color auto="1"/>
      </top>
      <bottom style="dotted">
        <color auto="1"/>
      </bottom>
      <diagonal/>
    </border>
    <border>
      <left style="medium">
        <color rgb="FFFF0000"/>
      </left>
      <right style="medium">
        <color rgb="FFFF0000"/>
      </right>
      <top style="thin">
        <color auto="1"/>
      </top>
      <bottom style="dotted">
        <color auto="1"/>
      </bottom>
      <diagonal/>
    </border>
    <border>
      <left/>
      <right/>
      <top style="thin">
        <color indexed="64"/>
      </top>
      <bottom style="dotted">
        <color indexed="64"/>
      </bottom>
      <diagonal/>
    </border>
    <border>
      <left style="thin">
        <color auto="1"/>
      </left>
      <right style="thick">
        <color indexed="64"/>
      </right>
      <top style="thin">
        <color auto="1"/>
      </top>
      <bottom style="dotted">
        <color auto="1"/>
      </bottom>
      <diagonal/>
    </border>
    <border>
      <left style="thin">
        <color indexed="64"/>
      </left>
      <right style="dotted">
        <color indexed="64"/>
      </right>
      <top style="thin">
        <color auto="1"/>
      </top>
      <bottom style="dotted">
        <color auto="1"/>
      </bottom>
      <diagonal/>
    </border>
    <border>
      <left style="dotted">
        <color indexed="64"/>
      </left>
      <right style="thin">
        <color auto="1"/>
      </right>
      <top style="thin">
        <color auto="1"/>
      </top>
      <bottom style="dotted">
        <color auto="1"/>
      </bottom>
      <diagonal/>
    </border>
    <border>
      <left style="thin">
        <color indexed="64"/>
      </left>
      <right style="dotted">
        <color indexed="64"/>
      </right>
      <top style="thin">
        <color auto="1"/>
      </top>
      <bottom style="hair">
        <color indexed="64"/>
      </bottom>
      <diagonal/>
    </border>
    <border>
      <left style="dotted">
        <color indexed="64"/>
      </left>
      <right style="thin">
        <color auto="1"/>
      </right>
      <top style="thin">
        <color auto="1"/>
      </top>
      <bottom style="hair">
        <color indexed="64"/>
      </bottom>
      <diagonal/>
    </border>
    <border>
      <left style="thin">
        <color auto="1"/>
      </left>
      <right style="thin">
        <color auto="1"/>
      </right>
      <top style="thin">
        <color auto="1"/>
      </top>
      <bottom style="hair">
        <color auto="1"/>
      </bottom>
      <diagonal/>
    </border>
    <border>
      <left/>
      <right style="thin">
        <color indexed="64"/>
      </right>
      <top style="thin">
        <color indexed="64"/>
      </top>
      <bottom style="hair">
        <color indexed="64"/>
      </bottom>
      <diagonal/>
    </border>
    <border>
      <left style="dotted">
        <color indexed="64"/>
      </left>
      <right/>
      <top style="thin">
        <color auto="1"/>
      </top>
      <bottom style="hair">
        <color indexed="64"/>
      </bottom>
      <diagonal/>
    </border>
    <border>
      <left style="thick">
        <color indexed="64"/>
      </left>
      <right/>
      <top style="thin">
        <color indexed="64"/>
      </top>
      <bottom/>
      <diagonal/>
    </border>
    <border>
      <left style="thin">
        <color indexed="64"/>
      </left>
      <right style="dotted">
        <color indexed="64"/>
      </right>
      <top style="hair">
        <color indexed="64"/>
      </top>
      <bottom style="hair">
        <color indexed="64"/>
      </bottom>
      <diagonal/>
    </border>
    <border>
      <left style="dotted">
        <color indexed="64"/>
      </left>
      <right style="thin">
        <color auto="1"/>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tted">
        <color indexed="64"/>
      </left>
      <right/>
      <top style="hair">
        <color indexed="64"/>
      </top>
      <bottom style="hair">
        <color indexed="64"/>
      </bottom>
      <diagonal/>
    </border>
    <border>
      <left style="thin">
        <color auto="1"/>
      </left>
      <right style="medium">
        <color indexed="64"/>
      </right>
      <top style="thin">
        <color auto="1"/>
      </top>
      <bottom/>
      <diagonal/>
    </border>
    <border>
      <left style="thin">
        <color indexed="64"/>
      </left>
      <right style="thin">
        <color indexed="64"/>
      </right>
      <top style="hair">
        <color indexed="64"/>
      </top>
      <bottom style="hair">
        <color indexed="64"/>
      </bottom>
      <diagonal/>
    </border>
    <border>
      <left style="dotted">
        <color indexed="64"/>
      </left>
      <right style="medium">
        <color indexed="64"/>
      </right>
      <top style="hair">
        <color indexed="64"/>
      </top>
      <bottom style="hair">
        <color indexed="64"/>
      </bottom>
      <diagonal/>
    </border>
    <border>
      <left style="thin">
        <color indexed="64"/>
      </left>
      <right style="dotted">
        <color indexed="64"/>
      </right>
      <top style="hair">
        <color indexed="64"/>
      </top>
      <bottom/>
      <diagonal/>
    </border>
    <border>
      <left style="dotted">
        <color indexed="64"/>
      </left>
      <right style="thin">
        <color auto="1"/>
      </right>
      <top style="hair">
        <color indexed="64"/>
      </top>
      <bottom/>
      <diagonal/>
    </border>
    <border>
      <left style="thin">
        <color indexed="64"/>
      </left>
      <right style="thin">
        <color indexed="64"/>
      </right>
      <top style="hair">
        <color indexed="64"/>
      </top>
      <bottom/>
      <diagonal/>
    </border>
    <border>
      <left/>
      <right style="thin">
        <color auto="1"/>
      </right>
      <top style="hair">
        <color auto="1"/>
      </top>
      <bottom/>
      <diagonal/>
    </border>
    <border>
      <left style="dotted">
        <color indexed="64"/>
      </left>
      <right/>
      <top style="hair">
        <color indexed="64"/>
      </top>
      <bottom/>
      <diagonal/>
    </border>
    <border>
      <left style="thin">
        <color indexed="64"/>
      </left>
      <right style="dotted">
        <color indexed="64"/>
      </right>
      <top/>
      <bottom/>
      <diagonal/>
    </border>
    <border>
      <left style="dotted">
        <color indexed="64"/>
      </left>
      <right style="thin">
        <color auto="1"/>
      </right>
      <top/>
      <bottom/>
      <diagonal/>
    </border>
    <border>
      <left style="dotted">
        <color indexed="64"/>
      </left>
      <right/>
      <top/>
      <bottom/>
      <diagonal/>
    </border>
    <border>
      <left style="thin">
        <color indexed="64"/>
      </left>
      <right style="thick">
        <color indexed="64"/>
      </right>
      <top style="dotted">
        <color indexed="64"/>
      </top>
      <bottom style="thin">
        <color indexed="64"/>
      </bottom>
      <diagonal/>
    </border>
    <border>
      <left style="thin">
        <color indexed="64"/>
      </left>
      <right style="dotted">
        <color indexed="64"/>
      </right>
      <top style="dotted">
        <color auto="1"/>
      </top>
      <bottom style="thin">
        <color auto="1"/>
      </bottom>
      <diagonal/>
    </border>
    <border>
      <left style="dotted">
        <color indexed="64"/>
      </left>
      <right style="thin">
        <color auto="1"/>
      </right>
      <top style="dotted">
        <color auto="1"/>
      </top>
      <bottom style="thin">
        <color auto="1"/>
      </bottom>
      <diagonal/>
    </border>
    <border>
      <left style="dotted">
        <color indexed="64"/>
      </left>
      <right style="medium">
        <color indexed="64"/>
      </right>
      <top style="dotted">
        <color indexed="64"/>
      </top>
      <bottom style="thin">
        <color auto="1"/>
      </bottom>
      <diagonal/>
    </border>
    <border>
      <left style="thick">
        <color indexed="64"/>
      </left>
      <right/>
      <top style="thin">
        <color auto="1"/>
      </top>
      <bottom style="dotted">
        <color indexed="64"/>
      </bottom>
      <diagonal/>
    </border>
    <border>
      <left style="thin">
        <color auto="1"/>
      </left>
      <right style="thin">
        <color auto="1"/>
      </right>
      <top style="medium">
        <color indexed="64"/>
      </top>
      <bottom style="dotted">
        <color auto="1"/>
      </bottom>
      <diagonal/>
    </border>
    <border>
      <left style="thick">
        <color rgb="FFFF0000"/>
      </left>
      <right style="thick">
        <color rgb="FFFF0000"/>
      </right>
      <top style="thin">
        <color auto="1"/>
      </top>
      <bottom style="dotted">
        <color auto="1"/>
      </bottom>
      <diagonal/>
    </border>
    <border>
      <left style="dotted">
        <color indexed="64"/>
      </left>
      <right/>
      <top style="thin">
        <color auto="1"/>
      </top>
      <bottom style="dotted">
        <color auto="1"/>
      </bottom>
      <diagonal/>
    </border>
    <border>
      <left style="medium">
        <color indexed="64"/>
      </left>
      <right style="hair">
        <color indexed="64"/>
      </right>
      <top/>
      <bottom/>
      <diagonal/>
    </border>
    <border>
      <left style="hair">
        <color indexed="64"/>
      </left>
      <right/>
      <top/>
      <bottom/>
      <diagonal/>
    </border>
    <border>
      <left/>
      <right style="hair">
        <color indexed="64"/>
      </right>
      <top/>
      <bottom/>
      <diagonal/>
    </border>
    <border>
      <left style="hair">
        <color auto="1"/>
      </left>
      <right style="medium">
        <color auto="1"/>
      </right>
      <top/>
      <bottom/>
      <diagonal/>
    </border>
    <border>
      <left style="thick">
        <color indexed="64"/>
      </left>
      <right/>
      <top style="dotted">
        <color auto="1"/>
      </top>
      <bottom style="thin">
        <color auto="1"/>
      </bottom>
      <diagonal/>
    </border>
    <border>
      <left/>
      <right/>
      <top style="dotted">
        <color auto="1"/>
      </top>
      <bottom style="thin">
        <color auto="1"/>
      </bottom>
      <diagonal/>
    </border>
    <border>
      <left style="thick">
        <color rgb="FFFF0000"/>
      </left>
      <right style="thick">
        <color rgb="FFFF0000"/>
      </right>
      <top style="dotted">
        <color auto="1"/>
      </top>
      <bottom style="thin">
        <color auto="1"/>
      </bottom>
      <diagonal/>
    </border>
    <border>
      <left/>
      <right style="thick">
        <color indexed="64"/>
      </right>
      <top style="dotted">
        <color indexed="64"/>
      </top>
      <bottom style="thin">
        <color indexed="64"/>
      </bottom>
      <diagonal/>
    </border>
    <border>
      <left style="dotted">
        <color indexed="64"/>
      </left>
      <right/>
      <top style="dotted">
        <color auto="1"/>
      </top>
      <bottom style="thin">
        <color auto="1"/>
      </bottom>
      <diagonal/>
    </border>
    <border>
      <left style="thick">
        <color indexed="64"/>
      </left>
      <right style="thin">
        <color indexed="64"/>
      </right>
      <top style="thin">
        <color indexed="64"/>
      </top>
      <bottom/>
      <diagonal/>
    </border>
    <border>
      <left style="medium">
        <color indexed="64"/>
      </left>
      <right style="hair">
        <color indexed="64"/>
      </right>
      <top style="thin">
        <color indexed="64"/>
      </top>
      <bottom/>
      <diagonal/>
    </border>
    <border>
      <left style="hair">
        <color indexed="64"/>
      </left>
      <right/>
      <top style="thin">
        <color indexed="64"/>
      </top>
      <bottom/>
      <diagonal/>
    </border>
    <border>
      <left/>
      <right style="thick">
        <color auto="1"/>
      </right>
      <top style="thin">
        <color auto="1"/>
      </top>
      <bottom/>
      <diagonal/>
    </border>
    <border>
      <left/>
      <right style="hair">
        <color indexed="64"/>
      </right>
      <top style="thin">
        <color indexed="64"/>
      </top>
      <bottom/>
      <diagonal/>
    </border>
    <border>
      <left style="hair">
        <color auto="1"/>
      </left>
      <right style="medium">
        <color auto="1"/>
      </right>
      <top style="thin">
        <color indexed="64"/>
      </top>
      <bottom/>
      <diagonal/>
    </border>
    <border>
      <left style="medium">
        <color indexed="64"/>
      </left>
      <right style="hair">
        <color indexed="64"/>
      </right>
      <top/>
      <bottom style="thin">
        <color indexed="64"/>
      </bottom>
      <diagonal/>
    </border>
    <border>
      <left/>
      <right/>
      <top/>
      <bottom style="thin">
        <color indexed="64"/>
      </bottom>
      <diagonal/>
    </border>
    <border>
      <left style="hair">
        <color indexed="64"/>
      </left>
      <right/>
      <top/>
      <bottom style="thin">
        <color indexed="64"/>
      </bottom>
      <diagonal/>
    </border>
    <border>
      <left/>
      <right style="thick">
        <color auto="1"/>
      </right>
      <top/>
      <bottom style="thin">
        <color auto="1"/>
      </bottom>
      <diagonal/>
    </border>
    <border>
      <left/>
      <right style="hair">
        <color indexed="64"/>
      </right>
      <top/>
      <bottom style="thin">
        <color indexed="64"/>
      </bottom>
      <diagonal/>
    </border>
    <border>
      <left style="hair">
        <color indexed="64"/>
      </left>
      <right style="medium">
        <color indexed="64"/>
      </right>
      <top/>
      <bottom style="thin">
        <color indexed="64"/>
      </bottom>
      <diagonal/>
    </border>
    <border>
      <left style="thick">
        <color indexed="64"/>
      </left>
      <right/>
      <top/>
      <bottom style="thin">
        <color auto="1"/>
      </bottom>
      <diagonal/>
    </border>
    <border>
      <left style="medium">
        <color rgb="FFFF0000"/>
      </left>
      <right style="medium">
        <color rgb="FFFF0000"/>
      </right>
      <top style="thin">
        <color auto="1"/>
      </top>
      <bottom/>
      <diagonal/>
    </border>
    <border>
      <left style="thin">
        <color indexed="64"/>
      </left>
      <right style="dotted">
        <color indexed="64"/>
      </right>
      <top style="thin">
        <color indexed="64"/>
      </top>
      <bottom/>
      <diagonal/>
    </border>
    <border>
      <left style="dotted">
        <color indexed="64"/>
      </left>
      <right style="thin">
        <color auto="1"/>
      </right>
      <top style="thin">
        <color indexed="64"/>
      </top>
      <bottom/>
      <diagonal/>
    </border>
    <border>
      <left style="dotted">
        <color indexed="64"/>
      </left>
      <right/>
      <top style="thin">
        <color indexed="64"/>
      </top>
      <bottom/>
      <diagonal/>
    </border>
    <border>
      <left style="medium">
        <color indexed="64"/>
      </left>
      <right/>
      <top style="thin">
        <color auto="1"/>
      </top>
      <bottom/>
      <diagonal/>
    </border>
    <border>
      <left style="thick">
        <color indexed="64"/>
      </left>
      <right/>
      <top/>
      <bottom style="dotted">
        <color indexed="64"/>
      </bottom>
      <diagonal/>
    </border>
    <border>
      <left style="thin">
        <color auto="1"/>
      </left>
      <right style="thin">
        <color auto="1"/>
      </right>
      <top style="dotted">
        <color auto="1"/>
      </top>
      <bottom style="medium">
        <color indexed="64"/>
      </bottom>
      <diagonal/>
    </border>
    <border>
      <left/>
      <right/>
      <top style="dotted">
        <color auto="1"/>
      </top>
      <bottom style="medium">
        <color indexed="64"/>
      </bottom>
      <diagonal/>
    </border>
    <border>
      <left/>
      <right style="thick">
        <color indexed="64"/>
      </right>
      <top style="dotted">
        <color auto="1"/>
      </top>
      <bottom style="medium">
        <color indexed="64"/>
      </bottom>
      <diagonal/>
    </border>
    <border>
      <left style="thin">
        <color indexed="64"/>
      </left>
      <right style="dotted">
        <color indexed="64"/>
      </right>
      <top style="dotted">
        <color auto="1"/>
      </top>
      <bottom style="medium">
        <color indexed="64"/>
      </bottom>
      <diagonal/>
    </border>
    <border>
      <left style="dotted">
        <color indexed="64"/>
      </left>
      <right style="thin">
        <color auto="1"/>
      </right>
      <top style="dotted">
        <color auto="1"/>
      </top>
      <bottom style="medium">
        <color indexed="64"/>
      </bottom>
      <diagonal/>
    </border>
    <border>
      <left/>
      <right style="thin">
        <color indexed="64"/>
      </right>
      <top style="dotted">
        <color indexed="64"/>
      </top>
      <bottom style="medium">
        <color indexed="64"/>
      </bottom>
      <diagonal/>
    </border>
    <border>
      <left style="dotted">
        <color indexed="64"/>
      </left>
      <right/>
      <top style="dotted">
        <color auto="1"/>
      </top>
      <bottom style="medium">
        <color indexed="64"/>
      </bottom>
      <diagonal/>
    </border>
    <border>
      <left style="thin">
        <color auto="1"/>
      </left>
      <right/>
      <top style="dotted">
        <color auto="1"/>
      </top>
      <bottom style="medium">
        <color indexed="64"/>
      </bottom>
      <diagonal/>
    </border>
    <border>
      <left style="thick">
        <color indexed="64"/>
      </left>
      <right/>
      <top style="dotted">
        <color auto="1"/>
      </top>
      <bottom style="medium">
        <color indexed="64"/>
      </bottom>
      <diagonal/>
    </border>
    <border>
      <left style="thick">
        <color rgb="FFFF0000"/>
      </left>
      <right style="thick">
        <color rgb="FFFF0000"/>
      </right>
      <top style="dotted">
        <color auto="1"/>
      </top>
      <bottom style="medium">
        <color indexed="64"/>
      </bottom>
      <diagonal/>
    </border>
    <border>
      <left style="thick">
        <color indexed="64"/>
      </left>
      <right style="thin">
        <color auto="1"/>
      </right>
      <top style="dotted">
        <color auto="1"/>
      </top>
      <bottom style="medium">
        <color indexed="64"/>
      </bottom>
      <diagonal/>
    </border>
    <border>
      <left style="medium">
        <color rgb="FFFF0000"/>
      </left>
      <right style="medium">
        <color rgb="FFFF0000"/>
      </right>
      <top style="dotted">
        <color auto="1"/>
      </top>
      <bottom style="medium">
        <color indexed="64"/>
      </bottom>
      <diagonal/>
    </border>
    <border>
      <left style="thin">
        <color indexed="64"/>
      </left>
      <right style="thick">
        <color indexed="64"/>
      </right>
      <top style="dotted">
        <color indexed="64"/>
      </top>
      <bottom style="medium">
        <color indexed="64"/>
      </bottom>
      <diagonal/>
    </border>
    <border>
      <left style="medium">
        <color indexed="64"/>
      </left>
      <right style="hair">
        <color indexed="64"/>
      </right>
      <top/>
      <bottom style="medium">
        <color indexed="64"/>
      </bottom>
      <diagonal/>
    </border>
    <border>
      <left style="hair">
        <color indexed="64"/>
      </left>
      <right/>
      <top/>
      <bottom style="medium">
        <color indexed="64"/>
      </bottom>
      <diagonal/>
    </border>
    <border>
      <left/>
      <right style="thick">
        <color indexed="64"/>
      </right>
      <top/>
      <bottom style="medium">
        <color indexed="64"/>
      </bottom>
      <diagonal/>
    </border>
    <border>
      <left/>
      <right style="hair">
        <color indexed="64"/>
      </right>
      <top/>
      <bottom style="medium">
        <color indexed="64"/>
      </bottom>
      <diagonal/>
    </border>
    <border>
      <left style="hair">
        <color auto="1"/>
      </left>
      <right style="medium">
        <color auto="1"/>
      </right>
      <top/>
      <bottom style="medium">
        <color indexed="64"/>
      </bottom>
      <diagonal/>
    </border>
    <border>
      <left style="thin">
        <color indexed="64"/>
      </left>
      <right style="thick">
        <color rgb="FFFF0000"/>
      </right>
      <top style="thin">
        <color indexed="64"/>
      </top>
      <bottom/>
      <diagonal/>
    </border>
    <border>
      <left style="thick">
        <color rgb="FFFF0000"/>
      </left>
      <right style="thick">
        <color rgb="FFFF0000"/>
      </right>
      <top/>
      <bottom style="thin">
        <color auto="1"/>
      </bottom>
      <diagonal/>
    </border>
    <border>
      <left style="thick">
        <color indexed="64"/>
      </left>
      <right style="thin">
        <color auto="1"/>
      </right>
      <top/>
      <bottom style="thin">
        <color auto="1"/>
      </bottom>
      <diagonal/>
    </border>
    <border>
      <left style="medium">
        <color rgb="FFFF0000"/>
      </left>
      <right style="medium">
        <color rgb="FFFF0000"/>
      </right>
      <top/>
      <bottom style="thin">
        <color auto="1"/>
      </bottom>
      <diagonal/>
    </border>
    <border>
      <left style="thin">
        <color indexed="64"/>
      </left>
      <right style="thick">
        <color indexed="64"/>
      </right>
      <top/>
      <bottom style="thin">
        <color auto="1"/>
      </bottom>
      <diagonal/>
    </border>
    <border>
      <left style="thick">
        <color indexed="64"/>
      </left>
      <right/>
      <top/>
      <bottom style="medium">
        <color indexed="64"/>
      </bottom>
      <diagonal/>
    </border>
    <border>
      <left style="medium">
        <color rgb="FFFF0000"/>
      </left>
      <right style="medium">
        <color rgb="FFFF0000"/>
      </right>
      <top/>
      <bottom style="medium">
        <color indexed="64"/>
      </bottom>
      <diagonal/>
    </border>
    <border>
      <left style="thick">
        <color indexed="64"/>
      </left>
      <right style="thin">
        <color indexed="64"/>
      </right>
      <top style="medium">
        <color indexed="64"/>
      </top>
      <bottom/>
      <diagonal/>
    </border>
    <border>
      <left style="thin">
        <color indexed="64"/>
      </left>
      <right style="thin">
        <color auto="1"/>
      </right>
      <top style="medium">
        <color indexed="64"/>
      </top>
      <bottom/>
      <diagonal/>
    </border>
    <border>
      <left style="thin">
        <color indexed="64"/>
      </left>
      <right/>
      <top style="medium">
        <color indexed="64"/>
      </top>
      <bottom/>
      <diagonal/>
    </border>
    <border>
      <left style="thick">
        <color indexed="64"/>
      </left>
      <right/>
      <top style="medium">
        <color indexed="64"/>
      </top>
      <bottom style="dotted">
        <color indexed="64"/>
      </bottom>
      <diagonal/>
    </border>
    <border>
      <left/>
      <right/>
      <top style="medium">
        <color indexed="64"/>
      </top>
      <bottom style="dotted">
        <color auto="1"/>
      </bottom>
      <diagonal/>
    </border>
    <border>
      <left style="thick">
        <color rgb="FFFF0000"/>
      </left>
      <right style="thick">
        <color rgb="FFFF0000"/>
      </right>
      <top style="medium">
        <color indexed="64"/>
      </top>
      <bottom style="dotted">
        <color auto="1"/>
      </bottom>
      <diagonal/>
    </border>
    <border>
      <left/>
      <right style="thin">
        <color auto="1"/>
      </right>
      <top style="medium">
        <color indexed="64"/>
      </top>
      <bottom style="dotted">
        <color auto="1"/>
      </bottom>
      <diagonal/>
    </border>
    <border>
      <left/>
      <right style="thin">
        <color indexed="64"/>
      </right>
      <top style="medium">
        <color indexed="64"/>
      </top>
      <bottom/>
      <diagonal/>
    </border>
    <border>
      <left style="thin">
        <color auto="1"/>
      </left>
      <right style="thick">
        <color auto="1"/>
      </right>
      <top style="medium">
        <color indexed="64"/>
      </top>
      <bottom/>
      <diagonal/>
    </border>
    <border>
      <left style="thin">
        <color auto="1"/>
      </left>
      <right/>
      <top style="medium">
        <color indexed="64"/>
      </top>
      <bottom style="dotted">
        <color auto="1"/>
      </bottom>
      <diagonal/>
    </border>
    <border>
      <left style="medium">
        <color rgb="FFFF0000"/>
      </left>
      <right style="medium">
        <color rgb="FFFF0000"/>
      </right>
      <top style="medium">
        <color indexed="64"/>
      </top>
      <bottom style="dotted">
        <color auto="1"/>
      </bottom>
      <diagonal/>
    </border>
    <border>
      <left style="thin">
        <color auto="1"/>
      </left>
      <right style="thick">
        <color indexed="64"/>
      </right>
      <top style="medium">
        <color indexed="64"/>
      </top>
      <bottom style="dotted">
        <color auto="1"/>
      </bottom>
      <diagonal/>
    </border>
    <border>
      <left/>
      <right style="thin">
        <color auto="1"/>
      </right>
      <top/>
      <bottom style="thin">
        <color indexed="64"/>
      </bottom>
      <diagonal/>
    </border>
    <border>
      <left style="thin">
        <color indexed="64"/>
      </left>
      <right style="dotted">
        <color indexed="64"/>
      </right>
      <top/>
      <bottom style="thin">
        <color auto="1"/>
      </bottom>
      <diagonal/>
    </border>
    <border>
      <left style="dotted">
        <color indexed="64"/>
      </left>
      <right style="thin">
        <color auto="1"/>
      </right>
      <top/>
      <bottom style="thin">
        <color auto="1"/>
      </bottom>
      <diagonal/>
    </border>
    <border>
      <left style="dotted">
        <color indexed="64"/>
      </left>
      <right/>
      <top/>
      <bottom style="thin">
        <color auto="1"/>
      </bottom>
      <diagonal/>
    </border>
    <border>
      <left/>
      <right style="thick">
        <color rgb="FFFF0000"/>
      </right>
      <top style="thin">
        <color auto="1"/>
      </top>
      <bottom style="dotted">
        <color indexed="64"/>
      </bottom>
      <diagonal/>
    </border>
    <border>
      <left style="medium">
        <color rgb="FFFF0000"/>
      </left>
      <right style="medium">
        <color rgb="FFFF0000"/>
      </right>
      <top/>
      <bottom style="dotted">
        <color auto="1"/>
      </bottom>
      <diagonal/>
    </border>
    <border>
      <left style="thin">
        <color indexed="64"/>
      </left>
      <right style="dotted">
        <color indexed="64"/>
      </right>
      <top style="medium">
        <color indexed="64"/>
      </top>
      <bottom style="dotted">
        <color auto="1"/>
      </bottom>
      <diagonal/>
    </border>
    <border>
      <left style="dotted">
        <color indexed="64"/>
      </left>
      <right style="thin">
        <color auto="1"/>
      </right>
      <top style="medium">
        <color indexed="64"/>
      </top>
      <bottom style="dotted">
        <color auto="1"/>
      </bottom>
      <diagonal/>
    </border>
    <border>
      <left style="dotted">
        <color indexed="64"/>
      </left>
      <right/>
      <top style="medium">
        <color indexed="64"/>
      </top>
      <bottom style="dotted">
        <color auto="1"/>
      </bottom>
      <diagonal/>
    </border>
    <border>
      <left style="medium">
        <color indexed="64"/>
      </left>
      <right style="hair">
        <color indexed="64"/>
      </right>
      <top style="medium">
        <color indexed="64"/>
      </top>
      <bottom/>
      <diagonal/>
    </border>
    <border>
      <left style="hair">
        <color auto="1"/>
      </left>
      <right/>
      <top style="medium">
        <color indexed="64"/>
      </top>
      <bottom/>
      <diagonal/>
    </border>
    <border>
      <left/>
      <right style="hair">
        <color indexed="64"/>
      </right>
      <top style="medium">
        <color indexed="64"/>
      </top>
      <bottom/>
      <diagonal/>
    </border>
    <border>
      <left style="hair">
        <color auto="1"/>
      </left>
      <right style="medium">
        <color auto="1"/>
      </right>
      <top style="medium">
        <color indexed="64"/>
      </top>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dotted">
        <color auto="1"/>
      </bottom>
      <diagonal/>
    </border>
    <border>
      <left/>
      <right/>
      <top/>
      <bottom style="dotted">
        <color auto="1"/>
      </bottom>
      <diagonal/>
    </border>
    <border>
      <left style="thin">
        <color indexed="64"/>
      </left>
      <right style="thick">
        <color indexed="64"/>
      </right>
      <top/>
      <bottom style="dotted">
        <color indexed="64"/>
      </bottom>
      <diagonal/>
    </border>
    <border>
      <left style="thin">
        <color indexed="64"/>
      </left>
      <right style="dotted">
        <color indexed="64"/>
      </right>
      <top/>
      <bottom style="medium">
        <color indexed="64"/>
      </bottom>
      <diagonal/>
    </border>
    <border>
      <left style="dotted">
        <color indexed="64"/>
      </left>
      <right style="thin">
        <color auto="1"/>
      </right>
      <top/>
      <bottom style="medium">
        <color indexed="64"/>
      </bottom>
      <diagonal/>
    </border>
    <border>
      <left/>
      <right style="thick">
        <color rgb="FFFF0000"/>
      </right>
      <top style="medium">
        <color indexed="64"/>
      </top>
      <bottom/>
      <diagonal/>
    </border>
    <border>
      <left style="thick">
        <color rgb="FFFF0000"/>
      </left>
      <right style="thick">
        <color rgb="FFFF0000"/>
      </right>
      <top style="medium">
        <color indexed="64"/>
      </top>
      <bottom/>
      <diagonal/>
    </border>
    <border>
      <left style="thick">
        <color rgb="FFFF0000"/>
      </left>
      <right/>
      <top style="medium">
        <color auto="1"/>
      </top>
      <bottom/>
      <diagonal/>
    </border>
    <border>
      <left style="medium">
        <color indexed="64"/>
      </left>
      <right/>
      <top style="medium">
        <color indexed="64"/>
      </top>
      <bottom/>
      <diagonal/>
    </border>
    <border>
      <left style="thick">
        <color auto="1"/>
      </left>
      <right style="thin">
        <color auto="1"/>
      </right>
      <top/>
      <bottom style="thick">
        <color auto="1"/>
      </bottom>
      <diagonal/>
    </border>
    <border>
      <left style="thin">
        <color indexed="64"/>
      </left>
      <right style="thin">
        <color indexed="64"/>
      </right>
      <top/>
      <bottom style="thick">
        <color indexed="64"/>
      </bottom>
      <diagonal/>
    </border>
    <border>
      <left style="thin">
        <color auto="1"/>
      </left>
      <right style="thin">
        <color auto="1"/>
      </right>
      <top style="dotted">
        <color auto="1"/>
      </top>
      <bottom style="thick">
        <color indexed="64"/>
      </bottom>
      <diagonal/>
    </border>
    <border>
      <left style="thin">
        <color indexed="64"/>
      </left>
      <right/>
      <top/>
      <bottom style="thick">
        <color indexed="64"/>
      </bottom>
      <diagonal/>
    </border>
    <border>
      <left style="thick">
        <color indexed="64"/>
      </left>
      <right/>
      <top/>
      <bottom style="thick">
        <color indexed="64"/>
      </bottom>
      <diagonal/>
    </border>
    <border>
      <left style="thick">
        <color rgb="FFFF0000"/>
      </left>
      <right style="thick">
        <color rgb="FFFF0000"/>
      </right>
      <top/>
      <bottom style="thick">
        <color rgb="FFFF0000"/>
      </bottom>
      <diagonal/>
    </border>
    <border>
      <left/>
      <right style="thick">
        <color indexed="64"/>
      </right>
      <top/>
      <bottom style="thick">
        <color indexed="64"/>
      </bottom>
      <diagonal/>
    </border>
    <border>
      <left/>
      <right style="thin">
        <color indexed="64"/>
      </right>
      <top/>
      <bottom style="thick">
        <color indexed="64"/>
      </bottom>
      <diagonal/>
    </border>
    <border>
      <left style="thin">
        <color auto="1"/>
      </left>
      <right/>
      <top style="dotted">
        <color auto="1"/>
      </top>
      <bottom style="thick">
        <color indexed="64"/>
      </bottom>
      <diagonal/>
    </border>
    <border>
      <left style="medium">
        <color rgb="FFFF0000"/>
      </left>
      <right style="medium">
        <color rgb="FFFF0000"/>
      </right>
      <top style="dotted">
        <color auto="1"/>
      </top>
      <bottom style="medium">
        <color rgb="FFFF0000"/>
      </bottom>
      <diagonal/>
    </border>
    <border>
      <left/>
      <right style="thin">
        <color auto="1"/>
      </right>
      <top style="dotted">
        <color auto="1"/>
      </top>
      <bottom style="thick">
        <color indexed="64"/>
      </bottom>
      <diagonal/>
    </border>
    <border>
      <left style="medium">
        <color rgb="FFFF0000"/>
      </left>
      <right style="medium">
        <color rgb="FFFF0000"/>
      </right>
      <top/>
      <bottom style="medium">
        <color rgb="FFFF0000"/>
      </bottom>
      <diagonal/>
    </border>
    <border>
      <left style="thin">
        <color auto="1"/>
      </left>
      <right style="thick">
        <color auto="1"/>
      </right>
      <top/>
      <bottom style="thick">
        <color auto="1"/>
      </bottom>
      <diagonal/>
    </border>
    <border>
      <left style="thin">
        <color indexed="64"/>
      </left>
      <right style="dotted">
        <color indexed="64"/>
      </right>
      <top style="dotted">
        <color auto="1"/>
      </top>
      <bottom style="thick">
        <color indexed="64"/>
      </bottom>
      <diagonal/>
    </border>
    <border>
      <left style="dotted">
        <color indexed="64"/>
      </left>
      <right style="thin">
        <color auto="1"/>
      </right>
      <top style="dotted">
        <color auto="1"/>
      </top>
      <bottom style="thick">
        <color indexed="64"/>
      </bottom>
      <diagonal/>
    </border>
    <border>
      <left style="dotted">
        <color indexed="64"/>
      </left>
      <right/>
      <top style="dotted">
        <color auto="1"/>
      </top>
      <bottom style="thick">
        <color indexed="64"/>
      </bottom>
      <diagonal/>
    </border>
    <border>
      <left style="medium">
        <color indexed="64"/>
      </left>
      <right style="thin">
        <color indexed="64"/>
      </right>
      <top/>
      <bottom style="thick">
        <color indexed="64"/>
      </bottom>
      <diagonal/>
    </border>
    <border>
      <left style="medium">
        <color rgb="FFFF0000"/>
      </left>
      <right style="medium">
        <color rgb="FFFF0000"/>
      </right>
      <top/>
      <bottom style="thick">
        <color indexed="64"/>
      </bottom>
      <diagonal/>
    </border>
    <border>
      <left/>
      <right style="thick">
        <color indexed="64"/>
      </right>
      <top style="thick">
        <color indexed="64"/>
      </top>
      <bottom/>
      <diagonal/>
    </border>
    <border>
      <left style="thick">
        <color indexed="64"/>
      </left>
      <right/>
      <top style="thick">
        <color indexed="64"/>
      </top>
      <bottom/>
      <diagonal/>
    </border>
    <border>
      <left style="medium">
        <color rgb="FFFF0000"/>
      </left>
      <right style="medium">
        <color rgb="FFFF0000"/>
      </right>
      <top style="thick">
        <color indexed="64"/>
      </top>
      <bottom/>
      <diagonal/>
    </border>
    <border>
      <left style="thick">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ck">
        <color indexed="64"/>
      </left>
      <right/>
      <top style="double">
        <color indexed="64"/>
      </top>
      <bottom style="thick">
        <color indexed="64"/>
      </bottom>
      <diagonal/>
    </border>
    <border>
      <left/>
      <right/>
      <top style="double">
        <color indexed="64"/>
      </top>
      <bottom style="thick">
        <color indexed="64"/>
      </bottom>
      <diagonal/>
    </border>
    <border>
      <left/>
      <right style="thin">
        <color auto="1"/>
      </right>
      <top style="double">
        <color indexed="64"/>
      </top>
      <bottom style="thick">
        <color indexed="64"/>
      </bottom>
      <diagonal/>
    </border>
    <border>
      <left style="thin">
        <color auto="1"/>
      </left>
      <right style="thin">
        <color auto="1"/>
      </right>
      <top style="double">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style="medium">
        <color rgb="FFFF0000"/>
      </left>
      <right style="medium">
        <color rgb="FFFF0000"/>
      </right>
      <top style="medium">
        <color rgb="FFFF0000"/>
      </top>
      <bottom style="thick">
        <color indexed="64"/>
      </bottom>
      <diagonal/>
    </border>
    <border>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n">
        <color auto="1"/>
      </right>
      <top style="dotted">
        <color auto="1"/>
      </top>
      <bottom style="thick">
        <color indexed="64"/>
      </bottom>
      <diagonal/>
    </border>
    <border>
      <left style="medium">
        <color rgb="FFFF0000"/>
      </left>
      <right style="medium">
        <color rgb="FFFF0000"/>
      </right>
      <top style="dotted">
        <color auto="1"/>
      </top>
      <bottom style="thick">
        <color indexed="64"/>
      </bottom>
      <diagonal/>
    </border>
    <border>
      <left style="thin">
        <color indexed="64"/>
      </left>
      <right style="thick">
        <color indexed="64"/>
      </right>
      <top style="dotted">
        <color auto="1"/>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medium">
        <color rgb="FFFF0000"/>
      </left>
      <right style="medium">
        <color rgb="FFFF0000"/>
      </right>
      <top style="thin">
        <color indexed="64"/>
      </top>
      <bottom style="medium">
        <color rgb="FFFF0000"/>
      </bottom>
      <diagonal/>
    </border>
    <border>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top style="double">
        <color auto="1"/>
      </top>
      <bottom/>
      <diagonal/>
    </border>
    <border>
      <left style="medium">
        <color auto="1"/>
      </left>
      <right style="hair">
        <color auto="1"/>
      </right>
      <top style="thin">
        <color auto="1"/>
      </top>
      <bottom style="thin">
        <color auto="1"/>
      </bottom>
      <diagonal/>
    </border>
    <border>
      <left style="hair">
        <color indexed="64"/>
      </left>
      <right/>
      <top style="thin">
        <color indexed="64"/>
      </top>
      <bottom style="thin">
        <color indexed="64"/>
      </bottom>
      <diagonal/>
    </border>
    <border>
      <left/>
      <right style="thick">
        <color auto="1"/>
      </right>
      <top style="thin">
        <color indexed="64"/>
      </top>
      <bottom style="thin">
        <color indexed="64"/>
      </bottom>
      <diagonal/>
    </border>
  </borders>
  <cellStyleXfs count="7">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15" fillId="0" borderId="0"/>
    <xf numFmtId="0" fontId="1" fillId="0" borderId="0">
      <alignment vertical="center"/>
    </xf>
    <xf numFmtId="0" fontId="15" fillId="0" borderId="0"/>
  </cellStyleXfs>
  <cellXfs count="1538">
    <xf numFmtId="0" fontId="0" fillId="0" borderId="0" xfId="0">
      <alignment vertical="center"/>
    </xf>
    <xf numFmtId="0" fontId="3" fillId="0" borderId="0" xfId="0" applyFont="1" applyAlignment="1">
      <alignment vertical="center" shrinkToFit="1"/>
    </xf>
    <xf numFmtId="0" fontId="3" fillId="0" borderId="0" xfId="0" applyFont="1" applyAlignment="1">
      <alignment horizontal="center" vertical="center" shrinkToFit="1"/>
    </xf>
    <xf numFmtId="176" fontId="3" fillId="0" borderId="0" xfId="1" applyNumberFormat="1" applyFont="1" applyFill="1" applyAlignment="1">
      <alignment horizontal="right" vertical="center" shrinkToFit="1"/>
    </xf>
    <xf numFmtId="176" fontId="3" fillId="0" borderId="0" xfId="0" applyNumberFormat="1" applyFont="1" applyAlignment="1">
      <alignment horizontal="center" vertical="center" shrinkToFit="1"/>
    </xf>
    <xf numFmtId="176" fontId="3" fillId="0" borderId="0" xfId="0" applyNumberFormat="1" applyFont="1" applyAlignment="1">
      <alignment horizontal="right" vertical="center" shrinkToFit="1"/>
    </xf>
    <xf numFmtId="0" fontId="5" fillId="0" borderId="0" xfId="0" applyFont="1" applyAlignment="1">
      <alignment horizontal="center" vertical="center" shrinkToFit="1"/>
    </xf>
    <xf numFmtId="0" fontId="3" fillId="0" borderId="0" xfId="0" applyFont="1" applyAlignment="1">
      <alignment horizontal="right" vertical="center" shrinkToFit="1"/>
    </xf>
    <xf numFmtId="0" fontId="6" fillId="0" borderId="0" xfId="0" applyFont="1" applyAlignment="1">
      <alignment horizontal="right" vertical="center" shrinkToFit="1"/>
    </xf>
    <xf numFmtId="0" fontId="3" fillId="2" borderId="0" xfId="0" applyFont="1" applyFill="1" applyAlignment="1">
      <alignment horizontal="center" vertical="center" shrinkToFit="1"/>
    </xf>
    <xf numFmtId="0" fontId="6" fillId="0" borderId="0" xfId="0" applyFont="1" applyAlignment="1">
      <alignment horizontal="center" vertical="center" shrinkToFit="1"/>
    </xf>
    <xf numFmtId="0" fontId="7" fillId="0" borderId="0" xfId="0" applyFont="1" applyAlignment="1">
      <alignment horizontal="right" vertical="center" shrinkToFit="1"/>
    </xf>
    <xf numFmtId="177" fontId="8" fillId="0" borderId="0" xfId="0" applyNumberFormat="1" applyFont="1" applyAlignment="1">
      <alignment horizontal="center" vertical="center" shrinkToFit="1"/>
    </xf>
    <xf numFmtId="0" fontId="5" fillId="0" borderId="0" xfId="0" applyFont="1" applyAlignment="1">
      <alignment horizontal="right" vertical="center" shrinkToFit="1"/>
    </xf>
    <xf numFmtId="177" fontId="6" fillId="0" borderId="0" xfId="0" applyNumberFormat="1" applyFont="1" applyAlignment="1">
      <alignment horizontal="right" vertical="center" shrinkToFit="1"/>
    </xf>
    <xf numFmtId="0" fontId="3" fillId="3" borderId="0" xfId="0" applyFont="1" applyFill="1" applyAlignment="1">
      <alignment horizontal="right" vertical="center" shrinkToFit="1"/>
    </xf>
    <xf numFmtId="178" fontId="3" fillId="0" borderId="0" xfId="0" applyNumberFormat="1" applyFont="1" applyAlignment="1">
      <alignment vertical="center" shrinkToFit="1"/>
    </xf>
    <xf numFmtId="176" fontId="3" fillId="0" borderId="0" xfId="1" applyNumberFormat="1" applyFont="1" applyFill="1" applyAlignment="1">
      <alignment horizontal="left" vertical="top"/>
    </xf>
    <xf numFmtId="0" fontId="3" fillId="4" borderId="0" xfId="0" applyFont="1" applyFill="1" applyAlignment="1">
      <alignment horizontal="center" vertical="center" shrinkToFit="1"/>
    </xf>
    <xf numFmtId="0" fontId="3" fillId="0" borderId="0" xfId="0" applyFont="1" applyAlignment="1">
      <alignment horizontal="left" vertical="center"/>
    </xf>
    <xf numFmtId="0" fontId="9" fillId="0" borderId="0" xfId="0" applyFont="1">
      <alignment vertical="center"/>
    </xf>
    <xf numFmtId="0" fontId="9" fillId="0" borderId="1" xfId="0" applyFont="1" applyBorder="1">
      <alignment vertical="center"/>
    </xf>
    <xf numFmtId="179" fontId="3" fillId="4" borderId="0" xfId="0" applyNumberFormat="1" applyFont="1" applyFill="1" applyAlignment="1">
      <alignment horizontal="left" vertical="center" shrinkToFit="1"/>
    </xf>
    <xf numFmtId="0" fontId="10" fillId="0" borderId="0" xfId="0" applyFont="1" applyAlignment="1">
      <alignment horizontal="center" vertical="center" shrinkToFit="1"/>
    </xf>
    <xf numFmtId="0" fontId="3" fillId="0" borderId="0" xfId="0" applyFont="1" applyAlignment="1">
      <alignment horizontal="right" vertical="center"/>
    </xf>
    <xf numFmtId="179" fontId="3" fillId="0" borderId="0" xfId="0" applyNumberFormat="1" applyFont="1" applyAlignment="1">
      <alignment horizontal="left" vertical="center"/>
    </xf>
    <xf numFmtId="0" fontId="11" fillId="0" borderId="0" xfId="0" applyFont="1">
      <alignment vertical="center"/>
    </xf>
    <xf numFmtId="38" fontId="11" fillId="0" borderId="0" xfId="0" applyNumberFormat="1" applyFont="1">
      <alignment vertical="center"/>
    </xf>
    <xf numFmtId="0" fontId="11" fillId="0" borderId="2" xfId="0" applyFont="1" applyBorder="1">
      <alignment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0" xfId="0" applyFont="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3" fillId="0" borderId="0" xfId="0" applyFont="1" applyAlignment="1">
      <alignment horizontal="left"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3" fillId="5" borderId="0" xfId="0" applyFont="1" applyFill="1" applyAlignment="1">
      <alignment horizontal="center" vertical="center" shrinkToFit="1"/>
    </xf>
    <xf numFmtId="56" fontId="6" fillId="0" borderId="0" xfId="0" applyNumberFormat="1" applyFont="1" applyAlignment="1">
      <alignment horizontal="right" vertical="center" shrinkToFit="1"/>
    </xf>
    <xf numFmtId="0" fontId="16" fillId="0" borderId="0" xfId="4" applyFont="1" applyAlignment="1">
      <alignment horizontal="left" vertical="center"/>
    </xf>
    <xf numFmtId="0" fontId="18" fillId="0" borderId="0" xfId="1" applyNumberFormat="1" applyFont="1" applyFill="1" applyBorder="1" applyAlignment="1">
      <alignment horizontal="center" vertical="center"/>
    </xf>
    <xf numFmtId="0" fontId="19" fillId="0" borderId="0" xfId="1" applyNumberFormat="1" applyFont="1" applyFill="1" applyBorder="1" applyAlignment="1">
      <alignment horizontal="left" vertical="center"/>
    </xf>
    <xf numFmtId="177" fontId="20" fillId="0" borderId="0" xfId="0" applyNumberFormat="1" applyFont="1" applyAlignment="1">
      <alignment horizontal="right" vertical="center" shrinkToFit="1"/>
    </xf>
    <xf numFmtId="0" fontId="21" fillId="0" borderId="0" xfId="5" applyFont="1" applyAlignment="1">
      <alignment horizontal="center" vertical="center"/>
    </xf>
    <xf numFmtId="0" fontId="21" fillId="0" borderId="0" xfId="5" applyFont="1" applyAlignment="1">
      <alignment horizontal="center"/>
    </xf>
    <xf numFmtId="178" fontId="22" fillId="0" borderId="0" xfId="6" applyNumberFormat="1" applyFont="1" applyAlignment="1">
      <alignment vertical="center"/>
    </xf>
    <xf numFmtId="0" fontId="22" fillId="0" borderId="0" xfId="5" applyFont="1" applyAlignment="1">
      <alignment horizontal="center"/>
    </xf>
    <xf numFmtId="0" fontId="23" fillId="0" borderId="0" xfId="5" applyFont="1" applyAlignment="1">
      <alignment horizontal="center" vertical="center"/>
    </xf>
    <xf numFmtId="0" fontId="23" fillId="0" borderId="0" xfId="5" applyFont="1">
      <alignment vertical="center"/>
    </xf>
    <xf numFmtId="0" fontId="24" fillId="0" borderId="0" xfId="5" applyFont="1">
      <alignment vertical="center"/>
    </xf>
    <xf numFmtId="0" fontId="11" fillId="0" borderId="0" xfId="5" applyFont="1">
      <alignment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25" fillId="0" borderId="0" xfId="0" applyFont="1" applyAlignment="1">
      <alignment vertical="center" shrinkToFit="1"/>
    </xf>
    <xf numFmtId="177" fontId="20" fillId="0" borderId="0" xfId="0" applyNumberFormat="1" applyFont="1" applyAlignment="1">
      <alignment horizontal="center" vertical="center" shrinkToFit="1"/>
    </xf>
    <xf numFmtId="0" fontId="26" fillId="5" borderId="0" xfId="5" applyFont="1" applyFill="1" applyAlignment="1">
      <alignment horizontal="center"/>
    </xf>
    <xf numFmtId="0" fontId="27" fillId="5" borderId="0" xfId="5" applyFont="1" applyFill="1" applyAlignment="1">
      <alignment horizontal="center"/>
    </xf>
    <xf numFmtId="0" fontId="8" fillId="0" borderId="0" xfId="4" applyFont="1" applyAlignment="1">
      <alignment vertical="center" wrapText="1"/>
    </xf>
    <xf numFmtId="0" fontId="28" fillId="4" borderId="8" xfId="0" applyFont="1" applyFill="1" applyBorder="1" applyAlignment="1">
      <alignment horizontal="center" vertical="center" shrinkToFit="1"/>
    </xf>
    <xf numFmtId="0" fontId="28" fillId="4" borderId="9" xfId="0" applyFont="1" applyFill="1" applyBorder="1" applyAlignment="1">
      <alignment horizontal="center" vertical="center" shrinkToFit="1"/>
    </xf>
    <xf numFmtId="0" fontId="28" fillId="4" borderId="10" xfId="0" applyFont="1" applyFill="1" applyBorder="1" applyAlignment="1">
      <alignment horizontal="center" vertical="center" shrinkToFit="1"/>
    </xf>
    <xf numFmtId="0" fontId="29" fillId="0" borderId="0" xfId="0" applyFont="1" applyAlignment="1">
      <alignment horizontal="center" vertical="center"/>
    </xf>
    <xf numFmtId="176" fontId="30" fillId="6" borderId="0" xfId="1" applyNumberFormat="1" applyFont="1" applyFill="1" applyBorder="1" applyAlignment="1">
      <alignment horizontal="center" vertical="center" shrinkToFit="1"/>
    </xf>
    <xf numFmtId="176" fontId="30" fillId="6" borderId="11" xfId="1" applyNumberFormat="1" applyFont="1" applyFill="1" applyBorder="1" applyAlignment="1">
      <alignment horizontal="center" vertical="center" shrinkToFit="1"/>
    </xf>
    <xf numFmtId="176" fontId="30" fillId="7" borderId="11" xfId="1" applyNumberFormat="1" applyFont="1" applyFill="1" applyBorder="1" applyAlignment="1">
      <alignment horizontal="center" vertical="center" shrinkToFit="1"/>
    </xf>
    <xf numFmtId="176" fontId="30" fillId="7" borderId="0" xfId="1" applyNumberFormat="1" applyFont="1" applyFill="1" applyBorder="1" applyAlignment="1">
      <alignment horizontal="center" vertical="center" shrinkToFit="1"/>
    </xf>
    <xf numFmtId="0" fontId="19" fillId="0" borderId="0" xfId="1" applyNumberFormat="1" applyFont="1" applyFill="1" applyBorder="1" applyAlignment="1">
      <alignment horizontal="center" vertical="center"/>
    </xf>
    <xf numFmtId="0" fontId="31" fillId="6" borderId="0" xfId="0" applyFont="1" applyFill="1" applyAlignment="1">
      <alignment horizontal="left" vertical="center"/>
    </xf>
    <xf numFmtId="0" fontId="23" fillId="0" borderId="0" xfId="5" applyFont="1" applyAlignment="1">
      <alignment vertical="center" shrinkToFit="1"/>
    </xf>
    <xf numFmtId="0" fontId="24" fillId="8" borderId="12" xfId="5" applyFont="1" applyFill="1" applyBorder="1" applyAlignment="1">
      <alignment horizontal="center" vertical="center" shrinkToFit="1"/>
    </xf>
    <xf numFmtId="0" fontId="24" fillId="0" borderId="0" xfId="5" applyFont="1" applyAlignment="1">
      <alignment vertical="center" shrinkToFit="1"/>
    </xf>
    <xf numFmtId="0" fontId="24" fillId="8" borderId="12" xfId="5" applyFont="1" applyFill="1" applyBorder="1" applyAlignment="1">
      <alignment horizontal="center" vertical="center"/>
    </xf>
    <xf numFmtId="0" fontId="32" fillId="0" borderId="0" xfId="0" applyFont="1" applyAlignment="1">
      <alignment vertical="center" shrinkToFit="1"/>
    </xf>
    <xf numFmtId="177" fontId="33" fillId="6" borderId="11" xfId="0" applyNumberFormat="1" applyFont="1" applyFill="1" applyBorder="1" applyAlignment="1">
      <alignment horizontal="center" vertical="center" shrinkToFit="1"/>
    </xf>
    <xf numFmtId="177" fontId="34" fillId="6" borderId="11" xfId="0" applyNumberFormat="1" applyFont="1" applyFill="1" applyBorder="1" applyAlignment="1">
      <alignment horizontal="center" vertical="center" shrinkToFit="1"/>
    </xf>
    <xf numFmtId="0" fontId="8" fillId="0" borderId="13" xfId="4" applyFont="1" applyBorder="1" applyAlignment="1">
      <alignment vertical="center" wrapText="1"/>
    </xf>
    <xf numFmtId="0" fontId="6" fillId="0" borderId="0" xfId="0" applyFont="1" applyAlignment="1">
      <alignment vertical="center" shrinkToFit="1"/>
    </xf>
    <xf numFmtId="0" fontId="35" fillId="9" borderId="14" xfId="0" applyFont="1" applyFill="1" applyBorder="1" applyAlignment="1">
      <alignment horizontal="center" vertical="center" shrinkToFit="1"/>
    </xf>
    <xf numFmtId="0" fontId="35" fillId="9" borderId="15" xfId="0" applyFont="1" applyFill="1" applyBorder="1" applyAlignment="1">
      <alignment horizontal="center" vertical="center" shrinkToFit="1"/>
    </xf>
    <xf numFmtId="3" fontId="35" fillId="9" borderId="16" xfId="6" applyNumberFormat="1" applyFont="1" applyFill="1" applyBorder="1" applyAlignment="1">
      <alignment horizontal="center" vertical="center" wrapText="1" shrinkToFit="1"/>
    </xf>
    <xf numFmtId="3" fontId="35" fillId="10" borderId="16" xfId="6" applyNumberFormat="1" applyFont="1" applyFill="1" applyBorder="1" applyAlignment="1">
      <alignment horizontal="center" vertical="center" wrapText="1" shrinkToFit="1"/>
    </xf>
    <xf numFmtId="0" fontId="36" fillId="9" borderId="17" xfId="1" applyNumberFormat="1" applyFont="1" applyFill="1" applyBorder="1" applyAlignment="1">
      <alignment horizontal="center" vertical="center"/>
    </xf>
    <xf numFmtId="176" fontId="35" fillId="9" borderId="17" xfId="1" applyNumberFormat="1" applyFont="1" applyFill="1" applyBorder="1" applyAlignment="1">
      <alignment horizontal="center" vertical="center" shrinkToFit="1"/>
    </xf>
    <xf numFmtId="176" fontId="35" fillId="9" borderId="16" xfId="1" applyNumberFormat="1" applyFont="1" applyFill="1" applyBorder="1" applyAlignment="1">
      <alignment horizontal="center" vertical="center" shrinkToFit="1"/>
    </xf>
    <xf numFmtId="176" fontId="35" fillId="9" borderId="16" xfId="1" applyNumberFormat="1" applyFont="1" applyFill="1" applyBorder="1" applyAlignment="1">
      <alignment horizontal="center" vertical="center" wrapText="1" shrinkToFit="1"/>
    </xf>
    <xf numFmtId="176" fontId="35" fillId="9" borderId="16" xfId="6" applyNumberFormat="1" applyFont="1" applyFill="1" applyBorder="1" applyAlignment="1">
      <alignment horizontal="center" vertical="center" wrapText="1" shrinkToFit="1"/>
    </xf>
    <xf numFmtId="176" fontId="35" fillId="9" borderId="18" xfId="0" applyNumberFormat="1" applyFont="1" applyFill="1" applyBorder="1" applyAlignment="1">
      <alignment horizontal="center" vertical="center" shrinkToFit="1"/>
    </xf>
    <xf numFmtId="176" fontId="35" fillId="9" borderId="19" xfId="0" applyNumberFormat="1" applyFont="1" applyFill="1" applyBorder="1" applyAlignment="1">
      <alignment horizontal="center" vertical="center" shrinkToFit="1"/>
    </xf>
    <xf numFmtId="176" fontId="35" fillId="9" borderId="15" xfId="0" applyNumberFormat="1" applyFont="1" applyFill="1" applyBorder="1" applyAlignment="1">
      <alignment horizontal="center" vertical="center" shrinkToFit="1"/>
    </xf>
    <xf numFmtId="176" fontId="35" fillId="9" borderId="17" xfId="0" applyNumberFormat="1" applyFont="1" applyFill="1" applyBorder="1" applyAlignment="1">
      <alignment horizontal="center" vertical="center" shrinkToFit="1"/>
    </xf>
    <xf numFmtId="3" fontId="35" fillId="9" borderId="19" xfId="6" applyNumberFormat="1" applyFont="1" applyFill="1" applyBorder="1" applyAlignment="1">
      <alignment horizontal="center" vertical="center" wrapText="1" shrinkToFit="1"/>
    </xf>
    <xf numFmtId="0" fontId="35" fillId="9" borderId="16" xfId="6" applyFont="1" applyFill="1" applyBorder="1" applyAlignment="1">
      <alignment horizontal="center" vertical="center" wrapText="1" shrinkToFit="1"/>
    </xf>
    <xf numFmtId="0" fontId="35" fillId="9" borderId="20" xfId="6" applyFont="1" applyFill="1" applyBorder="1" applyAlignment="1">
      <alignment horizontal="center" vertical="center" wrapText="1" shrinkToFit="1"/>
    </xf>
    <xf numFmtId="0" fontId="35" fillId="9" borderId="19" xfId="6" applyFont="1" applyFill="1" applyBorder="1" applyAlignment="1">
      <alignment horizontal="center" vertical="center" wrapText="1" shrinkToFit="1"/>
    </xf>
    <xf numFmtId="3" fontId="6" fillId="11" borderId="19" xfId="0" applyNumberFormat="1" applyFont="1" applyFill="1" applyBorder="1" applyAlignment="1">
      <alignment horizontal="center" vertical="center" shrinkToFit="1"/>
    </xf>
    <xf numFmtId="14" fontId="37" fillId="4" borderId="21" xfId="5" applyNumberFormat="1" applyFont="1" applyFill="1" applyBorder="1" applyAlignment="1">
      <alignment horizontal="center" vertical="center" shrinkToFit="1"/>
    </xf>
    <xf numFmtId="14" fontId="37" fillId="4" borderId="16" xfId="5" applyNumberFormat="1" applyFont="1" applyFill="1" applyBorder="1" applyAlignment="1">
      <alignment horizontal="center" vertical="center" shrinkToFit="1"/>
    </xf>
    <xf numFmtId="14" fontId="37" fillId="12" borderId="16" xfId="5" applyNumberFormat="1" applyFont="1" applyFill="1" applyBorder="1" applyAlignment="1">
      <alignment horizontal="center" vertical="center" wrapText="1" shrinkToFit="1"/>
    </xf>
    <xf numFmtId="14" fontId="37" fillId="13" borderId="16" xfId="5" applyNumberFormat="1" applyFont="1" applyFill="1" applyBorder="1" applyAlignment="1">
      <alignment horizontal="center" vertical="center" wrapText="1" shrinkToFit="1"/>
    </xf>
    <xf numFmtId="14" fontId="37" fillId="0" borderId="16" xfId="5" applyNumberFormat="1" applyFont="1" applyBorder="1" applyAlignment="1">
      <alignment horizontal="center" vertical="center" wrapText="1" shrinkToFit="1"/>
    </xf>
    <xf numFmtId="14" fontId="37" fillId="12" borderId="22" xfId="5" applyNumberFormat="1" applyFont="1" applyFill="1" applyBorder="1" applyAlignment="1">
      <alignment horizontal="center" vertical="center" shrinkToFit="1"/>
    </xf>
    <xf numFmtId="14" fontId="37" fillId="12" borderId="23" xfId="5" applyNumberFormat="1" applyFont="1" applyFill="1" applyBorder="1" applyAlignment="1">
      <alignment horizontal="center" vertical="center" wrapText="1" shrinkToFit="1"/>
    </xf>
    <xf numFmtId="14" fontId="37" fillId="12" borderId="20" xfId="5" applyNumberFormat="1" applyFont="1" applyFill="1" applyBorder="1" applyAlignment="1">
      <alignment horizontal="center" vertical="center" wrapText="1" shrinkToFit="1"/>
    </xf>
    <xf numFmtId="14" fontId="37" fillId="0" borderId="24" xfId="5" applyNumberFormat="1" applyFont="1" applyBorder="1" applyAlignment="1">
      <alignment horizontal="center" vertical="center" wrapText="1" shrinkToFit="1"/>
    </xf>
    <xf numFmtId="14" fontId="37" fillId="0" borderId="16" xfId="5" applyNumberFormat="1" applyFont="1" applyBorder="1" applyAlignment="1">
      <alignment horizontal="center" vertical="center" wrapText="1" shrinkToFit="1"/>
    </xf>
    <xf numFmtId="14" fontId="38" fillId="14" borderId="16" xfId="5" applyNumberFormat="1" applyFont="1" applyFill="1" applyBorder="1" applyAlignment="1">
      <alignment horizontal="center" vertical="center" wrapText="1" shrinkToFit="1"/>
    </xf>
    <xf numFmtId="14" fontId="37" fillId="14" borderId="16" xfId="5" applyNumberFormat="1" applyFont="1" applyFill="1" applyBorder="1" applyAlignment="1">
      <alignment horizontal="center" vertical="center" wrapText="1" shrinkToFit="1"/>
    </xf>
    <xf numFmtId="14" fontId="37" fillId="15" borderId="16" xfId="5" applyNumberFormat="1" applyFont="1" applyFill="1" applyBorder="1" applyAlignment="1">
      <alignment horizontal="center" vertical="center" wrapText="1" shrinkToFit="1"/>
    </xf>
    <xf numFmtId="178" fontId="6" fillId="16" borderId="16" xfId="6" applyNumberFormat="1" applyFont="1" applyFill="1" applyBorder="1" applyAlignment="1">
      <alignment horizontal="center" vertical="center" wrapText="1"/>
    </xf>
    <xf numFmtId="14" fontId="37" fillId="4" borderId="16" xfId="5" applyNumberFormat="1" applyFont="1" applyFill="1" applyBorder="1" applyAlignment="1">
      <alignment horizontal="center" vertical="center" wrapText="1" shrinkToFit="1"/>
    </xf>
    <xf numFmtId="14" fontId="39" fillId="4" borderId="16" xfId="5" applyNumberFormat="1" applyFont="1" applyFill="1" applyBorder="1" applyAlignment="1">
      <alignment horizontal="center" vertical="center" wrapText="1" shrinkToFit="1"/>
    </xf>
    <xf numFmtId="177" fontId="30" fillId="17" borderId="16" xfId="6" applyNumberFormat="1" applyFont="1" applyFill="1" applyBorder="1" applyAlignment="1">
      <alignment horizontal="center"/>
    </xf>
    <xf numFmtId="177" fontId="30" fillId="18" borderId="16" xfId="6" applyNumberFormat="1" applyFont="1" applyFill="1" applyBorder="1" applyAlignment="1">
      <alignment horizontal="center"/>
    </xf>
    <xf numFmtId="177" fontId="6" fillId="17" borderId="16" xfId="6" applyNumberFormat="1" applyFont="1" applyFill="1" applyBorder="1" applyAlignment="1">
      <alignment vertical="center"/>
    </xf>
    <xf numFmtId="177" fontId="6" fillId="4" borderId="16" xfId="6" applyNumberFormat="1" applyFont="1" applyFill="1" applyBorder="1" applyAlignment="1">
      <alignment horizontal="center" vertical="center"/>
    </xf>
    <xf numFmtId="14" fontId="40" fillId="5" borderId="16" xfId="5" applyNumberFormat="1" applyFont="1" applyFill="1" applyBorder="1" applyAlignment="1">
      <alignment horizontal="center" vertical="center" shrinkToFit="1"/>
    </xf>
    <xf numFmtId="180" fontId="40" fillId="5" borderId="25" xfId="5" applyNumberFormat="1" applyFont="1" applyFill="1" applyBorder="1" applyAlignment="1">
      <alignment horizontal="center" vertical="center" wrapText="1" shrinkToFit="1"/>
    </xf>
    <xf numFmtId="180" fontId="41" fillId="19" borderId="26" xfId="5" applyNumberFormat="1" applyFont="1" applyFill="1" applyBorder="1" applyAlignment="1">
      <alignment horizontal="center" vertical="center" shrinkToFit="1"/>
    </xf>
    <xf numFmtId="180" fontId="41" fillId="19" borderId="17" xfId="5" applyNumberFormat="1" applyFont="1" applyFill="1" applyBorder="1" applyAlignment="1">
      <alignment horizontal="center" vertical="center" shrinkToFit="1"/>
    </xf>
    <xf numFmtId="180" fontId="40" fillId="19" borderId="17" xfId="5" applyNumberFormat="1" applyFont="1" applyFill="1" applyBorder="1" applyAlignment="1">
      <alignment horizontal="center" vertical="center" shrinkToFit="1"/>
    </xf>
    <xf numFmtId="180" fontId="41" fillId="19" borderId="18" xfId="5" applyNumberFormat="1" applyFont="1" applyFill="1" applyBorder="1" applyAlignment="1">
      <alignment horizontal="center" vertical="center" shrinkToFit="1"/>
    </xf>
    <xf numFmtId="180" fontId="40" fillId="8" borderId="27" xfId="5" applyNumberFormat="1" applyFont="1" applyFill="1" applyBorder="1" applyAlignment="1">
      <alignment horizontal="center" vertical="center" shrinkToFit="1"/>
    </xf>
    <xf numFmtId="180" fontId="40" fillId="19" borderId="15" xfId="5" applyNumberFormat="1" applyFont="1" applyFill="1" applyBorder="1" applyAlignment="1">
      <alignment horizontal="center" vertical="center" shrinkToFit="1"/>
    </xf>
    <xf numFmtId="180" fontId="40" fillId="19" borderId="18" xfId="5" applyNumberFormat="1" applyFont="1" applyFill="1" applyBorder="1" applyAlignment="1">
      <alignment horizontal="center" vertical="center" shrinkToFit="1"/>
    </xf>
    <xf numFmtId="180" fontId="41" fillId="19" borderId="15" xfId="5" applyNumberFormat="1" applyFont="1" applyFill="1" applyBorder="1" applyAlignment="1">
      <alignment horizontal="center" vertical="center" shrinkToFit="1"/>
    </xf>
    <xf numFmtId="180" fontId="37" fillId="19" borderId="28" xfId="5" applyNumberFormat="1" applyFont="1" applyFill="1" applyBorder="1" applyAlignment="1">
      <alignment horizontal="center" vertical="center" shrinkToFit="1"/>
    </xf>
    <xf numFmtId="180" fontId="39" fillId="0" borderId="0" xfId="5" applyNumberFormat="1" applyFont="1" applyAlignment="1">
      <alignment horizontal="center" vertical="center" shrinkToFit="1"/>
    </xf>
    <xf numFmtId="14" fontId="42" fillId="15" borderId="16" xfId="5" applyNumberFormat="1" applyFont="1" applyFill="1" applyBorder="1" applyAlignment="1">
      <alignment horizontal="center" vertical="center" wrapText="1" shrinkToFit="1"/>
    </xf>
    <xf numFmtId="177" fontId="6" fillId="4" borderId="16" xfId="6" applyNumberFormat="1" applyFont="1" applyFill="1" applyBorder="1" applyAlignment="1">
      <alignment vertical="center"/>
    </xf>
    <xf numFmtId="3" fontId="6" fillId="11" borderId="19" xfId="0" applyNumberFormat="1" applyFont="1" applyFill="1" applyBorder="1" applyAlignment="1">
      <alignment horizontal="center" vertical="center" shrinkToFit="1"/>
    </xf>
    <xf numFmtId="3" fontId="6" fillId="11" borderId="19" xfId="0" applyNumberFormat="1" applyFont="1" applyFill="1" applyBorder="1" applyAlignment="1">
      <alignment vertical="center" shrinkToFit="1"/>
    </xf>
    <xf numFmtId="3" fontId="6" fillId="20" borderId="18" xfId="0" applyNumberFormat="1" applyFont="1" applyFill="1" applyBorder="1" applyAlignment="1">
      <alignment horizontal="center" vertical="center" shrinkToFit="1"/>
    </xf>
    <xf numFmtId="3" fontId="6" fillId="20" borderId="15" xfId="0" applyNumberFormat="1" applyFont="1" applyFill="1" applyBorder="1" applyAlignment="1">
      <alignment horizontal="center" vertical="center" shrinkToFit="1"/>
    </xf>
    <xf numFmtId="3" fontId="6" fillId="13" borderId="18" xfId="0" applyNumberFormat="1" applyFont="1" applyFill="1" applyBorder="1" applyAlignment="1">
      <alignment horizontal="center" vertical="center" shrinkToFit="1"/>
    </xf>
    <xf numFmtId="3" fontId="6" fillId="13" borderId="19" xfId="0" applyNumberFormat="1" applyFont="1" applyFill="1" applyBorder="1" applyAlignment="1">
      <alignment horizontal="center" vertical="center" shrinkToFit="1"/>
    </xf>
    <xf numFmtId="3" fontId="6" fillId="13" borderId="15" xfId="0" applyNumberFormat="1" applyFont="1" applyFill="1" applyBorder="1" applyAlignment="1">
      <alignment horizontal="center" vertical="center" shrinkToFit="1"/>
    </xf>
    <xf numFmtId="3" fontId="6" fillId="13" borderId="29" xfId="0" applyNumberFormat="1" applyFont="1" applyFill="1" applyBorder="1" applyAlignment="1">
      <alignment horizontal="center" vertical="center" shrinkToFit="1"/>
    </xf>
    <xf numFmtId="177" fontId="6" fillId="10" borderId="24" xfId="5" applyNumberFormat="1" applyFont="1" applyFill="1" applyBorder="1" applyAlignment="1">
      <alignment horizontal="center" vertical="center" wrapText="1"/>
    </xf>
    <xf numFmtId="177" fontId="6" fillId="10" borderId="16" xfId="5" applyNumberFormat="1" applyFont="1" applyFill="1" applyBorder="1" applyAlignment="1">
      <alignment horizontal="center" vertical="center" wrapText="1"/>
    </xf>
    <xf numFmtId="180" fontId="43" fillId="10" borderId="22" xfId="5" applyNumberFormat="1" applyFont="1" applyFill="1" applyBorder="1" applyAlignment="1">
      <alignment horizontal="center" vertical="center" shrinkToFit="1"/>
    </xf>
    <xf numFmtId="14" fontId="37" fillId="12" borderId="16" xfId="5" applyNumberFormat="1" applyFont="1" applyFill="1" applyBorder="1" applyAlignment="1">
      <alignment horizontal="center" vertical="center" wrapText="1" shrinkToFit="1"/>
    </xf>
    <xf numFmtId="14" fontId="37" fillId="12" borderId="24" xfId="5" applyNumberFormat="1" applyFont="1" applyFill="1" applyBorder="1" applyAlignment="1">
      <alignment horizontal="center" vertical="center" wrapText="1" shrinkToFit="1"/>
    </xf>
    <xf numFmtId="180" fontId="40" fillId="8" borderId="30" xfId="5" applyNumberFormat="1" applyFont="1" applyFill="1" applyBorder="1" applyAlignment="1">
      <alignment horizontal="center" vertical="center" shrinkToFit="1"/>
    </xf>
    <xf numFmtId="0" fontId="8" fillId="13" borderId="31" xfId="4" applyFont="1" applyFill="1" applyBorder="1" applyAlignment="1">
      <alignment horizontal="center" vertical="center" wrapText="1"/>
    </xf>
    <xf numFmtId="0" fontId="8" fillId="13" borderId="32" xfId="4" applyFont="1" applyFill="1" applyBorder="1" applyAlignment="1">
      <alignment horizontal="center" vertical="center" wrapText="1"/>
    </xf>
    <xf numFmtId="14" fontId="37" fillId="12" borderId="16" xfId="5" applyNumberFormat="1" applyFont="1" applyFill="1" applyBorder="1" applyAlignment="1">
      <alignment horizontal="center" vertical="center" shrinkToFit="1"/>
    </xf>
    <xf numFmtId="14" fontId="37" fillId="20" borderId="16" xfId="5" applyNumberFormat="1" applyFont="1" applyFill="1" applyBorder="1" applyAlignment="1">
      <alignment horizontal="center" vertical="center" wrapText="1" shrinkToFit="1"/>
    </xf>
    <xf numFmtId="14" fontId="37" fillId="21" borderId="16" xfId="5" applyNumberFormat="1" applyFont="1" applyFill="1" applyBorder="1" applyAlignment="1">
      <alignment horizontal="center" vertical="center" wrapText="1" shrinkToFit="1"/>
    </xf>
    <xf numFmtId="0" fontId="6" fillId="0" borderId="33" xfId="0" applyFont="1" applyBorder="1" applyAlignment="1">
      <alignment horizontal="center" vertical="center" shrinkToFit="1"/>
    </xf>
    <xf numFmtId="0" fontId="6" fillId="0" borderId="12" xfId="0" applyFont="1" applyBorder="1" applyAlignment="1">
      <alignment horizontal="center" vertical="center" shrinkToFit="1"/>
    </xf>
    <xf numFmtId="180" fontId="40" fillId="8" borderId="34" xfId="5" applyNumberFormat="1" applyFont="1" applyFill="1" applyBorder="1" applyAlignment="1">
      <alignment horizontal="center" vertical="center" shrinkToFit="1"/>
    </xf>
    <xf numFmtId="0" fontId="35" fillId="9" borderId="35" xfId="6" applyFont="1" applyFill="1" applyBorder="1" applyAlignment="1">
      <alignment horizontal="center" vertical="center" shrinkToFit="1"/>
    </xf>
    <xf numFmtId="0" fontId="35" fillId="9" borderId="36" xfId="6" applyFont="1" applyFill="1" applyBorder="1" applyAlignment="1">
      <alignment horizontal="center" vertical="center" shrinkToFit="1"/>
    </xf>
    <xf numFmtId="3" fontId="35" fillId="9" borderId="37" xfId="6" applyNumberFormat="1" applyFont="1" applyFill="1" applyBorder="1" applyAlignment="1">
      <alignment horizontal="center" vertical="center" wrapText="1" shrinkToFit="1"/>
    </xf>
    <xf numFmtId="3" fontId="35" fillId="10" borderId="37" xfId="6" applyNumberFormat="1" applyFont="1" applyFill="1" applyBorder="1" applyAlignment="1">
      <alignment horizontal="center" vertical="center" wrapText="1" shrinkToFit="1"/>
    </xf>
    <xf numFmtId="0" fontId="35" fillId="9" borderId="38" xfId="6" applyFont="1" applyFill="1" applyBorder="1" applyAlignment="1">
      <alignment horizontal="center" vertical="center" shrinkToFit="1"/>
    </xf>
    <xf numFmtId="176" fontId="35" fillId="9" borderId="38" xfId="1" applyNumberFormat="1" applyFont="1" applyFill="1" applyBorder="1" applyAlignment="1">
      <alignment horizontal="center" vertical="center" shrinkToFit="1"/>
    </xf>
    <xf numFmtId="176" fontId="35" fillId="9" borderId="39" xfId="1" applyNumberFormat="1" applyFont="1" applyFill="1" applyBorder="1" applyAlignment="1">
      <alignment horizontal="center" vertical="center" shrinkToFit="1"/>
    </xf>
    <xf numFmtId="176" fontId="35" fillId="9" borderId="39" xfId="1" applyNumberFormat="1" applyFont="1" applyFill="1" applyBorder="1" applyAlignment="1">
      <alignment horizontal="center" vertical="center" shrinkToFit="1"/>
    </xf>
    <xf numFmtId="176" fontId="35" fillId="9" borderId="37" xfId="6" applyNumberFormat="1" applyFont="1" applyFill="1" applyBorder="1" applyAlignment="1">
      <alignment horizontal="center" vertical="center" wrapText="1" shrinkToFit="1"/>
    </xf>
    <xf numFmtId="176" fontId="35" fillId="9" borderId="39" xfId="0" applyNumberFormat="1" applyFont="1" applyFill="1" applyBorder="1" applyAlignment="1">
      <alignment horizontal="center" vertical="center" shrinkToFit="1"/>
    </xf>
    <xf numFmtId="176" fontId="35" fillId="9" borderId="39" xfId="6" applyNumberFormat="1" applyFont="1" applyFill="1" applyBorder="1" applyAlignment="1">
      <alignment horizontal="center" vertical="center" shrinkToFit="1"/>
    </xf>
    <xf numFmtId="176" fontId="35" fillId="9" borderId="39" xfId="6" applyNumberFormat="1" applyFont="1" applyFill="1" applyBorder="1" applyAlignment="1">
      <alignment horizontal="center" vertical="center" wrapText="1" shrinkToFit="1"/>
    </xf>
    <xf numFmtId="176" fontId="35" fillId="9" borderId="38" xfId="0" applyNumberFormat="1" applyFont="1" applyFill="1" applyBorder="1" applyAlignment="1">
      <alignment horizontal="center" vertical="center" shrinkToFit="1"/>
    </xf>
    <xf numFmtId="38" fontId="6" fillId="9" borderId="38" xfId="1" applyFont="1" applyFill="1" applyBorder="1" applyAlignment="1">
      <alignment horizontal="center" vertical="center" shrinkToFit="1"/>
    </xf>
    <xf numFmtId="0" fontId="35" fillId="9" borderId="39" xfId="6" applyFont="1" applyFill="1" applyBorder="1" applyAlignment="1">
      <alignment horizontal="center" vertical="center" wrapText="1" shrinkToFit="1"/>
    </xf>
    <xf numFmtId="0" fontId="35" fillId="9" borderId="39" xfId="6" applyFont="1" applyFill="1" applyBorder="1" applyAlignment="1">
      <alignment horizontal="center" vertical="center" wrapText="1" shrinkToFit="1"/>
    </xf>
    <xf numFmtId="0" fontId="20" fillId="11" borderId="38" xfId="0" applyFont="1" applyFill="1" applyBorder="1" applyAlignment="1">
      <alignment horizontal="center" vertical="center" shrinkToFit="1"/>
    </xf>
    <xf numFmtId="0" fontId="6" fillId="11" borderId="38" xfId="5" applyFont="1" applyFill="1" applyBorder="1" applyAlignment="1">
      <alignment horizontal="center" vertical="center"/>
    </xf>
    <xf numFmtId="0" fontId="8" fillId="11" borderId="38" xfId="5" applyFont="1" applyFill="1" applyBorder="1" applyAlignment="1">
      <alignment horizontal="center" vertical="center"/>
    </xf>
    <xf numFmtId="0" fontId="6" fillId="11" borderId="40" xfId="5" applyFont="1" applyFill="1" applyBorder="1" applyAlignment="1">
      <alignment horizontal="center" vertical="center" wrapText="1"/>
    </xf>
    <xf numFmtId="14" fontId="37" fillId="4" borderId="41" xfId="5" applyNumberFormat="1" applyFont="1" applyFill="1" applyBorder="1" applyAlignment="1">
      <alignment horizontal="center" vertical="center" shrinkToFit="1"/>
    </xf>
    <xf numFmtId="14" fontId="37" fillId="4" borderId="39" xfId="5" applyNumberFormat="1" applyFont="1" applyFill="1" applyBorder="1" applyAlignment="1">
      <alignment horizontal="center" vertical="center" shrinkToFit="1"/>
    </xf>
    <xf numFmtId="14" fontId="37" fillId="12" borderId="39" xfId="5" applyNumberFormat="1" applyFont="1" applyFill="1" applyBorder="1" applyAlignment="1">
      <alignment horizontal="center" vertical="center" shrinkToFit="1"/>
    </xf>
    <xf numFmtId="14" fontId="37" fillId="12" borderId="39" xfId="5" applyNumberFormat="1" applyFont="1" applyFill="1" applyBorder="1" applyAlignment="1">
      <alignment horizontal="center" vertical="center" wrapText="1" shrinkToFit="1"/>
    </xf>
    <xf numFmtId="14" fontId="37" fillId="13" borderId="39" xfId="5" applyNumberFormat="1" applyFont="1" applyFill="1" applyBorder="1" applyAlignment="1">
      <alignment horizontal="center" vertical="center" wrapText="1" shrinkToFit="1"/>
    </xf>
    <xf numFmtId="14" fontId="37" fillId="0" borderId="42" xfId="5" applyNumberFormat="1" applyFont="1" applyBorder="1" applyAlignment="1">
      <alignment horizontal="center" vertical="center" wrapText="1" shrinkToFit="1"/>
    </xf>
    <xf numFmtId="14" fontId="37" fillId="13" borderId="42" xfId="5" applyNumberFormat="1" applyFont="1" applyFill="1" applyBorder="1" applyAlignment="1">
      <alignment horizontal="center" vertical="center" wrapText="1" shrinkToFit="1"/>
    </xf>
    <xf numFmtId="14" fontId="37" fillId="12" borderId="43" xfId="5" applyNumberFormat="1" applyFont="1" applyFill="1" applyBorder="1" applyAlignment="1">
      <alignment horizontal="center" vertical="center" shrinkToFit="1"/>
    </xf>
    <xf numFmtId="14" fontId="37" fillId="12" borderId="44" xfId="5" applyNumberFormat="1" applyFont="1" applyFill="1" applyBorder="1" applyAlignment="1">
      <alignment horizontal="center" vertical="center" shrinkToFit="1"/>
    </xf>
    <xf numFmtId="14" fontId="37" fillId="12" borderId="13" xfId="5" applyNumberFormat="1" applyFont="1" applyFill="1" applyBorder="1" applyAlignment="1">
      <alignment horizontal="center" vertical="center" wrapText="1" shrinkToFit="1"/>
    </xf>
    <xf numFmtId="14" fontId="37" fillId="12" borderId="44" xfId="5" applyNumberFormat="1" applyFont="1" applyFill="1" applyBorder="1" applyAlignment="1">
      <alignment horizontal="center" vertical="center" wrapText="1" shrinkToFit="1"/>
    </xf>
    <xf numFmtId="14" fontId="37" fillId="0" borderId="45" xfId="5" applyNumberFormat="1" applyFont="1" applyBorder="1" applyAlignment="1">
      <alignment horizontal="center" vertical="center" shrinkToFit="1"/>
    </xf>
    <xf numFmtId="14" fontId="37" fillId="0" borderId="39" xfId="5" applyNumberFormat="1" applyFont="1" applyBorder="1" applyAlignment="1">
      <alignment horizontal="center" vertical="center" shrinkToFit="1"/>
    </xf>
    <xf numFmtId="14" fontId="38" fillId="14" borderId="39" xfId="5" applyNumberFormat="1" applyFont="1" applyFill="1" applyBorder="1" applyAlignment="1">
      <alignment horizontal="center" vertical="center" shrinkToFit="1"/>
    </xf>
    <xf numFmtId="14" fontId="37" fillId="14" borderId="39" xfId="5" applyNumberFormat="1" applyFont="1" applyFill="1" applyBorder="1" applyAlignment="1">
      <alignment horizontal="center" vertical="center" shrinkToFit="1"/>
    </xf>
    <xf numFmtId="14" fontId="37" fillId="0" borderId="42" xfId="5" applyNumberFormat="1" applyFont="1" applyBorder="1" applyAlignment="1">
      <alignment horizontal="center" vertical="center" wrapText="1" shrinkToFit="1"/>
    </xf>
    <xf numFmtId="14" fontId="37" fillId="15" borderId="42" xfId="5" applyNumberFormat="1" applyFont="1" applyFill="1" applyBorder="1" applyAlignment="1">
      <alignment horizontal="center" vertical="center" wrapText="1" shrinkToFit="1"/>
    </xf>
    <xf numFmtId="178" fontId="6" fillId="16" borderId="46" xfId="6" applyNumberFormat="1" applyFont="1" applyFill="1" applyBorder="1" applyAlignment="1">
      <alignment horizontal="center" vertical="center" wrapText="1"/>
    </xf>
    <xf numFmtId="14" fontId="37" fillId="4" borderId="43" xfId="5" applyNumberFormat="1" applyFont="1" applyFill="1" applyBorder="1" applyAlignment="1">
      <alignment horizontal="center" vertical="center" shrinkToFit="1"/>
    </xf>
    <xf numFmtId="14" fontId="42" fillId="4" borderId="43" xfId="5" applyNumberFormat="1" applyFont="1" applyFill="1" applyBorder="1" applyAlignment="1">
      <alignment horizontal="center" vertical="center" wrapText="1" shrinkToFit="1"/>
    </xf>
    <xf numFmtId="14" fontId="39" fillId="4" borderId="39" xfId="5" applyNumberFormat="1" applyFont="1" applyFill="1" applyBorder="1" applyAlignment="1">
      <alignment horizontal="center" vertical="center" wrapText="1" shrinkToFit="1"/>
    </xf>
    <xf numFmtId="14" fontId="37" fillId="15" borderId="43" xfId="5" applyNumberFormat="1" applyFont="1" applyFill="1" applyBorder="1" applyAlignment="1">
      <alignment horizontal="center" vertical="center" shrinkToFit="1"/>
    </xf>
    <xf numFmtId="177" fontId="28" fillId="17" borderId="43" xfId="6" applyNumberFormat="1" applyFont="1" applyFill="1" applyBorder="1" applyAlignment="1">
      <alignment horizontal="center" vertical="center" wrapText="1"/>
    </xf>
    <xf numFmtId="177" fontId="28" fillId="18" borderId="43" xfId="6" applyNumberFormat="1" applyFont="1" applyFill="1" applyBorder="1" applyAlignment="1">
      <alignment horizontal="center" vertical="center" wrapText="1"/>
    </xf>
    <xf numFmtId="177" fontId="30" fillId="17" borderId="39" xfId="6" applyNumberFormat="1" applyFont="1" applyFill="1" applyBorder="1" applyAlignment="1">
      <alignment horizontal="center" vertical="center" wrapText="1"/>
    </xf>
    <xf numFmtId="177" fontId="30" fillId="4" borderId="39" xfId="6" applyNumberFormat="1" applyFont="1" applyFill="1" applyBorder="1" applyAlignment="1">
      <alignment horizontal="center" vertical="center" wrapText="1"/>
    </xf>
    <xf numFmtId="14" fontId="40" fillId="5" borderId="39" xfId="5" applyNumberFormat="1" applyFont="1" applyFill="1" applyBorder="1" applyAlignment="1">
      <alignment horizontal="center" vertical="center" shrinkToFit="1"/>
    </xf>
    <xf numFmtId="180" fontId="40" fillId="5" borderId="47" xfId="5" applyNumberFormat="1" applyFont="1" applyFill="1" applyBorder="1" applyAlignment="1">
      <alignment horizontal="center" vertical="center" shrinkToFit="1"/>
    </xf>
    <xf numFmtId="0" fontId="37" fillId="19" borderId="35" xfId="5" applyFont="1" applyFill="1" applyBorder="1" applyAlignment="1">
      <alignment horizontal="center" vertical="center"/>
    </xf>
    <xf numFmtId="0" fontId="37" fillId="19" borderId="38" xfId="5" applyFont="1" applyFill="1" applyBorder="1" applyAlignment="1">
      <alignment horizontal="center" vertical="center"/>
    </xf>
    <xf numFmtId="0" fontId="41" fillId="19" borderId="38" xfId="5" applyFont="1" applyFill="1" applyBorder="1" applyAlignment="1">
      <alignment horizontal="center" vertical="center"/>
    </xf>
    <xf numFmtId="0" fontId="40" fillId="19" borderId="38" xfId="5" applyFont="1" applyFill="1" applyBorder="1" applyAlignment="1">
      <alignment horizontal="center" vertical="center"/>
    </xf>
    <xf numFmtId="181" fontId="41" fillId="19" borderId="38" xfId="5" applyNumberFormat="1" applyFont="1" applyFill="1" applyBorder="1" applyAlignment="1">
      <alignment horizontal="center" vertical="center"/>
    </xf>
    <xf numFmtId="181" fontId="40" fillId="19" borderId="38" xfId="5" applyNumberFormat="1" applyFont="1" applyFill="1" applyBorder="1" applyAlignment="1">
      <alignment horizontal="center" vertical="center"/>
    </xf>
    <xf numFmtId="181" fontId="41" fillId="19" borderId="40" xfId="5" applyNumberFormat="1" applyFont="1" applyFill="1" applyBorder="1" applyAlignment="1">
      <alignment horizontal="center" vertical="center"/>
    </xf>
    <xf numFmtId="181" fontId="40" fillId="8" borderId="48" xfId="5" applyNumberFormat="1" applyFont="1" applyFill="1" applyBorder="1" applyAlignment="1">
      <alignment horizontal="center" vertical="center"/>
    </xf>
    <xf numFmtId="181" fontId="40" fillId="19" borderId="49" xfId="5" applyNumberFormat="1" applyFont="1" applyFill="1" applyBorder="1" applyAlignment="1">
      <alignment horizontal="center" vertical="center"/>
    </xf>
    <xf numFmtId="181" fontId="40" fillId="19" borderId="40" xfId="5" applyNumberFormat="1" applyFont="1" applyFill="1" applyBorder="1" applyAlignment="1">
      <alignment horizontal="center" vertical="center"/>
    </xf>
    <xf numFmtId="181" fontId="41" fillId="19" borderId="49" xfId="5" applyNumberFormat="1" applyFont="1" applyFill="1" applyBorder="1" applyAlignment="1">
      <alignment horizontal="center" vertical="center"/>
    </xf>
    <xf numFmtId="181" fontId="37" fillId="19" borderId="50" xfId="5" applyNumberFormat="1" applyFont="1" applyFill="1" applyBorder="1" applyAlignment="1">
      <alignment horizontal="center" vertical="center"/>
    </xf>
    <xf numFmtId="181" fontId="39" fillId="0" borderId="0" xfId="5" applyNumberFormat="1" applyFont="1" applyAlignment="1">
      <alignment horizontal="center" vertical="center"/>
    </xf>
    <xf numFmtId="0" fontId="6" fillId="4" borderId="40" xfId="5" applyFont="1" applyFill="1" applyBorder="1" applyAlignment="1">
      <alignment horizontal="center" vertical="center" wrapText="1"/>
    </xf>
    <xf numFmtId="0" fontId="20" fillId="22" borderId="38" xfId="5" applyFont="1" applyFill="1" applyBorder="1" applyAlignment="1">
      <alignment horizontal="center" vertical="center" wrapText="1"/>
    </xf>
    <xf numFmtId="0" fontId="8" fillId="20" borderId="51" xfId="5" applyFont="1" applyFill="1" applyBorder="1" applyAlignment="1">
      <alignment horizontal="center" vertical="center" wrapText="1"/>
    </xf>
    <xf numFmtId="0" fontId="8" fillId="20" borderId="52" xfId="5" applyFont="1" applyFill="1" applyBorder="1" applyAlignment="1">
      <alignment horizontal="center" vertical="center" wrapText="1"/>
    </xf>
    <xf numFmtId="0" fontId="20" fillId="13" borderId="38" xfId="5" applyFont="1" applyFill="1" applyBorder="1" applyAlignment="1">
      <alignment horizontal="center" vertical="center" wrapText="1"/>
    </xf>
    <xf numFmtId="0" fontId="8" fillId="13" borderId="51" xfId="5" applyFont="1" applyFill="1" applyBorder="1" applyAlignment="1">
      <alignment horizontal="center" vertical="center" wrapText="1"/>
    </xf>
    <xf numFmtId="0" fontId="8" fillId="13" borderId="52" xfId="5" applyFont="1" applyFill="1" applyBorder="1" applyAlignment="1">
      <alignment horizontal="center" vertical="center" wrapText="1"/>
    </xf>
    <xf numFmtId="0" fontId="8" fillId="13" borderId="49" xfId="5" applyFont="1" applyFill="1" applyBorder="1" applyAlignment="1">
      <alignment horizontal="center" vertical="center" wrapText="1"/>
    </xf>
    <xf numFmtId="0" fontId="8" fillId="13" borderId="53" xfId="5" applyFont="1" applyFill="1" applyBorder="1" applyAlignment="1">
      <alignment horizontal="center" vertical="center" wrapText="1"/>
    </xf>
    <xf numFmtId="177" fontId="6" fillId="10" borderId="54" xfId="5" applyNumberFormat="1" applyFont="1" applyFill="1" applyBorder="1" applyAlignment="1">
      <alignment horizontal="center" vertical="center" wrapText="1"/>
    </xf>
    <xf numFmtId="177" fontId="6" fillId="10" borderId="37" xfId="5" applyNumberFormat="1" applyFont="1" applyFill="1" applyBorder="1" applyAlignment="1">
      <alignment horizontal="center" vertical="center" wrapText="1"/>
    </xf>
    <xf numFmtId="180" fontId="43" fillId="10" borderId="55" xfId="5" applyNumberFormat="1" applyFont="1" applyFill="1" applyBorder="1" applyAlignment="1">
      <alignment horizontal="center" vertical="center" shrinkToFit="1"/>
    </xf>
    <xf numFmtId="14" fontId="37" fillId="12" borderId="39" xfId="5" applyNumberFormat="1" applyFont="1" applyFill="1" applyBorder="1" applyAlignment="1">
      <alignment horizontal="center" vertical="center" wrapText="1" shrinkToFit="1"/>
    </xf>
    <xf numFmtId="14" fontId="37" fillId="12" borderId="45" xfId="5" applyNumberFormat="1" applyFont="1" applyFill="1" applyBorder="1" applyAlignment="1">
      <alignment horizontal="center" vertical="center" shrinkToFit="1"/>
    </xf>
    <xf numFmtId="14" fontId="37" fillId="0" borderId="39" xfId="5" applyNumberFormat="1" applyFont="1" applyBorder="1" applyAlignment="1">
      <alignment horizontal="center" vertical="center" shrinkToFit="1"/>
    </xf>
    <xf numFmtId="14" fontId="37" fillId="14" borderId="39" xfId="5" applyNumberFormat="1" applyFont="1" applyFill="1" applyBorder="1" applyAlignment="1">
      <alignment horizontal="center" vertical="center" wrapText="1" shrinkToFit="1"/>
    </xf>
    <xf numFmtId="14" fontId="37" fillId="0" borderId="43" xfId="5" applyNumberFormat="1" applyFont="1" applyBorder="1" applyAlignment="1">
      <alignment horizontal="center" vertical="center" shrinkToFit="1"/>
    </xf>
    <xf numFmtId="177" fontId="30" fillId="17" borderId="43" xfId="6" applyNumberFormat="1" applyFont="1" applyFill="1" applyBorder="1" applyAlignment="1">
      <alignment horizontal="center" vertical="center" wrapText="1"/>
    </xf>
    <xf numFmtId="0" fontId="8" fillId="13" borderId="56" xfId="4" applyFont="1" applyFill="1" applyBorder="1" applyAlignment="1">
      <alignment horizontal="center" vertical="center" wrapText="1"/>
    </xf>
    <xf numFmtId="0" fontId="8" fillId="13" borderId="57" xfId="4" applyFont="1" applyFill="1" applyBorder="1" applyAlignment="1">
      <alignment horizontal="center" vertical="center" wrapText="1"/>
    </xf>
    <xf numFmtId="14" fontId="37" fillId="20" borderId="39" xfId="5" applyNumberFormat="1" applyFont="1" applyFill="1" applyBorder="1" applyAlignment="1">
      <alignment horizontal="center" vertical="center" shrinkToFit="1"/>
    </xf>
    <xf numFmtId="14" fontId="37" fillId="21" borderId="39" xfId="5" applyNumberFormat="1" applyFont="1" applyFill="1" applyBorder="1" applyAlignment="1">
      <alignment horizontal="center" vertical="center" shrinkToFit="1"/>
    </xf>
    <xf numFmtId="178" fontId="6" fillId="0" borderId="49" xfId="0" applyNumberFormat="1" applyFont="1" applyBorder="1" applyAlignment="1">
      <alignment horizontal="center" vertical="center" wrapText="1" shrinkToFit="1"/>
    </xf>
    <xf numFmtId="0" fontId="6" fillId="0" borderId="58" xfId="0" applyFont="1" applyBorder="1" applyAlignment="1">
      <alignment horizontal="center" vertical="center" wrapText="1" shrinkToFit="1"/>
    </xf>
    <xf numFmtId="181" fontId="40" fillId="8" borderId="59" xfId="5" applyNumberFormat="1" applyFont="1" applyFill="1" applyBorder="1" applyAlignment="1">
      <alignment horizontal="center" vertical="center"/>
    </xf>
    <xf numFmtId="0" fontId="44" fillId="0" borderId="60" xfId="6" applyFont="1" applyBorder="1" applyAlignment="1">
      <alignment horizontal="center" vertical="center" shrinkToFit="1"/>
    </xf>
    <xf numFmtId="0" fontId="31" fillId="0" borderId="0" xfId="6" applyFont="1" applyAlignment="1">
      <alignment horizontal="center" vertical="center" shrinkToFit="1"/>
    </xf>
    <xf numFmtId="0" fontId="31" fillId="0" borderId="42" xfId="6" applyFont="1" applyBorder="1" applyAlignment="1">
      <alignment horizontal="center" vertical="center" shrinkToFit="1"/>
    </xf>
    <xf numFmtId="0" fontId="45" fillId="10" borderId="42" xfId="1" applyNumberFormat="1" applyFont="1" applyFill="1" applyBorder="1" applyAlignment="1">
      <alignment horizontal="center" vertical="center" shrinkToFit="1"/>
    </xf>
    <xf numFmtId="0" fontId="45" fillId="0" borderId="42" xfId="1" applyNumberFormat="1" applyFont="1" applyFill="1" applyBorder="1" applyAlignment="1">
      <alignment vertical="center" shrinkToFit="1"/>
    </xf>
    <xf numFmtId="38" fontId="31" fillId="0" borderId="42" xfId="1" applyFont="1" applyBorder="1" applyAlignment="1">
      <alignment horizontal="right" vertical="center" shrinkToFit="1"/>
    </xf>
    <xf numFmtId="176" fontId="31" fillId="0" borderId="42" xfId="1" applyNumberFormat="1" applyFont="1" applyBorder="1" applyAlignment="1">
      <alignment horizontal="right" vertical="center" shrinkToFit="1"/>
    </xf>
    <xf numFmtId="176" fontId="31" fillId="0" borderId="42" xfId="1" applyNumberFormat="1" applyFont="1" applyFill="1" applyBorder="1" applyAlignment="1">
      <alignment horizontal="center" vertical="center" shrinkToFit="1"/>
    </xf>
    <xf numFmtId="176" fontId="31" fillId="0" borderId="42" xfId="1" applyNumberFormat="1" applyFont="1" applyBorder="1" applyAlignment="1">
      <alignment horizontal="center" vertical="center" shrinkToFit="1"/>
    </xf>
    <xf numFmtId="176" fontId="31" fillId="0" borderId="42" xfId="1" applyNumberFormat="1" applyFont="1" applyFill="1" applyBorder="1" applyAlignment="1">
      <alignment horizontal="right" vertical="center" shrinkToFit="1"/>
    </xf>
    <xf numFmtId="38" fontId="31" fillId="0" borderId="42" xfId="1" applyFont="1" applyBorder="1" applyAlignment="1">
      <alignment horizontal="center" vertical="center" shrinkToFit="1"/>
    </xf>
    <xf numFmtId="176" fontId="31" fillId="0" borderId="42" xfId="6" applyNumberFormat="1" applyFont="1" applyBorder="1" applyAlignment="1">
      <alignment horizontal="center" vertical="center" shrinkToFit="1"/>
    </xf>
    <xf numFmtId="0" fontId="31" fillId="0" borderId="42" xfId="0" applyFont="1" applyBorder="1" applyAlignment="1">
      <alignment horizontal="center" vertical="center"/>
    </xf>
    <xf numFmtId="0" fontId="45" fillId="17" borderId="61" xfId="0" applyFont="1" applyFill="1" applyBorder="1" applyAlignment="1">
      <alignment horizontal="center" vertical="center" shrinkToFit="1"/>
    </xf>
    <xf numFmtId="41" fontId="45" fillId="17" borderId="61" xfId="0" applyNumberFormat="1" applyFont="1" applyFill="1" applyBorder="1" applyAlignment="1">
      <alignment horizontal="center" vertical="center" shrinkToFit="1"/>
    </xf>
    <xf numFmtId="182" fontId="45" fillId="17" borderId="61" xfId="0" applyNumberFormat="1" applyFont="1" applyFill="1" applyBorder="1" applyAlignment="1">
      <alignment horizontal="right" vertical="center" shrinkToFit="1"/>
    </xf>
    <xf numFmtId="182" fontId="34" fillId="17" borderId="62" xfId="0" applyNumberFormat="1" applyFont="1" applyFill="1" applyBorder="1" applyAlignment="1">
      <alignment vertical="center" shrinkToFit="1"/>
    </xf>
    <xf numFmtId="41" fontId="31" fillId="15" borderId="63" xfId="0" applyNumberFormat="1" applyFont="1" applyFill="1" applyBorder="1" applyAlignment="1">
      <alignment horizontal="center" vertical="center" shrinkToFit="1"/>
    </xf>
    <xf numFmtId="41" fontId="31" fillId="0" borderId="0" xfId="0" applyNumberFormat="1" applyFont="1" applyAlignment="1">
      <alignment horizontal="center" vertical="center" shrinkToFit="1"/>
    </xf>
    <xf numFmtId="38" fontId="31" fillId="4" borderId="42" xfId="1" applyFont="1" applyFill="1" applyBorder="1" applyAlignment="1">
      <alignment horizontal="right" vertical="center" shrinkToFit="1"/>
    </xf>
    <xf numFmtId="38" fontId="31" fillId="4" borderId="0" xfId="1" applyFont="1" applyFill="1" applyBorder="1" applyAlignment="1">
      <alignment horizontal="right" vertical="center" shrinkToFit="1"/>
    </xf>
    <xf numFmtId="38" fontId="31" fillId="0" borderId="0" xfId="1" applyFont="1" applyFill="1" applyBorder="1" applyAlignment="1">
      <alignment horizontal="right" vertical="center" shrinkToFit="1"/>
    </xf>
    <xf numFmtId="41" fontId="31" fillId="0" borderId="64" xfId="0" applyNumberFormat="1" applyFont="1" applyBorder="1" applyAlignment="1">
      <alignment horizontal="center" vertical="center" shrinkToFit="1"/>
    </xf>
    <xf numFmtId="41" fontId="30" fillId="0" borderId="64" xfId="0" applyNumberFormat="1" applyFont="1" applyBorder="1" applyAlignment="1">
      <alignment horizontal="center" vertical="center" shrinkToFit="1"/>
    </xf>
    <xf numFmtId="41" fontId="31" fillId="4" borderId="0" xfId="0" applyNumberFormat="1" applyFont="1" applyFill="1" applyAlignment="1">
      <alignment horizontal="center" vertical="center" shrinkToFit="1"/>
    </xf>
    <xf numFmtId="38" fontId="31" fillId="4" borderId="65" xfId="1" applyFont="1" applyFill="1" applyBorder="1" applyAlignment="1">
      <alignment horizontal="right" vertical="center" shrinkToFit="1"/>
    </xf>
    <xf numFmtId="38" fontId="31" fillId="4" borderId="65" xfId="1" applyFont="1" applyFill="1" applyBorder="1" applyAlignment="1">
      <alignment horizontal="left" vertical="center" shrinkToFit="1"/>
    </xf>
    <xf numFmtId="14" fontId="31" fillId="4" borderId="65" xfId="1" applyNumberFormat="1" applyFont="1" applyFill="1" applyBorder="1" applyAlignment="1">
      <alignment horizontal="right" vertical="center" shrinkToFit="1"/>
    </xf>
    <xf numFmtId="14" fontId="30" fillId="0" borderId="66" xfId="0" applyNumberFormat="1" applyFont="1" applyBorder="1" applyAlignment="1">
      <alignment horizontal="center" vertical="center" shrinkToFit="1"/>
    </xf>
    <xf numFmtId="14" fontId="30" fillId="0" borderId="67" xfId="0" applyNumberFormat="1" applyFont="1" applyBorder="1" applyAlignment="1">
      <alignment horizontal="center" vertical="center" shrinkToFit="1"/>
    </xf>
    <xf numFmtId="41" fontId="30" fillId="0" borderId="68" xfId="0" applyNumberFormat="1" applyFont="1" applyBorder="1" applyAlignment="1">
      <alignment horizontal="center" vertical="center" shrinkToFit="1"/>
    </xf>
    <xf numFmtId="41" fontId="34" fillId="0" borderId="65" xfId="0" applyNumberFormat="1" applyFont="1" applyBorder="1" applyAlignment="1">
      <alignment vertical="center" shrinkToFit="1"/>
    </xf>
    <xf numFmtId="41" fontId="34" fillId="0" borderId="42" xfId="0" applyNumberFormat="1" applyFont="1" applyBorder="1" applyAlignment="1">
      <alignment vertical="center" shrinkToFit="1"/>
    </xf>
    <xf numFmtId="183" fontId="34" fillId="23" borderId="42" xfId="0" applyNumberFormat="1" applyFont="1" applyFill="1" applyBorder="1" applyAlignment="1">
      <alignment vertical="center" shrinkToFit="1"/>
    </xf>
    <xf numFmtId="41" fontId="34" fillId="0" borderId="62" xfId="0" applyNumberFormat="1" applyFont="1" applyBorder="1" applyAlignment="1">
      <alignment vertical="center" shrinkToFit="1"/>
    </xf>
    <xf numFmtId="41" fontId="34" fillId="0" borderId="69" xfId="0" applyNumberFormat="1" applyFont="1" applyBorder="1" applyAlignment="1">
      <alignment vertical="center" shrinkToFit="1"/>
    </xf>
    <xf numFmtId="41" fontId="34" fillId="0" borderId="70" xfId="0" applyNumberFormat="1" applyFont="1" applyBorder="1" applyAlignment="1">
      <alignment vertical="center" shrinkToFit="1"/>
    </xf>
    <xf numFmtId="41" fontId="31" fillId="0" borderId="0" xfId="0" applyNumberFormat="1" applyFont="1" applyAlignment="1">
      <alignment vertical="center" shrinkToFit="1"/>
    </xf>
    <xf numFmtId="41" fontId="31" fillId="17" borderId="61" xfId="0" applyNumberFormat="1" applyFont="1" applyFill="1" applyBorder="1" applyAlignment="1">
      <alignment horizontal="center" vertical="center" shrinkToFit="1"/>
    </xf>
    <xf numFmtId="182" fontId="31" fillId="17" borderId="61" xfId="0" applyNumberFormat="1" applyFont="1" applyFill="1" applyBorder="1" applyAlignment="1">
      <alignment horizontal="right" vertical="center" shrinkToFit="1"/>
    </xf>
    <xf numFmtId="182" fontId="46" fillId="17" borderId="62" xfId="0" applyNumberFormat="1" applyFont="1" applyFill="1" applyBorder="1" applyAlignment="1">
      <alignment vertical="center" shrinkToFit="1"/>
    </xf>
    <xf numFmtId="0" fontId="45" fillId="24" borderId="61" xfId="0" applyFont="1" applyFill="1" applyBorder="1" applyAlignment="1">
      <alignment horizontal="center" vertical="center" shrinkToFit="1"/>
    </xf>
    <xf numFmtId="184" fontId="45" fillId="25" borderId="71" xfId="0" applyNumberFormat="1" applyFont="1" applyFill="1" applyBorder="1" applyAlignment="1">
      <alignment horizontal="right" vertical="center" shrinkToFit="1"/>
    </xf>
    <xf numFmtId="185" fontId="45" fillId="25" borderId="72" xfId="0" applyNumberFormat="1" applyFont="1" applyFill="1" applyBorder="1" applyAlignment="1">
      <alignment horizontal="right" vertical="center" shrinkToFit="1"/>
    </xf>
    <xf numFmtId="0" fontId="45" fillId="2" borderId="61" xfId="0" applyFont="1" applyFill="1" applyBorder="1" applyAlignment="1">
      <alignment horizontal="center" vertical="center" shrinkToFit="1"/>
    </xf>
    <xf numFmtId="184" fontId="45" fillId="2" borderId="71" xfId="0" applyNumberFormat="1" applyFont="1" applyFill="1" applyBorder="1" applyAlignment="1">
      <alignment horizontal="right" vertical="center" shrinkToFit="1"/>
    </xf>
    <xf numFmtId="185" fontId="45" fillId="2" borderId="72" xfId="0" applyNumberFormat="1" applyFont="1" applyFill="1" applyBorder="1" applyAlignment="1">
      <alignment horizontal="right" vertical="center" shrinkToFit="1"/>
    </xf>
    <xf numFmtId="0" fontId="45" fillId="2" borderId="73" xfId="0" applyFont="1" applyFill="1" applyBorder="1" applyAlignment="1">
      <alignment horizontal="center" vertical="center" shrinkToFit="1"/>
    </xf>
    <xf numFmtId="185" fontId="45" fillId="2" borderId="74" xfId="0" applyNumberFormat="1" applyFont="1" applyFill="1" applyBorder="1" applyAlignment="1">
      <alignment horizontal="right" vertical="center" shrinkToFit="1"/>
    </xf>
    <xf numFmtId="177" fontId="30" fillId="24" borderId="75" xfId="0" applyNumberFormat="1" applyFont="1" applyFill="1" applyBorder="1" applyAlignment="1">
      <alignment vertical="center" shrinkToFit="1"/>
    </xf>
    <xf numFmtId="9" fontId="30" fillId="24" borderId="42" xfId="2" applyFont="1" applyFill="1" applyBorder="1" applyAlignment="1">
      <alignment vertical="center" shrinkToFit="1"/>
    </xf>
    <xf numFmtId="41" fontId="31" fillId="10" borderId="76" xfId="0" applyNumberFormat="1" applyFont="1" applyFill="1" applyBorder="1" applyAlignment="1">
      <alignment horizontal="center" vertical="center" shrinkToFit="1"/>
    </xf>
    <xf numFmtId="41" fontId="31" fillId="0" borderId="63" xfId="0" applyNumberFormat="1" applyFont="1" applyBorder="1" applyAlignment="1">
      <alignment horizontal="center" vertical="center" shrinkToFit="1"/>
    </xf>
    <xf numFmtId="0" fontId="45" fillId="0" borderId="31" xfId="1" applyNumberFormat="1" applyFont="1" applyFill="1" applyBorder="1" applyAlignment="1">
      <alignment vertical="center" shrinkToFit="1"/>
    </xf>
    <xf numFmtId="0" fontId="45" fillId="0" borderId="32" xfId="1" applyNumberFormat="1" applyFont="1" applyFill="1" applyBorder="1" applyAlignment="1">
      <alignment vertical="center" shrinkToFit="1"/>
    </xf>
    <xf numFmtId="0" fontId="3" fillId="0" borderId="77" xfId="0" applyFont="1" applyBorder="1" applyAlignment="1">
      <alignment vertical="center" shrinkToFit="1"/>
    </xf>
    <xf numFmtId="0" fontId="3" fillId="0" borderId="2" xfId="0" applyFont="1" applyBorder="1" applyAlignment="1">
      <alignment vertical="center" shrinkToFit="1"/>
    </xf>
    <xf numFmtId="0" fontId="3" fillId="0" borderId="78" xfId="0" applyFont="1" applyBorder="1" applyAlignment="1">
      <alignment vertical="center" shrinkToFit="1"/>
    </xf>
    <xf numFmtId="0" fontId="3" fillId="0" borderId="79" xfId="0" applyFont="1" applyBorder="1" applyAlignment="1">
      <alignment vertical="center" shrinkToFit="1"/>
    </xf>
    <xf numFmtId="0" fontId="31" fillId="0" borderId="60" xfId="6" applyFont="1" applyBorder="1" applyAlignment="1">
      <alignment horizontal="center" vertical="center" shrinkToFit="1"/>
    </xf>
    <xf numFmtId="176" fontId="31" fillId="0" borderId="42" xfId="6" applyNumberFormat="1" applyFont="1" applyBorder="1" applyAlignment="1">
      <alignment horizontal="right" vertical="center" shrinkToFit="1"/>
    </xf>
    <xf numFmtId="0" fontId="45" fillId="0" borderId="42" xfId="1" applyNumberFormat="1" applyFont="1" applyFill="1" applyBorder="1" applyAlignment="1">
      <alignment horizontal="center" vertical="center" shrinkToFit="1"/>
    </xf>
    <xf numFmtId="0" fontId="45" fillId="17" borderId="80" xfId="0" applyFont="1" applyFill="1" applyBorder="1" applyAlignment="1">
      <alignment horizontal="center" vertical="center" shrinkToFit="1"/>
    </xf>
    <xf numFmtId="41" fontId="45" fillId="17" borderId="80" xfId="0" applyNumberFormat="1" applyFont="1" applyFill="1" applyBorder="1" applyAlignment="1">
      <alignment horizontal="center" vertical="center" shrinkToFit="1"/>
    </xf>
    <xf numFmtId="182" fontId="45" fillId="17" borderId="80" xfId="0" applyNumberFormat="1" applyFont="1" applyFill="1" applyBorder="1" applyAlignment="1">
      <alignment horizontal="right" vertical="center" shrinkToFit="1"/>
    </xf>
    <xf numFmtId="41" fontId="31" fillId="10" borderId="81" xfId="0" applyNumberFormat="1" applyFont="1" applyFill="1" applyBorder="1" applyAlignment="1">
      <alignment horizontal="center" vertical="center" shrinkToFit="1"/>
    </xf>
    <xf numFmtId="41" fontId="31" fillId="10" borderId="82" xfId="0" applyNumberFormat="1" applyFont="1" applyFill="1" applyBorder="1" applyAlignment="1">
      <alignment horizontal="center" vertical="center" shrinkToFit="1"/>
    </xf>
    <xf numFmtId="41" fontId="31" fillId="10" borderId="83" xfId="0" applyNumberFormat="1" applyFont="1" applyFill="1" applyBorder="1" applyAlignment="1">
      <alignment horizontal="center" vertical="center" shrinkToFit="1"/>
    </xf>
    <xf numFmtId="41" fontId="30" fillId="10" borderId="83" xfId="0" applyNumberFormat="1" applyFont="1" applyFill="1" applyBorder="1" applyAlignment="1">
      <alignment horizontal="center" vertical="center" shrinkToFit="1"/>
    </xf>
    <xf numFmtId="41" fontId="31" fillId="10" borderId="82" xfId="0" applyNumberFormat="1" applyFont="1" applyFill="1" applyBorder="1" applyAlignment="1">
      <alignment horizontal="left" vertical="center" shrinkToFit="1"/>
    </xf>
    <xf numFmtId="14" fontId="31" fillId="10" borderId="82" xfId="0" applyNumberFormat="1" applyFont="1" applyFill="1" applyBorder="1" applyAlignment="1">
      <alignment horizontal="center" vertical="center" shrinkToFit="1"/>
    </xf>
    <xf numFmtId="41" fontId="30" fillId="10" borderId="82" xfId="0" applyNumberFormat="1" applyFont="1" applyFill="1" applyBorder="1" applyAlignment="1">
      <alignment horizontal="center" vertical="center" shrinkToFit="1"/>
    </xf>
    <xf numFmtId="41" fontId="30" fillId="10" borderId="84" xfId="0" applyNumberFormat="1" applyFont="1" applyFill="1" applyBorder="1" applyAlignment="1">
      <alignment horizontal="center" vertical="center" shrinkToFit="1"/>
    </xf>
    <xf numFmtId="41" fontId="30" fillId="0" borderId="85" xfId="0" applyNumberFormat="1" applyFont="1" applyBorder="1" applyAlignment="1">
      <alignment horizontal="center" vertical="center" shrinkToFit="1"/>
    </xf>
    <xf numFmtId="41" fontId="30" fillId="0" borderId="86" xfId="0" applyNumberFormat="1" applyFont="1" applyBorder="1" applyAlignment="1">
      <alignment horizontal="center" vertical="center" shrinkToFit="1"/>
    </xf>
    <xf numFmtId="41" fontId="34" fillId="0" borderId="87" xfId="0" applyNumberFormat="1" applyFont="1" applyBorder="1" applyAlignment="1">
      <alignment vertical="center" shrinkToFit="1"/>
    </xf>
    <xf numFmtId="41" fontId="34" fillId="0" borderId="86" xfId="0" applyNumberFormat="1" applyFont="1" applyBorder="1" applyAlignment="1">
      <alignment vertical="center" shrinkToFit="1"/>
    </xf>
    <xf numFmtId="41" fontId="34" fillId="0" borderId="86" xfId="0" applyNumberFormat="1" applyFont="1" applyBorder="1">
      <alignment vertical="center"/>
    </xf>
    <xf numFmtId="41" fontId="34" fillId="0" borderId="88" xfId="0" applyNumberFormat="1" applyFont="1" applyBorder="1" applyAlignment="1">
      <alignment vertical="center" shrinkToFit="1"/>
    </xf>
    <xf numFmtId="41" fontId="34" fillId="0" borderId="89" xfId="0" applyNumberFormat="1" applyFont="1" applyBorder="1" applyAlignment="1">
      <alignment vertical="center" shrinkToFit="1"/>
    </xf>
    <xf numFmtId="41" fontId="34" fillId="0" borderId="90" xfId="0" applyNumberFormat="1" applyFont="1" applyBorder="1" applyAlignment="1">
      <alignment vertical="center" shrinkToFit="1"/>
    </xf>
    <xf numFmtId="41" fontId="31" fillId="17" borderId="80" xfId="0" applyNumberFormat="1" applyFont="1" applyFill="1" applyBorder="1" applyAlignment="1">
      <alignment horizontal="center" vertical="center" shrinkToFit="1"/>
    </xf>
    <xf numFmtId="182" fontId="47" fillId="17" borderId="80" xfId="0" applyNumberFormat="1" applyFont="1" applyFill="1" applyBorder="1" applyAlignment="1">
      <alignment horizontal="right" vertical="center" shrinkToFit="1"/>
    </xf>
    <xf numFmtId="182" fontId="30" fillId="17" borderId="62" xfId="0" applyNumberFormat="1" applyFont="1" applyFill="1" applyBorder="1" applyAlignment="1">
      <alignment vertical="center" shrinkToFit="1"/>
    </xf>
    <xf numFmtId="0" fontId="45" fillId="24" borderId="80" xfId="0" applyFont="1" applyFill="1" applyBorder="1" applyAlignment="1">
      <alignment horizontal="center" vertical="center" shrinkToFit="1"/>
    </xf>
    <xf numFmtId="184" fontId="45" fillId="25" borderId="91" xfId="0" applyNumberFormat="1" applyFont="1" applyFill="1" applyBorder="1" applyAlignment="1">
      <alignment horizontal="right" vertical="center" shrinkToFit="1"/>
    </xf>
    <xf numFmtId="185" fontId="45" fillId="25" borderId="92" xfId="0" applyNumberFormat="1" applyFont="1" applyFill="1" applyBorder="1" applyAlignment="1">
      <alignment horizontal="right" vertical="center" shrinkToFit="1"/>
    </xf>
    <xf numFmtId="0" fontId="45" fillId="2" borderId="80" xfId="0" applyFont="1" applyFill="1" applyBorder="1" applyAlignment="1">
      <alignment horizontal="center" vertical="center" shrinkToFit="1"/>
    </xf>
    <xf numFmtId="184" fontId="45" fillId="2" borderId="91" xfId="0" applyNumberFormat="1" applyFont="1" applyFill="1" applyBorder="1" applyAlignment="1">
      <alignment horizontal="right" vertical="center" shrinkToFit="1"/>
    </xf>
    <xf numFmtId="185" fontId="45" fillId="2" borderId="92" xfId="0" applyNumberFormat="1" applyFont="1" applyFill="1" applyBorder="1" applyAlignment="1">
      <alignment horizontal="right" vertical="center" shrinkToFit="1"/>
    </xf>
    <xf numFmtId="0" fontId="45" fillId="2" borderId="93" xfId="0" applyFont="1" applyFill="1" applyBorder="1" applyAlignment="1">
      <alignment horizontal="center" vertical="center" shrinkToFit="1"/>
    </xf>
    <xf numFmtId="185" fontId="45" fillId="2" borderId="94" xfId="0" applyNumberFormat="1" applyFont="1" applyFill="1" applyBorder="1" applyAlignment="1">
      <alignment horizontal="right" vertical="center" shrinkToFit="1"/>
    </xf>
    <xf numFmtId="41" fontId="31" fillId="10" borderId="88" xfId="0" applyNumberFormat="1" applyFont="1" applyFill="1" applyBorder="1" applyAlignment="1">
      <alignment horizontal="center" vertical="center" shrinkToFit="1"/>
    </xf>
    <xf numFmtId="0" fontId="45" fillId="0" borderId="75" xfId="1" applyNumberFormat="1" applyFont="1" applyFill="1" applyBorder="1" applyAlignment="1">
      <alignment vertical="center" shrinkToFit="1"/>
    </xf>
    <xf numFmtId="0" fontId="45" fillId="0" borderId="95" xfId="1" applyNumberFormat="1" applyFont="1" applyFill="1" applyBorder="1" applyAlignment="1">
      <alignment vertical="center" shrinkToFit="1"/>
    </xf>
    <xf numFmtId="0" fontId="3" fillId="0" borderId="63" xfId="0" applyFont="1" applyBorder="1" applyAlignment="1">
      <alignment vertical="center" shrinkToFit="1"/>
    </xf>
    <xf numFmtId="41" fontId="31" fillId="10" borderId="63" xfId="0" applyNumberFormat="1" applyFont="1" applyFill="1" applyBorder="1" applyAlignment="1">
      <alignment horizontal="center" vertical="center" shrinkToFit="1"/>
    </xf>
    <xf numFmtId="41" fontId="31" fillId="10" borderId="0" xfId="0" applyNumberFormat="1" applyFont="1" applyFill="1" applyAlignment="1">
      <alignment horizontal="center" vertical="center" shrinkToFit="1"/>
    </xf>
    <xf numFmtId="41" fontId="31" fillId="10" borderId="64" xfId="0" applyNumberFormat="1" applyFont="1" applyFill="1" applyBorder="1" applyAlignment="1">
      <alignment horizontal="center" vertical="center" shrinkToFit="1"/>
    </xf>
    <xf numFmtId="41" fontId="30" fillId="10" borderId="64" xfId="0" applyNumberFormat="1" applyFont="1" applyFill="1" applyBorder="1" applyAlignment="1">
      <alignment horizontal="center" vertical="center" shrinkToFit="1"/>
    </xf>
    <xf numFmtId="41" fontId="31" fillId="10" borderId="0" xfId="0" applyNumberFormat="1" applyFont="1" applyFill="1" applyAlignment="1">
      <alignment horizontal="left" vertical="center" shrinkToFit="1"/>
    </xf>
    <xf numFmtId="14" fontId="31" fillId="10" borderId="0" xfId="0" applyNumberFormat="1" applyFont="1" applyFill="1" applyAlignment="1">
      <alignment horizontal="center" vertical="center" shrinkToFit="1"/>
    </xf>
    <xf numFmtId="41" fontId="30" fillId="10" borderId="0" xfId="0" applyNumberFormat="1" applyFont="1" applyFill="1" applyAlignment="1">
      <alignment horizontal="center" vertical="center" shrinkToFit="1"/>
    </xf>
    <xf numFmtId="41" fontId="30" fillId="10" borderId="2" xfId="0" applyNumberFormat="1" applyFont="1" applyFill="1" applyBorder="1" applyAlignment="1">
      <alignment horizontal="center" vertical="center" shrinkToFit="1"/>
    </xf>
    <xf numFmtId="41" fontId="30" fillId="0" borderId="60" xfId="0" applyNumberFormat="1" applyFont="1" applyBorder="1" applyAlignment="1">
      <alignment horizontal="center" vertical="center" shrinkToFit="1"/>
    </xf>
    <xf numFmtId="41" fontId="30" fillId="0" borderId="42" xfId="0" applyNumberFormat="1" applyFont="1" applyBorder="1" applyAlignment="1">
      <alignment horizontal="center" vertical="center" shrinkToFit="1"/>
    </xf>
    <xf numFmtId="41" fontId="34" fillId="0" borderId="42" xfId="0" applyNumberFormat="1" applyFont="1" applyBorder="1">
      <alignment vertical="center"/>
    </xf>
    <xf numFmtId="182" fontId="31" fillId="17" borderId="80" xfId="0" applyNumberFormat="1" applyFont="1" applyFill="1" applyBorder="1" applyAlignment="1">
      <alignment horizontal="right" vertical="center" shrinkToFit="1"/>
    </xf>
    <xf numFmtId="0" fontId="45" fillId="2" borderId="96" xfId="0" applyFont="1" applyFill="1" applyBorder="1" applyAlignment="1">
      <alignment horizontal="center" vertical="center" shrinkToFit="1"/>
    </xf>
    <xf numFmtId="41" fontId="31" fillId="10" borderId="62" xfId="0" applyNumberFormat="1" applyFont="1" applyFill="1" applyBorder="1" applyAlignment="1">
      <alignment horizontal="center" vertical="center" shrinkToFit="1"/>
    </xf>
    <xf numFmtId="0" fontId="45" fillId="17" borderId="86" xfId="0" applyFont="1" applyFill="1" applyBorder="1" applyAlignment="1">
      <alignment horizontal="center" vertical="center" shrinkToFit="1"/>
    </xf>
    <xf numFmtId="0" fontId="48" fillId="17" borderId="86" xfId="0" applyFont="1" applyFill="1" applyBorder="1" applyAlignment="1">
      <alignment horizontal="center" vertical="center" shrinkToFit="1"/>
    </xf>
    <xf numFmtId="0" fontId="3" fillId="0" borderId="97" xfId="0" applyFont="1" applyBorder="1" applyAlignment="1">
      <alignment vertical="center" shrinkToFit="1"/>
    </xf>
    <xf numFmtId="178" fontId="3" fillId="0" borderId="97" xfId="0" applyNumberFormat="1" applyFont="1" applyBorder="1" applyAlignment="1">
      <alignment vertical="center" shrinkToFit="1"/>
    </xf>
    <xf numFmtId="0" fontId="3" fillId="0" borderId="98" xfId="0" applyFont="1" applyBorder="1" applyAlignment="1">
      <alignment vertical="center" shrinkToFit="1"/>
    </xf>
    <xf numFmtId="0" fontId="3" fillId="0" borderId="99" xfId="0" applyFont="1" applyBorder="1" applyAlignment="1">
      <alignment vertical="center" shrinkToFit="1"/>
    </xf>
    <xf numFmtId="0" fontId="48" fillId="17" borderId="80" xfId="0" applyFont="1" applyFill="1" applyBorder="1" applyAlignment="1">
      <alignment horizontal="center" vertical="center" shrinkToFit="1"/>
    </xf>
    <xf numFmtId="182" fontId="49" fillId="17" borderId="80" xfId="0" applyNumberFormat="1" applyFont="1" applyFill="1" applyBorder="1" applyAlignment="1">
      <alignment horizontal="right" vertical="center" shrinkToFit="1"/>
    </xf>
    <xf numFmtId="41" fontId="45" fillId="17" borderId="86" xfId="0" applyNumberFormat="1" applyFont="1" applyFill="1" applyBorder="1" applyAlignment="1">
      <alignment horizontal="center" vertical="center" shrinkToFit="1"/>
    </xf>
    <xf numFmtId="182" fontId="45" fillId="17" borderId="86" xfId="0" applyNumberFormat="1" applyFont="1" applyFill="1" applyBorder="1" applyAlignment="1">
      <alignment horizontal="right" vertical="center" shrinkToFit="1"/>
    </xf>
    <xf numFmtId="41" fontId="33" fillId="26" borderId="100" xfId="0" applyNumberFormat="1" applyFont="1" applyFill="1" applyBorder="1" applyAlignment="1">
      <alignment horizontal="center" vertical="center" shrinkToFit="1"/>
    </xf>
    <xf numFmtId="41" fontId="33" fillId="26" borderId="101" xfId="0" applyNumberFormat="1" applyFont="1" applyFill="1" applyBorder="1" applyAlignment="1">
      <alignment horizontal="center" vertical="center" shrinkToFit="1"/>
    </xf>
    <xf numFmtId="179" fontId="8" fillId="0" borderId="101" xfId="0" applyNumberFormat="1" applyFont="1" applyBorder="1" applyAlignment="1">
      <alignment vertical="center" shrinkToFit="1"/>
    </xf>
    <xf numFmtId="179" fontId="8" fillId="26" borderId="101" xfId="0" applyNumberFormat="1" applyFont="1" applyFill="1" applyBorder="1" applyAlignment="1">
      <alignment vertical="center" shrinkToFit="1"/>
    </xf>
    <xf numFmtId="179" fontId="8" fillId="26" borderId="102" xfId="0" applyNumberFormat="1" applyFont="1" applyFill="1" applyBorder="1" applyAlignment="1">
      <alignment vertical="center" shrinkToFit="1"/>
    </xf>
    <xf numFmtId="179" fontId="8" fillId="26" borderId="103" xfId="0" applyNumberFormat="1" applyFont="1" applyFill="1" applyBorder="1" applyAlignment="1">
      <alignment vertical="center" shrinkToFit="1"/>
    </xf>
    <xf numFmtId="179" fontId="8" fillId="26" borderId="104" xfId="0" applyNumberFormat="1" applyFont="1" applyFill="1" applyBorder="1" applyAlignment="1">
      <alignment vertical="center" shrinkToFit="1"/>
    </xf>
    <xf numFmtId="41" fontId="31" fillId="17" borderId="86" xfId="0" applyNumberFormat="1" applyFont="1" applyFill="1" applyBorder="1" applyAlignment="1">
      <alignment horizontal="center" vertical="center" shrinkToFit="1"/>
    </xf>
    <xf numFmtId="182" fontId="49" fillId="17" borderId="86" xfId="0" applyNumberFormat="1" applyFont="1" applyFill="1" applyBorder="1" applyAlignment="1">
      <alignment horizontal="right" vertical="center" shrinkToFit="1"/>
    </xf>
    <xf numFmtId="0" fontId="45" fillId="24" borderId="86" xfId="0" applyFont="1" applyFill="1" applyBorder="1" applyAlignment="1">
      <alignment horizontal="center" vertical="center" shrinkToFit="1"/>
    </xf>
    <xf numFmtId="184" fontId="45" fillId="25" borderId="105" xfId="0" applyNumberFormat="1" applyFont="1" applyFill="1" applyBorder="1" applyAlignment="1">
      <alignment horizontal="right" vertical="center" shrinkToFit="1"/>
    </xf>
    <xf numFmtId="185" fontId="45" fillId="25" borderId="106" xfId="0" applyNumberFormat="1" applyFont="1" applyFill="1" applyBorder="1" applyAlignment="1">
      <alignment horizontal="right" vertical="center" shrinkToFit="1"/>
    </xf>
    <xf numFmtId="0" fontId="45" fillId="2" borderId="86" xfId="0" applyFont="1" applyFill="1" applyBorder="1" applyAlignment="1">
      <alignment horizontal="center" vertical="center" shrinkToFit="1"/>
    </xf>
    <xf numFmtId="184" fontId="45" fillId="2" borderId="105" xfId="0" applyNumberFormat="1" applyFont="1" applyFill="1" applyBorder="1" applyAlignment="1">
      <alignment horizontal="right" vertical="center" shrinkToFit="1"/>
    </xf>
    <xf numFmtId="185" fontId="45" fillId="2" borderId="106" xfId="0" applyNumberFormat="1" applyFont="1" applyFill="1" applyBorder="1" applyAlignment="1">
      <alignment horizontal="right" vertical="center" shrinkToFit="1"/>
    </xf>
    <xf numFmtId="177" fontId="30" fillId="24" borderId="107" xfId="0" applyNumberFormat="1" applyFont="1" applyFill="1" applyBorder="1" applyAlignment="1">
      <alignment vertical="center" shrinkToFit="1"/>
    </xf>
    <xf numFmtId="9" fontId="30" fillId="24" borderId="108" xfId="2" applyFont="1" applyFill="1" applyBorder="1" applyAlignment="1">
      <alignment vertical="center" shrinkToFit="1"/>
    </xf>
    <xf numFmtId="41" fontId="31" fillId="10" borderId="109" xfId="0" applyNumberFormat="1" applyFont="1" applyFill="1" applyBorder="1" applyAlignment="1">
      <alignment horizontal="center" vertical="center" shrinkToFit="1"/>
    </xf>
    <xf numFmtId="0" fontId="31" fillId="0" borderId="67" xfId="6" applyFont="1" applyBorder="1" applyAlignment="1">
      <alignment horizontal="center" vertical="center" shrinkToFit="1"/>
    </xf>
    <xf numFmtId="0" fontId="45" fillId="10" borderId="67" xfId="1" applyNumberFormat="1" applyFont="1" applyFill="1" applyBorder="1" applyAlignment="1">
      <alignment horizontal="center" vertical="center" shrinkToFit="1"/>
    </xf>
    <xf numFmtId="0" fontId="45" fillId="0" borderId="67" xfId="1" applyNumberFormat="1" applyFont="1" applyFill="1" applyBorder="1" applyAlignment="1">
      <alignment vertical="center" shrinkToFit="1"/>
    </xf>
    <xf numFmtId="176" fontId="31" fillId="0" borderId="67" xfId="1" applyNumberFormat="1" applyFont="1" applyBorder="1" applyAlignment="1">
      <alignment horizontal="right" vertical="center" shrinkToFit="1"/>
    </xf>
    <xf numFmtId="176" fontId="31" fillId="0" borderId="67" xfId="1" applyNumberFormat="1" applyFont="1" applyFill="1" applyBorder="1" applyAlignment="1">
      <alignment horizontal="right" vertical="center" shrinkToFit="1"/>
    </xf>
    <xf numFmtId="176" fontId="31" fillId="0" borderId="67" xfId="6" applyNumberFormat="1" applyFont="1" applyBorder="1" applyAlignment="1">
      <alignment horizontal="right" vertical="center" shrinkToFit="1"/>
    </xf>
    <xf numFmtId="176" fontId="31" fillId="0" borderId="67" xfId="6" applyNumberFormat="1" applyFont="1" applyBorder="1" applyAlignment="1">
      <alignment horizontal="center" vertical="center" shrinkToFit="1"/>
    </xf>
    <xf numFmtId="0" fontId="45" fillId="0" borderId="67" xfId="1" applyNumberFormat="1" applyFont="1" applyFill="1" applyBorder="1" applyAlignment="1">
      <alignment horizontal="center" vertical="center" shrinkToFit="1"/>
    </xf>
    <xf numFmtId="0" fontId="45" fillId="17" borderId="110" xfId="0" applyFont="1" applyFill="1" applyBorder="1" applyAlignment="1">
      <alignment horizontal="center" vertical="center" shrinkToFit="1"/>
    </xf>
    <xf numFmtId="41" fontId="45" fillId="17" borderId="110" xfId="0" applyNumberFormat="1" applyFont="1" applyFill="1" applyBorder="1" applyAlignment="1">
      <alignment horizontal="center" vertical="center" shrinkToFit="1"/>
    </xf>
    <xf numFmtId="182" fontId="45" fillId="17" borderId="110" xfId="0" applyNumberFormat="1" applyFont="1" applyFill="1" applyBorder="1" applyAlignment="1">
      <alignment horizontal="right" vertical="center" shrinkToFit="1"/>
    </xf>
    <xf numFmtId="182" fontId="34" fillId="17" borderId="111" xfId="0" applyNumberFormat="1" applyFont="1" applyFill="1" applyBorder="1" applyAlignment="1">
      <alignment vertical="center" shrinkToFit="1"/>
    </xf>
    <xf numFmtId="41" fontId="31" fillId="0" borderId="112" xfId="0" applyNumberFormat="1" applyFont="1" applyBorder="1" applyAlignment="1">
      <alignment horizontal="center" vertical="center" shrinkToFit="1"/>
    </xf>
    <xf numFmtId="38" fontId="31" fillId="4" borderId="67" xfId="1" applyFont="1" applyFill="1" applyBorder="1" applyAlignment="1">
      <alignment horizontal="right" vertical="center" shrinkToFit="1"/>
    </xf>
    <xf numFmtId="38" fontId="31" fillId="4" borderId="112" xfId="1" applyFont="1" applyFill="1" applyBorder="1" applyAlignment="1">
      <alignment horizontal="right" vertical="center" shrinkToFit="1"/>
    </xf>
    <xf numFmtId="38" fontId="31" fillId="0" borderId="112" xfId="1" applyFont="1" applyFill="1" applyBorder="1" applyAlignment="1">
      <alignment horizontal="right" vertical="center" shrinkToFit="1"/>
    </xf>
    <xf numFmtId="41" fontId="30" fillId="0" borderId="113" xfId="0" applyNumberFormat="1" applyFont="1" applyBorder="1" applyAlignment="1">
      <alignment horizontal="center" vertical="center" shrinkToFit="1"/>
    </xf>
    <xf numFmtId="41" fontId="31" fillId="4" borderId="112" xfId="0" applyNumberFormat="1" applyFont="1" applyFill="1" applyBorder="1" applyAlignment="1">
      <alignment horizontal="center" vertical="center" shrinkToFit="1"/>
    </xf>
    <xf numFmtId="38" fontId="31" fillId="4" borderId="114" xfId="1" applyFont="1" applyFill="1" applyBorder="1" applyAlignment="1">
      <alignment horizontal="right" vertical="center" shrinkToFit="1"/>
    </xf>
    <xf numFmtId="38" fontId="31" fillId="4" borderId="114" xfId="1" applyFont="1" applyFill="1" applyBorder="1" applyAlignment="1">
      <alignment horizontal="left" vertical="center" shrinkToFit="1"/>
    </xf>
    <xf numFmtId="14" fontId="31" fillId="4" borderId="114" xfId="1" applyNumberFormat="1" applyFont="1" applyFill="1" applyBorder="1" applyAlignment="1">
      <alignment horizontal="right" vertical="center" shrinkToFit="1"/>
    </xf>
    <xf numFmtId="183" fontId="34" fillId="23" borderId="115" xfId="0" applyNumberFormat="1" applyFont="1" applyFill="1" applyBorder="1" applyAlignment="1">
      <alignment vertical="center" shrinkToFit="1"/>
    </xf>
    <xf numFmtId="183" fontId="34" fillId="23" borderId="110" xfId="0" applyNumberFormat="1" applyFont="1" applyFill="1" applyBorder="1" applyAlignment="1">
      <alignment vertical="center" shrinkToFit="1"/>
    </xf>
    <xf numFmtId="41" fontId="30" fillId="0" borderId="67" xfId="0" applyNumberFormat="1" applyFont="1" applyBorder="1" applyAlignment="1">
      <alignment horizontal="center" vertical="center" shrinkToFit="1"/>
    </xf>
    <xf numFmtId="183" fontId="34" fillId="0" borderId="116" xfId="0" applyNumberFormat="1" applyFont="1" applyBorder="1" applyAlignment="1">
      <alignment vertical="center" shrinkToFit="1"/>
    </xf>
    <xf numFmtId="41" fontId="34" fillId="0" borderId="117" xfId="0" applyNumberFormat="1" applyFont="1" applyBorder="1" applyAlignment="1">
      <alignment vertical="center" shrinkToFit="1"/>
    </xf>
    <xf numFmtId="41" fontId="34" fillId="0" borderId="118" xfId="0" applyNumberFormat="1" applyFont="1" applyBorder="1" applyAlignment="1">
      <alignment vertical="center" shrinkToFit="1"/>
    </xf>
    <xf numFmtId="41" fontId="34" fillId="0" borderId="119" xfId="0" applyNumberFormat="1" applyFont="1" applyBorder="1" applyAlignment="1">
      <alignment vertical="center" shrinkToFit="1"/>
    </xf>
    <xf numFmtId="186" fontId="34" fillId="23" borderId="110" xfId="0" applyNumberFormat="1" applyFont="1" applyFill="1" applyBorder="1" applyAlignment="1">
      <alignment vertical="center" shrinkToFit="1"/>
    </xf>
    <xf numFmtId="41" fontId="34" fillId="0" borderId="120" xfId="0" applyNumberFormat="1" applyFont="1" applyBorder="1" applyAlignment="1">
      <alignment vertical="center" shrinkToFit="1"/>
    </xf>
    <xf numFmtId="41" fontId="31" fillId="17" borderId="110" xfId="0" applyNumberFormat="1" applyFont="1" applyFill="1" applyBorder="1" applyAlignment="1">
      <alignment horizontal="center" vertical="center" shrinkToFit="1"/>
    </xf>
    <xf numFmtId="182" fontId="49" fillId="17" borderId="110" xfId="0" applyNumberFormat="1" applyFont="1" applyFill="1" applyBorder="1" applyAlignment="1">
      <alignment horizontal="right" vertical="center" shrinkToFit="1"/>
    </xf>
    <xf numFmtId="182" fontId="50" fillId="17" borderId="111" xfId="0" applyNumberFormat="1" applyFont="1" applyFill="1" applyBorder="1" applyAlignment="1">
      <alignment vertical="center" shrinkToFit="1"/>
    </xf>
    <xf numFmtId="0" fontId="45" fillId="24" borderId="110" xfId="0" applyFont="1" applyFill="1" applyBorder="1" applyAlignment="1">
      <alignment horizontal="center" vertical="center" shrinkToFit="1"/>
    </xf>
    <xf numFmtId="184" fontId="45" fillId="25" borderId="121" xfId="0" applyNumberFormat="1" applyFont="1" applyFill="1" applyBorder="1" applyAlignment="1">
      <alignment horizontal="right" vertical="center" shrinkToFit="1"/>
    </xf>
    <xf numFmtId="185" fontId="45" fillId="25" borderId="122" xfId="0" applyNumberFormat="1" applyFont="1" applyFill="1" applyBorder="1" applyAlignment="1">
      <alignment horizontal="right" vertical="center" shrinkToFit="1"/>
    </xf>
    <xf numFmtId="0" fontId="45" fillId="2" borderId="110" xfId="0" applyFont="1" applyFill="1" applyBorder="1" applyAlignment="1">
      <alignment horizontal="center" vertical="center" shrinkToFit="1"/>
    </xf>
    <xf numFmtId="184" fontId="45" fillId="2" borderId="123" xfId="0" applyNumberFormat="1" applyFont="1" applyFill="1" applyBorder="1" applyAlignment="1">
      <alignment horizontal="right" vertical="center" shrinkToFit="1"/>
    </xf>
    <xf numFmtId="185" fontId="45" fillId="2" borderId="124" xfId="0" applyNumberFormat="1" applyFont="1" applyFill="1" applyBorder="1" applyAlignment="1">
      <alignment horizontal="right" vertical="center" shrinkToFit="1"/>
    </xf>
    <xf numFmtId="0" fontId="45" fillId="2" borderId="125" xfId="0" applyFont="1" applyFill="1" applyBorder="1" applyAlignment="1">
      <alignment horizontal="center" vertical="center" shrinkToFit="1"/>
    </xf>
    <xf numFmtId="0" fontId="45" fillId="2" borderId="126" xfId="0" applyFont="1" applyFill="1" applyBorder="1" applyAlignment="1">
      <alignment horizontal="center" vertical="center" shrinkToFit="1"/>
    </xf>
    <xf numFmtId="185" fontId="45" fillId="2" borderId="127" xfId="0" applyNumberFormat="1" applyFont="1" applyFill="1" applyBorder="1" applyAlignment="1">
      <alignment horizontal="right" vertical="center" shrinkToFit="1"/>
    </xf>
    <xf numFmtId="41" fontId="31" fillId="0" borderId="128" xfId="0" applyNumberFormat="1" applyFont="1" applyBorder="1" applyAlignment="1">
      <alignment horizontal="center" vertical="center" shrinkToFit="1"/>
    </xf>
    <xf numFmtId="184" fontId="45" fillId="2" borderId="129" xfId="0" applyNumberFormat="1" applyFont="1" applyFill="1" applyBorder="1" applyAlignment="1">
      <alignment horizontal="right" vertical="center" shrinkToFit="1"/>
    </xf>
    <xf numFmtId="185" fontId="45" fillId="2" borderId="130" xfId="0" applyNumberFormat="1" applyFont="1" applyFill="1" applyBorder="1" applyAlignment="1">
      <alignment horizontal="right" vertical="center" shrinkToFit="1"/>
    </xf>
    <xf numFmtId="0" fontId="45" fillId="2" borderId="131" xfId="0" applyFont="1" applyFill="1" applyBorder="1" applyAlignment="1">
      <alignment horizontal="center" vertical="center" shrinkToFit="1"/>
    </xf>
    <xf numFmtId="0" fontId="45" fillId="2" borderId="132" xfId="0" applyFont="1" applyFill="1" applyBorder="1" applyAlignment="1">
      <alignment horizontal="center" vertical="center" shrinkToFit="1"/>
    </xf>
    <xf numFmtId="185" fontId="45" fillId="2" borderId="133" xfId="0" applyNumberFormat="1" applyFont="1" applyFill="1" applyBorder="1" applyAlignment="1">
      <alignment horizontal="right" vertical="center" shrinkToFit="1"/>
    </xf>
    <xf numFmtId="0" fontId="45" fillId="0" borderId="66" xfId="1" applyNumberFormat="1" applyFont="1" applyFill="1" applyBorder="1" applyAlignment="1">
      <alignment vertical="center" shrinkToFit="1"/>
    </xf>
    <xf numFmtId="0" fontId="45" fillId="0" borderId="134" xfId="1" applyNumberFormat="1" applyFont="1" applyFill="1" applyBorder="1" applyAlignment="1">
      <alignment vertical="center" shrinkToFit="1"/>
    </xf>
    <xf numFmtId="41" fontId="31" fillId="2" borderId="135" xfId="0" applyNumberFormat="1" applyFont="1" applyFill="1" applyBorder="1" applyAlignment="1">
      <alignment horizontal="center" vertical="center" shrinkToFit="1"/>
    </xf>
    <xf numFmtId="182" fontId="31" fillId="2" borderId="129" xfId="0" applyNumberFormat="1" applyFont="1" applyFill="1" applyBorder="1" applyAlignment="1">
      <alignment horizontal="right" vertical="center" shrinkToFit="1"/>
    </xf>
    <xf numFmtId="182" fontId="30" fillId="2" borderId="136" xfId="0" applyNumberFormat="1" applyFont="1" applyFill="1" applyBorder="1" applyAlignment="1">
      <alignment vertical="center" shrinkToFit="1"/>
    </xf>
    <xf numFmtId="41" fontId="31" fillId="2" borderId="132" xfId="0" applyNumberFormat="1" applyFont="1" applyFill="1" applyBorder="1" applyAlignment="1">
      <alignment horizontal="center" vertical="center" shrinkToFit="1"/>
    </xf>
    <xf numFmtId="182" fontId="30" fillId="2" borderId="133" xfId="0" applyNumberFormat="1" applyFont="1" applyFill="1" applyBorder="1" applyAlignment="1">
      <alignment vertical="center" shrinkToFit="1"/>
    </xf>
    <xf numFmtId="0" fontId="14" fillId="17" borderId="80" xfId="0" applyFont="1" applyFill="1" applyBorder="1" applyAlignment="1">
      <alignment horizontal="center" vertical="center" shrinkToFit="1"/>
    </xf>
    <xf numFmtId="182" fontId="31" fillId="17" borderId="86" xfId="0" applyNumberFormat="1" applyFont="1" applyFill="1" applyBorder="1" applyAlignment="1">
      <alignment horizontal="right" vertical="center" shrinkToFit="1"/>
    </xf>
    <xf numFmtId="184" fontId="45" fillId="2" borderId="137" xfId="0" applyNumberFormat="1" applyFont="1" applyFill="1" applyBorder="1" applyAlignment="1">
      <alignment horizontal="right" vertical="center" shrinkToFit="1"/>
    </xf>
    <xf numFmtId="185" fontId="45" fillId="2" borderId="138" xfId="0" applyNumberFormat="1" applyFont="1" applyFill="1" applyBorder="1" applyAlignment="1">
      <alignment horizontal="right" vertical="center" shrinkToFit="1"/>
    </xf>
    <xf numFmtId="0" fontId="45" fillId="2" borderId="139" xfId="0" applyFont="1" applyFill="1" applyBorder="1" applyAlignment="1">
      <alignment horizontal="center" vertical="center" shrinkToFit="1"/>
    </xf>
    <xf numFmtId="0" fontId="45" fillId="2" borderId="140" xfId="0" applyFont="1" applyFill="1" applyBorder="1" applyAlignment="1">
      <alignment horizontal="center" vertical="center" shrinkToFit="1"/>
    </xf>
    <xf numFmtId="185" fontId="45" fillId="2" borderId="141" xfId="0" applyNumberFormat="1" applyFont="1" applyFill="1" applyBorder="1" applyAlignment="1">
      <alignment horizontal="right" vertical="center" shrinkToFit="1"/>
    </xf>
    <xf numFmtId="184" fontId="45" fillId="2" borderId="142" xfId="0" applyNumberFormat="1" applyFont="1" applyFill="1" applyBorder="1" applyAlignment="1">
      <alignment horizontal="right" vertical="center" shrinkToFit="1"/>
    </xf>
    <xf numFmtId="185" fontId="45" fillId="2" borderId="143" xfId="0" applyNumberFormat="1" applyFont="1" applyFill="1" applyBorder="1" applyAlignment="1">
      <alignment horizontal="right" vertical="center" shrinkToFit="1"/>
    </xf>
    <xf numFmtId="0" fontId="45" fillId="2" borderId="42" xfId="0" applyFont="1" applyFill="1" applyBorder="1" applyAlignment="1">
      <alignment horizontal="center" vertical="center" shrinkToFit="1"/>
    </xf>
    <xf numFmtId="0" fontId="45" fillId="2" borderId="65" xfId="0" applyFont="1" applyFill="1" applyBorder="1" applyAlignment="1">
      <alignment horizontal="center" vertical="center" shrinkToFit="1"/>
    </xf>
    <xf numFmtId="185" fontId="45" fillId="2" borderId="144" xfId="0" applyNumberFormat="1" applyFont="1" applyFill="1" applyBorder="1" applyAlignment="1">
      <alignment horizontal="right" vertical="center" shrinkToFit="1"/>
    </xf>
    <xf numFmtId="0" fontId="31" fillId="0" borderId="108" xfId="6" applyFont="1" applyBorder="1" applyAlignment="1">
      <alignment horizontal="center" vertical="center" shrinkToFit="1"/>
    </xf>
    <xf numFmtId="0" fontId="45" fillId="17" borderId="101" xfId="0" applyFont="1" applyFill="1" applyBorder="1" applyAlignment="1">
      <alignment horizontal="center" vertical="center" shrinkToFit="1"/>
    </xf>
    <xf numFmtId="41" fontId="45" fillId="17" borderId="101" xfId="0" applyNumberFormat="1" applyFont="1" applyFill="1" applyBorder="1" applyAlignment="1">
      <alignment horizontal="center" vertical="center" shrinkToFit="1"/>
    </xf>
    <xf numFmtId="182" fontId="45" fillId="17" borderId="101" xfId="0" applyNumberFormat="1" applyFont="1" applyFill="1" applyBorder="1" applyAlignment="1">
      <alignment horizontal="right" vertical="center" shrinkToFit="1"/>
    </xf>
    <xf numFmtId="179" fontId="8" fillId="26" borderId="145" xfId="0" applyNumberFormat="1" applyFont="1" applyFill="1" applyBorder="1" applyAlignment="1">
      <alignment vertical="center" shrinkToFit="1"/>
    </xf>
    <xf numFmtId="41" fontId="31" fillId="17" borderId="101" xfId="0" applyNumberFormat="1" applyFont="1" applyFill="1" applyBorder="1" applyAlignment="1">
      <alignment horizontal="center" vertical="center" shrinkToFit="1"/>
    </xf>
    <xf numFmtId="182" fontId="31" fillId="17" borderId="101" xfId="0" applyNumberFormat="1" applyFont="1" applyFill="1" applyBorder="1" applyAlignment="1">
      <alignment horizontal="right" vertical="center" shrinkToFit="1"/>
    </xf>
    <xf numFmtId="0" fontId="45" fillId="24" borderId="101" xfId="0" applyFont="1" applyFill="1" applyBorder="1" applyAlignment="1">
      <alignment horizontal="center" vertical="center" shrinkToFit="1"/>
    </xf>
    <xf numFmtId="184" fontId="45" fillId="25" borderId="146" xfId="0" applyNumberFormat="1" applyFont="1" applyFill="1" applyBorder="1" applyAlignment="1">
      <alignment horizontal="right" vertical="center" shrinkToFit="1"/>
    </xf>
    <xf numFmtId="185" fontId="45" fillId="25" borderId="147" xfId="0" applyNumberFormat="1" applyFont="1" applyFill="1" applyBorder="1" applyAlignment="1">
      <alignment horizontal="right" vertical="center" shrinkToFit="1"/>
    </xf>
    <xf numFmtId="0" fontId="45" fillId="2" borderId="101" xfId="0" applyFont="1" applyFill="1" applyBorder="1" applyAlignment="1">
      <alignment horizontal="center" vertical="center" shrinkToFit="1"/>
    </xf>
    <xf numFmtId="184" fontId="45" fillId="2" borderId="146" xfId="0" applyNumberFormat="1" applyFont="1" applyFill="1" applyBorder="1" applyAlignment="1">
      <alignment horizontal="right" vertical="center" shrinkToFit="1"/>
    </xf>
    <xf numFmtId="185" fontId="45" fillId="2" borderId="147" xfId="0" applyNumberFormat="1" applyFont="1" applyFill="1" applyBorder="1" applyAlignment="1">
      <alignment horizontal="right" vertical="center" shrinkToFit="1"/>
    </xf>
    <xf numFmtId="0" fontId="45" fillId="2" borderId="104" xfId="0" applyFont="1" applyFill="1" applyBorder="1" applyAlignment="1">
      <alignment horizontal="center" vertical="center" shrinkToFit="1"/>
    </xf>
    <xf numFmtId="185" fontId="45" fillId="2" borderId="148" xfId="0" applyNumberFormat="1" applyFont="1" applyFill="1" applyBorder="1" applyAlignment="1">
      <alignment horizontal="right" vertical="center" shrinkToFit="1"/>
    </xf>
    <xf numFmtId="0" fontId="45" fillId="27" borderId="67" xfId="3" applyNumberFormat="1" applyFont="1" applyFill="1" applyBorder="1" applyAlignment="1">
      <alignment vertical="center" shrinkToFit="1"/>
    </xf>
    <xf numFmtId="38" fontId="31" fillId="0" borderId="67" xfId="1" applyFont="1" applyFill="1" applyBorder="1" applyAlignment="1">
      <alignment horizontal="right" vertical="center" shrinkToFit="1"/>
    </xf>
    <xf numFmtId="0" fontId="2" fillId="0" borderId="67" xfId="3" applyBorder="1" applyAlignment="1">
      <alignment horizontal="center" vertical="center" shrinkToFit="1"/>
    </xf>
    <xf numFmtId="41" fontId="45" fillId="17" borderId="67" xfId="0" applyNumberFormat="1" applyFont="1" applyFill="1" applyBorder="1" applyAlignment="1">
      <alignment horizontal="center" vertical="center" shrinkToFit="1"/>
    </xf>
    <xf numFmtId="182" fontId="45" fillId="17" borderId="67" xfId="0" applyNumberFormat="1" applyFont="1" applyFill="1" applyBorder="1" applyAlignment="1">
      <alignment horizontal="right" vertical="center" shrinkToFit="1"/>
    </xf>
    <xf numFmtId="41" fontId="31" fillId="4" borderId="149" xfId="0" applyNumberFormat="1" applyFont="1" applyFill="1" applyBorder="1" applyAlignment="1">
      <alignment horizontal="center" vertical="center" shrinkToFit="1"/>
    </xf>
    <xf numFmtId="41" fontId="31" fillId="2" borderId="116" xfId="0" applyNumberFormat="1" applyFont="1" applyFill="1" applyBorder="1" applyAlignment="1">
      <alignment horizontal="center" vertical="center" shrinkToFit="1"/>
    </xf>
    <xf numFmtId="38" fontId="31" fillId="2" borderId="110" xfId="1" applyFont="1" applyFill="1" applyBorder="1" applyAlignment="1">
      <alignment horizontal="right" vertical="center" shrinkToFit="1"/>
    </xf>
    <xf numFmtId="38" fontId="31" fillId="0" borderId="110" xfId="1" applyFont="1" applyFill="1" applyBorder="1" applyAlignment="1">
      <alignment horizontal="right" vertical="center" shrinkToFit="1"/>
    </xf>
    <xf numFmtId="187" fontId="31" fillId="0" borderId="110" xfId="1" applyNumberFormat="1" applyFont="1" applyFill="1" applyBorder="1" applyAlignment="1">
      <alignment horizontal="right" vertical="center" shrinkToFit="1"/>
    </xf>
    <xf numFmtId="38" fontId="31" fillId="0" borderId="150" xfId="1" applyFont="1" applyFill="1" applyBorder="1" applyAlignment="1">
      <alignment horizontal="right" vertical="center" shrinkToFit="1"/>
    </xf>
    <xf numFmtId="40" fontId="31" fillId="0" borderId="150" xfId="1" applyNumberFormat="1" applyFont="1" applyFill="1" applyBorder="1" applyAlignment="1">
      <alignment horizontal="right" vertical="center" shrinkToFit="1"/>
    </xf>
    <xf numFmtId="38" fontId="30" fillId="0" borderId="150" xfId="1" applyFont="1" applyFill="1" applyBorder="1" applyAlignment="1">
      <alignment horizontal="right" vertical="center" shrinkToFit="1"/>
    </xf>
    <xf numFmtId="38" fontId="31" fillId="2" borderId="150" xfId="1" applyFont="1" applyFill="1" applyBorder="1" applyAlignment="1">
      <alignment horizontal="right" vertical="center" shrinkToFit="1"/>
    </xf>
    <xf numFmtId="38" fontId="31" fillId="0" borderId="119" xfId="1" applyFont="1" applyFill="1" applyBorder="1" applyAlignment="1">
      <alignment horizontal="right" vertical="center" shrinkToFit="1"/>
    </xf>
    <xf numFmtId="41" fontId="30" fillId="0" borderId="151" xfId="0" applyNumberFormat="1" applyFont="1" applyBorder="1" applyAlignment="1">
      <alignment horizontal="center" vertical="center" shrinkToFit="1"/>
    </xf>
    <xf numFmtId="41" fontId="31" fillId="0" borderId="119" xfId="0" applyNumberFormat="1" applyFont="1" applyBorder="1" applyAlignment="1">
      <alignment horizontal="center" vertical="center" shrinkToFit="1"/>
    </xf>
    <xf numFmtId="41" fontId="31" fillId="2" borderId="119" xfId="0" applyNumberFormat="1" applyFont="1" applyFill="1" applyBorder="1" applyAlignment="1">
      <alignment horizontal="center" vertical="center" shrinkToFit="1"/>
    </xf>
    <xf numFmtId="38" fontId="51" fillId="2" borderId="116" xfId="1" applyFont="1" applyFill="1" applyBorder="1" applyAlignment="1">
      <alignment horizontal="right" vertical="center" shrinkToFit="1"/>
    </xf>
    <xf numFmtId="38" fontId="14" fillId="2" borderId="116" xfId="1" applyFont="1" applyFill="1" applyBorder="1" applyAlignment="1">
      <alignment horizontal="right" vertical="center" shrinkToFit="1"/>
    </xf>
    <xf numFmtId="38" fontId="51" fillId="0" borderId="116" xfId="1" applyFont="1" applyFill="1" applyBorder="1" applyAlignment="1">
      <alignment horizontal="right" vertical="center" shrinkToFit="1"/>
    </xf>
    <xf numFmtId="38" fontId="31" fillId="2" borderId="116" xfId="1" applyFont="1" applyFill="1" applyBorder="1" applyAlignment="1">
      <alignment horizontal="right" vertical="center" shrinkToFit="1"/>
    </xf>
    <xf numFmtId="38" fontId="31" fillId="2" borderId="116" xfId="1" applyFont="1" applyFill="1" applyBorder="1" applyAlignment="1">
      <alignment horizontal="left" vertical="center" shrinkToFit="1"/>
    </xf>
    <xf numFmtId="38" fontId="30" fillId="2" borderId="116" xfId="1" applyFont="1" applyFill="1" applyBorder="1" applyAlignment="1">
      <alignment horizontal="center" vertical="center" shrinkToFit="1"/>
    </xf>
    <xf numFmtId="14" fontId="30" fillId="2" borderId="116" xfId="1" applyNumberFormat="1" applyFont="1" applyFill="1" applyBorder="1" applyAlignment="1">
      <alignment horizontal="center" vertical="center" shrinkToFit="1"/>
    </xf>
    <xf numFmtId="41" fontId="33" fillId="0" borderId="115" xfId="0" applyNumberFormat="1" applyFont="1" applyBorder="1" applyAlignment="1">
      <alignment horizontal="center" vertical="center" shrinkToFit="1"/>
    </xf>
    <xf numFmtId="41" fontId="33" fillId="0" borderId="110" xfId="0" applyNumberFormat="1" applyFont="1" applyBorder="1" applyAlignment="1">
      <alignment horizontal="center" vertical="center" shrinkToFit="1"/>
    </xf>
    <xf numFmtId="41" fontId="34" fillId="0" borderId="116" xfId="0" applyNumberFormat="1" applyFont="1" applyBorder="1" applyAlignment="1">
      <alignment vertical="center" shrinkToFit="1"/>
    </xf>
    <xf numFmtId="41" fontId="34" fillId="0" borderId="110" xfId="0" applyNumberFormat="1" applyFont="1" applyBorder="1" applyAlignment="1">
      <alignment vertical="center" shrinkToFit="1"/>
    </xf>
    <xf numFmtId="41" fontId="31" fillId="17" borderId="67" xfId="0" applyNumberFormat="1" applyFont="1" applyFill="1" applyBorder="1" applyAlignment="1">
      <alignment horizontal="center" vertical="center" shrinkToFit="1"/>
    </xf>
    <xf numFmtId="182" fontId="31" fillId="17" borderId="67" xfId="0" applyNumberFormat="1" applyFont="1" applyFill="1" applyBorder="1" applyAlignment="1">
      <alignment horizontal="right" vertical="center" shrinkToFit="1"/>
    </xf>
    <xf numFmtId="182" fontId="30" fillId="17" borderId="111" xfId="0" applyNumberFormat="1" applyFont="1" applyFill="1" applyBorder="1" applyAlignment="1">
      <alignment vertical="center" shrinkToFit="1"/>
    </xf>
    <xf numFmtId="184" fontId="45" fillId="2" borderId="121" xfId="0" applyNumberFormat="1" applyFont="1" applyFill="1" applyBorder="1" applyAlignment="1">
      <alignment horizontal="right" vertical="center" shrinkToFit="1"/>
    </xf>
    <xf numFmtId="185" fontId="45" fillId="2" borderId="122" xfId="0" applyNumberFormat="1" applyFont="1" applyFill="1" applyBorder="1" applyAlignment="1">
      <alignment horizontal="right" vertical="center" shrinkToFit="1"/>
    </xf>
    <xf numFmtId="0" fontId="45" fillId="2" borderId="116" xfId="0" applyFont="1" applyFill="1" applyBorder="1" applyAlignment="1">
      <alignment horizontal="center" vertical="center" shrinkToFit="1"/>
    </xf>
    <xf numFmtId="185" fontId="45" fillId="2" borderId="152" xfId="0" applyNumberFormat="1" applyFont="1" applyFill="1" applyBorder="1" applyAlignment="1">
      <alignment horizontal="right" vertical="center" shrinkToFit="1"/>
    </xf>
    <xf numFmtId="177" fontId="30" fillId="24" borderId="66" xfId="0" applyNumberFormat="1" applyFont="1" applyFill="1" applyBorder="1" applyAlignment="1">
      <alignment vertical="center" shrinkToFit="1"/>
    </xf>
    <xf numFmtId="9" fontId="30" fillId="24" borderId="67" xfId="2" applyFont="1" applyFill="1" applyBorder="1" applyAlignment="1">
      <alignment vertical="center" shrinkToFit="1"/>
    </xf>
    <xf numFmtId="41" fontId="31" fillId="10" borderId="117" xfId="0" applyNumberFormat="1" applyFont="1" applyFill="1" applyBorder="1" applyAlignment="1">
      <alignment horizontal="center" vertical="center" shrinkToFit="1"/>
    </xf>
    <xf numFmtId="41" fontId="31" fillId="27" borderId="149" xfId="0" applyNumberFormat="1" applyFont="1" applyFill="1" applyBorder="1" applyAlignment="1">
      <alignment horizontal="center" vertical="center" shrinkToFit="1"/>
    </xf>
    <xf numFmtId="178" fontId="30" fillId="0" borderId="153" xfId="0" applyNumberFormat="1" applyFont="1" applyBorder="1" applyAlignment="1">
      <alignment vertical="center" shrinkToFit="1"/>
    </xf>
    <xf numFmtId="178" fontId="30" fillId="0" borderId="0" xfId="0" applyNumberFormat="1" applyFont="1" applyAlignment="1">
      <alignment vertical="center" shrinkToFit="1"/>
    </xf>
    <xf numFmtId="178" fontId="30" fillId="0" borderId="154" xfId="0" applyNumberFormat="1" applyFont="1" applyBorder="1" applyAlignment="1">
      <alignment vertical="center" shrinkToFit="1"/>
    </xf>
    <xf numFmtId="178" fontId="30" fillId="0" borderId="155" xfId="0" applyNumberFormat="1" applyFont="1" applyBorder="1" applyAlignment="1">
      <alignment vertical="center" shrinkToFit="1"/>
    </xf>
    <xf numFmtId="14" fontId="30" fillId="0" borderId="0" xfId="0" applyNumberFormat="1" applyFont="1" applyAlignment="1">
      <alignment vertical="center" shrinkToFit="1"/>
    </xf>
    <xf numFmtId="178" fontId="30" fillId="0" borderId="2" xfId="0" applyNumberFormat="1" applyFont="1" applyBorder="1" applyAlignment="1">
      <alignment vertical="center" shrinkToFit="1"/>
    </xf>
    <xf numFmtId="178" fontId="30" fillId="0" borderId="156" xfId="0" applyNumberFormat="1" applyFont="1" applyBorder="1" applyAlignment="1">
      <alignment vertical="center" shrinkToFit="1"/>
    </xf>
    <xf numFmtId="0" fontId="30" fillId="0" borderId="63" xfId="0" applyFont="1" applyBorder="1" applyAlignment="1">
      <alignment vertical="center" shrinkToFit="1"/>
    </xf>
    <xf numFmtId="0" fontId="30" fillId="0" borderId="0" xfId="0" applyFont="1" applyAlignment="1">
      <alignment vertical="center" shrinkToFit="1"/>
    </xf>
    <xf numFmtId="0" fontId="30" fillId="0" borderId="2" xfId="0" applyFont="1" applyBorder="1" applyAlignment="1">
      <alignment vertical="center" shrinkToFit="1"/>
    </xf>
    <xf numFmtId="0" fontId="45" fillId="10" borderId="108" xfId="1" applyNumberFormat="1" applyFont="1" applyFill="1" applyBorder="1" applyAlignment="1">
      <alignment horizontal="center" vertical="center" shrinkToFit="1"/>
    </xf>
    <xf numFmtId="0" fontId="45" fillId="0" borderId="108" xfId="1" applyNumberFormat="1" applyFont="1" applyFill="1" applyBorder="1" applyAlignment="1">
      <alignment vertical="center" shrinkToFit="1"/>
    </xf>
    <xf numFmtId="176" fontId="31" fillId="0" borderId="108" xfId="1" applyNumberFormat="1" applyFont="1" applyBorder="1" applyAlignment="1">
      <alignment horizontal="right" vertical="center" shrinkToFit="1"/>
    </xf>
    <xf numFmtId="176" fontId="31" fillId="0" borderId="108" xfId="6" applyNumberFormat="1" applyFont="1" applyBorder="1" applyAlignment="1">
      <alignment horizontal="right" vertical="center" shrinkToFit="1"/>
    </xf>
    <xf numFmtId="176" fontId="31" fillId="0" borderId="108" xfId="6" applyNumberFormat="1" applyFont="1" applyBorder="1" applyAlignment="1">
      <alignment horizontal="center" vertical="center" shrinkToFit="1"/>
    </xf>
    <xf numFmtId="0" fontId="45" fillId="0" borderId="108" xfId="1" applyNumberFormat="1" applyFont="1" applyFill="1" applyBorder="1" applyAlignment="1">
      <alignment horizontal="center" vertical="center" shrinkToFit="1"/>
    </xf>
    <xf numFmtId="182" fontId="34" fillId="17" borderId="109" xfId="0" applyNumberFormat="1" applyFont="1" applyFill="1" applyBorder="1" applyAlignment="1">
      <alignment vertical="center" shrinkToFit="1"/>
    </xf>
    <xf numFmtId="41" fontId="31" fillId="10" borderId="157" xfId="0" applyNumberFormat="1" applyFont="1" applyFill="1" applyBorder="1" applyAlignment="1">
      <alignment horizontal="center" vertical="center" shrinkToFit="1"/>
    </xf>
    <xf numFmtId="41" fontId="31" fillId="10" borderId="158" xfId="0" applyNumberFormat="1" applyFont="1" applyFill="1" applyBorder="1" applyAlignment="1">
      <alignment horizontal="center" vertical="center" shrinkToFit="1"/>
    </xf>
    <xf numFmtId="41" fontId="30" fillId="10" borderId="159" xfId="0" applyNumberFormat="1" applyFont="1" applyFill="1" applyBorder="1" applyAlignment="1">
      <alignment horizontal="center" vertical="center" shrinkToFit="1"/>
    </xf>
    <xf numFmtId="41" fontId="51" fillId="10" borderId="158" xfId="0" applyNumberFormat="1" applyFont="1" applyFill="1" applyBorder="1" applyAlignment="1">
      <alignment horizontal="center" vertical="center" shrinkToFit="1"/>
    </xf>
    <xf numFmtId="41" fontId="45" fillId="10" borderId="158" xfId="0" applyNumberFormat="1" applyFont="1" applyFill="1" applyBorder="1" applyAlignment="1">
      <alignment horizontal="center" vertical="center" shrinkToFit="1"/>
    </xf>
    <xf numFmtId="41" fontId="45" fillId="10" borderId="158" xfId="0" applyNumberFormat="1" applyFont="1" applyFill="1" applyBorder="1" applyAlignment="1">
      <alignment horizontal="left" vertical="center" shrinkToFit="1"/>
    </xf>
    <xf numFmtId="41" fontId="34" fillId="10" borderId="158" xfId="0" applyNumberFormat="1" applyFont="1" applyFill="1" applyBorder="1" applyAlignment="1">
      <alignment horizontal="center" vertical="center" shrinkToFit="1"/>
    </xf>
    <xf numFmtId="14" fontId="34" fillId="10" borderId="158" xfId="0" applyNumberFormat="1" applyFont="1" applyFill="1" applyBorder="1" applyAlignment="1">
      <alignment horizontal="center" vertical="center" shrinkToFit="1"/>
    </xf>
    <xf numFmtId="41" fontId="33" fillId="10" borderId="158" xfId="0" applyNumberFormat="1" applyFont="1" applyFill="1" applyBorder="1" applyAlignment="1">
      <alignment horizontal="center" vertical="center" shrinkToFit="1"/>
    </xf>
    <xf numFmtId="41" fontId="33" fillId="10" borderId="160" xfId="0" applyNumberFormat="1" applyFont="1" applyFill="1" applyBorder="1" applyAlignment="1">
      <alignment horizontal="center" vertical="center" shrinkToFit="1"/>
    </xf>
    <xf numFmtId="41" fontId="33" fillId="28" borderId="101" xfId="0" applyNumberFormat="1" applyFont="1" applyFill="1" applyBorder="1" applyAlignment="1">
      <alignment horizontal="center" vertical="center" shrinkToFit="1"/>
    </xf>
    <xf numFmtId="41" fontId="34" fillId="28" borderId="104" xfId="0" applyNumberFormat="1" applyFont="1" applyFill="1" applyBorder="1" applyAlignment="1">
      <alignment vertical="center" shrinkToFit="1"/>
    </xf>
    <xf numFmtId="41" fontId="34" fillId="28" borderId="101" xfId="0" applyNumberFormat="1" applyFont="1" applyFill="1" applyBorder="1" applyAlignment="1">
      <alignment vertical="center" shrinkToFit="1"/>
    </xf>
    <xf numFmtId="41" fontId="34" fillId="28" borderId="102" xfId="0" applyNumberFormat="1" applyFont="1" applyFill="1" applyBorder="1" applyAlignment="1">
      <alignment vertical="center" shrinkToFit="1"/>
    </xf>
    <xf numFmtId="41" fontId="34" fillId="28" borderId="103" xfId="0" applyNumberFormat="1" applyFont="1" applyFill="1" applyBorder="1" applyAlignment="1">
      <alignment vertical="center" shrinkToFit="1"/>
    </xf>
    <xf numFmtId="41" fontId="34" fillId="28" borderId="145" xfId="0" applyNumberFormat="1" applyFont="1" applyFill="1" applyBorder="1" applyAlignment="1">
      <alignment vertical="center" shrinkToFit="1"/>
    </xf>
    <xf numFmtId="182" fontId="30" fillId="17" borderId="109" xfId="0" applyNumberFormat="1" applyFont="1" applyFill="1" applyBorder="1" applyAlignment="1">
      <alignment vertical="center" shrinkToFit="1"/>
    </xf>
    <xf numFmtId="185" fontId="45" fillId="2" borderId="161" xfId="0" applyNumberFormat="1" applyFont="1" applyFill="1" applyBorder="1" applyAlignment="1">
      <alignment horizontal="right" vertical="center" shrinkToFit="1"/>
    </xf>
    <xf numFmtId="41" fontId="31" fillId="10" borderId="102" xfId="0" applyNumberFormat="1" applyFont="1" applyFill="1" applyBorder="1" applyAlignment="1">
      <alignment horizontal="center" vertical="center" shrinkToFit="1"/>
    </xf>
    <xf numFmtId="41" fontId="33" fillId="28" borderId="100" xfId="0" applyNumberFormat="1" applyFont="1" applyFill="1" applyBorder="1" applyAlignment="1">
      <alignment horizontal="center" vertical="center" shrinkToFit="1"/>
    </xf>
    <xf numFmtId="179" fontId="8" fillId="28" borderId="101" xfId="0" applyNumberFormat="1" applyFont="1" applyFill="1" applyBorder="1" applyAlignment="1">
      <alignment vertical="center" shrinkToFit="1"/>
    </xf>
    <xf numFmtId="179" fontId="8" fillId="28" borderId="102" xfId="0" applyNumberFormat="1" applyFont="1" applyFill="1" applyBorder="1" applyAlignment="1">
      <alignment vertical="center" shrinkToFit="1"/>
    </xf>
    <xf numFmtId="179" fontId="8" fillId="28" borderId="103" xfId="0" applyNumberFormat="1" applyFont="1" applyFill="1" applyBorder="1" applyAlignment="1">
      <alignment vertical="center" shrinkToFit="1"/>
    </xf>
    <xf numFmtId="179" fontId="8" fillId="28" borderId="104" xfId="0" applyNumberFormat="1" applyFont="1" applyFill="1" applyBorder="1" applyAlignment="1">
      <alignment vertical="center" shrinkToFit="1"/>
    </xf>
    <xf numFmtId="0" fontId="3" fillId="0" borderId="1" xfId="0" applyFont="1" applyBorder="1" applyAlignment="1">
      <alignment vertical="center" shrinkToFit="1"/>
    </xf>
    <xf numFmtId="178" fontId="30" fillId="10" borderId="153" xfId="0" applyNumberFormat="1" applyFont="1" applyFill="1" applyBorder="1" applyAlignment="1">
      <alignment vertical="center" shrinkToFit="1"/>
    </xf>
    <xf numFmtId="178" fontId="30" fillId="10" borderId="0" xfId="0" applyNumberFormat="1" applyFont="1" applyFill="1" applyAlignment="1">
      <alignment vertical="center" shrinkToFit="1"/>
    </xf>
    <xf numFmtId="178" fontId="30" fillId="10" borderId="154" xfId="0" applyNumberFormat="1" applyFont="1" applyFill="1" applyBorder="1" applyAlignment="1">
      <alignment vertical="center" shrinkToFit="1"/>
    </xf>
    <xf numFmtId="14" fontId="30" fillId="10" borderId="0" xfId="0" applyNumberFormat="1" applyFont="1" applyFill="1" applyAlignment="1">
      <alignment vertical="center" shrinkToFit="1"/>
    </xf>
    <xf numFmtId="178" fontId="30" fillId="10" borderId="2" xfId="0" applyNumberFormat="1" applyFont="1" applyFill="1" applyBorder="1" applyAlignment="1">
      <alignment vertical="center" shrinkToFit="1"/>
    </xf>
    <xf numFmtId="0" fontId="3" fillId="0" borderId="13" xfId="0" applyFont="1" applyBorder="1" applyAlignment="1">
      <alignment vertical="center" shrinkToFit="1"/>
    </xf>
    <xf numFmtId="0" fontId="45" fillId="2" borderId="67" xfId="3" applyNumberFormat="1" applyFont="1" applyFill="1" applyBorder="1" applyAlignment="1">
      <alignment vertical="center" shrinkToFit="1"/>
    </xf>
    <xf numFmtId="38" fontId="31" fillId="0" borderId="67" xfId="1" applyFont="1" applyBorder="1" applyAlignment="1">
      <alignment horizontal="right" vertical="center" shrinkToFit="1"/>
    </xf>
    <xf numFmtId="41" fontId="31" fillId="2" borderId="0" xfId="0" applyNumberFormat="1" applyFont="1" applyFill="1" applyAlignment="1">
      <alignment horizontal="center" vertical="center" shrinkToFit="1"/>
    </xf>
    <xf numFmtId="38" fontId="31" fillId="5" borderId="110" xfId="1" applyFont="1" applyFill="1" applyBorder="1" applyAlignment="1">
      <alignment horizontal="right" vertical="center" shrinkToFit="1"/>
    </xf>
    <xf numFmtId="40" fontId="31" fillId="0" borderId="110" xfId="1" applyNumberFormat="1" applyFont="1" applyFill="1" applyBorder="1" applyAlignment="1">
      <alignment horizontal="right" vertical="center" shrinkToFit="1"/>
    </xf>
    <xf numFmtId="38" fontId="45" fillId="2" borderId="116" xfId="1" applyFont="1" applyFill="1" applyBorder="1" applyAlignment="1">
      <alignment horizontal="right" vertical="center" shrinkToFit="1"/>
    </xf>
    <xf numFmtId="38" fontId="31" fillId="2" borderId="65" xfId="1" applyFont="1" applyFill="1" applyBorder="1" applyAlignment="1">
      <alignment horizontal="left" vertical="center" shrinkToFit="1"/>
    </xf>
    <xf numFmtId="38" fontId="34" fillId="2" borderId="65" xfId="1" applyFont="1" applyFill="1" applyBorder="1" applyAlignment="1">
      <alignment horizontal="center" vertical="center" shrinkToFit="1"/>
    </xf>
    <xf numFmtId="41" fontId="33" fillId="0" borderId="162" xfId="0" applyNumberFormat="1" applyFont="1" applyBorder="1" applyAlignment="1">
      <alignment horizontal="center" vertical="center" shrinkToFit="1"/>
    </xf>
    <xf numFmtId="41" fontId="33" fillId="0" borderId="67" xfId="0" applyNumberFormat="1" applyFont="1" applyBorder="1" applyAlignment="1">
      <alignment horizontal="center" vertical="center" shrinkToFit="1"/>
    </xf>
    <xf numFmtId="186" fontId="34" fillId="0" borderId="110" xfId="0" applyNumberFormat="1" applyFont="1" applyBorder="1" applyAlignment="1">
      <alignment vertical="center" shrinkToFit="1"/>
    </xf>
    <xf numFmtId="41" fontId="31" fillId="5" borderId="0" xfId="0" applyNumberFormat="1" applyFont="1" applyFill="1" applyAlignment="1">
      <alignment vertical="center" shrinkToFit="1"/>
    </xf>
    <xf numFmtId="182" fontId="49" fillId="17" borderId="67" xfId="0" applyNumberFormat="1" applyFont="1" applyFill="1" applyBorder="1" applyAlignment="1">
      <alignment horizontal="right" vertical="center" shrinkToFit="1"/>
    </xf>
    <xf numFmtId="41" fontId="31" fillId="27" borderId="63" xfId="0" applyNumberFormat="1" applyFont="1" applyFill="1" applyBorder="1" applyAlignment="1">
      <alignment horizontal="center" vertical="center" shrinkToFit="1"/>
    </xf>
    <xf numFmtId="38" fontId="31" fillId="2" borderId="42" xfId="1" applyFont="1" applyFill="1" applyBorder="1" applyAlignment="1">
      <alignment horizontal="right" vertical="center" shrinkToFit="1"/>
    </xf>
    <xf numFmtId="38" fontId="31" fillId="0" borderId="42" xfId="1" applyFont="1" applyFill="1" applyBorder="1" applyAlignment="1">
      <alignment horizontal="right" vertical="center" shrinkToFit="1"/>
    </xf>
    <xf numFmtId="41" fontId="31" fillId="2" borderId="112" xfId="0" applyNumberFormat="1" applyFont="1" applyFill="1" applyBorder="1" applyAlignment="1">
      <alignment horizontal="center" vertical="center" shrinkToFit="1"/>
    </xf>
    <xf numFmtId="38" fontId="51" fillId="2" borderId="65" xfId="1" applyFont="1" applyFill="1" applyBorder="1" applyAlignment="1">
      <alignment horizontal="right" vertical="center" shrinkToFit="1"/>
    </xf>
    <xf numFmtId="38" fontId="51" fillId="0" borderId="65" xfId="1" applyFont="1" applyFill="1" applyBorder="1" applyAlignment="1">
      <alignment horizontal="right" vertical="center" shrinkToFit="1"/>
    </xf>
    <xf numFmtId="38" fontId="45" fillId="2" borderId="65" xfId="1" applyFont="1" applyFill="1" applyBorder="1" applyAlignment="1">
      <alignment horizontal="right" vertical="center" shrinkToFit="1"/>
    </xf>
    <xf numFmtId="14" fontId="34" fillId="2" borderId="65" xfId="1" applyNumberFormat="1" applyFont="1" applyFill="1" applyBorder="1" applyAlignment="1">
      <alignment horizontal="center" vertical="center" shrinkToFit="1"/>
    </xf>
    <xf numFmtId="178" fontId="30" fillId="0" borderId="163" xfId="0" applyNumberFormat="1" applyFont="1" applyBorder="1" applyAlignment="1">
      <alignment vertical="center" shrinkToFit="1"/>
    </xf>
    <xf numFmtId="178" fontId="30" fillId="0" borderId="112" xfId="0" applyNumberFormat="1" applyFont="1" applyBorder="1" applyAlignment="1">
      <alignment vertical="center" shrinkToFit="1"/>
    </xf>
    <xf numFmtId="178" fontId="30" fillId="0" borderId="164" xfId="0" applyNumberFormat="1" applyFont="1" applyBorder="1" applyAlignment="1">
      <alignment vertical="center" shrinkToFit="1"/>
    </xf>
    <xf numFmtId="14" fontId="30" fillId="0" borderId="112" xfId="0" applyNumberFormat="1" applyFont="1" applyBorder="1" applyAlignment="1">
      <alignment vertical="center" shrinkToFit="1"/>
    </xf>
    <xf numFmtId="178" fontId="30" fillId="0" borderId="165" xfId="0" applyNumberFormat="1" applyFont="1" applyBorder="1" applyAlignment="1">
      <alignment vertical="center" shrinkToFit="1"/>
    </xf>
    <xf numFmtId="178" fontId="30" fillId="0" borderId="166" xfId="0" applyNumberFormat="1" applyFont="1" applyBorder="1" applyAlignment="1">
      <alignment vertical="center" shrinkToFit="1"/>
    </xf>
    <xf numFmtId="178" fontId="30" fillId="0" borderId="167" xfId="0" applyNumberFormat="1" applyFont="1" applyBorder="1" applyAlignment="1">
      <alignment vertical="center" shrinkToFit="1"/>
    </xf>
    <xf numFmtId="0" fontId="30" fillId="0" borderId="128" xfId="0" applyFont="1" applyBorder="1" applyAlignment="1">
      <alignment vertical="center" shrinkToFit="1"/>
    </xf>
    <xf numFmtId="0" fontId="30" fillId="0" borderId="112" xfId="0" applyFont="1" applyBorder="1" applyAlignment="1">
      <alignment vertical="center" shrinkToFit="1"/>
    </xf>
    <xf numFmtId="0" fontId="30" fillId="0" borderId="165" xfId="0" applyFont="1" applyBorder="1" applyAlignment="1">
      <alignment vertical="center" shrinkToFit="1"/>
    </xf>
    <xf numFmtId="182" fontId="49" fillId="17" borderId="101" xfId="0" applyNumberFormat="1" applyFont="1" applyFill="1" applyBorder="1" applyAlignment="1">
      <alignment horizontal="right" vertical="center" shrinkToFit="1"/>
    </xf>
    <xf numFmtId="182" fontId="50" fillId="17" borderId="109" xfId="0" applyNumberFormat="1" applyFont="1" applyFill="1" applyBorder="1" applyAlignment="1">
      <alignment vertical="center" shrinkToFit="1"/>
    </xf>
    <xf numFmtId="178" fontId="30" fillId="10" borderId="168" xfId="0" applyNumberFormat="1" applyFont="1" applyFill="1" applyBorder="1" applyAlignment="1">
      <alignment vertical="center" shrinkToFit="1"/>
    </xf>
    <xf numFmtId="178" fontId="30" fillId="10" borderId="169" xfId="0" applyNumberFormat="1" applyFont="1" applyFill="1" applyBorder="1" applyAlignment="1">
      <alignment vertical="center" shrinkToFit="1"/>
    </xf>
    <xf numFmtId="178" fontId="30" fillId="10" borderId="170" xfId="0" applyNumberFormat="1" applyFont="1" applyFill="1" applyBorder="1" applyAlignment="1">
      <alignment vertical="center" shrinkToFit="1"/>
    </xf>
    <xf numFmtId="14" fontId="30" fillId="10" borderId="169" xfId="0" applyNumberFormat="1" applyFont="1" applyFill="1" applyBorder="1" applyAlignment="1">
      <alignment vertical="center" shrinkToFit="1"/>
    </xf>
    <xf numFmtId="178" fontId="30" fillId="10" borderId="171" xfId="0" applyNumberFormat="1" applyFont="1" applyFill="1" applyBorder="1" applyAlignment="1">
      <alignment vertical="center" shrinkToFit="1"/>
    </xf>
    <xf numFmtId="178" fontId="30" fillId="0" borderId="172" xfId="0" applyNumberFormat="1" applyFont="1" applyBorder="1" applyAlignment="1">
      <alignment vertical="center" shrinkToFit="1"/>
    </xf>
    <xf numFmtId="178" fontId="30" fillId="0" borderId="173" xfId="0" applyNumberFormat="1" applyFont="1" applyBorder="1" applyAlignment="1">
      <alignment vertical="center" shrinkToFit="1"/>
    </xf>
    <xf numFmtId="0" fontId="30" fillId="0" borderId="174" xfId="0" applyFont="1" applyBorder="1" applyAlignment="1">
      <alignment vertical="center" shrinkToFit="1"/>
    </xf>
    <xf numFmtId="0" fontId="30" fillId="0" borderId="169" xfId="0" applyFont="1" applyBorder="1" applyAlignment="1">
      <alignment vertical="center" shrinkToFit="1"/>
    </xf>
    <xf numFmtId="0" fontId="30" fillId="0" borderId="171" xfId="0" applyFont="1" applyBorder="1" applyAlignment="1">
      <alignment vertical="center" shrinkToFit="1"/>
    </xf>
    <xf numFmtId="0" fontId="45" fillId="4" borderId="42" xfId="3" applyNumberFormat="1" applyFont="1" applyFill="1" applyBorder="1" applyAlignment="1">
      <alignment vertical="center" shrinkToFit="1"/>
    </xf>
    <xf numFmtId="0" fontId="2" fillId="0" borderId="42" xfId="3" applyBorder="1" applyAlignment="1">
      <alignment horizontal="center" vertical="center" shrinkToFit="1"/>
    </xf>
    <xf numFmtId="41" fontId="31" fillId="27" borderId="0" xfId="0" applyNumberFormat="1" applyFont="1" applyFill="1" applyAlignment="1">
      <alignment horizontal="center" vertical="center" shrinkToFit="1"/>
    </xf>
    <xf numFmtId="38" fontId="31" fillId="2" borderId="114" xfId="1" applyFont="1" applyFill="1" applyBorder="1" applyAlignment="1">
      <alignment horizontal="left" vertical="center" shrinkToFit="1"/>
    </xf>
    <xf numFmtId="38" fontId="30" fillId="2" borderId="114" xfId="1" applyFont="1" applyFill="1" applyBorder="1" applyAlignment="1">
      <alignment horizontal="center" vertical="center" shrinkToFit="1"/>
    </xf>
    <xf numFmtId="41" fontId="33" fillId="0" borderId="60" xfId="0" applyNumberFormat="1" applyFont="1" applyBorder="1" applyAlignment="1">
      <alignment horizontal="center" vertical="center" shrinkToFit="1"/>
    </xf>
    <xf numFmtId="41" fontId="33" fillId="0" borderId="42" xfId="0" applyNumberFormat="1" applyFont="1" applyBorder="1" applyAlignment="1">
      <alignment horizontal="center" vertical="center" shrinkToFit="1"/>
    </xf>
    <xf numFmtId="41" fontId="34" fillId="0" borderId="67" xfId="0" applyNumberFormat="1" applyFont="1" applyBorder="1" applyAlignment="1">
      <alignment vertical="center" shrinkToFit="1"/>
    </xf>
    <xf numFmtId="41" fontId="34" fillId="0" borderId="111" xfId="0" applyNumberFormat="1" applyFont="1" applyBorder="1" applyAlignment="1">
      <alignment vertical="center" shrinkToFit="1"/>
    </xf>
    <xf numFmtId="41" fontId="34" fillId="0" borderId="175" xfId="0" applyNumberFormat="1" applyFont="1" applyBorder="1" applyAlignment="1">
      <alignment vertical="center" shrinkToFit="1"/>
    </xf>
    <xf numFmtId="41" fontId="34" fillId="0" borderId="114" xfId="0" applyNumberFormat="1" applyFont="1" applyBorder="1" applyAlignment="1">
      <alignment vertical="center" shrinkToFit="1"/>
    </xf>
    <xf numFmtId="41" fontId="34" fillId="15" borderId="69" xfId="0" applyNumberFormat="1" applyFont="1" applyFill="1" applyBorder="1" applyAlignment="1">
      <alignment vertical="center" shrinkToFit="1"/>
    </xf>
    <xf numFmtId="186" fontId="34" fillId="23" borderId="116" xfId="0" applyNumberFormat="1" applyFont="1" applyFill="1" applyBorder="1" applyAlignment="1">
      <alignment vertical="center" shrinkToFit="1"/>
    </xf>
    <xf numFmtId="0" fontId="45" fillId="17" borderId="42" xfId="0" applyFont="1" applyFill="1" applyBorder="1" applyAlignment="1">
      <alignment horizontal="center" vertical="center" shrinkToFit="1"/>
    </xf>
    <xf numFmtId="41" fontId="31" fillId="17" borderId="42" xfId="0" applyNumberFormat="1" applyFont="1" applyFill="1" applyBorder="1" applyAlignment="1">
      <alignment horizontal="center" vertical="center" shrinkToFit="1"/>
    </xf>
    <xf numFmtId="182" fontId="49" fillId="17" borderId="42" xfId="0" applyNumberFormat="1" applyFont="1" applyFill="1" applyBorder="1" applyAlignment="1">
      <alignment horizontal="right" vertical="center" shrinkToFit="1"/>
    </xf>
    <xf numFmtId="182" fontId="50" fillId="17" borderId="62" xfId="0" applyNumberFormat="1" applyFont="1" applyFill="1" applyBorder="1" applyAlignment="1">
      <alignment vertical="center" shrinkToFit="1"/>
    </xf>
    <xf numFmtId="0" fontId="45" fillId="24" borderId="42" xfId="0" applyFont="1" applyFill="1" applyBorder="1" applyAlignment="1">
      <alignment horizontal="center" vertical="center" shrinkToFit="1"/>
    </xf>
    <xf numFmtId="184" fontId="45" fillId="25" borderId="142" xfId="0" applyNumberFormat="1" applyFont="1" applyFill="1" applyBorder="1" applyAlignment="1">
      <alignment horizontal="right" vertical="center" shrinkToFit="1"/>
    </xf>
    <xf numFmtId="185" fontId="45" fillId="25" borderId="143" xfId="0" applyNumberFormat="1" applyFont="1" applyFill="1" applyBorder="1" applyAlignment="1">
      <alignment horizontal="right" vertical="center" shrinkToFit="1"/>
    </xf>
    <xf numFmtId="41" fontId="51" fillId="10" borderId="0" xfId="0" applyNumberFormat="1" applyFont="1" applyFill="1" applyAlignment="1">
      <alignment horizontal="center" vertical="center" shrinkToFit="1"/>
    </xf>
    <xf numFmtId="41" fontId="45" fillId="10" borderId="0" xfId="0" applyNumberFormat="1" applyFont="1" applyFill="1" applyAlignment="1">
      <alignment horizontal="center" vertical="center" shrinkToFit="1"/>
    </xf>
    <xf numFmtId="41" fontId="34" fillId="10" borderId="0" xfId="0" applyNumberFormat="1" applyFont="1" applyFill="1" applyAlignment="1">
      <alignment horizontal="center" vertical="center" shrinkToFit="1"/>
    </xf>
    <xf numFmtId="14" fontId="34" fillId="10" borderId="0" xfId="0" applyNumberFormat="1" applyFont="1" applyFill="1" applyAlignment="1">
      <alignment horizontal="center" vertical="center" shrinkToFit="1"/>
    </xf>
    <xf numFmtId="41" fontId="33" fillId="10" borderId="0" xfId="0" applyNumberFormat="1" applyFont="1" applyFill="1" applyAlignment="1">
      <alignment horizontal="center" vertical="center" shrinkToFit="1"/>
    </xf>
    <xf numFmtId="41" fontId="33" fillId="10" borderId="2" xfId="0" applyNumberFormat="1" applyFont="1" applyFill="1" applyBorder="1" applyAlignment="1">
      <alignment horizontal="center" vertical="center" shrinkToFit="1"/>
    </xf>
    <xf numFmtId="41" fontId="45" fillId="17" borderId="42" xfId="0" applyNumberFormat="1" applyFont="1" applyFill="1" applyBorder="1" applyAlignment="1">
      <alignment horizontal="center" vertical="center" shrinkToFit="1"/>
    </xf>
    <xf numFmtId="182" fontId="45" fillId="17" borderId="42" xfId="0" applyNumberFormat="1" applyFont="1" applyFill="1" applyBorder="1" applyAlignment="1">
      <alignment horizontal="right" vertical="center" shrinkToFit="1"/>
    </xf>
    <xf numFmtId="41" fontId="45" fillId="10" borderId="0" xfId="0" applyNumberFormat="1" applyFont="1" applyFill="1" applyAlignment="1">
      <alignment horizontal="left" vertical="center" shrinkToFit="1"/>
    </xf>
    <xf numFmtId="41" fontId="33" fillId="28" borderId="42" xfId="0" applyNumberFormat="1" applyFont="1" applyFill="1" applyBorder="1" applyAlignment="1">
      <alignment horizontal="center" vertical="center" shrinkToFit="1"/>
    </xf>
    <xf numFmtId="41" fontId="34" fillId="28" borderId="65" xfId="0" applyNumberFormat="1" applyFont="1" applyFill="1" applyBorder="1" applyAlignment="1">
      <alignment vertical="center" shrinkToFit="1"/>
    </xf>
    <xf numFmtId="41" fontId="34" fillId="28" borderId="42" xfId="0" applyNumberFormat="1" applyFont="1" applyFill="1" applyBorder="1" applyAlignment="1">
      <alignment vertical="center" shrinkToFit="1"/>
    </xf>
    <xf numFmtId="0" fontId="45" fillId="4" borderId="67" xfId="3" applyNumberFormat="1" applyFont="1" applyFill="1" applyBorder="1" applyAlignment="1">
      <alignment vertical="center" shrinkToFit="1"/>
    </xf>
    <xf numFmtId="41" fontId="31" fillId="15" borderId="128" xfId="0" applyNumberFormat="1" applyFont="1" applyFill="1" applyBorder="1" applyAlignment="1">
      <alignment horizontal="center" vertical="center" shrinkToFit="1"/>
    </xf>
    <xf numFmtId="41" fontId="31" fillId="27" borderId="112" xfId="0" applyNumberFormat="1" applyFont="1" applyFill="1" applyBorder="1" applyAlignment="1">
      <alignment horizontal="center" vertical="center" shrinkToFit="1"/>
    </xf>
    <xf numFmtId="38" fontId="30" fillId="0" borderId="110" xfId="1" applyFont="1" applyFill="1" applyBorder="1" applyAlignment="1">
      <alignment horizontal="right" vertical="center" shrinkToFit="1"/>
    </xf>
    <xf numFmtId="41" fontId="34" fillId="15" borderId="175" xfId="0" applyNumberFormat="1" applyFont="1" applyFill="1" applyBorder="1" applyAlignment="1">
      <alignment vertical="center" shrinkToFit="1"/>
    </xf>
    <xf numFmtId="41" fontId="34" fillId="0" borderId="68" xfId="0" applyNumberFormat="1" applyFont="1" applyBorder="1" applyAlignment="1">
      <alignment vertical="center" shrinkToFit="1"/>
    </xf>
    <xf numFmtId="41" fontId="31" fillId="0" borderId="112" xfId="0" applyNumberFormat="1" applyFont="1" applyBorder="1" applyAlignment="1">
      <alignment vertical="center" shrinkToFit="1"/>
    </xf>
    <xf numFmtId="0" fontId="45" fillId="17" borderId="67" xfId="0" applyFont="1" applyFill="1" applyBorder="1" applyAlignment="1">
      <alignment horizontal="center" vertical="center" shrinkToFit="1"/>
    </xf>
    <xf numFmtId="0" fontId="45" fillId="24" borderId="67" xfId="0" applyFont="1" applyFill="1" applyBorder="1" applyAlignment="1">
      <alignment horizontal="center" vertical="center" shrinkToFit="1"/>
    </xf>
    <xf numFmtId="184" fontId="45" fillId="25" borderId="176" xfId="0" applyNumberFormat="1" applyFont="1" applyFill="1" applyBorder="1" applyAlignment="1">
      <alignment horizontal="right" vertical="center" shrinkToFit="1"/>
    </xf>
    <xf numFmtId="185" fontId="45" fillId="25" borderId="177" xfId="0" applyNumberFormat="1" applyFont="1" applyFill="1" applyBorder="1" applyAlignment="1">
      <alignment horizontal="right" vertical="center" shrinkToFit="1"/>
    </xf>
    <xf numFmtId="0" fontId="45" fillId="2" borderId="67" xfId="0" applyFont="1" applyFill="1" applyBorder="1" applyAlignment="1">
      <alignment horizontal="center" vertical="center" shrinkToFit="1"/>
    </xf>
    <xf numFmtId="184" fontId="45" fillId="2" borderId="176" xfId="0" applyNumberFormat="1" applyFont="1" applyFill="1" applyBorder="1" applyAlignment="1">
      <alignment horizontal="right" vertical="center" shrinkToFit="1"/>
    </xf>
    <xf numFmtId="185" fontId="45" fillId="2" borderId="177" xfId="0" applyNumberFormat="1" applyFont="1" applyFill="1" applyBorder="1" applyAlignment="1">
      <alignment horizontal="right" vertical="center" shrinkToFit="1"/>
    </xf>
    <xf numFmtId="0" fontId="45" fillId="2" borderId="114" xfId="0" applyFont="1" applyFill="1" applyBorder="1" applyAlignment="1">
      <alignment horizontal="center" vertical="center" shrinkToFit="1"/>
    </xf>
    <xf numFmtId="185" fontId="45" fillId="2" borderId="178" xfId="0" applyNumberFormat="1" applyFont="1" applyFill="1" applyBorder="1" applyAlignment="1">
      <alignment horizontal="right" vertical="center" shrinkToFit="1"/>
    </xf>
    <xf numFmtId="41" fontId="31" fillId="10" borderId="111" xfId="0" applyNumberFormat="1" applyFont="1" applyFill="1" applyBorder="1" applyAlignment="1">
      <alignment horizontal="center" vertical="center" shrinkToFit="1"/>
    </xf>
    <xf numFmtId="41" fontId="31" fillId="10" borderId="128" xfId="0" applyNumberFormat="1" applyFont="1" applyFill="1" applyBorder="1" applyAlignment="1">
      <alignment horizontal="center" vertical="center" shrinkToFit="1"/>
    </xf>
    <xf numFmtId="41" fontId="31" fillId="10" borderId="112" xfId="0" applyNumberFormat="1" applyFont="1" applyFill="1" applyBorder="1" applyAlignment="1">
      <alignment horizontal="center" vertical="center" shrinkToFit="1"/>
    </xf>
    <xf numFmtId="41" fontId="30" fillId="10" borderId="113" xfId="0" applyNumberFormat="1" applyFont="1" applyFill="1" applyBorder="1" applyAlignment="1">
      <alignment horizontal="center" vertical="center" shrinkToFit="1"/>
    </xf>
    <xf numFmtId="41" fontId="51" fillId="10" borderId="112" xfId="0" applyNumberFormat="1" applyFont="1" applyFill="1" applyBorder="1" applyAlignment="1">
      <alignment horizontal="center" vertical="center" shrinkToFit="1"/>
    </xf>
    <xf numFmtId="41" fontId="45" fillId="10" borderId="112" xfId="0" applyNumberFormat="1" applyFont="1" applyFill="1" applyBorder="1" applyAlignment="1">
      <alignment horizontal="center" vertical="center" shrinkToFit="1"/>
    </xf>
    <xf numFmtId="41" fontId="34" fillId="10" borderId="112" xfId="0" applyNumberFormat="1" applyFont="1" applyFill="1" applyBorder="1" applyAlignment="1">
      <alignment horizontal="center" vertical="center" shrinkToFit="1"/>
    </xf>
    <xf numFmtId="14" fontId="34" fillId="10" borderId="112" xfId="0" applyNumberFormat="1" applyFont="1" applyFill="1" applyBorder="1" applyAlignment="1">
      <alignment horizontal="center" vertical="center" shrinkToFit="1"/>
    </xf>
    <xf numFmtId="41" fontId="33" fillId="10" borderId="112" xfId="0" applyNumberFormat="1" applyFont="1" applyFill="1" applyBorder="1" applyAlignment="1">
      <alignment horizontal="center" vertical="center" shrinkToFit="1"/>
    </xf>
    <xf numFmtId="41" fontId="33" fillId="10" borderId="165" xfId="0" applyNumberFormat="1" applyFont="1" applyFill="1" applyBorder="1" applyAlignment="1">
      <alignment horizontal="center" vertical="center" shrinkToFit="1"/>
    </xf>
    <xf numFmtId="0" fontId="3" fillId="0" borderId="179" xfId="0" applyFont="1" applyBorder="1" applyAlignment="1">
      <alignment vertical="center" shrinkToFit="1"/>
    </xf>
    <xf numFmtId="178" fontId="30" fillId="10" borderId="163" xfId="0" applyNumberFormat="1" applyFont="1" applyFill="1" applyBorder="1" applyAlignment="1">
      <alignment vertical="center" shrinkToFit="1"/>
    </xf>
    <xf numFmtId="178" fontId="30" fillId="10" borderId="112" xfId="0" applyNumberFormat="1" applyFont="1" applyFill="1" applyBorder="1" applyAlignment="1">
      <alignment vertical="center" shrinkToFit="1"/>
    </xf>
    <xf numFmtId="178" fontId="30" fillId="10" borderId="164" xfId="0" applyNumberFormat="1" applyFont="1" applyFill="1" applyBorder="1" applyAlignment="1">
      <alignment vertical="center" shrinkToFit="1"/>
    </xf>
    <xf numFmtId="14" fontId="30" fillId="10" borderId="112" xfId="0" applyNumberFormat="1" applyFont="1" applyFill="1" applyBorder="1" applyAlignment="1">
      <alignment vertical="center" shrinkToFit="1"/>
    </xf>
    <xf numFmtId="178" fontId="30" fillId="10" borderId="165" xfId="0" applyNumberFormat="1" applyFont="1" applyFill="1" applyBorder="1" applyAlignment="1">
      <alignment vertical="center" shrinkToFit="1"/>
    </xf>
    <xf numFmtId="41" fontId="31" fillId="10" borderId="174" xfId="0" applyNumberFormat="1" applyFont="1" applyFill="1" applyBorder="1" applyAlignment="1">
      <alignment horizontal="center" vertical="center" shrinkToFit="1"/>
    </xf>
    <xf numFmtId="41" fontId="31" fillId="10" borderId="169" xfId="0" applyNumberFormat="1" applyFont="1" applyFill="1" applyBorder="1" applyAlignment="1">
      <alignment horizontal="center" vertical="center" shrinkToFit="1"/>
    </xf>
    <xf numFmtId="41" fontId="34" fillId="28" borderId="62" xfId="0" applyNumberFormat="1" applyFont="1" applyFill="1" applyBorder="1" applyAlignment="1">
      <alignment vertical="center" shrinkToFit="1"/>
    </xf>
    <xf numFmtId="41" fontId="34" fillId="28" borderId="69" xfId="0" applyNumberFormat="1" applyFont="1" applyFill="1" applyBorder="1" applyAlignment="1">
      <alignment vertical="center" shrinkToFit="1"/>
    </xf>
    <xf numFmtId="41" fontId="31" fillId="4" borderId="180" xfId="0" applyNumberFormat="1" applyFont="1" applyFill="1" applyBorder="1" applyAlignment="1">
      <alignment horizontal="center" vertical="center" shrinkToFit="1"/>
    </xf>
    <xf numFmtId="38" fontId="31" fillId="2" borderId="110" xfId="1" applyFont="1" applyFill="1" applyBorder="1" applyAlignment="1">
      <alignment horizontal="left" vertical="center" shrinkToFit="1"/>
    </xf>
    <xf numFmtId="14" fontId="52" fillId="0" borderId="66" xfId="0" applyNumberFormat="1" applyFont="1" applyBorder="1" applyAlignment="1">
      <alignment horizontal="center" vertical="center" shrinkToFit="1"/>
    </xf>
    <xf numFmtId="14" fontId="52" fillId="0" borderId="67" xfId="0" applyNumberFormat="1" applyFont="1" applyBorder="1" applyAlignment="1">
      <alignment horizontal="center" vertical="center" shrinkToFit="1"/>
    </xf>
    <xf numFmtId="41" fontId="33" fillId="0" borderId="68" xfId="0" applyNumberFormat="1" applyFont="1" applyBorder="1" applyAlignment="1">
      <alignment horizontal="center" vertical="center" shrinkToFit="1"/>
    </xf>
    <xf numFmtId="183" fontId="34" fillId="0" borderId="110" xfId="0" applyNumberFormat="1" applyFont="1" applyBorder="1" applyAlignment="1">
      <alignment vertical="center" shrinkToFit="1"/>
    </xf>
    <xf numFmtId="41" fontId="34" fillId="23" borderId="110" xfId="0" applyNumberFormat="1" applyFont="1" applyFill="1" applyBorder="1" applyAlignment="1">
      <alignment vertical="center" shrinkToFit="1"/>
    </xf>
    <xf numFmtId="14" fontId="33" fillId="0" borderId="66" xfId="0" applyNumberFormat="1" applyFont="1" applyBorder="1" applyAlignment="1">
      <alignment horizontal="center" vertical="center" shrinkToFit="1"/>
    </xf>
    <xf numFmtId="14" fontId="33" fillId="0" borderId="67" xfId="0" applyNumberFormat="1" applyFont="1" applyBorder="1" applyAlignment="1">
      <alignment horizontal="center" vertical="center" shrinkToFit="1"/>
    </xf>
    <xf numFmtId="41" fontId="31" fillId="12" borderId="63" xfId="0" applyNumberFormat="1" applyFont="1" applyFill="1" applyBorder="1" applyAlignment="1">
      <alignment horizontal="center" vertical="center" shrinkToFit="1"/>
    </xf>
    <xf numFmtId="14" fontId="34" fillId="5" borderId="65" xfId="1" applyNumberFormat="1" applyFont="1" applyFill="1" applyBorder="1" applyAlignment="1">
      <alignment horizontal="center" vertical="center" shrinkToFit="1"/>
    </xf>
    <xf numFmtId="186" fontId="34" fillId="0" borderId="118" xfId="0" applyNumberFormat="1" applyFont="1" applyBorder="1" applyAlignment="1">
      <alignment vertical="center" shrinkToFit="1"/>
    </xf>
    <xf numFmtId="0" fontId="31" fillId="0" borderId="65" xfId="6" applyFont="1" applyBorder="1" applyAlignment="1">
      <alignment horizontal="center" vertical="center" shrinkToFit="1"/>
    </xf>
    <xf numFmtId="41" fontId="51" fillId="10" borderId="82" xfId="0" applyNumberFormat="1" applyFont="1" applyFill="1" applyBorder="1" applyAlignment="1">
      <alignment horizontal="center" vertical="center" shrinkToFit="1"/>
    </xf>
    <xf numFmtId="41" fontId="45" fillId="10" borderId="82" xfId="0" applyNumberFormat="1" applyFont="1" applyFill="1" applyBorder="1" applyAlignment="1">
      <alignment horizontal="center" vertical="center" shrinkToFit="1"/>
    </xf>
    <xf numFmtId="41" fontId="45" fillId="10" borderId="82" xfId="0" applyNumberFormat="1" applyFont="1" applyFill="1" applyBorder="1" applyAlignment="1">
      <alignment horizontal="left" vertical="center" shrinkToFit="1"/>
    </xf>
    <xf numFmtId="41" fontId="34" fillId="10" borderId="82" xfId="0" applyNumberFormat="1" applyFont="1" applyFill="1" applyBorder="1" applyAlignment="1">
      <alignment horizontal="center" vertical="center" shrinkToFit="1"/>
    </xf>
    <xf numFmtId="14" fontId="34" fillId="10" borderId="82" xfId="0" applyNumberFormat="1" applyFont="1" applyFill="1" applyBorder="1" applyAlignment="1">
      <alignment horizontal="center" vertical="center" shrinkToFit="1"/>
    </xf>
    <xf numFmtId="41" fontId="33" fillId="10" borderId="82" xfId="0" applyNumberFormat="1" applyFont="1" applyFill="1" applyBorder="1" applyAlignment="1">
      <alignment horizontal="center" vertical="center" shrinkToFit="1"/>
    </xf>
    <xf numFmtId="41" fontId="33" fillId="10" borderId="84" xfId="0" applyNumberFormat="1" applyFont="1" applyFill="1" applyBorder="1" applyAlignment="1">
      <alignment horizontal="center" vertical="center" shrinkToFit="1"/>
    </xf>
    <xf numFmtId="41" fontId="33" fillId="26" borderId="60" xfId="0" applyNumberFormat="1" applyFont="1" applyFill="1" applyBorder="1" applyAlignment="1">
      <alignment horizontal="center" vertical="center" shrinkToFit="1"/>
    </xf>
    <xf numFmtId="41" fontId="33" fillId="26" borderId="42" xfId="0" applyNumberFormat="1" applyFont="1" applyFill="1" applyBorder="1" applyAlignment="1">
      <alignment horizontal="center" vertical="center" shrinkToFit="1"/>
    </xf>
    <xf numFmtId="41" fontId="33" fillId="0" borderId="86" xfId="0" applyNumberFormat="1" applyFont="1" applyBorder="1" applyAlignment="1">
      <alignment horizontal="center" vertical="center" shrinkToFit="1"/>
    </xf>
    <xf numFmtId="179" fontId="8" fillId="26" borderId="86" xfId="0" applyNumberFormat="1" applyFont="1" applyFill="1" applyBorder="1" applyAlignment="1">
      <alignment vertical="center" shrinkToFit="1"/>
    </xf>
    <xf numFmtId="179" fontId="8" fillId="26" borderId="88" xfId="0" applyNumberFormat="1" applyFont="1" applyFill="1" applyBorder="1" applyAlignment="1">
      <alignment vertical="center" shrinkToFit="1"/>
    </xf>
    <xf numFmtId="179" fontId="8" fillId="26" borderId="89" xfId="0" applyNumberFormat="1" applyFont="1" applyFill="1" applyBorder="1" applyAlignment="1">
      <alignment vertical="center" shrinkToFit="1"/>
    </xf>
    <xf numFmtId="179" fontId="8" fillId="26" borderId="87" xfId="0" applyNumberFormat="1" applyFont="1" applyFill="1" applyBorder="1" applyAlignment="1">
      <alignment vertical="center" shrinkToFit="1"/>
    </xf>
    <xf numFmtId="41" fontId="34" fillId="28" borderId="86" xfId="0" applyNumberFormat="1" applyFont="1" applyFill="1" applyBorder="1" applyAlignment="1">
      <alignment vertical="center" shrinkToFit="1"/>
    </xf>
    <xf numFmtId="41" fontId="34" fillId="28" borderId="90" xfId="0" applyNumberFormat="1" applyFont="1" applyFill="1" applyBorder="1" applyAlignment="1">
      <alignment vertical="center" shrinkToFit="1"/>
    </xf>
    <xf numFmtId="0" fontId="45" fillId="17" borderId="181" xfId="0" applyFont="1" applyFill="1" applyBorder="1" applyAlignment="1">
      <alignment horizontal="center" vertical="center" shrinkToFit="1"/>
    </xf>
    <xf numFmtId="41" fontId="45" fillId="17" borderId="181" xfId="0" applyNumberFormat="1" applyFont="1" applyFill="1" applyBorder="1" applyAlignment="1">
      <alignment horizontal="center" vertical="center" shrinkToFit="1"/>
    </xf>
    <xf numFmtId="182" fontId="45" fillId="17" borderId="181" xfId="0" applyNumberFormat="1" applyFont="1" applyFill="1" applyBorder="1" applyAlignment="1">
      <alignment horizontal="right" vertical="center" shrinkToFit="1"/>
    </xf>
    <xf numFmtId="182" fontId="34" fillId="17" borderId="43" xfId="0" applyNumberFormat="1" applyFont="1" applyFill="1" applyBorder="1" applyAlignment="1">
      <alignment vertical="center" shrinkToFit="1"/>
    </xf>
    <xf numFmtId="41" fontId="31" fillId="10" borderId="182" xfId="0" applyNumberFormat="1" applyFont="1" applyFill="1" applyBorder="1" applyAlignment="1">
      <alignment horizontal="center" vertical="center" shrinkToFit="1"/>
    </xf>
    <xf numFmtId="41" fontId="51" fillId="10" borderId="182" xfId="0" applyNumberFormat="1" applyFont="1" applyFill="1" applyBorder="1" applyAlignment="1">
      <alignment horizontal="center" vertical="center" shrinkToFit="1"/>
    </xf>
    <xf numFmtId="41" fontId="45" fillId="10" borderId="182" xfId="0" applyNumberFormat="1" applyFont="1" applyFill="1" applyBorder="1" applyAlignment="1">
      <alignment horizontal="center" vertical="center" shrinkToFit="1"/>
    </xf>
    <xf numFmtId="14" fontId="34" fillId="10" borderId="182" xfId="0" applyNumberFormat="1" applyFont="1" applyFill="1" applyBorder="1" applyAlignment="1">
      <alignment horizontal="center" vertical="center" shrinkToFit="1"/>
    </xf>
    <xf numFmtId="41" fontId="33" fillId="10" borderId="182" xfId="0" applyNumberFormat="1" applyFont="1" applyFill="1" applyBorder="1" applyAlignment="1">
      <alignment horizontal="center" vertical="center" shrinkToFit="1"/>
    </xf>
    <xf numFmtId="41" fontId="33" fillId="10" borderId="183" xfId="0" applyNumberFormat="1" applyFont="1" applyFill="1" applyBorder="1" applyAlignment="1">
      <alignment horizontal="center" vertical="center" shrinkToFit="1"/>
    </xf>
    <xf numFmtId="41" fontId="31" fillId="17" borderId="181" xfId="0" applyNumberFormat="1" applyFont="1" applyFill="1" applyBorder="1" applyAlignment="1">
      <alignment horizontal="center" vertical="center" shrinkToFit="1"/>
    </xf>
    <xf numFmtId="182" fontId="49" fillId="17" borderId="181" xfId="0" applyNumberFormat="1" applyFont="1" applyFill="1" applyBorder="1" applyAlignment="1">
      <alignment horizontal="right" vertical="center" shrinkToFit="1"/>
    </xf>
    <xf numFmtId="182" fontId="30" fillId="17" borderId="43" xfId="0" applyNumberFormat="1" applyFont="1" applyFill="1" applyBorder="1" applyAlignment="1">
      <alignment vertical="center" shrinkToFit="1"/>
    </xf>
    <xf numFmtId="0" fontId="45" fillId="24" borderId="181" xfId="0" applyFont="1" applyFill="1" applyBorder="1" applyAlignment="1">
      <alignment horizontal="center" vertical="center" shrinkToFit="1"/>
    </xf>
    <xf numFmtId="184" fontId="45" fillId="25" borderId="184" xfId="0" applyNumberFormat="1" applyFont="1" applyFill="1" applyBorder="1" applyAlignment="1">
      <alignment horizontal="right" vertical="center" shrinkToFit="1"/>
    </xf>
    <xf numFmtId="185" fontId="45" fillId="25" borderId="185" xfId="0" applyNumberFormat="1" applyFont="1" applyFill="1" applyBorder="1" applyAlignment="1">
      <alignment horizontal="right" vertical="center" shrinkToFit="1"/>
    </xf>
    <xf numFmtId="0" fontId="45" fillId="2" borderId="181" xfId="0" applyFont="1" applyFill="1" applyBorder="1" applyAlignment="1">
      <alignment horizontal="center" vertical="center" shrinkToFit="1"/>
    </xf>
    <xf numFmtId="184" fontId="45" fillId="2" borderId="184" xfId="0" applyNumberFormat="1" applyFont="1" applyFill="1" applyBorder="1" applyAlignment="1">
      <alignment horizontal="right" vertical="center" shrinkToFit="1"/>
    </xf>
    <xf numFmtId="185" fontId="45" fillId="2" borderId="185" xfId="0" applyNumberFormat="1" applyFont="1" applyFill="1" applyBorder="1" applyAlignment="1">
      <alignment horizontal="right" vertical="center" shrinkToFit="1"/>
    </xf>
    <xf numFmtId="0" fontId="45" fillId="2" borderId="186" xfId="0" applyFont="1" applyFill="1" applyBorder="1" applyAlignment="1">
      <alignment horizontal="center" vertical="center" shrinkToFit="1"/>
    </xf>
    <xf numFmtId="185" fontId="45" fillId="2" borderId="187" xfId="0" applyNumberFormat="1" applyFont="1" applyFill="1" applyBorder="1" applyAlignment="1">
      <alignment horizontal="right" vertical="center" shrinkToFit="1"/>
    </xf>
    <xf numFmtId="177" fontId="30" fillId="24" borderId="56" xfId="0" applyNumberFormat="1" applyFont="1" applyFill="1" applyBorder="1" applyAlignment="1">
      <alignment vertical="center" shrinkToFit="1"/>
    </xf>
    <xf numFmtId="9" fontId="30" fillId="24" borderId="39" xfId="2" applyFont="1" applyFill="1" applyBorder="1" applyAlignment="1">
      <alignment vertical="center" shrinkToFit="1"/>
    </xf>
    <xf numFmtId="41" fontId="31" fillId="10" borderId="188" xfId="0" applyNumberFormat="1" applyFont="1" applyFill="1" applyBorder="1" applyAlignment="1">
      <alignment horizontal="center" vertical="center" shrinkToFit="1"/>
    </xf>
    <xf numFmtId="41" fontId="31" fillId="10" borderId="189" xfId="0" applyNumberFormat="1" applyFont="1" applyFill="1" applyBorder="1" applyAlignment="1">
      <alignment horizontal="center" vertical="center" shrinkToFit="1"/>
    </xf>
    <xf numFmtId="41" fontId="30" fillId="10" borderId="190" xfId="0" applyNumberFormat="1" applyFont="1" applyFill="1" applyBorder="1" applyAlignment="1">
      <alignment horizontal="center" vertical="center" shrinkToFit="1"/>
    </xf>
    <xf numFmtId="41" fontId="34" fillId="10" borderId="182" xfId="0" applyNumberFormat="1" applyFont="1" applyFill="1" applyBorder="1" applyAlignment="1">
      <alignment horizontal="center" vertical="center" shrinkToFit="1"/>
    </xf>
    <xf numFmtId="41" fontId="33" fillId="0" borderId="191" xfId="0" applyNumberFormat="1" applyFont="1" applyBorder="1" applyAlignment="1">
      <alignment horizontal="center" vertical="center" shrinkToFit="1"/>
    </xf>
    <xf numFmtId="41" fontId="33" fillId="0" borderId="181" xfId="0" applyNumberFormat="1" applyFont="1" applyBorder="1" applyAlignment="1">
      <alignment horizontal="center" vertical="center" shrinkToFit="1"/>
    </xf>
    <xf numFmtId="41" fontId="34" fillId="0" borderId="186" xfId="0" applyNumberFormat="1" applyFont="1" applyBorder="1" applyAlignment="1">
      <alignment vertical="center" shrinkToFit="1"/>
    </xf>
    <xf numFmtId="41" fontId="34" fillId="0" borderId="181" xfId="0" applyNumberFormat="1" applyFont="1" applyBorder="1" applyAlignment="1">
      <alignment vertical="center" shrinkToFit="1"/>
    </xf>
    <xf numFmtId="41" fontId="34" fillId="0" borderId="188" xfId="0" applyNumberFormat="1" applyFont="1" applyBorder="1" applyAlignment="1">
      <alignment vertical="center" shrinkToFit="1"/>
    </xf>
    <xf numFmtId="41" fontId="34" fillId="0" borderId="192" xfId="0" applyNumberFormat="1" applyFont="1" applyBorder="1" applyAlignment="1">
      <alignment vertical="center" shrinkToFit="1"/>
    </xf>
    <xf numFmtId="41" fontId="34" fillId="0" borderId="193" xfId="0" applyNumberFormat="1" applyFont="1" applyBorder="1" applyAlignment="1">
      <alignment vertical="center" shrinkToFit="1"/>
    </xf>
    <xf numFmtId="178" fontId="30" fillId="10" borderId="194" xfId="0" applyNumberFormat="1" applyFont="1" applyFill="1" applyBorder="1" applyAlignment="1">
      <alignment vertical="center" shrinkToFit="1"/>
    </xf>
    <xf numFmtId="178" fontId="30" fillId="10" borderId="13" xfId="0" applyNumberFormat="1" applyFont="1" applyFill="1" applyBorder="1" applyAlignment="1">
      <alignment vertical="center" shrinkToFit="1"/>
    </xf>
    <xf numFmtId="178" fontId="30" fillId="10" borderId="195" xfId="0" applyNumberFormat="1" applyFont="1" applyFill="1" applyBorder="1" applyAlignment="1">
      <alignment vertical="center" shrinkToFit="1"/>
    </xf>
    <xf numFmtId="14" fontId="30" fillId="10" borderId="13" xfId="0" applyNumberFormat="1" applyFont="1" applyFill="1" applyBorder="1" applyAlignment="1">
      <alignment vertical="center" shrinkToFit="1"/>
    </xf>
    <xf numFmtId="178" fontId="30" fillId="10" borderId="196" xfId="0" applyNumberFormat="1" applyFont="1" applyFill="1" applyBorder="1" applyAlignment="1">
      <alignment vertical="center" shrinkToFit="1"/>
    </xf>
    <xf numFmtId="178" fontId="30" fillId="0" borderId="197" xfId="0" applyNumberFormat="1" applyFont="1" applyBorder="1" applyAlignment="1">
      <alignment vertical="center" shrinkToFit="1"/>
    </xf>
    <xf numFmtId="178" fontId="30" fillId="0" borderId="198" xfId="0" applyNumberFormat="1" applyFont="1" applyBorder="1" applyAlignment="1">
      <alignment vertical="center" shrinkToFit="1"/>
    </xf>
    <xf numFmtId="0" fontId="30" fillId="0" borderId="13" xfId="0" applyFont="1" applyBorder="1" applyAlignment="1">
      <alignment vertical="center" shrinkToFit="1"/>
    </xf>
    <xf numFmtId="0" fontId="30" fillId="0" borderId="196" xfId="0" applyFont="1" applyBorder="1" applyAlignment="1">
      <alignment vertical="center" shrinkToFit="1"/>
    </xf>
    <xf numFmtId="41" fontId="31" fillId="0" borderId="114" xfId="0" applyNumberFormat="1" applyFont="1" applyBorder="1" applyAlignment="1">
      <alignment horizontal="center" vertical="center" shrinkToFit="1"/>
    </xf>
    <xf numFmtId="41" fontId="31" fillId="0" borderId="67" xfId="0" applyNumberFormat="1" applyFont="1" applyBorder="1" applyAlignment="1">
      <alignment horizontal="center" vertical="center" shrinkToFit="1"/>
    </xf>
    <xf numFmtId="41" fontId="31" fillId="0" borderId="199" xfId="0" applyNumberFormat="1" applyFont="1" applyBorder="1" applyAlignment="1">
      <alignment horizontal="center" vertical="center" shrinkToFit="1"/>
    </xf>
    <xf numFmtId="41" fontId="51" fillId="0" borderId="112" xfId="0" applyNumberFormat="1" applyFont="1" applyBorder="1" applyAlignment="1">
      <alignment horizontal="center" vertical="center" shrinkToFit="1"/>
    </xf>
    <xf numFmtId="178" fontId="51" fillId="0" borderId="116" xfId="1" applyNumberFormat="1" applyFont="1" applyFill="1" applyBorder="1" applyAlignment="1">
      <alignment horizontal="right" vertical="center" shrinkToFit="1"/>
    </xf>
    <xf numFmtId="38" fontId="51" fillId="0" borderId="114" xfId="1" applyFont="1" applyFill="1" applyBorder="1" applyAlignment="1">
      <alignment horizontal="right" vertical="center" shrinkToFit="1"/>
    </xf>
    <xf numFmtId="41" fontId="45" fillId="0" borderId="112" xfId="0" applyNumberFormat="1" applyFont="1" applyBorder="1" applyAlignment="1">
      <alignment horizontal="center" vertical="center" shrinkToFit="1"/>
    </xf>
    <xf numFmtId="41" fontId="45" fillId="0" borderId="112" xfId="0" applyNumberFormat="1" applyFont="1" applyBorder="1" applyAlignment="1">
      <alignment horizontal="left" vertical="center" shrinkToFit="1"/>
    </xf>
    <xf numFmtId="41" fontId="34" fillId="0" borderId="112" xfId="0" applyNumberFormat="1" applyFont="1" applyBorder="1" applyAlignment="1">
      <alignment horizontal="center" vertical="center" shrinkToFit="1"/>
    </xf>
    <xf numFmtId="14" fontId="34" fillId="0" borderId="112" xfId="0" applyNumberFormat="1" applyFont="1" applyBorder="1" applyAlignment="1">
      <alignment horizontal="center" vertical="center" shrinkToFit="1"/>
    </xf>
    <xf numFmtId="41" fontId="33" fillId="26" borderId="162" xfId="0" applyNumberFormat="1" applyFont="1" applyFill="1" applyBorder="1" applyAlignment="1">
      <alignment horizontal="center" vertical="center" shrinkToFit="1"/>
    </xf>
    <xf numFmtId="41" fontId="33" fillId="26" borderId="67" xfId="0" applyNumberFormat="1" applyFont="1" applyFill="1" applyBorder="1" applyAlignment="1">
      <alignment horizontal="center" vertical="center" shrinkToFit="1"/>
    </xf>
    <xf numFmtId="41" fontId="34" fillId="0" borderId="112" xfId="0" applyNumberFormat="1" applyFont="1" applyBorder="1" applyAlignment="1">
      <alignment vertical="center" shrinkToFit="1"/>
    </xf>
    <xf numFmtId="179" fontId="8" fillId="0" borderId="111" xfId="0" applyNumberFormat="1" applyFont="1" applyBorder="1" applyAlignment="1">
      <alignment vertical="center" shrinkToFit="1"/>
    </xf>
    <xf numFmtId="179" fontId="8" fillId="0" borderId="67" xfId="0" applyNumberFormat="1" applyFont="1" applyBorder="1" applyAlignment="1">
      <alignment vertical="center" shrinkToFit="1"/>
    </xf>
    <xf numFmtId="179" fontId="8" fillId="0" borderId="175" xfId="0" applyNumberFormat="1" applyFont="1" applyBorder="1" applyAlignment="1">
      <alignment vertical="center" shrinkToFit="1"/>
    </xf>
    <xf numFmtId="179" fontId="8" fillId="0" borderId="112" xfId="0" applyNumberFormat="1" applyFont="1" applyBorder="1" applyAlignment="1">
      <alignment vertical="center" shrinkToFit="1"/>
    </xf>
    <xf numFmtId="179" fontId="8" fillId="15" borderId="175" xfId="0" applyNumberFormat="1" applyFont="1" applyFill="1" applyBorder="1" applyAlignment="1">
      <alignment vertical="center" shrinkToFit="1"/>
    </xf>
    <xf numFmtId="41" fontId="34" fillId="28" borderId="68" xfId="0" applyNumberFormat="1" applyFont="1" applyFill="1" applyBorder="1" applyAlignment="1">
      <alignment vertical="center" shrinkToFit="1"/>
    </xf>
    <xf numFmtId="41" fontId="34" fillId="0" borderId="0" xfId="0" applyNumberFormat="1" applyFont="1" applyAlignment="1">
      <alignment vertical="center" shrinkToFit="1"/>
    </xf>
    <xf numFmtId="179" fontId="8" fillId="0" borderId="62" xfId="0" applyNumberFormat="1" applyFont="1" applyBorder="1" applyAlignment="1">
      <alignment vertical="center" shrinkToFit="1"/>
    </xf>
    <xf numFmtId="179" fontId="8" fillId="0" borderId="42" xfId="0" applyNumberFormat="1" applyFont="1" applyBorder="1" applyAlignment="1">
      <alignment vertical="center" shrinkToFit="1"/>
    </xf>
    <xf numFmtId="179" fontId="8" fillId="0" borderId="69" xfId="0" applyNumberFormat="1" applyFont="1" applyBorder="1" applyAlignment="1">
      <alignment vertical="center" shrinkToFit="1"/>
    </xf>
    <xf numFmtId="179" fontId="8" fillId="0" borderId="0" xfId="0" applyNumberFormat="1" applyFont="1" applyAlignment="1">
      <alignment vertical="center" shrinkToFit="1"/>
    </xf>
    <xf numFmtId="179" fontId="8" fillId="26" borderId="62" xfId="0" applyNumberFormat="1" applyFont="1" applyFill="1" applyBorder="1" applyAlignment="1">
      <alignment vertical="center" shrinkToFit="1"/>
    </xf>
    <xf numFmtId="179" fontId="8" fillId="26" borderId="42" xfId="0" applyNumberFormat="1" applyFont="1" applyFill="1" applyBorder="1" applyAlignment="1">
      <alignment vertical="center" shrinkToFit="1"/>
    </xf>
    <xf numFmtId="179" fontId="8" fillId="26" borderId="69" xfId="0" applyNumberFormat="1" applyFont="1" applyFill="1" applyBorder="1" applyAlignment="1">
      <alignment vertical="center" shrinkToFit="1"/>
    </xf>
    <xf numFmtId="179" fontId="8" fillId="26" borderId="0" xfId="0" applyNumberFormat="1" applyFont="1" applyFill="1" applyAlignment="1">
      <alignment vertical="center" shrinkToFit="1"/>
    </xf>
    <xf numFmtId="41" fontId="34" fillId="28" borderId="70" xfId="0" applyNumberFormat="1" applyFont="1" applyFill="1" applyBorder="1" applyAlignment="1">
      <alignment vertical="center" shrinkToFit="1"/>
    </xf>
    <xf numFmtId="182" fontId="34" fillId="17" borderId="67" xfId="0" applyNumberFormat="1" applyFont="1" applyFill="1" applyBorder="1" applyAlignment="1">
      <alignment vertical="center" shrinkToFit="1"/>
    </xf>
    <xf numFmtId="41" fontId="31" fillId="10" borderId="67" xfId="0" applyNumberFormat="1" applyFont="1" applyFill="1" applyBorder="1" applyAlignment="1">
      <alignment horizontal="center" vertical="center" shrinkToFit="1"/>
    </xf>
    <xf numFmtId="41" fontId="34" fillId="28" borderId="111" xfId="0" applyNumberFormat="1" applyFont="1" applyFill="1" applyBorder="1" applyAlignment="1">
      <alignment vertical="center" shrinkToFit="1"/>
    </xf>
    <xf numFmtId="0" fontId="45" fillId="17" borderId="108" xfId="0" applyFont="1" applyFill="1" applyBorder="1" applyAlignment="1">
      <alignment horizontal="center" vertical="center" shrinkToFit="1"/>
    </xf>
    <xf numFmtId="41" fontId="45" fillId="17" borderId="108" xfId="0" applyNumberFormat="1" applyFont="1" applyFill="1" applyBorder="1" applyAlignment="1">
      <alignment horizontal="center" vertical="center" shrinkToFit="1"/>
    </xf>
    <xf numFmtId="182" fontId="45" fillId="17" borderId="108" xfId="0" applyNumberFormat="1" applyFont="1" applyFill="1" applyBorder="1" applyAlignment="1">
      <alignment horizontal="right" vertical="center" shrinkToFit="1"/>
    </xf>
    <xf numFmtId="182" fontId="34" fillId="17" borderId="108" xfId="0" applyNumberFormat="1" applyFont="1" applyFill="1" applyBorder="1" applyAlignment="1">
      <alignment vertical="center" shrinkToFit="1"/>
    </xf>
    <xf numFmtId="41" fontId="30" fillId="10" borderId="200" xfId="0" applyNumberFormat="1" applyFont="1" applyFill="1" applyBorder="1" applyAlignment="1">
      <alignment horizontal="center" vertical="center" shrinkToFit="1"/>
    </xf>
    <xf numFmtId="41" fontId="51" fillId="10" borderId="169" xfId="0" applyNumberFormat="1" applyFont="1" applyFill="1" applyBorder="1" applyAlignment="1">
      <alignment horizontal="center" vertical="center" shrinkToFit="1"/>
    </xf>
    <xf numFmtId="41" fontId="45" fillId="10" borderId="169" xfId="0" applyNumberFormat="1" applyFont="1" applyFill="1" applyBorder="1" applyAlignment="1">
      <alignment horizontal="center" vertical="center" shrinkToFit="1"/>
    </xf>
    <xf numFmtId="41" fontId="45" fillId="10" borderId="169" xfId="0" applyNumberFormat="1" applyFont="1" applyFill="1" applyBorder="1" applyAlignment="1">
      <alignment horizontal="left" vertical="center" shrinkToFit="1"/>
    </xf>
    <xf numFmtId="41" fontId="34" fillId="10" borderId="169" xfId="0" applyNumberFormat="1" applyFont="1" applyFill="1" applyBorder="1" applyAlignment="1">
      <alignment horizontal="center" vertical="center" shrinkToFit="1"/>
    </xf>
    <xf numFmtId="14" fontId="34" fillId="10" borderId="169" xfId="0" applyNumberFormat="1" applyFont="1" applyFill="1" applyBorder="1" applyAlignment="1">
      <alignment horizontal="center" vertical="center" shrinkToFit="1"/>
    </xf>
    <xf numFmtId="41" fontId="33" fillId="10" borderId="169" xfId="0" applyNumberFormat="1" applyFont="1" applyFill="1" applyBorder="1" applyAlignment="1">
      <alignment horizontal="center" vertical="center" shrinkToFit="1"/>
    </xf>
    <xf numFmtId="41" fontId="33" fillId="10" borderId="171" xfId="0" applyNumberFormat="1" applyFont="1" applyFill="1" applyBorder="1" applyAlignment="1">
      <alignment horizontal="center" vertical="center" shrinkToFit="1"/>
    </xf>
    <xf numFmtId="41" fontId="33" fillId="26" borderId="201" xfId="0" applyNumberFormat="1" applyFont="1" applyFill="1" applyBorder="1" applyAlignment="1">
      <alignment horizontal="center" vertical="center" shrinkToFit="1"/>
    </xf>
    <xf numFmtId="41" fontId="33" fillId="26" borderId="108" xfId="0" applyNumberFormat="1" applyFont="1" applyFill="1" applyBorder="1" applyAlignment="1">
      <alignment horizontal="center" vertical="center" shrinkToFit="1"/>
    </xf>
    <xf numFmtId="41" fontId="33" fillId="0" borderId="108" xfId="0" applyNumberFormat="1" applyFont="1" applyBorder="1" applyAlignment="1">
      <alignment horizontal="center" vertical="center" shrinkToFit="1"/>
    </xf>
    <xf numFmtId="41" fontId="34" fillId="0" borderId="169" xfId="0" applyNumberFormat="1" applyFont="1" applyBorder="1" applyAlignment="1">
      <alignment vertical="center" shrinkToFit="1"/>
    </xf>
    <xf numFmtId="41" fontId="34" fillId="0" borderId="109" xfId="0" applyNumberFormat="1" applyFont="1" applyBorder="1" applyAlignment="1">
      <alignment vertical="center" shrinkToFit="1"/>
    </xf>
    <xf numFmtId="179" fontId="8" fillId="0" borderId="109" xfId="0" applyNumberFormat="1" applyFont="1" applyBorder="1" applyAlignment="1">
      <alignment vertical="center" shrinkToFit="1"/>
    </xf>
    <xf numFmtId="179" fontId="8" fillId="0" borderId="108" xfId="0" applyNumberFormat="1" applyFont="1" applyBorder="1" applyAlignment="1">
      <alignment vertical="center" shrinkToFit="1"/>
    </xf>
    <xf numFmtId="179" fontId="8" fillId="0" borderId="202" xfId="0" applyNumberFormat="1" applyFont="1" applyBorder="1" applyAlignment="1">
      <alignment vertical="center" shrinkToFit="1"/>
    </xf>
    <xf numFmtId="179" fontId="8" fillId="0" borderId="169" xfId="0" applyNumberFormat="1" applyFont="1" applyBorder="1" applyAlignment="1">
      <alignment vertical="center" shrinkToFit="1"/>
    </xf>
    <xf numFmtId="179" fontId="8" fillId="26" borderId="109" xfId="0" applyNumberFormat="1" applyFont="1" applyFill="1" applyBorder="1" applyAlignment="1">
      <alignment vertical="center" shrinkToFit="1"/>
    </xf>
    <xf numFmtId="179" fontId="8" fillId="26" borderId="108" xfId="0" applyNumberFormat="1" applyFont="1" applyFill="1" applyBorder="1" applyAlignment="1">
      <alignment vertical="center" shrinkToFit="1"/>
    </xf>
    <xf numFmtId="179" fontId="8" fillId="26" borderId="202" xfId="0" applyNumberFormat="1" applyFont="1" applyFill="1" applyBorder="1" applyAlignment="1">
      <alignment vertical="center" shrinkToFit="1"/>
    </xf>
    <xf numFmtId="179" fontId="8" fillId="26" borderId="169" xfId="0" applyNumberFormat="1" applyFont="1" applyFill="1" applyBorder="1" applyAlignment="1">
      <alignment vertical="center" shrinkToFit="1"/>
    </xf>
    <xf numFmtId="41" fontId="34" fillId="28" borderId="109" xfId="0" applyNumberFormat="1" applyFont="1" applyFill="1" applyBorder="1" applyAlignment="1">
      <alignment vertical="center" shrinkToFit="1"/>
    </xf>
    <xf numFmtId="41" fontId="34" fillId="28" borderId="203" xfId="0" applyNumberFormat="1" applyFont="1" applyFill="1" applyBorder="1" applyAlignment="1">
      <alignment vertical="center" shrinkToFit="1"/>
    </xf>
    <xf numFmtId="182" fontId="34" fillId="17" borderId="42" xfId="0" applyNumberFormat="1" applyFont="1" applyFill="1" applyBorder="1" applyAlignment="1">
      <alignment vertical="center" shrinkToFit="1"/>
    </xf>
    <xf numFmtId="41" fontId="51" fillId="0" borderId="0" xfId="0" applyNumberFormat="1" applyFont="1" applyAlignment="1">
      <alignment horizontal="center" vertical="center" shrinkToFit="1"/>
    </xf>
    <xf numFmtId="41" fontId="14" fillId="2" borderId="67" xfId="0" applyNumberFormat="1" applyFont="1" applyFill="1" applyBorder="1" applyAlignment="1">
      <alignment horizontal="center" vertical="center" shrinkToFit="1"/>
    </xf>
    <xf numFmtId="41" fontId="45" fillId="0" borderId="0" xfId="0" applyNumberFormat="1" applyFont="1" applyAlignment="1">
      <alignment horizontal="center" vertical="center" shrinkToFit="1"/>
    </xf>
    <xf numFmtId="41" fontId="45" fillId="0" borderId="0" xfId="0" applyNumberFormat="1" applyFont="1" applyAlignment="1">
      <alignment horizontal="left" vertical="center" shrinkToFit="1"/>
    </xf>
    <xf numFmtId="41" fontId="34" fillId="0" borderId="0" xfId="0" applyNumberFormat="1" applyFont="1" applyAlignment="1">
      <alignment horizontal="center" vertical="center" shrinkToFit="1"/>
    </xf>
    <xf numFmtId="14" fontId="34" fillId="0" borderId="0" xfId="0" applyNumberFormat="1" applyFont="1" applyAlignment="1">
      <alignment horizontal="center" vertical="center" shrinkToFit="1"/>
    </xf>
    <xf numFmtId="41" fontId="31" fillId="5" borderId="67" xfId="0" applyNumberFormat="1" applyFont="1" applyFill="1" applyBorder="1" applyAlignment="1">
      <alignment horizontal="center" vertical="center" shrinkToFit="1"/>
    </xf>
    <xf numFmtId="182" fontId="34" fillId="17" borderId="68" xfId="0" applyNumberFormat="1" applyFont="1" applyFill="1" applyBorder="1" applyAlignment="1">
      <alignment vertical="center" shrinkToFit="1"/>
    </xf>
    <xf numFmtId="41" fontId="8" fillId="0" borderId="111" xfId="0" applyNumberFormat="1" applyFont="1" applyBorder="1" applyAlignment="1">
      <alignment vertical="center" shrinkToFit="1"/>
    </xf>
    <xf numFmtId="0" fontId="31" fillId="0" borderId="39" xfId="6" applyFont="1" applyBorder="1" applyAlignment="1">
      <alignment horizontal="center" vertical="center" shrinkToFit="1"/>
    </xf>
    <xf numFmtId="0" fontId="45" fillId="10" borderId="39" xfId="1" applyNumberFormat="1" applyFont="1" applyFill="1" applyBorder="1" applyAlignment="1">
      <alignment horizontal="center" vertical="center" shrinkToFit="1"/>
    </xf>
    <xf numFmtId="0" fontId="45" fillId="0" borderId="39" xfId="1" applyNumberFormat="1" applyFont="1" applyFill="1" applyBorder="1" applyAlignment="1">
      <alignment vertical="center" shrinkToFit="1"/>
    </xf>
    <xf numFmtId="176" fontId="31" fillId="0" borderId="39" xfId="1" applyNumberFormat="1" applyFont="1" applyBorder="1" applyAlignment="1">
      <alignment horizontal="right" vertical="center" shrinkToFit="1"/>
    </xf>
    <xf numFmtId="176" fontId="31" fillId="0" borderId="39" xfId="6" applyNumberFormat="1" applyFont="1" applyBorder="1" applyAlignment="1">
      <alignment horizontal="right" vertical="center" shrinkToFit="1"/>
    </xf>
    <xf numFmtId="176" fontId="31" fillId="0" borderId="39" xfId="6" applyNumberFormat="1" applyFont="1" applyBorder="1" applyAlignment="1">
      <alignment horizontal="center" vertical="center" shrinkToFit="1"/>
    </xf>
    <xf numFmtId="0" fontId="45" fillId="0" borderId="39" xfId="1" applyNumberFormat="1" applyFont="1" applyFill="1" applyBorder="1" applyAlignment="1">
      <alignment horizontal="center" vertical="center" shrinkToFit="1"/>
    </xf>
    <xf numFmtId="0" fontId="45" fillId="17" borderId="39" xfId="0" applyFont="1" applyFill="1" applyBorder="1" applyAlignment="1">
      <alignment horizontal="center" vertical="center" shrinkToFit="1"/>
    </xf>
    <xf numFmtId="41" fontId="45" fillId="17" borderId="39" xfId="0" applyNumberFormat="1" applyFont="1" applyFill="1" applyBorder="1" applyAlignment="1">
      <alignment horizontal="center" vertical="center" shrinkToFit="1"/>
    </xf>
    <xf numFmtId="182" fontId="45" fillId="17" borderId="39" xfId="0" applyNumberFormat="1" applyFont="1" applyFill="1" applyBorder="1" applyAlignment="1">
      <alignment horizontal="right" vertical="center" shrinkToFit="1"/>
    </xf>
    <xf numFmtId="41" fontId="31" fillId="10" borderId="204" xfId="0" applyNumberFormat="1" applyFont="1" applyFill="1" applyBorder="1" applyAlignment="1">
      <alignment horizontal="center" vertical="center" shrinkToFit="1"/>
    </xf>
    <xf numFmtId="41" fontId="31" fillId="10" borderId="13" xfId="0" applyNumberFormat="1" applyFont="1" applyFill="1" applyBorder="1" applyAlignment="1">
      <alignment horizontal="center" vertical="center" shrinkToFit="1"/>
    </xf>
    <xf numFmtId="41" fontId="30" fillId="10" borderId="44" xfId="0" applyNumberFormat="1" applyFont="1" applyFill="1" applyBorder="1" applyAlignment="1">
      <alignment horizontal="center" vertical="center" shrinkToFit="1"/>
    </xf>
    <xf numFmtId="41" fontId="51" fillId="10" borderId="13" xfId="0" applyNumberFormat="1" applyFont="1" applyFill="1" applyBorder="1" applyAlignment="1">
      <alignment horizontal="center" vertical="center" shrinkToFit="1"/>
    </xf>
    <xf numFmtId="41" fontId="45" fillId="10" borderId="13" xfId="0" applyNumberFormat="1" applyFont="1" applyFill="1" applyBorder="1" applyAlignment="1">
      <alignment horizontal="center" vertical="center" shrinkToFit="1"/>
    </xf>
    <xf numFmtId="41" fontId="45" fillId="10" borderId="13" xfId="0" applyNumberFormat="1" applyFont="1" applyFill="1" applyBorder="1" applyAlignment="1">
      <alignment horizontal="left" vertical="center" shrinkToFit="1"/>
    </xf>
    <xf numFmtId="41" fontId="34" fillId="10" borderId="13" xfId="0" applyNumberFormat="1" applyFont="1" applyFill="1" applyBorder="1" applyAlignment="1">
      <alignment horizontal="center" vertical="center" shrinkToFit="1"/>
    </xf>
    <xf numFmtId="14" fontId="34" fillId="10" borderId="13" xfId="0" applyNumberFormat="1" applyFont="1" applyFill="1" applyBorder="1" applyAlignment="1">
      <alignment horizontal="center" vertical="center" shrinkToFit="1"/>
    </xf>
    <xf numFmtId="41" fontId="33" fillId="10" borderId="13" xfId="0" applyNumberFormat="1" applyFont="1" applyFill="1" applyBorder="1" applyAlignment="1">
      <alignment horizontal="center" vertical="center" shrinkToFit="1"/>
    </xf>
    <xf numFmtId="41" fontId="33" fillId="10" borderId="196" xfId="0" applyNumberFormat="1" applyFont="1" applyFill="1" applyBorder="1" applyAlignment="1">
      <alignment horizontal="center" vertical="center" shrinkToFit="1"/>
    </xf>
    <xf numFmtId="41" fontId="33" fillId="26" borderId="41" xfId="0" applyNumberFormat="1" applyFont="1" applyFill="1" applyBorder="1" applyAlignment="1">
      <alignment horizontal="center" vertical="center" shrinkToFit="1"/>
    </xf>
    <xf numFmtId="41" fontId="33" fillId="26" borderId="39" xfId="0" applyNumberFormat="1" applyFont="1" applyFill="1" applyBorder="1" applyAlignment="1">
      <alignment horizontal="center" vertical="center" shrinkToFit="1"/>
    </xf>
    <xf numFmtId="41" fontId="33" fillId="0" borderId="39" xfId="0" applyNumberFormat="1" applyFont="1" applyBorder="1" applyAlignment="1">
      <alignment horizontal="center" vertical="center" shrinkToFit="1"/>
    </xf>
    <xf numFmtId="41" fontId="34" fillId="0" borderId="13" xfId="0" applyNumberFormat="1" applyFont="1" applyBorder="1" applyAlignment="1">
      <alignment vertical="center" shrinkToFit="1"/>
    </xf>
    <xf numFmtId="41" fontId="34" fillId="0" borderId="43" xfId="0" applyNumberFormat="1" applyFont="1" applyBorder="1" applyAlignment="1">
      <alignment vertical="center" shrinkToFit="1"/>
    </xf>
    <xf numFmtId="179" fontId="8" fillId="0" borderId="43" xfId="0" applyNumberFormat="1" applyFont="1" applyBorder="1" applyAlignment="1">
      <alignment vertical="center" shrinkToFit="1"/>
    </xf>
    <xf numFmtId="179" fontId="8" fillId="26" borderId="43" xfId="0" applyNumberFormat="1" applyFont="1" applyFill="1" applyBorder="1" applyAlignment="1">
      <alignment vertical="center" shrinkToFit="1"/>
    </xf>
    <xf numFmtId="179" fontId="8" fillId="26" borderId="39" xfId="0" applyNumberFormat="1" applyFont="1" applyFill="1" applyBorder="1" applyAlignment="1">
      <alignment vertical="center" shrinkToFit="1"/>
    </xf>
    <xf numFmtId="179" fontId="8" fillId="26" borderId="205" xfId="0" applyNumberFormat="1" applyFont="1" applyFill="1" applyBorder="1" applyAlignment="1">
      <alignment vertical="center" shrinkToFit="1"/>
    </xf>
    <xf numFmtId="179" fontId="8" fillId="26" borderId="13" xfId="0" applyNumberFormat="1" applyFont="1" applyFill="1" applyBorder="1" applyAlignment="1">
      <alignment vertical="center" shrinkToFit="1"/>
    </xf>
    <xf numFmtId="41" fontId="34" fillId="28" borderId="43" xfId="0" applyNumberFormat="1" applyFont="1" applyFill="1" applyBorder="1" applyAlignment="1">
      <alignment vertical="center" shrinkToFit="1"/>
    </xf>
    <xf numFmtId="41" fontId="34" fillId="28" borderId="47" xfId="0" applyNumberFormat="1" applyFont="1" applyFill="1" applyBorder="1" applyAlignment="1">
      <alignment vertical="center" shrinkToFit="1"/>
    </xf>
    <xf numFmtId="0" fontId="31" fillId="0" borderId="206" xfId="6" applyFont="1" applyBorder="1" applyAlignment="1">
      <alignment horizontal="center" vertical="center" shrinkToFit="1"/>
    </xf>
    <xf numFmtId="0" fontId="31" fillId="0" borderId="97" xfId="6" applyFont="1" applyBorder="1" applyAlignment="1">
      <alignment horizontal="center" vertical="center" shrinkToFit="1"/>
    </xf>
    <xf numFmtId="0" fontId="31" fillId="0" borderId="207" xfId="6" applyFont="1" applyBorder="1" applyAlignment="1">
      <alignment horizontal="center" vertical="center" shrinkToFit="1"/>
    </xf>
    <xf numFmtId="0" fontId="45" fillId="10" borderId="207" xfId="1" applyNumberFormat="1" applyFont="1" applyFill="1" applyBorder="1" applyAlignment="1">
      <alignment horizontal="center" vertical="center" shrinkToFit="1"/>
    </xf>
    <xf numFmtId="0" fontId="45" fillId="27" borderId="207" xfId="3" applyNumberFormat="1" applyFont="1" applyFill="1" applyBorder="1" applyAlignment="1">
      <alignment vertical="center" shrinkToFit="1"/>
    </xf>
    <xf numFmtId="176" fontId="31" fillId="0" borderId="207" xfId="1" applyNumberFormat="1" applyFont="1" applyBorder="1" applyAlignment="1">
      <alignment horizontal="right" vertical="center" shrinkToFit="1"/>
    </xf>
    <xf numFmtId="38" fontId="31" fillId="0" borderId="207" xfId="1" applyFont="1" applyBorder="1" applyAlignment="1">
      <alignment horizontal="right" vertical="center" shrinkToFit="1"/>
    </xf>
    <xf numFmtId="176" fontId="31" fillId="0" borderId="207" xfId="6" applyNumberFormat="1" applyFont="1" applyBorder="1" applyAlignment="1">
      <alignment horizontal="right" vertical="center" shrinkToFit="1"/>
    </xf>
    <xf numFmtId="176" fontId="31" fillId="0" borderId="207" xfId="6" applyNumberFormat="1" applyFont="1" applyBorder="1" applyAlignment="1">
      <alignment horizontal="center" vertical="center" shrinkToFit="1"/>
    </xf>
    <xf numFmtId="0" fontId="45" fillId="0" borderId="207" xfId="1" applyNumberFormat="1" applyFont="1" applyFill="1" applyBorder="1" applyAlignment="1">
      <alignment horizontal="center" vertical="center" shrinkToFit="1"/>
    </xf>
    <xf numFmtId="0" fontId="2" fillId="0" borderId="207" xfId="3" applyBorder="1" applyAlignment="1">
      <alignment horizontal="center" vertical="center" shrinkToFit="1"/>
    </xf>
    <xf numFmtId="0" fontId="45" fillId="17" borderId="150" xfId="0" applyFont="1" applyFill="1" applyBorder="1" applyAlignment="1">
      <alignment horizontal="center" vertical="center" shrinkToFit="1"/>
    </xf>
    <xf numFmtId="41" fontId="45" fillId="17" borderId="150" xfId="0" applyNumberFormat="1" applyFont="1" applyFill="1" applyBorder="1" applyAlignment="1">
      <alignment horizontal="center" vertical="center" shrinkToFit="1"/>
    </xf>
    <xf numFmtId="182" fontId="45" fillId="17" borderId="150" xfId="0" applyNumberFormat="1" applyFont="1" applyFill="1" applyBorder="1" applyAlignment="1">
      <alignment horizontal="right" vertical="center" shrinkToFit="1"/>
    </xf>
    <xf numFmtId="182" fontId="34" fillId="17" borderId="208" xfId="0" applyNumberFormat="1" applyFont="1" applyFill="1" applyBorder="1" applyAlignment="1">
      <alignment vertical="center" shrinkToFit="1"/>
    </xf>
    <xf numFmtId="41" fontId="31" fillId="4" borderId="209" xfId="0" applyNumberFormat="1" applyFont="1" applyFill="1" applyBorder="1" applyAlignment="1">
      <alignment horizontal="center" vertical="center" shrinkToFit="1"/>
    </xf>
    <xf numFmtId="41" fontId="31" fillId="2" borderId="97" xfId="0" applyNumberFormat="1" applyFont="1" applyFill="1" applyBorder="1" applyAlignment="1">
      <alignment horizontal="center" vertical="center" shrinkToFit="1"/>
    </xf>
    <xf numFmtId="187" fontId="31" fillId="0" borderId="150" xfId="1" applyNumberFormat="1" applyFont="1" applyFill="1" applyBorder="1" applyAlignment="1">
      <alignment horizontal="right" vertical="center" shrinkToFit="1"/>
    </xf>
    <xf numFmtId="38" fontId="31" fillId="5" borderId="150" xfId="1" applyFont="1" applyFill="1" applyBorder="1" applyAlignment="1">
      <alignment horizontal="right" vertical="center" shrinkToFit="1"/>
    </xf>
    <xf numFmtId="38" fontId="31" fillId="0" borderId="210" xfId="1" applyFont="1" applyFill="1" applyBorder="1" applyAlignment="1">
      <alignment horizontal="right" vertical="center" shrinkToFit="1"/>
    </xf>
    <xf numFmtId="41" fontId="30" fillId="0" borderId="211" xfId="0" applyNumberFormat="1" applyFont="1" applyBorder="1" applyAlignment="1">
      <alignment horizontal="center" vertical="center" shrinkToFit="1"/>
    </xf>
    <xf numFmtId="41" fontId="31" fillId="0" borderId="210" xfId="0" applyNumberFormat="1" applyFont="1" applyBorder="1" applyAlignment="1">
      <alignment horizontal="center" vertical="center" shrinkToFit="1"/>
    </xf>
    <xf numFmtId="41" fontId="31" fillId="2" borderId="210" xfId="0" applyNumberFormat="1" applyFont="1" applyFill="1" applyBorder="1" applyAlignment="1">
      <alignment horizontal="center" vertical="center" shrinkToFit="1"/>
    </xf>
    <xf numFmtId="38" fontId="51" fillId="2" borderId="212" xfId="1" applyFont="1" applyFill="1" applyBorder="1" applyAlignment="1">
      <alignment horizontal="right" vertical="center" shrinkToFit="1"/>
    </xf>
    <xf numFmtId="38" fontId="51" fillId="0" borderId="212" xfId="1" applyFont="1" applyFill="1" applyBorder="1" applyAlignment="1">
      <alignment horizontal="right" vertical="center" shrinkToFit="1"/>
    </xf>
    <xf numFmtId="38" fontId="31" fillId="2" borderId="212" xfId="1" applyFont="1" applyFill="1" applyBorder="1" applyAlignment="1">
      <alignment horizontal="right" vertical="center" shrinkToFit="1"/>
    </xf>
    <xf numFmtId="38" fontId="31" fillId="2" borderId="213" xfId="1" applyFont="1" applyFill="1" applyBorder="1" applyAlignment="1">
      <alignment horizontal="left" vertical="center" shrinkToFit="1"/>
    </xf>
    <xf numFmtId="38" fontId="34" fillId="2" borderId="213" xfId="1" applyFont="1" applyFill="1" applyBorder="1" applyAlignment="1">
      <alignment horizontal="center" vertical="center" shrinkToFit="1"/>
    </xf>
    <xf numFmtId="14" fontId="30" fillId="2" borderId="212" xfId="1" applyNumberFormat="1" applyFont="1" applyFill="1" applyBorder="1" applyAlignment="1">
      <alignment horizontal="center" vertical="center" shrinkToFit="1"/>
    </xf>
    <xf numFmtId="14" fontId="52" fillId="0" borderId="31" xfId="0" applyNumberFormat="1" applyFont="1" applyBorder="1" applyAlignment="1">
      <alignment horizontal="center" vertical="center" shrinkToFit="1"/>
    </xf>
    <xf numFmtId="14" fontId="52" fillId="0" borderId="207" xfId="0" applyNumberFormat="1" applyFont="1" applyBorder="1" applyAlignment="1">
      <alignment horizontal="center" vertical="center" shrinkToFit="1"/>
    </xf>
    <xf numFmtId="41" fontId="33" fillId="0" borderId="214" xfId="0" applyNumberFormat="1" applyFont="1" applyBorder="1" applyAlignment="1">
      <alignment horizontal="center" vertical="center" shrinkToFit="1"/>
    </xf>
    <xf numFmtId="41" fontId="33" fillId="0" borderId="206" xfId="0" applyNumberFormat="1" applyFont="1" applyBorder="1" applyAlignment="1">
      <alignment horizontal="center" vertical="center" shrinkToFit="1"/>
    </xf>
    <xf numFmtId="41" fontId="33" fillId="0" borderId="207" xfId="0" applyNumberFormat="1" applyFont="1" applyBorder="1" applyAlignment="1">
      <alignment horizontal="center" vertical="center" shrinkToFit="1"/>
    </xf>
    <xf numFmtId="41" fontId="34" fillId="0" borderId="210" xfId="0" applyNumberFormat="1" applyFont="1" applyBorder="1" applyAlignment="1">
      <alignment vertical="center" shrinkToFit="1"/>
    </xf>
    <xf numFmtId="41" fontId="34" fillId="0" borderId="215" xfId="0" applyNumberFormat="1" applyFont="1" applyBorder="1" applyAlignment="1">
      <alignment vertical="center" shrinkToFit="1"/>
    </xf>
    <xf numFmtId="183" fontId="34" fillId="23" borderId="150" xfId="0" applyNumberFormat="1" applyFont="1" applyFill="1" applyBorder="1" applyAlignment="1">
      <alignment vertical="center" shrinkToFit="1"/>
    </xf>
    <xf numFmtId="41" fontId="34" fillId="0" borderId="216" xfId="0" applyNumberFormat="1" applyFont="1" applyBorder="1" applyAlignment="1">
      <alignment vertical="center" shrinkToFit="1"/>
    </xf>
    <xf numFmtId="186" fontId="34" fillId="23" borderId="150" xfId="0" applyNumberFormat="1" applyFont="1" applyFill="1" applyBorder="1" applyAlignment="1">
      <alignment vertical="center" shrinkToFit="1"/>
    </xf>
    <xf numFmtId="41" fontId="34" fillId="0" borderId="217" xfId="0" applyNumberFormat="1" applyFont="1" applyBorder="1" applyAlignment="1">
      <alignment vertical="center" shrinkToFit="1"/>
    </xf>
    <xf numFmtId="38" fontId="31" fillId="2" borderId="207" xfId="1" applyFont="1" applyFill="1" applyBorder="1" applyAlignment="1">
      <alignment horizontal="right" vertical="center" shrinkToFit="1"/>
    </xf>
    <xf numFmtId="176" fontId="49" fillId="0" borderId="42" xfId="1" applyNumberFormat="1" applyFont="1" applyBorder="1" applyAlignment="1">
      <alignment horizontal="right" vertical="center" shrinkToFit="1"/>
    </xf>
    <xf numFmtId="41" fontId="34" fillId="0" borderId="218" xfId="0" applyNumberFormat="1" applyFont="1" applyBorder="1" applyAlignment="1">
      <alignment vertical="center" shrinkToFit="1"/>
    </xf>
    <xf numFmtId="41" fontId="34" fillId="0" borderId="108" xfId="0" applyNumberFormat="1" applyFont="1" applyBorder="1" applyAlignment="1">
      <alignment vertical="center" shrinkToFit="1"/>
    </xf>
    <xf numFmtId="41" fontId="34" fillId="28" borderId="108" xfId="0" applyNumberFormat="1" applyFont="1" applyFill="1" applyBorder="1" applyAlignment="1">
      <alignment vertical="center" shrinkToFit="1"/>
    </xf>
    <xf numFmtId="41" fontId="34" fillId="28" borderId="202" xfId="0" applyNumberFormat="1" applyFont="1" applyFill="1" applyBorder="1" applyAlignment="1">
      <alignment vertical="center" shrinkToFit="1"/>
    </xf>
    <xf numFmtId="182" fontId="31" fillId="17" borderId="42" xfId="0" applyNumberFormat="1" applyFont="1" applyFill="1" applyBorder="1" applyAlignment="1">
      <alignment horizontal="right" vertical="center" shrinkToFit="1"/>
    </xf>
    <xf numFmtId="0" fontId="45" fillId="2" borderId="108" xfId="0" applyFont="1" applyFill="1" applyBorder="1" applyAlignment="1">
      <alignment horizontal="center" vertical="center" shrinkToFit="1"/>
    </xf>
    <xf numFmtId="184" fontId="45" fillId="2" borderId="219" xfId="0" applyNumberFormat="1" applyFont="1" applyFill="1" applyBorder="1" applyAlignment="1">
      <alignment horizontal="right" vertical="center" shrinkToFit="1"/>
    </xf>
    <xf numFmtId="185" fontId="45" fillId="2" borderId="220" xfId="0" applyNumberFormat="1" applyFont="1" applyFill="1" applyBorder="1" applyAlignment="1">
      <alignment horizontal="right" vertical="center" shrinkToFit="1"/>
    </xf>
    <xf numFmtId="0" fontId="45" fillId="2" borderId="218" xfId="0" applyFont="1" applyFill="1" applyBorder="1" applyAlignment="1">
      <alignment horizontal="center" vertical="center" shrinkToFit="1"/>
    </xf>
    <xf numFmtId="185" fontId="45" fillId="2" borderId="221" xfId="0" applyNumberFormat="1" applyFont="1" applyFill="1" applyBorder="1" applyAlignment="1">
      <alignment horizontal="right" vertical="center" shrinkToFit="1"/>
    </xf>
    <xf numFmtId="41" fontId="34" fillId="0" borderId="202" xfId="0" applyNumberFormat="1" applyFont="1" applyBorder="1" applyAlignment="1">
      <alignment vertical="center" shrinkToFit="1"/>
    </xf>
    <xf numFmtId="41" fontId="34" fillId="0" borderId="104" xfId="0" applyNumberFormat="1" applyFont="1" applyBorder="1" applyAlignment="1">
      <alignment vertical="center" shrinkToFit="1"/>
    </xf>
    <xf numFmtId="41" fontId="34" fillId="0" borderId="203" xfId="0" applyNumberFormat="1" applyFont="1" applyBorder="1" applyAlignment="1">
      <alignment vertical="center" shrinkToFit="1"/>
    </xf>
    <xf numFmtId="0" fontId="14" fillId="17" borderId="110" xfId="0" applyFont="1" applyFill="1" applyBorder="1" applyAlignment="1">
      <alignment horizontal="center" vertical="center" shrinkToFit="1"/>
    </xf>
    <xf numFmtId="38" fontId="31" fillId="10" borderId="117" xfId="1" applyFont="1" applyFill="1" applyBorder="1" applyAlignment="1">
      <alignment horizontal="right" vertical="center" shrinkToFit="1"/>
    </xf>
    <xf numFmtId="38" fontId="31" fillId="10" borderId="119" xfId="1" applyFont="1" applyFill="1" applyBorder="1" applyAlignment="1">
      <alignment horizontal="right" vertical="center" shrinkToFit="1"/>
    </xf>
    <xf numFmtId="38" fontId="31" fillId="10" borderId="222" xfId="1" applyFont="1" applyFill="1" applyBorder="1" applyAlignment="1">
      <alignment horizontal="right" vertical="center" shrinkToFit="1"/>
    </xf>
    <xf numFmtId="41" fontId="30" fillId="10" borderId="151" xfId="0" applyNumberFormat="1" applyFont="1" applyFill="1" applyBorder="1" applyAlignment="1">
      <alignment horizontal="center" vertical="center" shrinkToFit="1"/>
    </xf>
    <xf numFmtId="41" fontId="31" fillId="10" borderId="119" xfId="0" applyNumberFormat="1" applyFont="1" applyFill="1" applyBorder="1" applyAlignment="1">
      <alignment horizontal="center" vertical="center" shrinkToFit="1"/>
    </xf>
    <xf numFmtId="38" fontId="51" fillId="10" borderId="119" xfId="1" applyFont="1" applyFill="1" applyBorder="1" applyAlignment="1">
      <alignment horizontal="right" vertical="center" shrinkToFit="1"/>
    </xf>
    <xf numFmtId="38" fontId="51" fillId="10" borderId="116" xfId="1" applyFont="1" applyFill="1" applyBorder="1" applyAlignment="1">
      <alignment horizontal="right" vertical="center" shrinkToFit="1"/>
    </xf>
    <xf numFmtId="41" fontId="34" fillId="0" borderId="73" xfId="0" applyNumberFormat="1" applyFont="1" applyBorder="1" applyAlignment="1">
      <alignment vertical="center" shrinkToFit="1"/>
    </xf>
    <xf numFmtId="38" fontId="31" fillId="2" borderId="61" xfId="1" applyFont="1" applyFill="1" applyBorder="1" applyAlignment="1">
      <alignment horizontal="right" vertical="center" shrinkToFit="1"/>
    </xf>
    <xf numFmtId="183" fontId="34" fillId="23" borderId="118" xfId="0" applyNumberFormat="1" applyFont="1" applyFill="1" applyBorder="1" applyAlignment="1">
      <alignment vertical="center" shrinkToFit="1"/>
    </xf>
    <xf numFmtId="183" fontId="34" fillId="23" borderId="116" xfId="0" applyNumberFormat="1" applyFont="1" applyFill="1" applyBorder="1" applyAlignment="1">
      <alignment vertical="center" shrinkToFit="1"/>
    </xf>
    <xf numFmtId="0" fontId="31" fillId="0" borderId="41" xfId="6" applyFont="1" applyBorder="1" applyAlignment="1">
      <alignment horizontal="center" vertical="center" shrinkToFit="1"/>
    </xf>
    <xf numFmtId="0" fontId="31" fillId="0" borderId="45" xfId="6" applyFont="1" applyBorder="1" applyAlignment="1">
      <alignment horizontal="center" vertical="center" shrinkToFit="1"/>
    </xf>
    <xf numFmtId="41" fontId="45" fillId="10" borderId="182" xfId="0" applyNumberFormat="1" applyFont="1" applyFill="1" applyBorder="1" applyAlignment="1">
      <alignment horizontal="left" vertical="center" shrinkToFit="1"/>
    </xf>
    <xf numFmtId="179" fontId="8" fillId="26" borderId="192" xfId="0" applyNumberFormat="1" applyFont="1" applyFill="1" applyBorder="1" applyAlignment="1">
      <alignment vertical="center" shrinkToFit="1"/>
    </xf>
    <xf numFmtId="179" fontId="8" fillId="26" borderId="186" xfId="0" applyNumberFormat="1" applyFont="1" applyFill="1" applyBorder="1" applyAlignment="1">
      <alignment vertical="center" shrinkToFit="1"/>
    </xf>
    <xf numFmtId="179" fontId="8" fillId="26" borderId="181" xfId="0" applyNumberFormat="1" applyFont="1" applyFill="1" applyBorder="1" applyAlignment="1">
      <alignment vertical="center" shrinkToFit="1"/>
    </xf>
    <xf numFmtId="41" fontId="34" fillId="28" borderId="181" xfId="0" applyNumberFormat="1" applyFont="1" applyFill="1" applyBorder="1" applyAlignment="1">
      <alignment vertical="center" shrinkToFit="1"/>
    </xf>
    <xf numFmtId="41" fontId="34" fillId="28" borderId="188" xfId="0" applyNumberFormat="1" applyFont="1" applyFill="1" applyBorder="1" applyAlignment="1">
      <alignment vertical="center" shrinkToFit="1"/>
    </xf>
    <xf numFmtId="41" fontId="34" fillId="28" borderId="192" xfId="0" applyNumberFormat="1" applyFont="1" applyFill="1" applyBorder="1" applyAlignment="1">
      <alignment vertical="center" shrinkToFit="1"/>
    </xf>
    <xf numFmtId="41" fontId="34" fillId="28" borderId="186" xfId="0" applyNumberFormat="1" applyFont="1" applyFill="1" applyBorder="1" applyAlignment="1">
      <alignment vertical="center" shrinkToFit="1"/>
    </xf>
    <xf numFmtId="41" fontId="34" fillId="28" borderId="193" xfId="0" applyNumberFormat="1" applyFont="1" applyFill="1" applyBorder="1" applyAlignment="1">
      <alignment vertical="center" shrinkToFit="1"/>
    </xf>
    <xf numFmtId="182" fontId="31" fillId="17" borderId="181" xfId="0" applyNumberFormat="1" applyFont="1" applyFill="1" applyBorder="1" applyAlignment="1">
      <alignment horizontal="right" vertical="center" shrinkToFit="1"/>
    </xf>
    <xf numFmtId="41" fontId="34" fillId="0" borderId="212" xfId="0" applyNumberFormat="1" applyFont="1" applyBorder="1" applyAlignment="1">
      <alignment vertical="center" shrinkToFit="1"/>
    </xf>
    <xf numFmtId="41" fontId="34" fillId="0" borderId="150" xfId="0" applyNumberFormat="1" applyFont="1" applyBorder="1" applyAlignment="1">
      <alignment vertical="center" shrinkToFit="1"/>
    </xf>
    <xf numFmtId="41" fontId="34" fillId="0" borderId="61" xfId="0" applyNumberFormat="1" applyFont="1" applyBorder="1" applyAlignment="1">
      <alignment vertical="center" shrinkToFit="1"/>
    </xf>
    <xf numFmtId="183" fontId="34" fillId="23" borderId="76" xfId="0" applyNumberFormat="1" applyFont="1" applyFill="1" applyBorder="1" applyAlignment="1">
      <alignment vertical="center" shrinkToFit="1"/>
    </xf>
    <xf numFmtId="183" fontId="34" fillId="23" borderId="223" xfId="0" applyNumberFormat="1" applyFont="1" applyFill="1" applyBorder="1" applyAlignment="1">
      <alignment vertical="center" shrinkToFit="1"/>
    </xf>
    <xf numFmtId="41" fontId="31" fillId="17" borderId="150" xfId="0" applyNumberFormat="1" applyFont="1" applyFill="1" applyBorder="1" applyAlignment="1">
      <alignment horizontal="center" vertical="center" shrinkToFit="1"/>
    </xf>
    <xf numFmtId="182" fontId="31" fillId="17" borderId="150" xfId="0" applyNumberFormat="1" applyFont="1" applyFill="1" applyBorder="1" applyAlignment="1">
      <alignment horizontal="right" vertical="center" shrinkToFit="1"/>
    </xf>
    <xf numFmtId="182" fontId="46" fillId="17" borderId="208" xfId="0" applyNumberFormat="1" applyFont="1" applyFill="1" applyBorder="1" applyAlignment="1">
      <alignment vertical="center" shrinkToFit="1"/>
    </xf>
    <xf numFmtId="0" fontId="45" fillId="24" borderId="150" xfId="0" applyFont="1" applyFill="1" applyBorder="1" applyAlignment="1">
      <alignment horizontal="center" vertical="center" shrinkToFit="1"/>
    </xf>
    <xf numFmtId="184" fontId="45" fillId="25" borderId="224" xfId="0" applyNumberFormat="1" applyFont="1" applyFill="1" applyBorder="1" applyAlignment="1">
      <alignment horizontal="right" vertical="center" shrinkToFit="1"/>
    </xf>
    <xf numFmtId="185" fontId="45" fillId="25" borderId="225" xfId="0" applyNumberFormat="1" applyFont="1" applyFill="1" applyBorder="1" applyAlignment="1">
      <alignment horizontal="right" vertical="center" shrinkToFit="1"/>
    </xf>
    <xf numFmtId="0" fontId="45" fillId="2" borderId="150" xfId="0" applyFont="1" applyFill="1" applyBorder="1" applyAlignment="1">
      <alignment horizontal="center" vertical="center" shrinkToFit="1"/>
    </xf>
    <xf numFmtId="184" fontId="45" fillId="2" borderId="224" xfId="0" applyNumberFormat="1" applyFont="1" applyFill="1" applyBorder="1" applyAlignment="1">
      <alignment horizontal="right" vertical="center" shrinkToFit="1"/>
    </xf>
    <xf numFmtId="185" fontId="45" fillId="2" borderId="225" xfId="0" applyNumberFormat="1" applyFont="1" applyFill="1" applyBorder="1" applyAlignment="1">
      <alignment horizontal="right" vertical="center" shrinkToFit="1"/>
    </xf>
    <xf numFmtId="0" fontId="45" fillId="2" borderId="212" xfId="0" applyFont="1" applyFill="1" applyBorder="1" applyAlignment="1">
      <alignment horizontal="center" vertical="center" shrinkToFit="1"/>
    </xf>
    <xf numFmtId="185" fontId="45" fillId="2" borderId="226" xfId="0" applyNumberFormat="1" applyFont="1" applyFill="1" applyBorder="1" applyAlignment="1">
      <alignment horizontal="right" vertical="center" shrinkToFit="1"/>
    </xf>
    <xf numFmtId="9" fontId="30" fillId="24" borderId="207" xfId="2" applyFont="1" applyFill="1" applyBorder="1" applyAlignment="1">
      <alignment vertical="center" shrinkToFit="1"/>
    </xf>
    <xf numFmtId="41" fontId="31" fillId="10" borderId="215" xfId="0" applyNumberFormat="1" applyFont="1" applyFill="1" applyBorder="1" applyAlignment="1">
      <alignment horizontal="center" vertical="center" shrinkToFit="1"/>
    </xf>
    <xf numFmtId="183" fontId="34" fillId="23" borderId="117" xfId="0" applyNumberFormat="1" applyFont="1" applyFill="1" applyBorder="1" applyAlignment="1">
      <alignment vertical="center" shrinkToFit="1"/>
    </xf>
    <xf numFmtId="178" fontId="30" fillId="0" borderId="227" xfId="0" applyNumberFormat="1" applyFont="1" applyBorder="1" applyAlignment="1">
      <alignment vertical="center" shrinkToFit="1"/>
    </xf>
    <xf numFmtId="178" fontId="30" fillId="0" borderId="97" xfId="0" applyNumberFormat="1" applyFont="1" applyBorder="1" applyAlignment="1">
      <alignment vertical="center" shrinkToFit="1"/>
    </xf>
    <xf numFmtId="178" fontId="30" fillId="0" borderId="228" xfId="0" applyNumberFormat="1" applyFont="1" applyBorder="1" applyAlignment="1">
      <alignment vertical="center" shrinkToFit="1"/>
    </xf>
    <xf numFmtId="14" fontId="30" fillId="0" borderId="97" xfId="0" applyNumberFormat="1" applyFont="1" applyBorder="1" applyAlignment="1">
      <alignment vertical="center" shrinkToFit="1"/>
    </xf>
    <xf numFmtId="178" fontId="30" fillId="0" borderId="98" xfId="0" applyNumberFormat="1" applyFont="1" applyBorder="1" applyAlignment="1">
      <alignment vertical="center" shrinkToFit="1"/>
    </xf>
    <xf numFmtId="178" fontId="30" fillId="0" borderId="229" xfId="0" applyNumberFormat="1" applyFont="1" applyBorder="1" applyAlignment="1">
      <alignment vertical="center" shrinkToFit="1"/>
    </xf>
    <xf numFmtId="178" fontId="30" fillId="0" borderId="230" xfId="0" applyNumberFormat="1" applyFont="1" applyBorder="1" applyAlignment="1">
      <alignment vertical="center" shrinkToFit="1"/>
    </xf>
    <xf numFmtId="41" fontId="33" fillId="0" borderId="85" xfId="0" applyNumberFormat="1" applyFont="1" applyBorder="1" applyAlignment="1">
      <alignment horizontal="center" vertical="center" shrinkToFit="1"/>
    </xf>
    <xf numFmtId="14" fontId="30" fillId="10" borderId="0" xfId="0" applyNumberFormat="1" applyFont="1" applyFill="1" applyAlignment="1">
      <alignment horizontal="center" vertical="center" shrinkToFit="1"/>
    </xf>
    <xf numFmtId="182" fontId="30" fillId="17" borderId="42" xfId="0" applyNumberFormat="1" applyFont="1" applyFill="1" applyBorder="1" applyAlignment="1">
      <alignment vertical="center" shrinkToFit="1"/>
    </xf>
    <xf numFmtId="41" fontId="31" fillId="10" borderId="169" xfId="0" applyNumberFormat="1" applyFont="1" applyFill="1" applyBorder="1" applyAlignment="1">
      <alignment horizontal="left" vertical="center" shrinkToFit="1"/>
    </xf>
    <xf numFmtId="41" fontId="30" fillId="10" borderId="169" xfId="0" applyNumberFormat="1" applyFont="1" applyFill="1" applyBorder="1" applyAlignment="1">
      <alignment horizontal="center" vertical="center" shrinkToFit="1"/>
    </xf>
    <xf numFmtId="14" fontId="30" fillId="10" borderId="169" xfId="0" applyNumberFormat="1" applyFont="1" applyFill="1" applyBorder="1" applyAlignment="1">
      <alignment horizontal="center" vertical="center" shrinkToFit="1"/>
    </xf>
    <xf numFmtId="41" fontId="33" fillId="0" borderId="201" xfId="0" applyNumberFormat="1" applyFont="1" applyBorder="1" applyAlignment="1">
      <alignment horizontal="center" vertical="center" shrinkToFit="1"/>
    </xf>
    <xf numFmtId="0" fontId="45" fillId="0" borderId="107" xfId="1" applyNumberFormat="1" applyFont="1" applyFill="1" applyBorder="1" applyAlignment="1">
      <alignment vertical="center" shrinkToFit="1"/>
    </xf>
    <xf numFmtId="0" fontId="45" fillId="0" borderId="231" xfId="1" applyNumberFormat="1" applyFont="1" applyFill="1" applyBorder="1" applyAlignment="1">
      <alignment vertical="center" shrinkToFit="1"/>
    </xf>
    <xf numFmtId="0" fontId="45" fillId="27" borderId="42" xfId="3" applyNumberFormat="1" applyFont="1" applyFill="1" applyBorder="1" applyAlignment="1">
      <alignment vertical="center" shrinkToFit="1"/>
    </xf>
    <xf numFmtId="182" fontId="34" fillId="17" borderId="62" xfId="0" applyNumberFormat="1" applyFont="1" applyFill="1" applyBorder="1" applyAlignment="1">
      <alignment horizontal="right" vertical="center" shrinkToFit="1"/>
    </xf>
    <xf numFmtId="14" fontId="33" fillId="0" borderId="232" xfId="0" applyNumberFormat="1" applyFont="1" applyBorder="1" applyAlignment="1">
      <alignment horizontal="center" vertical="center" shrinkToFit="1"/>
    </xf>
    <xf numFmtId="14" fontId="33" fillId="0" borderId="110" xfId="0" applyNumberFormat="1" applyFont="1" applyBorder="1" applyAlignment="1">
      <alignment horizontal="center" vertical="center" shrinkToFit="1"/>
    </xf>
    <xf numFmtId="41" fontId="33" fillId="0" borderId="120" xfId="0" applyNumberFormat="1" applyFont="1" applyBorder="1" applyAlignment="1">
      <alignment horizontal="center" vertical="center" shrinkToFit="1"/>
    </xf>
    <xf numFmtId="186" fontId="34" fillId="23" borderId="118" xfId="0" applyNumberFormat="1" applyFont="1" applyFill="1" applyBorder="1" applyAlignment="1">
      <alignment vertical="center" shrinkToFit="1"/>
    </xf>
    <xf numFmtId="182" fontId="30" fillId="17" borderId="62" xfId="0" applyNumberFormat="1" applyFont="1" applyFill="1" applyBorder="1" applyAlignment="1">
      <alignment horizontal="right" vertical="center" shrinkToFit="1"/>
    </xf>
    <xf numFmtId="38" fontId="49" fillId="0" borderId="42" xfId="1" applyFont="1" applyBorder="1" applyAlignment="1">
      <alignment horizontal="right" vertical="center" shrinkToFit="1"/>
    </xf>
    <xf numFmtId="0" fontId="45" fillId="2" borderId="62" xfId="0" applyFont="1" applyFill="1" applyBorder="1" applyAlignment="1">
      <alignment horizontal="center" vertical="center" shrinkToFit="1"/>
    </xf>
    <xf numFmtId="182" fontId="34" fillId="17" borderId="111" xfId="0" applyNumberFormat="1" applyFont="1" applyFill="1" applyBorder="1" applyAlignment="1">
      <alignment horizontal="right" vertical="center" shrinkToFit="1"/>
    </xf>
    <xf numFmtId="41" fontId="33" fillId="4" borderId="120" xfId="0" applyNumberFormat="1" applyFont="1" applyFill="1" applyBorder="1" applyAlignment="1">
      <alignment horizontal="center" vertical="center" shrinkToFit="1"/>
    </xf>
    <xf numFmtId="182" fontId="50" fillId="17" borderId="111" xfId="0" applyNumberFormat="1" applyFont="1" applyFill="1" applyBorder="1" applyAlignment="1">
      <alignment horizontal="right" vertical="center" shrinkToFit="1"/>
    </xf>
    <xf numFmtId="182" fontId="30" fillId="17" borderId="111" xfId="0" applyNumberFormat="1" applyFont="1" applyFill="1" applyBorder="1" applyAlignment="1">
      <alignment horizontal="right" vertical="center" shrinkToFit="1"/>
    </xf>
    <xf numFmtId="0" fontId="45" fillId="2" borderId="111" xfId="0" applyFont="1" applyFill="1" applyBorder="1" applyAlignment="1">
      <alignment horizontal="center" vertical="center" shrinkToFit="1"/>
    </xf>
    <xf numFmtId="41" fontId="31" fillId="2" borderId="67" xfId="0" applyNumberFormat="1" applyFont="1" applyFill="1" applyBorder="1" applyAlignment="1">
      <alignment horizontal="center" vertical="center" shrinkToFit="1"/>
    </xf>
    <xf numFmtId="41" fontId="31" fillId="5" borderId="112" xfId="0" applyNumberFormat="1" applyFont="1" applyFill="1" applyBorder="1" applyAlignment="1">
      <alignment horizontal="center" vertical="center" shrinkToFit="1"/>
    </xf>
    <xf numFmtId="41" fontId="51" fillId="2" borderId="67" xfId="0" applyNumberFormat="1" applyFont="1" applyFill="1" applyBorder="1" applyAlignment="1">
      <alignment horizontal="center" vertical="center" shrinkToFit="1"/>
    </xf>
    <xf numFmtId="41" fontId="51" fillId="0" borderId="67" xfId="0" applyNumberFormat="1" applyFont="1" applyBorder="1" applyAlignment="1">
      <alignment horizontal="center" vertical="center" shrinkToFit="1"/>
    </xf>
    <xf numFmtId="41" fontId="51" fillId="0" borderId="114" xfId="0" applyNumberFormat="1" applyFont="1" applyBorder="1" applyAlignment="1">
      <alignment horizontal="center" vertical="center" shrinkToFit="1"/>
    </xf>
    <xf numFmtId="38" fontId="31" fillId="2" borderId="67" xfId="1" applyFont="1" applyFill="1" applyBorder="1" applyAlignment="1">
      <alignment horizontal="right" vertical="center" shrinkToFit="1"/>
    </xf>
    <xf numFmtId="38" fontId="31" fillId="2" borderId="114" xfId="1" applyFont="1" applyFill="1" applyBorder="1" applyAlignment="1">
      <alignment horizontal="right" vertical="center" shrinkToFit="1"/>
    </xf>
    <xf numFmtId="41" fontId="30" fillId="5" borderId="112" xfId="0" applyNumberFormat="1" applyFont="1" applyFill="1" applyBorder="1" applyAlignment="1">
      <alignment horizontal="center" vertical="center" shrinkToFit="1"/>
    </xf>
    <xf numFmtId="14" fontId="30" fillId="2" borderId="114" xfId="1" applyNumberFormat="1" applyFont="1" applyFill="1" applyBorder="1" applyAlignment="1">
      <alignment horizontal="center" vertical="center" shrinkToFit="1"/>
    </xf>
    <xf numFmtId="182" fontId="34" fillId="17" borderId="109" xfId="0" applyNumberFormat="1" applyFont="1" applyFill="1" applyBorder="1" applyAlignment="1">
      <alignment horizontal="right" vertical="center" shrinkToFit="1"/>
    </xf>
    <xf numFmtId="38" fontId="31" fillId="10" borderId="0" xfId="1" applyFont="1" applyFill="1" applyBorder="1" applyAlignment="1">
      <alignment horizontal="right" vertical="center" shrinkToFit="1"/>
    </xf>
    <xf numFmtId="38" fontId="51" fillId="10" borderId="0" xfId="1" applyFont="1" applyFill="1" applyBorder="1" applyAlignment="1">
      <alignment horizontal="right" vertical="center" shrinkToFit="1"/>
    </xf>
    <xf numFmtId="38" fontId="31" fillId="10" borderId="0" xfId="1" applyFont="1" applyFill="1" applyBorder="1" applyAlignment="1">
      <alignment horizontal="left" vertical="center" shrinkToFit="1"/>
    </xf>
    <xf numFmtId="14" fontId="30" fillId="10" borderId="0" xfId="1" applyNumberFormat="1" applyFont="1" applyFill="1" applyBorder="1" applyAlignment="1">
      <alignment horizontal="center" vertical="center" shrinkToFit="1"/>
    </xf>
    <xf numFmtId="14" fontId="33" fillId="10" borderId="0" xfId="0" applyNumberFormat="1" applyFont="1" applyFill="1" applyAlignment="1">
      <alignment horizontal="center" vertical="center" shrinkToFit="1"/>
    </xf>
    <xf numFmtId="41" fontId="34" fillId="0" borderId="233" xfId="0" applyNumberFormat="1" applyFont="1" applyBorder="1" applyAlignment="1">
      <alignment vertical="center" shrinkToFit="1"/>
    </xf>
    <xf numFmtId="41" fontId="34" fillId="0" borderId="76" xfId="0" applyNumberFormat="1" applyFont="1" applyBorder="1" applyAlignment="1">
      <alignment vertical="center" shrinkToFit="1"/>
    </xf>
    <xf numFmtId="179" fontId="8" fillId="26" borderId="61" xfId="0" applyNumberFormat="1" applyFont="1" applyFill="1" applyBorder="1" applyAlignment="1">
      <alignment vertical="center" shrinkToFit="1"/>
    </xf>
    <xf numFmtId="179" fontId="8" fillId="26" borderId="76" xfId="0" applyNumberFormat="1" applyFont="1" applyFill="1" applyBorder="1" applyAlignment="1">
      <alignment vertical="center" shrinkToFit="1"/>
    </xf>
    <xf numFmtId="179" fontId="8" fillId="26" borderId="223" xfId="0" applyNumberFormat="1" applyFont="1" applyFill="1" applyBorder="1" applyAlignment="1">
      <alignment vertical="center" shrinkToFit="1"/>
    </xf>
    <xf numFmtId="179" fontId="8" fillId="26" borderId="73" xfId="0" applyNumberFormat="1" applyFont="1" applyFill="1" applyBorder="1" applyAlignment="1">
      <alignment vertical="center" shrinkToFit="1"/>
    </xf>
    <xf numFmtId="41" fontId="34" fillId="0" borderId="234" xfId="0" applyNumberFormat="1" applyFont="1" applyBorder="1" applyAlignment="1">
      <alignment vertical="center" shrinkToFit="1"/>
    </xf>
    <xf numFmtId="182" fontId="50" fillId="17" borderId="62" xfId="0" applyNumberFormat="1" applyFont="1" applyFill="1" applyBorder="1" applyAlignment="1">
      <alignment horizontal="right" vertical="center" shrinkToFit="1"/>
    </xf>
    <xf numFmtId="183" fontId="34" fillId="23" borderId="233" xfId="0" applyNumberFormat="1" applyFont="1" applyFill="1" applyBorder="1" applyAlignment="1">
      <alignment vertical="center" shrinkToFit="1"/>
    </xf>
    <xf numFmtId="186" fontId="34" fillId="23" borderId="223" xfId="0" applyNumberFormat="1" applyFont="1" applyFill="1" applyBorder="1" applyAlignment="1">
      <alignment vertical="center" shrinkToFit="1"/>
    </xf>
    <xf numFmtId="182" fontId="31" fillId="17" borderId="110" xfId="0" applyNumberFormat="1" applyFont="1" applyFill="1" applyBorder="1" applyAlignment="1">
      <alignment horizontal="right" vertical="center" shrinkToFit="1"/>
    </xf>
    <xf numFmtId="38" fontId="51" fillId="2" borderId="114" xfId="1" applyFont="1" applyFill="1" applyBorder="1" applyAlignment="1">
      <alignment horizontal="right" vertical="center" shrinkToFit="1"/>
    </xf>
    <xf numFmtId="0" fontId="45" fillId="27" borderId="67" xfId="1" applyNumberFormat="1" applyFont="1" applyFill="1" applyBorder="1" applyAlignment="1">
      <alignment vertical="center" shrinkToFit="1"/>
    </xf>
    <xf numFmtId="14" fontId="30" fillId="5" borderId="114" xfId="1" applyNumberFormat="1" applyFont="1" applyFill="1" applyBorder="1" applyAlignment="1">
      <alignment horizontal="center" vertical="center" shrinkToFit="1"/>
    </xf>
    <xf numFmtId="0" fontId="31" fillId="0" borderId="13" xfId="6" applyFont="1" applyBorder="1" applyAlignment="1">
      <alignment horizontal="center" vertical="center" shrinkToFit="1"/>
    </xf>
    <xf numFmtId="176" fontId="49" fillId="0" borderId="39" xfId="1" applyNumberFormat="1" applyFont="1" applyBorder="1" applyAlignment="1">
      <alignment horizontal="right" vertical="center" shrinkToFit="1"/>
    </xf>
    <xf numFmtId="0" fontId="53" fillId="17" borderId="181" xfId="0" applyFont="1" applyFill="1" applyBorder="1" applyAlignment="1">
      <alignment horizontal="center" vertical="center" shrinkToFit="1"/>
    </xf>
    <xf numFmtId="41" fontId="31" fillId="10" borderId="13" xfId="0" applyNumberFormat="1" applyFont="1" applyFill="1" applyBorder="1" applyAlignment="1">
      <alignment horizontal="left" vertical="center" shrinkToFit="1"/>
    </xf>
    <xf numFmtId="41" fontId="30" fillId="10" borderId="13" xfId="0" applyNumberFormat="1" applyFont="1" applyFill="1" applyBorder="1" applyAlignment="1">
      <alignment horizontal="center" vertical="center" shrinkToFit="1"/>
    </xf>
    <xf numFmtId="14" fontId="30" fillId="10" borderId="13" xfId="0" applyNumberFormat="1" applyFont="1" applyFill="1" applyBorder="1" applyAlignment="1">
      <alignment horizontal="center" vertical="center" shrinkToFit="1"/>
    </xf>
    <xf numFmtId="41" fontId="33" fillId="28" borderId="39" xfId="0" applyNumberFormat="1" applyFont="1" applyFill="1" applyBorder="1" applyAlignment="1">
      <alignment horizontal="center" vertical="center" shrinkToFit="1"/>
    </xf>
    <xf numFmtId="41" fontId="34" fillId="28" borderId="45" xfId="0" applyNumberFormat="1" applyFont="1" applyFill="1" applyBorder="1" applyAlignment="1">
      <alignment vertical="center" shrinkToFit="1"/>
    </xf>
    <xf numFmtId="41" fontId="34" fillId="28" borderId="39" xfId="0" applyNumberFormat="1" applyFont="1" applyFill="1" applyBorder="1" applyAlignment="1">
      <alignment vertical="center" shrinkToFit="1"/>
    </xf>
    <xf numFmtId="179" fontId="8" fillId="26" borderId="188" xfId="0" applyNumberFormat="1" applyFont="1" applyFill="1" applyBorder="1" applyAlignment="1">
      <alignment vertical="center" shrinkToFit="1"/>
    </xf>
    <xf numFmtId="182" fontId="50" fillId="17" borderId="43" xfId="0" applyNumberFormat="1" applyFont="1" applyFill="1" applyBorder="1" applyAlignment="1">
      <alignment vertical="center" shrinkToFit="1"/>
    </xf>
    <xf numFmtId="0" fontId="45" fillId="24" borderId="39" xfId="0" applyFont="1" applyFill="1" applyBorder="1" applyAlignment="1">
      <alignment horizontal="center" vertical="center" shrinkToFit="1"/>
    </xf>
    <xf numFmtId="184" fontId="45" fillId="25" borderId="235" xfId="0" applyNumberFormat="1" applyFont="1" applyFill="1" applyBorder="1" applyAlignment="1">
      <alignment horizontal="right" vertical="center" shrinkToFit="1"/>
    </xf>
    <xf numFmtId="185" fontId="45" fillId="25" borderId="236" xfId="0" applyNumberFormat="1" applyFont="1" applyFill="1" applyBorder="1" applyAlignment="1">
      <alignment horizontal="right" vertical="center" shrinkToFit="1"/>
    </xf>
    <xf numFmtId="0" fontId="45" fillId="2" borderId="39" xfId="0" applyFont="1" applyFill="1" applyBorder="1" applyAlignment="1">
      <alignment horizontal="center" vertical="center" shrinkToFit="1"/>
    </xf>
    <xf numFmtId="184" fontId="45" fillId="2" borderId="235" xfId="0" applyNumberFormat="1" applyFont="1" applyFill="1" applyBorder="1" applyAlignment="1">
      <alignment horizontal="right" vertical="center" shrinkToFit="1"/>
    </xf>
    <xf numFmtId="185" fontId="45" fillId="2" borderId="236" xfId="0" applyNumberFormat="1" applyFont="1" applyFill="1" applyBorder="1" applyAlignment="1">
      <alignment horizontal="right" vertical="center" shrinkToFit="1"/>
    </xf>
    <xf numFmtId="41" fontId="31" fillId="10" borderId="43" xfId="0" applyNumberFormat="1" applyFont="1" applyFill="1" applyBorder="1" applyAlignment="1">
      <alignment horizontal="center" vertical="center" shrinkToFit="1"/>
    </xf>
    <xf numFmtId="41" fontId="33" fillId="0" borderId="41" xfId="0" applyNumberFormat="1" applyFont="1" applyBorder="1" applyAlignment="1">
      <alignment horizontal="center" vertical="center" shrinkToFit="1"/>
    </xf>
    <xf numFmtId="41" fontId="34" fillId="0" borderId="45" xfId="0" applyNumberFormat="1" applyFont="1" applyBorder="1" applyAlignment="1">
      <alignment vertical="center" shrinkToFit="1"/>
    </xf>
    <xf numFmtId="41" fontId="34" fillId="0" borderId="39" xfId="0" applyNumberFormat="1" applyFont="1" applyBorder="1" applyAlignment="1">
      <alignment vertical="center" shrinkToFit="1"/>
    </xf>
    <xf numFmtId="0" fontId="45" fillId="27" borderId="42" xfId="3" applyNumberFormat="1" applyFont="1" applyFill="1" applyBorder="1" applyAlignment="1">
      <alignment horizontal="left" vertical="center" shrinkToFit="1"/>
    </xf>
    <xf numFmtId="38" fontId="51" fillId="5" borderId="116" xfId="1" applyFont="1" applyFill="1" applyBorder="1" applyAlignment="1">
      <alignment horizontal="right" vertical="center" shrinkToFit="1"/>
    </xf>
    <xf numFmtId="38" fontId="30" fillId="2" borderId="65" xfId="1" applyFont="1" applyFill="1" applyBorder="1" applyAlignment="1">
      <alignment horizontal="center" vertical="center" shrinkToFit="1"/>
    </xf>
    <xf numFmtId="183" fontId="34" fillId="0" borderId="61" xfId="0" applyNumberFormat="1" applyFont="1" applyBorder="1" applyAlignment="1">
      <alignment vertical="center" shrinkToFit="1"/>
    </xf>
    <xf numFmtId="41" fontId="34" fillId="0" borderId="223" xfId="0" applyNumberFormat="1" applyFont="1" applyBorder="1" applyAlignment="1">
      <alignment vertical="center" shrinkToFit="1"/>
    </xf>
    <xf numFmtId="41" fontId="34" fillId="23" borderId="233" xfId="0" applyNumberFormat="1" applyFont="1" applyFill="1" applyBorder="1" applyAlignment="1">
      <alignment vertical="center" shrinkToFit="1"/>
    </xf>
    <xf numFmtId="41" fontId="31" fillId="0" borderId="0" xfId="0" applyNumberFormat="1" applyFont="1" applyAlignment="1">
      <alignment horizontal="right" vertical="center" shrinkToFit="1"/>
    </xf>
    <xf numFmtId="9" fontId="30" fillId="24" borderId="42" xfId="2" applyFont="1" applyFill="1" applyBorder="1" applyAlignment="1">
      <alignment horizontal="right" vertical="center" shrinkToFit="1"/>
    </xf>
    <xf numFmtId="41" fontId="31" fillId="12" borderId="180" xfId="0" applyNumberFormat="1" applyFont="1" applyFill="1" applyBorder="1" applyAlignment="1">
      <alignment horizontal="center" vertical="center" shrinkToFit="1"/>
    </xf>
    <xf numFmtId="38" fontId="31" fillId="2" borderId="65" xfId="1" applyFont="1" applyFill="1" applyBorder="1" applyAlignment="1">
      <alignment horizontal="right" vertical="center" shrinkToFit="1"/>
    </xf>
    <xf numFmtId="14" fontId="30" fillId="2" borderId="65" xfId="1" applyNumberFormat="1" applyFont="1" applyFill="1" applyBorder="1" applyAlignment="1">
      <alignment horizontal="center" vertical="center" shrinkToFit="1"/>
    </xf>
    <xf numFmtId="0" fontId="45" fillId="0" borderId="66" xfId="1" applyNumberFormat="1" applyFont="1" applyFill="1" applyBorder="1" applyAlignment="1">
      <alignment horizontal="left" vertical="center" shrinkToFit="1"/>
    </xf>
    <xf numFmtId="0" fontId="45" fillId="0" borderId="134" xfId="1" applyNumberFormat="1" applyFont="1" applyFill="1" applyBorder="1" applyAlignment="1">
      <alignment horizontal="left" vertical="center" shrinkToFit="1"/>
    </xf>
    <xf numFmtId="0" fontId="45" fillId="0" borderId="108" xfId="1" applyNumberFormat="1" applyFont="1" applyFill="1" applyBorder="1" applyAlignment="1">
      <alignment horizontal="left" vertical="center" shrinkToFit="1"/>
    </xf>
    <xf numFmtId="0" fontId="31" fillId="0" borderId="109" xfId="6" applyFont="1" applyBorder="1" applyAlignment="1">
      <alignment horizontal="center" vertical="center" shrinkToFit="1"/>
    </xf>
    <xf numFmtId="182" fontId="34" fillId="17" borderId="169" xfId="0" applyNumberFormat="1" applyFont="1" applyFill="1" applyBorder="1" applyAlignment="1">
      <alignment horizontal="right" vertical="center" shrinkToFit="1"/>
    </xf>
    <xf numFmtId="182" fontId="30" fillId="17" borderId="169" xfId="0" applyNumberFormat="1" applyFont="1" applyFill="1" applyBorder="1" applyAlignment="1">
      <alignment horizontal="right" vertical="center" shrinkToFit="1"/>
    </xf>
    <xf numFmtId="0" fontId="45" fillId="24" borderId="108" xfId="0" applyFont="1" applyFill="1" applyBorder="1" applyAlignment="1">
      <alignment horizontal="center" vertical="center" shrinkToFit="1"/>
    </xf>
    <xf numFmtId="9" fontId="30" fillId="24" borderId="108" xfId="2" applyFont="1" applyFill="1" applyBorder="1" applyAlignment="1">
      <alignment horizontal="right" vertical="center" shrinkToFit="1"/>
    </xf>
    <xf numFmtId="0" fontId="45" fillId="0" borderId="107" xfId="1" applyNumberFormat="1" applyFont="1" applyFill="1" applyBorder="1" applyAlignment="1">
      <alignment horizontal="left" vertical="center" shrinkToFit="1"/>
    </xf>
    <xf numFmtId="0" fontId="45" fillId="0" borderId="231" xfId="1" applyNumberFormat="1" applyFont="1" applyFill="1" applyBorder="1" applyAlignment="1">
      <alignment horizontal="left" vertical="center" shrinkToFit="1"/>
    </xf>
    <xf numFmtId="41" fontId="31" fillId="27" borderId="128" xfId="0" applyNumberFormat="1" applyFont="1" applyFill="1" applyBorder="1" applyAlignment="1">
      <alignment horizontal="center" vertical="center" shrinkToFit="1"/>
    </xf>
    <xf numFmtId="41" fontId="31" fillId="17" borderId="108" xfId="0" applyNumberFormat="1" applyFont="1" applyFill="1" applyBorder="1" applyAlignment="1">
      <alignment horizontal="center" vertical="center" shrinkToFit="1"/>
    </xf>
    <xf numFmtId="182" fontId="31" fillId="17" borderId="108" xfId="0" applyNumberFormat="1" applyFont="1" applyFill="1" applyBorder="1" applyAlignment="1">
      <alignment horizontal="right" vertical="center" shrinkToFit="1"/>
    </xf>
    <xf numFmtId="41" fontId="31" fillId="10" borderId="96" xfId="0" applyNumberFormat="1" applyFont="1" applyFill="1" applyBorder="1" applyAlignment="1">
      <alignment horizontal="center" vertical="center" shrinkToFit="1"/>
    </xf>
    <xf numFmtId="14" fontId="33" fillId="0" borderId="75" xfId="0" applyNumberFormat="1" applyFont="1" applyBorder="1" applyAlignment="1">
      <alignment horizontal="center" vertical="center" shrinkToFit="1"/>
    </xf>
    <xf numFmtId="14" fontId="33" fillId="0" borderId="42" xfId="0" applyNumberFormat="1" applyFont="1" applyBorder="1" applyAlignment="1">
      <alignment horizontal="center" vertical="center" shrinkToFit="1"/>
    </xf>
    <xf numFmtId="41" fontId="33" fillId="0" borderId="70" xfId="0" applyNumberFormat="1" applyFont="1" applyBorder="1" applyAlignment="1">
      <alignment horizontal="center" vertical="center" shrinkToFit="1"/>
    </xf>
    <xf numFmtId="176" fontId="49" fillId="0" borderId="108" xfId="1" applyNumberFormat="1" applyFont="1" applyBorder="1" applyAlignment="1">
      <alignment horizontal="right" vertical="center" shrinkToFit="1"/>
    </xf>
    <xf numFmtId="0" fontId="3" fillId="0" borderId="169" xfId="0" applyFont="1" applyBorder="1" applyAlignment="1">
      <alignment vertical="center" shrinkToFit="1"/>
    </xf>
    <xf numFmtId="0" fontId="45" fillId="27" borderId="67" xfId="3" applyNumberFormat="1" applyFont="1" applyFill="1" applyBorder="1" applyAlignment="1">
      <alignment horizontal="left" vertical="center" shrinkToFit="1"/>
    </xf>
    <xf numFmtId="176" fontId="31" fillId="0" borderId="67" xfId="0" applyNumberFormat="1" applyFont="1" applyBorder="1" applyAlignment="1">
      <alignment horizontal="center" vertical="center" wrapText="1" shrinkToFit="1"/>
    </xf>
    <xf numFmtId="9" fontId="30" fillId="24" borderId="67" xfId="2" applyFont="1" applyFill="1" applyBorder="1" applyAlignment="1">
      <alignment horizontal="right" vertical="center" shrinkToFit="1"/>
    </xf>
    <xf numFmtId="38" fontId="45" fillId="2" borderId="67" xfId="1" applyFont="1" applyFill="1" applyBorder="1" applyAlignment="1">
      <alignment horizontal="right" vertical="center" shrinkToFit="1"/>
    </xf>
    <xf numFmtId="0" fontId="3" fillId="0" borderId="112" xfId="0" applyFont="1" applyBorder="1" applyAlignment="1">
      <alignment vertical="center" shrinkToFit="1"/>
    </xf>
    <xf numFmtId="176" fontId="31" fillId="0" borderId="108" xfId="0" applyNumberFormat="1" applyFont="1" applyBorder="1" applyAlignment="1">
      <alignment horizontal="center" vertical="center" wrapText="1" shrinkToFit="1"/>
    </xf>
    <xf numFmtId="182" fontId="30" fillId="17" borderId="109" xfId="0" applyNumberFormat="1" applyFont="1" applyFill="1" applyBorder="1" applyAlignment="1">
      <alignment horizontal="right" vertical="center" shrinkToFit="1"/>
    </xf>
    <xf numFmtId="0" fontId="45" fillId="0" borderId="75" xfId="1" applyNumberFormat="1" applyFont="1" applyFill="1" applyBorder="1" applyAlignment="1">
      <alignment horizontal="left" vertical="center" shrinkToFit="1"/>
    </xf>
    <xf numFmtId="0" fontId="45" fillId="0" borderId="95" xfId="1" applyNumberFormat="1" applyFont="1" applyFill="1" applyBorder="1" applyAlignment="1">
      <alignment horizontal="left" vertical="center" shrinkToFit="1"/>
    </xf>
    <xf numFmtId="41" fontId="34" fillId="23" borderId="0" xfId="0" applyNumberFormat="1" applyFont="1" applyFill="1" applyAlignment="1">
      <alignment vertical="center" shrinkToFit="1"/>
    </xf>
    <xf numFmtId="0" fontId="45" fillId="0" borderId="42" xfId="1" applyNumberFormat="1" applyFont="1" applyFill="1" applyBorder="1" applyAlignment="1">
      <alignment horizontal="left" vertical="center" shrinkToFit="1"/>
    </xf>
    <xf numFmtId="176" fontId="31" fillId="0" borderId="42" xfId="0" applyNumberFormat="1" applyFont="1" applyBorder="1" applyAlignment="1">
      <alignment horizontal="center" vertical="center" wrapText="1" shrinkToFit="1"/>
    </xf>
    <xf numFmtId="0" fontId="22" fillId="27" borderId="67" xfId="3" applyNumberFormat="1" applyFont="1" applyFill="1" applyBorder="1" applyAlignment="1">
      <alignment vertical="center" shrinkToFit="1"/>
    </xf>
    <xf numFmtId="182" fontId="30" fillId="17" borderId="67" xfId="0" applyNumberFormat="1" applyFont="1" applyFill="1" applyBorder="1" applyAlignment="1">
      <alignment vertical="center" shrinkToFit="1"/>
    </xf>
    <xf numFmtId="0" fontId="22" fillId="0" borderId="42" xfId="1" applyNumberFormat="1" applyFont="1" applyFill="1" applyBorder="1" applyAlignment="1">
      <alignment vertical="center" shrinkToFit="1"/>
    </xf>
    <xf numFmtId="38" fontId="31" fillId="4" borderId="116" xfId="1" applyFont="1" applyFill="1" applyBorder="1" applyAlignment="1">
      <alignment horizontal="right" vertical="center" shrinkToFit="1"/>
    </xf>
    <xf numFmtId="38" fontId="34" fillId="2" borderId="114" xfId="1" applyFont="1" applyFill="1" applyBorder="1" applyAlignment="1">
      <alignment horizontal="center" vertical="center" shrinkToFit="1"/>
    </xf>
    <xf numFmtId="182" fontId="47" fillId="17" borderId="110" xfId="0" applyNumberFormat="1" applyFont="1" applyFill="1" applyBorder="1" applyAlignment="1">
      <alignment horizontal="right" vertical="center" shrinkToFit="1"/>
    </xf>
    <xf numFmtId="38" fontId="54" fillId="0" borderId="67" xfId="1" applyFont="1" applyFill="1" applyBorder="1" applyAlignment="1">
      <alignment horizontal="right" vertical="center" shrinkToFit="1"/>
    </xf>
    <xf numFmtId="38" fontId="45" fillId="2" borderId="114" xfId="1" applyFont="1" applyFill="1" applyBorder="1" applyAlignment="1">
      <alignment horizontal="right" vertical="center" shrinkToFit="1"/>
    </xf>
    <xf numFmtId="14" fontId="34" fillId="2" borderId="114" xfId="1" applyNumberFormat="1" applyFont="1" applyFill="1" applyBorder="1" applyAlignment="1">
      <alignment horizontal="center" vertical="center" shrinkToFit="1"/>
    </xf>
    <xf numFmtId="0" fontId="22" fillId="0" borderId="108" xfId="1" applyNumberFormat="1" applyFont="1" applyFill="1" applyBorder="1" applyAlignment="1">
      <alignment vertical="center" shrinkToFit="1"/>
    </xf>
    <xf numFmtId="0" fontId="22" fillId="4" borderId="67" xfId="3" applyNumberFormat="1" applyFont="1" applyFill="1" applyBorder="1" applyAlignment="1">
      <alignment horizontal="left" vertical="center" shrinkToFit="1"/>
    </xf>
    <xf numFmtId="183" fontId="34" fillId="0" borderId="117" xfId="0" applyNumberFormat="1" applyFont="1" applyBorder="1" applyAlignment="1">
      <alignment vertical="center" shrinkToFit="1"/>
    </xf>
    <xf numFmtId="0" fontId="45" fillId="0" borderId="67" xfId="1" applyNumberFormat="1" applyFont="1" applyFill="1" applyBorder="1" applyAlignment="1">
      <alignment horizontal="left" vertical="center" shrinkToFit="1"/>
    </xf>
    <xf numFmtId="41" fontId="31" fillId="0" borderId="0" xfId="0" applyNumberFormat="1" applyFont="1" applyAlignment="1">
      <alignment horizontal="left" vertical="center" shrinkToFit="1"/>
    </xf>
    <xf numFmtId="41" fontId="30" fillId="0" borderId="0" xfId="0" applyNumberFormat="1" applyFont="1" applyAlignment="1">
      <alignment horizontal="center" vertical="center" shrinkToFit="1"/>
    </xf>
    <xf numFmtId="14" fontId="30" fillId="0" borderId="134" xfId="0" applyNumberFormat="1" applyFont="1" applyBorder="1" applyAlignment="1">
      <alignment horizontal="center" vertical="center" shrinkToFit="1"/>
    </xf>
    <xf numFmtId="0" fontId="45" fillId="4" borderId="67" xfId="1" applyNumberFormat="1" applyFont="1" applyFill="1" applyBorder="1" applyAlignment="1">
      <alignment horizontal="left" vertical="center" shrinkToFit="1"/>
    </xf>
    <xf numFmtId="176" fontId="31" fillId="8" borderId="67" xfId="6" applyNumberFormat="1" applyFont="1" applyFill="1" applyBorder="1" applyAlignment="1">
      <alignment horizontal="center" vertical="center" shrinkToFit="1"/>
    </xf>
    <xf numFmtId="38" fontId="51" fillId="4" borderId="114" xfId="1" applyFont="1" applyFill="1" applyBorder="1" applyAlignment="1">
      <alignment horizontal="right" vertical="center" shrinkToFit="1"/>
    </xf>
    <xf numFmtId="38" fontId="51" fillId="0" borderId="67" xfId="1" applyFont="1" applyFill="1" applyBorder="1" applyAlignment="1">
      <alignment horizontal="right" vertical="center" shrinkToFit="1"/>
    </xf>
    <xf numFmtId="0" fontId="51" fillId="0" borderId="116" xfId="1" applyNumberFormat="1" applyFont="1" applyFill="1" applyBorder="1" applyAlignment="1">
      <alignment horizontal="right" vertical="center" shrinkToFit="1"/>
    </xf>
    <xf numFmtId="38" fontId="30" fillId="4" borderId="114" xfId="1" applyFont="1" applyFill="1" applyBorder="1" applyAlignment="1">
      <alignment horizontal="center" vertical="center" shrinkToFit="1"/>
    </xf>
    <xf numFmtId="14" fontId="30" fillId="4" borderId="114" xfId="1" applyNumberFormat="1" applyFont="1" applyFill="1" applyBorder="1" applyAlignment="1">
      <alignment horizontal="center" vertical="center" shrinkToFit="1"/>
    </xf>
    <xf numFmtId="38" fontId="51" fillId="4" borderId="65" xfId="1" applyFont="1" applyFill="1" applyBorder="1" applyAlignment="1">
      <alignment horizontal="right" vertical="center" shrinkToFit="1"/>
    </xf>
    <xf numFmtId="14" fontId="30" fillId="4" borderId="65" xfId="1" applyNumberFormat="1" applyFont="1" applyFill="1" applyBorder="1" applyAlignment="1">
      <alignment horizontal="center" vertical="center" shrinkToFit="1"/>
    </xf>
    <xf numFmtId="38" fontId="30" fillId="4" borderId="65" xfId="1" applyFont="1" applyFill="1" applyBorder="1" applyAlignment="1">
      <alignment horizontal="center" vertical="center" shrinkToFit="1"/>
    </xf>
    <xf numFmtId="183" fontId="34" fillId="0" borderId="118" xfId="0" applyNumberFormat="1" applyFont="1" applyBorder="1" applyAlignment="1">
      <alignment vertical="center" shrinkToFit="1"/>
    </xf>
    <xf numFmtId="0" fontId="55" fillId="0" borderId="42" xfId="1" applyNumberFormat="1" applyFont="1" applyFill="1" applyBorder="1" applyAlignment="1">
      <alignment horizontal="left" vertical="center" shrinkToFit="1"/>
    </xf>
    <xf numFmtId="176" fontId="31" fillId="8" borderId="42" xfId="6" applyNumberFormat="1" applyFont="1" applyFill="1" applyBorder="1" applyAlignment="1">
      <alignment horizontal="center" vertical="center" shrinkToFit="1"/>
    </xf>
    <xf numFmtId="0" fontId="44" fillId="10" borderId="206" xfId="6" applyFont="1" applyFill="1" applyBorder="1" applyAlignment="1">
      <alignment horizontal="center" vertical="center" shrinkToFit="1"/>
    </xf>
    <xf numFmtId="0" fontId="31" fillId="10" borderId="97" xfId="6" applyFont="1" applyFill="1" applyBorder="1" applyAlignment="1">
      <alignment horizontal="center" vertical="center" shrinkToFit="1"/>
    </xf>
    <xf numFmtId="0" fontId="31" fillId="10" borderId="207" xfId="6" applyFont="1" applyFill="1" applyBorder="1" applyAlignment="1">
      <alignment horizontal="center" vertical="center" shrinkToFit="1"/>
    </xf>
    <xf numFmtId="0" fontId="45" fillId="10" borderId="207" xfId="1" applyNumberFormat="1" applyFont="1" applyFill="1" applyBorder="1" applyAlignment="1">
      <alignment horizontal="left" vertical="center" shrinkToFit="1"/>
    </xf>
    <xf numFmtId="176" fontId="45" fillId="10" borderId="207" xfId="1" applyNumberFormat="1" applyFont="1" applyFill="1" applyBorder="1" applyAlignment="1">
      <alignment horizontal="right" vertical="center" shrinkToFit="1"/>
    </xf>
    <xf numFmtId="38" fontId="31" fillId="10" borderId="42" xfId="1" applyFont="1" applyFill="1" applyBorder="1" applyAlignment="1">
      <alignment horizontal="right" vertical="center" shrinkToFit="1"/>
    </xf>
    <xf numFmtId="176" fontId="31" fillId="10" borderId="207" xfId="1" applyNumberFormat="1" applyFont="1" applyFill="1" applyBorder="1" applyAlignment="1">
      <alignment horizontal="right" vertical="center" shrinkToFit="1"/>
    </xf>
    <xf numFmtId="176" fontId="31" fillId="10" borderId="207" xfId="6" applyNumberFormat="1" applyFont="1" applyFill="1" applyBorder="1" applyAlignment="1">
      <alignment horizontal="right" vertical="center" shrinkToFit="1"/>
    </xf>
    <xf numFmtId="176" fontId="31" fillId="10" borderId="207" xfId="6" applyNumberFormat="1" applyFont="1" applyFill="1" applyBorder="1" applyAlignment="1">
      <alignment horizontal="center" vertical="center" shrinkToFit="1"/>
    </xf>
    <xf numFmtId="176" fontId="31" fillId="10" borderId="207" xfId="0" applyNumberFormat="1" applyFont="1" applyFill="1" applyBorder="1" applyAlignment="1">
      <alignment horizontal="center" vertical="center" wrapText="1" shrinkToFit="1"/>
    </xf>
    <xf numFmtId="0" fontId="45" fillId="10" borderId="150" xfId="0" applyFont="1" applyFill="1" applyBorder="1" applyAlignment="1">
      <alignment horizontal="center" vertical="center" shrinkToFit="1"/>
    </xf>
    <xf numFmtId="41" fontId="31" fillId="10" borderId="150" xfId="0" applyNumberFormat="1" applyFont="1" applyFill="1" applyBorder="1" applyAlignment="1">
      <alignment horizontal="center" vertical="center" shrinkToFit="1"/>
    </xf>
    <xf numFmtId="182" fontId="47" fillId="10" borderId="150" xfId="0" applyNumberFormat="1" applyFont="1" applyFill="1" applyBorder="1" applyAlignment="1">
      <alignment horizontal="right" vertical="center" shrinkToFit="1"/>
    </xf>
    <xf numFmtId="182" fontId="46" fillId="10" borderId="208" xfId="0" applyNumberFormat="1" applyFont="1" applyFill="1" applyBorder="1" applyAlignment="1">
      <alignment horizontal="right" vertical="center" shrinkToFit="1"/>
    </xf>
    <xf numFmtId="41" fontId="31" fillId="10" borderId="99" xfId="0" applyNumberFormat="1" applyFont="1" applyFill="1" applyBorder="1" applyAlignment="1">
      <alignment horizontal="center" vertical="center" shrinkToFit="1"/>
    </xf>
    <xf numFmtId="41" fontId="31" fillId="10" borderId="97" xfId="0" applyNumberFormat="1" applyFont="1" applyFill="1" applyBorder="1" applyAlignment="1">
      <alignment horizontal="center" vertical="center" shrinkToFit="1"/>
    </xf>
    <xf numFmtId="38" fontId="31" fillId="10" borderId="97" xfId="1" applyFont="1" applyFill="1" applyBorder="1" applyAlignment="1">
      <alignment horizontal="right" vertical="center" shrinkToFit="1"/>
    </xf>
    <xf numFmtId="38" fontId="31" fillId="10" borderId="237" xfId="1" applyFont="1" applyFill="1" applyBorder="1" applyAlignment="1">
      <alignment horizontal="right" vertical="center" shrinkToFit="1"/>
    </xf>
    <xf numFmtId="41" fontId="30" fillId="10" borderId="238" xfId="0" applyNumberFormat="1" applyFont="1" applyFill="1" applyBorder="1" applyAlignment="1">
      <alignment horizontal="center" vertical="center" shrinkToFit="1"/>
    </xf>
    <xf numFmtId="41" fontId="31" fillId="10" borderId="239" xfId="0" applyNumberFormat="1" applyFont="1" applyFill="1" applyBorder="1" applyAlignment="1">
      <alignment horizontal="center" vertical="center" shrinkToFit="1"/>
    </xf>
    <xf numFmtId="38" fontId="31" fillId="10" borderId="208" xfId="1" applyFont="1" applyFill="1" applyBorder="1" applyAlignment="1">
      <alignment horizontal="right" vertical="center" shrinkToFit="1"/>
    </xf>
    <xf numFmtId="38" fontId="51" fillId="10" borderId="97" xfId="1" applyFont="1" applyFill="1" applyBorder="1" applyAlignment="1">
      <alignment horizontal="right" vertical="center" shrinkToFit="1"/>
    </xf>
    <xf numFmtId="38" fontId="31" fillId="10" borderId="97" xfId="1" applyFont="1" applyFill="1" applyBorder="1" applyAlignment="1">
      <alignment horizontal="left" vertical="center" shrinkToFit="1"/>
    </xf>
    <xf numFmtId="38" fontId="30" fillId="10" borderId="97" xfId="1" applyFont="1" applyFill="1" applyBorder="1" applyAlignment="1">
      <alignment horizontal="center" vertical="center" shrinkToFit="1"/>
    </xf>
    <xf numFmtId="14" fontId="30" fillId="10" borderId="97" xfId="1" applyNumberFormat="1" applyFont="1" applyFill="1" applyBorder="1" applyAlignment="1">
      <alignment horizontal="center" vertical="center" shrinkToFit="1"/>
    </xf>
    <xf numFmtId="14" fontId="33" fillId="10" borderId="97" xfId="0" applyNumberFormat="1" applyFont="1" applyFill="1" applyBorder="1" applyAlignment="1">
      <alignment horizontal="center" vertical="center" shrinkToFit="1"/>
    </xf>
    <xf numFmtId="41" fontId="33" fillId="10" borderId="98" xfId="0" applyNumberFormat="1" applyFont="1" applyFill="1" applyBorder="1" applyAlignment="1">
      <alignment horizontal="center" vertical="center" shrinkToFit="1"/>
    </xf>
    <xf numFmtId="186" fontId="34" fillId="0" borderId="216" xfId="0" applyNumberFormat="1" applyFont="1" applyBorder="1" applyAlignment="1">
      <alignment vertical="center" shrinkToFit="1"/>
    </xf>
    <xf numFmtId="182" fontId="47" fillId="17" borderId="150" xfId="0" applyNumberFormat="1" applyFont="1" applyFill="1" applyBorder="1" applyAlignment="1">
      <alignment horizontal="right" vertical="center" shrinkToFit="1"/>
    </xf>
    <xf numFmtId="182" fontId="46" fillId="17" borderId="208" xfId="0" applyNumberFormat="1" applyFont="1" applyFill="1" applyBorder="1" applyAlignment="1">
      <alignment horizontal="right" vertical="center" shrinkToFit="1"/>
    </xf>
    <xf numFmtId="177" fontId="30" fillId="24" borderId="31" xfId="0" applyNumberFormat="1" applyFont="1" applyFill="1" applyBorder="1" applyAlignment="1">
      <alignment vertical="center" shrinkToFit="1"/>
    </xf>
    <xf numFmtId="9" fontId="30" fillId="24" borderId="207" xfId="2" applyFont="1" applyFill="1" applyBorder="1" applyAlignment="1">
      <alignment horizontal="right" vertical="center" shrinkToFit="1"/>
    </xf>
    <xf numFmtId="183" fontId="34" fillId="0" borderId="150" xfId="0" applyNumberFormat="1" applyFont="1" applyBorder="1" applyAlignment="1">
      <alignment vertical="center" shrinkToFit="1"/>
    </xf>
    <xf numFmtId="0" fontId="31" fillId="10" borderId="60" xfId="6" applyFont="1" applyFill="1" applyBorder="1" applyAlignment="1">
      <alignment horizontal="center" vertical="center" shrinkToFit="1"/>
    </xf>
    <xf numFmtId="0" fontId="31" fillId="10" borderId="0" xfId="6" applyFont="1" applyFill="1" applyAlignment="1">
      <alignment horizontal="center" vertical="center" shrinkToFit="1"/>
    </xf>
    <xf numFmtId="0" fontId="31" fillId="10" borderId="42" xfId="6" applyFont="1" applyFill="1" applyBorder="1" applyAlignment="1">
      <alignment horizontal="center" vertical="center" shrinkToFit="1"/>
    </xf>
    <xf numFmtId="0" fontId="45" fillId="10" borderId="42" xfId="1" applyNumberFormat="1" applyFont="1" applyFill="1" applyBorder="1" applyAlignment="1">
      <alignment horizontal="left" vertical="center" shrinkToFit="1"/>
    </xf>
    <xf numFmtId="176" fontId="49" fillId="10" borderId="42" xfId="1" applyNumberFormat="1" applyFont="1" applyFill="1" applyBorder="1" applyAlignment="1">
      <alignment horizontal="right" vertical="center" shrinkToFit="1"/>
    </xf>
    <xf numFmtId="176" fontId="31" fillId="10" borderId="42" xfId="1" applyNumberFormat="1" applyFont="1" applyFill="1" applyBorder="1" applyAlignment="1">
      <alignment horizontal="right" vertical="center" shrinkToFit="1"/>
    </xf>
    <xf numFmtId="176" fontId="31" fillId="10" borderId="42" xfId="6" applyNumberFormat="1" applyFont="1" applyFill="1" applyBorder="1" applyAlignment="1">
      <alignment horizontal="right" vertical="center" shrinkToFit="1"/>
    </xf>
    <xf numFmtId="176" fontId="31" fillId="10" borderId="42" xfId="6" applyNumberFormat="1" applyFont="1" applyFill="1" applyBorder="1" applyAlignment="1">
      <alignment horizontal="center" vertical="center" shrinkToFit="1"/>
    </xf>
    <xf numFmtId="176" fontId="31" fillId="10" borderId="42" xfId="0" applyNumberFormat="1" applyFont="1" applyFill="1" applyBorder="1" applyAlignment="1">
      <alignment horizontal="center" vertical="center" wrapText="1" shrinkToFit="1"/>
    </xf>
    <xf numFmtId="0" fontId="45" fillId="10" borderId="42" xfId="0" applyFont="1" applyFill="1" applyBorder="1" applyAlignment="1">
      <alignment horizontal="center" vertical="center" shrinkToFit="1"/>
    </xf>
    <xf numFmtId="41" fontId="31" fillId="10" borderId="42" xfId="0" applyNumberFormat="1" applyFont="1" applyFill="1" applyBorder="1" applyAlignment="1">
      <alignment horizontal="center" vertical="center" shrinkToFit="1"/>
    </xf>
    <xf numFmtId="182" fontId="31" fillId="10" borderId="42" xfId="0" applyNumberFormat="1" applyFont="1" applyFill="1" applyBorder="1" applyAlignment="1">
      <alignment horizontal="right" vertical="center" shrinkToFit="1"/>
    </xf>
    <xf numFmtId="182" fontId="30" fillId="10" borderId="62" xfId="0" applyNumberFormat="1" applyFont="1" applyFill="1" applyBorder="1" applyAlignment="1">
      <alignment horizontal="right" vertical="center" shrinkToFit="1"/>
    </xf>
    <xf numFmtId="179" fontId="8" fillId="28" borderId="86" xfId="0" applyNumberFormat="1" applyFont="1" applyFill="1" applyBorder="1" applyAlignment="1">
      <alignment vertical="center" shrinkToFit="1"/>
    </xf>
    <xf numFmtId="179" fontId="8" fillId="28" borderId="89" xfId="0" applyNumberFormat="1" applyFont="1" applyFill="1" applyBorder="1" applyAlignment="1">
      <alignment vertical="center" shrinkToFit="1"/>
    </xf>
    <xf numFmtId="176" fontId="49" fillId="0" borderId="67" xfId="1" applyNumberFormat="1" applyFont="1" applyFill="1" applyBorder="1" applyAlignment="1">
      <alignment horizontal="right" vertical="center" shrinkToFit="1"/>
    </xf>
    <xf numFmtId="41" fontId="31" fillId="0" borderId="67" xfId="0" applyNumberFormat="1" applyFont="1" applyBorder="1" applyAlignment="1">
      <alignment horizontal="left" vertical="center" shrinkToFit="1"/>
    </xf>
    <xf numFmtId="0" fontId="45" fillId="0" borderId="39" xfId="1" applyNumberFormat="1" applyFont="1" applyFill="1" applyBorder="1" applyAlignment="1">
      <alignment horizontal="left" vertical="center" shrinkToFit="1"/>
    </xf>
    <xf numFmtId="176" fontId="49" fillId="0" borderId="39" xfId="1" applyNumberFormat="1" applyFont="1" applyFill="1" applyBorder="1" applyAlignment="1">
      <alignment horizontal="right" vertical="center" shrinkToFit="1"/>
    </xf>
    <xf numFmtId="176" fontId="31" fillId="0" borderId="39" xfId="1" applyNumberFormat="1" applyFont="1" applyFill="1" applyBorder="1" applyAlignment="1">
      <alignment horizontal="right" vertical="center" shrinkToFit="1"/>
    </xf>
    <xf numFmtId="176" fontId="31" fillId="0" borderId="39" xfId="0" applyNumberFormat="1" applyFont="1" applyBorder="1" applyAlignment="1">
      <alignment horizontal="center" vertical="center" wrapText="1" shrinkToFit="1"/>
    </xf>
    <xf numFmtId="182" fontId="34" fillId="17" borderId="43" xfId="0" applyNumberFormat="1" applyFont="1" applyFill="1" applyBorder="1" applyAlignment="1">
      <alignment horizontal="right" vertical="center" shrinkToFit="1"/>
    </xf>
    <xf numFmtId="41" fontId="31" fillId="0" borderId="13" xfId="0" applyNumberFormat="1" applyFont="1" applyBorder="1" applyAlignment="1">
      <alignment horizontal="center" vertical="center" shrinkToFit="1"/>
    </xf>
    <xf numFmtId="41" fontId="34" fillId="0" borderId="182" xfId="0" applyNumberFormat="1" applyFont="1" applyBorder="1" applyAlignment="1">
      <alignment vertical="center" shrinkToFit="1"/>
    </xf>
    <xf numFmtId="179" fontId="8" fillId="28" borderId="188" xfId="0" applyNumberFormat="1" applyFont="1" applyFill="1" applyBorder="1" applyAlignment="1">
      <alignment vertical="center" shrinkToFit="1"/>
    </xf>
    <xf numFmtId="41" fontId="34" fillId="28" borderId="182" xfId="0" applyNumberFormat="1" applyFont="1" applyFill="1" applyBorder="1" applyAlignment="1">
      <alignment vertical="center" shrinkToFit="1"/>
    </xf>
    <xf numFmtId="179" fontId="8" fillId="28" borderId="182" xfId="0" applyNumberFormat="1" applyFont="1" applyFill="1" applyBorder="1" applyAlignment="1">
      <alignment vertical="center" shrinkToFit="1"/>
    </xf>
    <xf numFmtId="0" fontId="45" fillId="2" borderId="42" xfId="3" applyNumberFormat="1" applyFont="1" applyFill="1" applyBorder="1" applyAlignment="1">
      <alignment horizontal="left" vertical="center" shrinkToFit="1"/>
    </xf>
    <xf numFmtId="176" fontId="45" fillId="0" borderId="42" xfId="1" applyNumberFormat="1" applyFont="1" applyFill="1" applyBorder="1" applyAlignment="1">
      <alignment horizontal="right" vertical="center" shrinkToFit="1"/>
    </xf>
    <xf numFmtId="0" fontId="14" fillId="17" borderId="61" xfId="0" applyFont="1" applyFill="1" applyBorder="1" applyAlignment="1">
      <alignment horizontal="center" vertical="center" shrinkToFit="1"/>
    </xf>
    <xf numFmtId="182" fontId="30" fillId="17" borderId="42" xfId="0" applyNumberFormat="1" applyFont="1" applyFill="1" applyBorder="1" applyAlignment="1">
      <alignment horizontal="right" vertical="center" shrinkToFit="1"/>
    </xf>
    <xf numFmtId="41" fontId="31" fillId="15" borderId="0" xfId="0" applyNumberFormat="1" applyFont="1" applyFill="1" applyAlignment="1">
      <alignment horizontal="center" vertical="center" shrinkToFit="1"/>
    </xf>
    <xf numFmtId="38" fontId="31" fillId="0" borderId="61" xfId="1" applyFont="1" applyFill="1" applyBorder="1" applyAlignment="1">
      <alignment horizontal="right" vertical="center" shrinkToFit="1"/>
    </xf>
    <xf numFmtId="187" fontId="31" fillId="0" borderId="61" xfId="1" applyNumberFormat="1" applyFont="1" applyFill="1" applyBorder="1" applyAlignment="1">
      <alignment horizontal="right" vertical="center" shrinkToFit="1"/>
    </xf>
    <xf numFmtId="38" fontId="31" fillId="5" borderId="61" xfId="1" applyFont="1" applyFill="1" applyBorder="1" applyAlignment="1">
      <alignment horizontal="right" vertical="center" shrinkToFit="1"/>
    </xf>
    <xf numFmtId="40" fontId="31" fillId="0" borderId="61" xfId="1" applyNumberFormat="1" applyFont="1" applyFill="1" applyBorder="1" applyAlignment="1">
      <alignment horizontal="right" vertical="center" shrinkToFit="1"/>
    </xf>
    <xf numFmtId="38" fontId="31" fillId="0" borderId="233" xfId="1" applyFont="1" applyFill="1" applyBorder="1" applyAlignment="1">
      <alignment horizontal="right" vertical="center" shrinkToFit="1"/>
    </xf>
    <xf numFmtId="41" fontId="31" fillId="0" borderId="233" xfId="0" applyNumberFormat="1" applyFont="1" applyBorder="1" applyAlignment="1">
      <alignment horizontal="center" vertical="center" shrinkToFit="1"/>
    </xf>
    <xf numFmtId="38" fontId="51" fillId="2" borderId="73" xfId="1" applyFont="1" applyFill="1" applyBorder="1" applyAlignment="1">
      <alignment horizontal="right" vertical="center" shrinkToFit="1"/>
    </xf>
    <xf numFmtId="38" fontId="51" fillId="0" borderId="42" xfId="1" applyFont="1" applyFill="1" applyBorder="1" applyAlignment="1">
      <alignment horizontal="right" vertical="center" shrinkToFit="1"/>
    </xf>
    <xf numFmtId="38" fontId="51" fillId="0" borderId="73" xfId="1" applyFont="1" applyFill="1" applyBorder="1" applyAlignment="1">
      <alignment horizontal="right" vertical="center" shrinkToFit="1"/>
    </xf>
    <xf numFmtId="38" fontId="51" fillId="0" borderId="233" xfId="1" applyFont="1" applyFill="1" applyBorder="1" applyAlignment="1">
      <alignment horizontal="right" vertical="center" shrinkToFit="1"/>
    </xf>
    <xf numFmtId="38" fontId="31" fillId="2" borderId="73" xfId="1" applyFont="1" applyFill="1" applyBorder="1" applyAlignment="1">
      <alignment horizontal="right" vertical="center" shrinkToFit="1"/>
    </xf>
    <xf numFmtId="14" fontId="30" fillId="2" borderId="73" xfId="1" applyNumberFormat="1" applyFont="1" applyFill="1" applyBorder="1" applyAlignment="1">
      <alignment horizontal="center" vertical="center" shrinkToFit="1"/>
    </xf>
    <xf numFmtId="41" fontId="31" fillId="0" borderId="97" xfId="0" applyNumberFormat="1" applyFont="1" applyBorder="1" applyAlignment="1">
      <alignment horizontal="right" vertical="center" shrinkToFit="1"/>
    </xf>
    <xf numFmtId="0" fontId="48" fillId="17" borderId="150" xfId="0" applyFont="1" applyFill="1" applyBorder="1" applyAlignment="1">
      <alignment horizontal="center" vertical="center" shrinkToFit="1"/>
    </xf>
    <xf numFmtId="182" fontId="30" fillId="17" borderId="207" xfId="0" applyNumberFormat="1" applyFont="1" applyFill="1" applyBorder="1" applyAlignment="1">
      <alignment horizontal="right" vertical="center" shrinkToFit="1"/>
    </xf>
    <xf numFmtId="38" fontId="51" fillId="2" borderId="213" xfId="1" applyFont="1" applyFill="1" applyBorder="1" applyAlignment="1">
      <alignment horizontal="right" vertical="center" shrinkToFit="1"/>
    </xf>
    <xf numFmtId="38" fontId="51" fillId="0" borderId="207" xfId="1" applyFont="1" applyFill="1" applyBorder="1" applyAlignment="1">
      <alignment horizontal="right" vertical="center" shrinkToFit="1"/>
    </xf>
    <xf numFmtId="38" fontId="51" fillId="0" borderId="213" xfId="1" applyFont="1" applyFill="1" applyBorder="1" applyAlignment="1">
      <alignment horizontal="right" vertical="center" shrinkToFit="1"/>
    </xf>
    <xf numFmtId="14" fontId="33" fillId="0" borderId="31" xfId="0" applyNumberFormat="1" applyFont="1" applyBorder="1" applyAlignment="1">
      <alignment horizontal="center" vertical="center" shrinkToFit="1"/>
    </xf>
    <xf numFmtId="14" fontId="33" fillId="0" borderId="207" xfId="0" applyNumberFormat="1" applyFont="1" applyBorder="1" applyAlignment="1">
      <alignment horizontal="center" vertical="center" shrinkToFit="1"/>
    </xf>
    <xf numFmtId="182" fontId="49" fillId="17" borderId="150" xfId="0" applyNumberFormat="1" applyFont="1" applyFill="1" applyBorder="1" applyAlignment="1">
      <alignment horizontal="right" vertical="center" shrinkToFit="1"/>
    </xf>
    <xf numFmtId="182" fontId="50" fillId="17" borderId="208" xfId="0" applyNumberFormat="1" applyFont="1" applyFill="1" applyBorder="1" applyAlignment="1">
      <alignment horizontal="right" vertical="center" shrinkToFit="1"/>
    </xf>
    <xf numFmtId="41" fontId="31" fillId="27" borderId="99" xfId="0" applyNumberFormat="1" applyFont="1" applyFill="1" applyBorder="1" applyAlignment="1">
      <alignment horizontal="center" vertical="center" shrinkToFit="1"/>
    </xf>
    <xf numFmtId="38" fontId="31" fillId="0" borderId="207" xfId="1" applyFont="1" applyFill="1" applyBorder="1" applyAlignment="1">
      <alignment horizontal="right" vertical="center" shrinkToFit="1"/>
    </xf>
    <xf numFmtId="38" fontId="31" fillId="0" borderId="97" xfId="1" applyFont="1" applyFill="1" applyBorder="1" applyAlignment="1">
      <alignment horizontal="right" vertical="center" shrinkToFit="1"/>
    </xf>
    <xf numFmtId="41" fontId="30" fillId="0" borderId="238" xfId="0" applyNumberFormat="1" applyFont="1" applyBorder="1" applyAlignment="1">
      <alignment horizontal="center" vertical="center" shrinkToFit="1"/>
    </xf>
    <xf numFmtId="41" fontId="31" fillId="4" borderId="97" xfId="0" applyNumberFormat="1" applyFont="1" applyFill="1" applyBorder="1" applyAlignment="1">
      <alignment horizontal="center" vertical="center" shrinkToFit="1"/>
    </xf>
    <xf numFmtId="38" fontId="31" fillId="2" borderId="213" xfId="1" applyFont="1" applyFill="1" applyBorder="1" applyAlignment="1">
      <alignment horizontal="right" vertical="center" shrinkToFit="1"/>
    </xf>
    <xf numFmtId="38" fontId="30" fillId="2" borderId="213" xfId="1" applyFont="1" applyFill="1" applyBorder="1" applyAlignment="1">
      <alignment horizontal="center" vertical="center" shrinkToFit="1"/>
    </xf>
    <xf numFmtId="14" fontId="30" fillId="2" borderId="213" xfId="1" applyNumberFormat="1" applyFont="1" applyFill="1" applyBorder="1" applyAlignment="1">
      <alignment horizontal="center" vertical="center" shrinkToFit="1"/>
    </xf>
    <xf numFmtId="186" fontId="34" fillId="23" borderId="216" xfId="0" applyNumberFormat="1" applyFont="1" applyFill="1" applyBorder="1" applyAlignment="1">
      <alignment vertical="center" shrinkToFit="1"/>
    </xf>
    <xf numFmtId="41" fontId="31" fillId="0" borderId="97" xfId="0" applyNumberFormat="1" applyFont="1" applyBorder="1" applyAlignment="1">
      <alignment vertical="center" shrinkToFit="1"/>
    </xf>
    <xf numFmtId="0" fontId="45" fillId="0" borderId="31" xfId="1" applyNumberFormat="1" applyFont="1" applyFill="1" applyBorder="1" applyAlignment="1">
      <alignment horizontal="left" vertical="center" shrinkToFit="1"/>
    </xf>
    <xf numFmtId="0" fontId="45" fillId="0" borderId="32" xfId="1" applyNumberFormat="1" applyFont="1" applyFill="1" applyBorder="1" applyAlignment="1">
      <alignment horizontal="left" vertical="center" shrinkToFit="1"/>
    </xf>
    <xf numFmtId="0" fontId="3" fillId="0" borderId="240" xfId="0" applyFont="1" applyBorder="1" applyAlignment="1">
      <alignment vertical="center" shrinkToFit="1"/>
    </xf>
    <xf numFmtId="0" fontId="3" fillId="0" borderId="0" xfId="0" applyFont="1" applyAlignment="1">
      <alignment vertical="top" shrinkToFit="1"/>
    </xf>
    <xf numFmtId="0" fontId="30" fillId="0" borderId="63" xfId="0" applyFont="1" applyBorder="1" applyAlignment="1">
      <alignment horizontal="right" vertical="center" shrinkToFit="1"/>
    </xf>
    <xf numFmtId="0" fontId="50" fillId="0" borderId="0" xfId="0" applyFont="1" applyAlignment="1">
      <alignment horizontal="right" vertical="center" shrinkToFit="1"/>
    </xf>
    <xf numFmtId="0" fontId="30" fillId="0" borderId="0" xfId="0" applyFont="1" applyAlignment="1">
      <alignment horizontal="right" vertical="center" shrinkToFit="1"/>
    </xf>
    <xf numFmtId="0" fontId="34" fillId="0" borderId="0" xfId="0" applyFont="1" applyAlignment="1">
      <alignment horizontal="right" vertical="center" shrinkToFit="1"/>
    </xf>
    <xf numFmtId="0" fontId="30" fillId="0" borderId="2" xfId="0" applyFont="1" applyBorder="1" applyAlignment="1">
      <alignment horizontal="right" vertical="center"/>
    </xf>
    <xf numFmtId="0" fontId="31" fillId="0" borderId="0" xfId="0" applyFont="1" applyAlignment="1">
      <alignment horizontal="right" vertical="center" shrinkToFit="1"/>
    </xf>
    <xf numFmtId="0" fontId="53" fillId="17" borderId="108" xfId="0" applyFont="1" applyFill="1" applyBorder="1" applyAlignment="1">
      <alignment horizontal="center" vertical="center" shrinkToFit="1"/>
    </xf>
    <xf numFmtId="41" fontId="53" fillId="17" borderId="108" xfId="0" applyNumberFormat="1" applyFont="1" applyFill="1" applyBorder="1" applyAlignment="1">
      <alignment horizontal="center" vertical="center" shrinkToFit="1"/>
    </xf>
    <xf numFmtId="182" fontId="53" fillId="17" borderId="108" xfId="0" applyNumberFormat="1" applyFont="1" applyFill="1" applyBorder="1" applyAlignment="1">
      <alignment horizontal="right" vertical="center" shrinkToFit="1"/>
    </xf>
    <xf numFmtId="182" fontId="56" fillId="17" borderId="109" xfId="0" applyNumberFormat="1" applyFont="1" applyFill="1" applyBorder="1" applyAlignment="1">
      <alignment horizontal="right" vertical="center" shrinkToFit="1"/>
    </xf>
    <xf numFmtId="183" fontId="34" fillId="23" borderId="61" xfId="0" applyNumberFormat="1" applyFont="1" applyFill="1" applyBorder="1" applyAlignment="1">
      <alignment vertical="center" shrinkToFit="1"/>
    </xf>
    <xf numFmtId="41" fontId="30" fillId="0" borderId="112" xfId="0" applyNumberFormat="1" applyFont="1" applyBorder="1" applyAlignment="1">
      <alignment horizontal="center" vertical="center" shrinkToFit="1"/>
    </xf>
    <xf numFmtId="177" fontId="30" fillId="24" borderId="232" xfId="0" applyNumberFormat="1" applyFont="1" applyFill="1" applyBorder="1" applyAlignment="1">
      <alignment vertical="center" shrinkToFit="1"/>
    </xf>
    <xf numFmtId="9" fontId="30" fillId="24" borderId="110" xfId="2" applyFont="1" applyFill="1" applyBorder="1" applyAlignment="1">
      <alignment horizontal="right" vertical="center" shrinkToFit="1"/>
    </xf>
    <xf numFmtId="41" fontId="45" fillId="2" borderId="112" xfId="0" applyNumberFormat="1" applyFont="1" applyFill="1" applyBorder="1" applyAlignment="1">
      <alignment horizontal="center" vertical="center" shrinkToFit="1"/>
    </xf>
    <xf numFmtId="178" fontId="30" fillId="5" borderId="112" xfId="0" applyNumberFormat="1" applyFont="1" applyFill="1" applyBorder="1" applyAlignment="1">
      <alignment vertical="center" shrinkToFit="1"/>
    </xf>
    <xf numFmtId="38" fontId="31" fillId="10" borderId="169" xfId="1" applyFont="1" applyFill="1" applyBorder="1" applyAlignment="1">
      <alignment horizontal="right" vertical="center" shrinkToFit="1"/>
    </xf>
    <xf numFmtId="184" fontId="45" fillId="25" borderId="219" xfId="0" applyNumberFormat="1" applyFont="1" applyFill="1" applyBorder="1" applyAlignment="1">
      <alignment horizontal="right" vertical="center" shrinkToFit="1"/>
    </xf>
    <xf numFmtId="185" fontId="45" fillId="25" borderId="220" xfId="0" applyNumberFormat="1" applyFont="1" applyFill="1" applyBorder="1" applyAlignment="1">
      <alignment horizontal="right" vertical="center" shrinkToFit="1"/>
    </xf>
    <xf numFmtId="41" fontId="34" fillId="0" borderId="101" xfId="0" applyNumberFormat="1" applyFont="1" applyBorder="1" applyAlignment="1">
      <alignment vertical="center" shrinkToFit="1"/>
    </xf>
    <xf numFmtId="41" fontId="33" fillId="4" borderId="70" xfId="0" applyNumberFormat="1" applyFont="1" applyFill="1" applyBorder="1" applyAlignment="1">
      <alignment horizontal="center" vertical="center" shrinkToFit="1"/>
    </xf>
    <xf numFmtId="38" fontId="54" fillId="0" borderId="42" xfId="1" applyFont="1" applyFill="1" applyBorder="1" applyAlignment="1">
      <alignment horizontal="right" vertical="center" shrinkToFit="1"/>
    </xf>
    <xf numFmtId="41" fontId="33" fillId="26" borderId="86" xfId="0" applyNumberFormat="1" applyFont="1" applyFill="1" applyBorder="1" applyAlignment="1">
      <alignment horizontal="center" vertical="center" shrinkToFit="1"/>
    </xf>
    <xf numFmtId="0" fontId="31" fillId="0" borderId="112" xfId="6" applyFont="1" applyBorder="1" applyAlignment="1">
      <alignment horizontal="center" vertical="center" shrinkToFit="1"/>
    </xf>
    <xf numFmtId="0" fontId="45" fillId="2" borderId="67" xfId="3" applyNumberFormat="1" applyFont="1" applyFill="1" applyBorder="1" applyAlignment="1">
      <alignment horizontal="left" vertical="center" shrinkToFit="1"/>
    </xf>
    <xf numFmtId="0" fontId="55" fillId="0" borderId="108" xfId="1" applyNumberFormat="1" applyFont="1" applyFill="1" applyBorder="1" applyAlignment="1">
      <alignment horizontal="left" vertical="center" shrinkToFit="1"/>
    </xf>
    <xf numFmtId="41" fontId="51" fillId="17" borderId="110" xfId="0" applyNumberFormat="1" applyFont="1" applyFill="1" applyBorder="1" applyAlignment="1">
      <alignment horizontal="center" vertical="center" shrinkToFit="1"/>
    </xf>
    <xf numFmtId="0" fontId="31" fillId="0" borderId="169" xfId="6" applyFont="1" applyBorder="1" applyAlignment="1">
      <alignment horizontal="center" vertical="center" shrinkToFit="1"/>
    </xf>
    <xf numFmtId="41" fontId="57" fillId="10" borderId="169" xfId="0" applyNumberFormat="1" applyFont="1" applyFill="1" applyBorder="1" applyAlignment="1">
      <alignment horizontal="center" vertical="center" shrinkToFit="1"/>
    </xf>
    <xf numFmtId="38" fontId="57" fillId="10" borderId="0" xfId="1" applyFont="1" applyFill="1" applyBorder="1" applyAlignment="1">
      <alignment horizontal="right" vertical="center" shrinkToFit="1"/>
    </xf>
    <xf numFmtId="41" fontId="58" fillId="10" borderId="200" xfId="0" applyNumberFormat="1" applyFont="1" applyFill="1" applyBorder="1" applyAlignment="1">
      <alignment horizontal="center" vertical="center" shrinkToFit="1"/>
    </xf>
    <xf numFmtId="182" fontId="47" fillId="17" borderId="61" xfId="0" applyNumberFormat="1" applyFont="1" applyFill="1" applyBorder="1" applyAlignment="1">
      <alignment horizontal="right" vertical="center" shrinkToFit="1"/>
    </xf>
    <xf numFmtId="41" fontId="31" fillId="27" borderId="180" xfId="0" applyNumberFormat="1" applyFont="1" applyFill="1" applyBorder="1" applyAlignment="1">
      <alignment horizontal="center" vertical="center" shrinkToFit="1"/>
    </xf>
    <xf numFmtId="38" fontId="45" fillId="2" borderId="110" xfId="1" applyFont="1" applyFill="1" applyBorder="1" applyAlignment="1">
      <alignment horizontal="right" vertical="center" shrinkToFit="1"/>
    </xf>
    <xf numFmtId="38" fontId="45" fillId="0" borderId="110" xfId="1" applyFont="1" applyFill="1" applyBorder="1" applyAlignment="1">
      <alignment horizontal="right" vertical="center" shrinkToFit="1"/>
    </xf>
    <xf numFmtId="41" fontId="31" fillId="10" borderId="182" xfId="0" applyNumberFormat="1" applyFont="1" applyFill="1" applyBorder="1" applyAlignment="1">
      <alignment horizontal="left" vertical="center" shrinkToFit="1"/>
    </xf>
    <xf numFmtId="41" fontId="30" fillId="10" borderId="182" xfId="0" applyNumberFormat="1" applyFont="1" applyFill="1" applyBorder="1" applyAlignment="1">
      <alignment horizontal="center" vertical="center" shrinkToFit="1"/>
    </xf>
    <xf numFmtId="14" fontId="30" fillId="10" borderId="182" xfId="0" applyNumberFormat="1" applyFont="1" applyFill="1" applyBorder="1" applyAlignment="1">
      <alignment horizontal="center" vertical="center" shrinkToFit="1"/>
    </xf>
    <xf numFmtId="41" fontId="34" fillId="15" borderId="223" xfId="0" applyNumberFormat="1" applyFont="1" applyFill="1" applyBorder="1" applyAlignment="1">
      <alignment vertical="center" shrinkToFit="1"/>
    </xf>
    <xf numFmtId="176" fontId="49" fillId="0" borderId="42" xfId="1" applyNumberFormat="1" applyFont="1" applyBorder="1" applyAlignment="1">
      <alignment horizontal="right" vertical="center" wrapText="1" shrinkToFit="1"/>
    </xf>
    <xf numFmtId="14" fontId="30" fillId="10" borderId="82" xfId="0" applyNumberFormat="1" applyFont="1" applyFill="1" applyBorder="1" applyAlignment="1">
      <alignment horizontal="center" vertical="center" shrinkToFit="1"/>
    </xf>
    <xf numFmtId="41" fontId="34" fillId="0" borderId="82" xfId="0" applyNumberFormat="1" applyFont="1" applyBorder="1" applyAlignment="1">
      <alignment vertical="center" shrinkToFit="1"/>
    </xf>
    <xf numFmtId="41" fontId="34" fillId="15" borderId="118" xfId="0" applyNumberFormat="1" applyFont="1" applyFill="1" applyBorder="1" applyAlignment="1">
      <alignment vertical="center" shrinkToFit="1"/>
    </xf>
    <xf numFmtId="0" fontId="59" fillId="0" borderId="0" xfId="0" applyFont="1" applyAlignment="1">
      <alignment vertical="center" shrinkToFit="1"/>
    </xf>
    <xf numFmtId="0" fontId="44" fillId="0" borderId="0" xfId="6" applyFont="1" applyAlignment="1">
      <alignment horizontal="center" vertical="center" shrinkToFit="1"/>
    </xf>
    <xf numFmtId="0" fontId="44" fillId="0" borderId="42" xfId="6" applyFont="1" applyBorder="1" applyAlignment="1">
      <alignment horizontal="center" vertical="center" shrinkToFit="1"/>
    </xf>
    <xf numFmtId="0" fontId="51" fillId="10" borderId="42" xfId="1" applyNumberFormat="1" applyFont="1" applyFill="1" applyBorder="1" applyAlignment="1">
      <alignment horizontal="center" vertical="center" shrinkToFit="1"/>
    </xf>
    <xf numFmtId="176" fontId="44" fillId="0" borderId="42" xfId="1" applyNumberFormat="1" applyFont="1" applyBorder="1" applyAlignment="1">
      <alignment horizontal="right" vertical="center" shrinkToFit="1"/>
    </xf>
    <xf numFmtId="176" fontId="44" fillId="0" borderId="42" xfId="6" applyNumberFormat="1" applyFont="1" applyBorder="1" applyAlignment="1">
      <alignment horizontal="right" vertical="center" shrinkToFit="1"/>
    </xf>
    <xf numFmtId="176" fontId="44" fillId="0" borderId="42" xfId="6" applyNumberFormat="1" applyFont="1" applyBorder="1" applyAlignment="1">
      <alignment horizontal="center" vertical="center" shrinkToFit="1"/>
    </xf>
    <xf numFmtId="0" fontId="51" fillId="0" borderId="42" xfId="1" applyNumberFormat="1" applyFont="1" applyBorder="1" applyAlignment="1">
      <alignment horizontal="center" vertical="center" shrinkToFit="1"/>
    </xf>
    <xf numFmtId="0" fontId="44" fillId="0" borderId="62" xfId="6" applyFont="1" applyBorder="1" applyAlignment="1">
      <alignment horizontal="center" vertical="center" shrinkToFit="1"/>
    </xf>
    <xf numFmtId="0" fontId="2" fillId="0" borderId="62" xfId="3" applyBorder="1" applyAlignment="1">
      <alignment horizontal="center" vertical="center" shrinkToFit="1"/>
    </xf>
    <xf numFmtId="41" fontId="33" fillId="0" borderId="119" xfId="0" applyNumberFormat="1" applyFont="1" applyBorder="1" applyAlignment="1">
      <alignment vertical="center" shrinkToFit="1"/>
    </xf>
    <xf numFmtId="41" fontId="33" fillId="0" borderId="117" xfId="0" applyNumberFormat="1" applyFont="1" applyBorder="1" applyAlignment="1">
      <alignment vertical="center" shrinkToFit="1"/>
    </xf>
    <xf numFmtId="41" fontId="33" fillId="0" borderId="118" xfId="0" applyNumberFormat="1" applyFont="1" applyBorder="1" applyAlignment="1">
      <alignment vertical="center" shrinkToFit="1"/>
    </xf>
    <xf numFmtId="41" fontId="33" fillId="15" borderId="118" xfId="0" applyNumberFormat="1" applyFont="1" applyFill="1" applyBorder="1" applyAlignment="1">
      <alignment vertical="center" shrinkToFit="1"/>
    </xf>
    <xf numFmtId="41" fontId="33" fillId="0" borderId="120" xfId="0" applyNumberFormat="1" applyFont="1" applyBorder="1" applyAlignment="1">
      <alignment vertical="center" shrinkToFit="1"/>
    </xf>
    <xf numFmtId="41" fontId="44" fillId="0" borderId="0" xfId="0" applyNumberFormat="1" applyFont="1" applyAlignment="1">
      <alignment vertical="center" shrinkToFit="1"/>
    </xf>
    <xf numFmtId="41" fontId="44" fillId="17" borderId="110" xfId="0" applyNumberFormat="1" applyFont="1" applyFill="1" applyBorder="1" applyAlignment="1">
      <alignment horizontal="center" vertical="center" shrinkToFit="1"/>
    </xf>
    <xf numFmtId="182" fontId="44" fillId="17" borderId="110" xfId="0" applyNumberFormat="1" applyFont="1" applyFill="1" applyBorder="1" applyAlignment="1">
      <alignment horizontal="right" vertical="center" shrinkToFit="1"/>
    </xf>
    <xf numFmtId="182" fontId="60" fillId="17" borderId="62" xfId="0" applyNumberFormat="1" applyFont="1" applyFill="1" applyBorder="1" applyAlignment="1">
      <alignment vertical="center" shrinkToFit="1"/>
    </xf>
    <xf numFmtId="177" fontId="60" fillId="24" borderId="75" xfId="0" applyNumberFormat="1" applyFont="1" applyFill="1" applyBorder="1" applyAlignment="1">
      <alignment vertical="center" shrinkToFit="1"/>
    </xf>
    <xf numFmtId="9" fontId="60" fillId="24" borderId="42" xfId="2" applyFont="1" applyFill="1" applyBorder="1" applyAlignment="1">
      <alignment vertical="center" shrinkToFit="1"/>
    </xf>
    <xf numFmtId="41" fontId="44" fillId="10" borderId="76" xfId="0" applyNumberFormat="1" applyFont="1" applyFill="1" applyBorder="1" applyAlignment="1">
      <alignment horizontal="center" vertical="center" shrinkToFit="1"/>
    </xf>
    <xf numFmtId="0" fontId="51" fillId="0" borderId="75" xfId="1" applyNumberFormat="1" applyFont="1" applyBorder="1" applyAlignment="1">
      <alignment vertical="center" shrinkToFit="1"/>
    </xf>
    <xf numFmtId="0" fontId="51" fillId="0" borderId="95" xfId="1" applyNumberFormat="1" applyFont="1" applyBorder="1" applyAlignment="1">
      <alignment vertical="center" shrinkToFit="1"/>
    </xf>
    <xf numFmtId="0" fontId="59" fillId="0" borderId="1" xfId="0" applyFont="1" applyBorder="1" applyAlignment="1">
      <alignment vertical="center" shrinkToFit="1"/>
    </xf>
    <xf numFmtId="0" fontId="44" fillId="0" borderId="108" xfId="6" applyFont="1" applyBorder="1" applyAlignment="1">
      <alignment horizontal="center" vertical="center" shrinkToFit="1"/>
    </xf>
    <xf numFmtId="0" fontId="51" fillId="10" borderId="108" xfId="1" applyNumberFormat="1" applyFont="1" applyFill="1" applyBorder="1" applyAlignment="1">
      <alignment horizontal="center" vertical="center" shrinkToFit="1"/>
    </xf>
    <xf numFmtId="176" fontId="44" fillId="0" borderId="108" xfId="1" applyNumberFormat="1" applyFont="1" applyBorder="1" applyAlignment="1">
      <alignment horizontal="right" vertical="center" shrinkToFit="1"/>
    </xf>
    <xf numFmtId="176" fontId="44" fillId="0" borderId="108" xfId="6" applyNumberFormat="1" applyFont="1" applyBorder="1" applyAlignment="1">
      <alignment horizontal="right" vertical="center" shrinkToFit="1"/>
    </xf>
    <xf numFmtId="176" fontId="44" fillId="0" borderId="108" xfId="6" applyNumberFormat="1" applyFont="1" applyBorder="1" applyAlignment="1">
      <alignment horizontal="center" vertical="center" shrinkToFit="1"/>
    </xf>
    <xf numFmtId="0" fontId="51" fillId="0" borderId="108" xfId="1" applyNumberFormat="1" applyFont="1" applyBorder="1" applyAlignment="1">
      <alignment horizontal="center" vertical="center" shrinkToFit="1"/>
    </xf>
    <xf numFmtId="0" fontId="44" fillId="0" borderId="109" xfId="6" applyFont="1" applyBorder="1" applyAlignment="1">
      <alignment horizontal="center" vertical="center" shrinkToFit="1"/>
    </xf>
    <xf numFmtId="41" fontId="44" fillId="10" borderId="174" xfId="0" applyNumberFormat="1" applyFont="1" applyFill="1" applyBorder="1" applyAlignment="1">
      <alignment horizontal="center" vertical="center" shrinkToFit="1"/>
    </xf>
    <xf numFmtId="41" fontId="44" fillId="10" borderId="169" xfId="0" applyNumberFormat="1" applyFont="1" applyFill="1" applyBorder="1" applyAlignment="1">
      <alignment horizontal="center" vertical="center" shrinkToFit="1"/>
    </xf>
    <xf numFmtId="41" fontId="44" fillId="10" borderId="169" xfId="0" applyNumberFormat="1" applyFont="1" applyFill="1" applyBorder="1" applyAlignment="1">
      <alignment horizontal="left" vertical="center" shrinkToFit="1"/>
    </xf>
    <xf numFmtId="41" fontId="33" fillId="0" borderId="218" xfId="0" applyNumberFormat="1" applyFont="1" applyBorder="1" applyAlignment="1">
      <alignment vertical="center" shrinkToFit="1"/>
    </xf>
    <xf numFmtId="41" fontId="33" fillId="0" borderId="108" xfId="0" applyNumberFormat="1" applyFont="1" applyBorder="1" applyAlignment="1">
      <alignment vertical="center" shrinkToFit="1"/>
    </xf>
    <xf numFmtId="41" fontId="33" fillId="0" borderId="203" xfId="0" applyNumberFormat="1" applyFont="1" applyBorder="1" applyAlignment="1">
      <alignment vertical="center" shrinkToFit="1"/>
    </xf>
    <xf numFmtId="41" fontId="44" fillId="17" borderId="108" xfId="0" applyNumberFormat="1" applyFont="1" applyFill="1" applyBorder="1" applyAlignment="1">
      <alignment horizontal="center" vertical="center" shrinkToFit="1"/>
    </xf>
    <xf numFmtId="182" fontId="44" fillId="17" borderId="108" xfId="0" applyNumberFormat="1" applyFont="1" applyFill="1" applyBorder="1" applyAlignment="1">
      <alignment horizontal="right" vertical="center" shrinkToFit="1"/>
    </xf>
    <xf numFmtId="182" fontId="60" fillId="17" borderId="109" xfId="0" applyNumberFormat="1" applyFont="1" applyFill="1" applyBorder="1" applyAlignment="1">
      <alignment vertical="center" shrinkToFit="1"/>
    </xf>
    <xf numFmtId="177" fontId="60" fillId="24" borderId="107" xfId="0" applyNumberFormat="1" applyFont="1" applyFill="1" applyBorder="1" applyAlignment="1">
      <alignment vertical="center" shrinkToFit="1"/>
    </xf>
    <xf numFmtId="9" fontId="60" fillId="24" borderId="108" xfId="2" applyFont="1" applyFill="1" applyBorder="1" applyAlignment="1">
      <alignment vertical="center" shrinkToFit="1"/>
    </xf>
    <xf numFmtId="41" fontId="44" fillId="10" borderId="102" xfId="0" applyNumberFormat="1" applyFont="1" applyFill="1" applyBorder="1" applyAlignment="1">
      <alignment horizontal="center" vertical="center" shrinkToFit="1"/>
    </xf>
    <xf numFmtId="41" fontId="33" fillId="0" borderId="109" xfId="0" applyNumberFormat="1" applyFont="1" applyBorder="1" applyAlignment="1">
      <alignment vertical="center" shrinkToFit="1"/>
    </xf>
    <xf numFmtId="41" fontId="33" fillId="0" borderId="202" xfId="0" applyNumberFormat="1" applyFont="1" applyBorder="1" applyAlignment="1">
      <alignment vertical="center" shrinkToFit="1"/>
    </xf>
    <xf numFmtId="41" fontId="33" fillId="0" borderId="69" xfId="0" applyNumberFormat="1" applyFont="1" applyBorder="1" applyAlignment="1">
      <alignment vertical="center" shrinkToFit="1"/>
    </xf>
    <xf numFmtId="0" fontId="59" fillId="0" borderId="13" xfId="0" applyFont="1" applyBorder="1" applyAlignment="1">
      <alignment vertical="center" shrinkToFit="1"/>
    </xf>
    <xf numFmtId="0" fontId="44" fillId="0" borderId="63" xfId="6" applyFont="1" applyBorder="1" applyAlignment="1">
      <alignment horizontal="center" vertical="center" shrinkToFit="1"/>
    </xf>
    <xf numFmtId="41" fontId="44" fillId="17" borderId="61" xfId="0" applyNumberFormat="1" applyFont="1" applyFill="1" applyBorder="1" applyAlignment="1">
      <alignment horizontal="center" vertical="center" shrinkToFit="1"/>
    </xf>
    <xf numFmtId="182" fontId="44" fillId="17" borderId="61" xfId="0" applyNumberFormat="1" applyFont="1" applyFill="1" applyBorder="1" applyAlignment="1">
      <alignment horizontal="right" vertical="center" shrinkToFit="1"/>
    </xf>
    <xf numFmtId="0" fontId="44" fillId="0" borderId="169" xfId="6" applyFont="1" applyBorder="1" applyAlignment="1">
      <alignment horizontal="center" vertical="center" shrinkToFit="1"/>
    </xf>
    <xf numFmtId="41" fontId="44" fillId="10" borderId="88" xfId="0" applyNumberFormat="1" applyFont="1" applyFill="1" applyBorder="1" applyAlignment="1">
      <alignment horizontal="center" vertical="center" shrinkToFit="1"/>
    </xf>
    <xf numFmtId="0" fontId="45" fillId="4" borderId="67" xfId="3" applyNumberFormat="1" applyFont="1" applyFill="1" applyBorder="1" applyAlignment="1">
      <alignment horizontal="left" vertical="center" shrinkToFit="1"/>
    </xf>
    <xf numFmtId="182" fontId="34" fillId="17" borderId="117" xfId="0" applyNumberFormat="1" applyFont="1" applyFill="1" applyBorder="1" applyAlignment="1">
      <alignment horizontal="right" vertical="center" shrinkToFit="1"/>
    </xf>
    <xf numFmtId="182" fontId="30" fillId="17" borderId="117" xfId="0" applyNumberFormat="1" applyFont="1" applyFill="1" applyBorder="1" applyAlignment="1">
      <alignment horizontal="right" vertical="center" shrinkToFit="1"/>
    </xf>
    <xf numFmtId="0" fontId="45" fillId="17" borderId="42" xfId="0" applyFont="1" applyFill="1" applyBorder="1" applyAlignment="1">
      <alignment horizontal="right" vertical="center" shrinkToFit="1"/>
    </xf>
    <xf numFmtId="0" fontId="45" fillId="24" borderId="42" xfId="0" applyFont="1" applyFill="1" applyBorder="1" applyAlignment="1">
      <alignment horizontal="right" vertical="center" shrinkToFit="1"/>
    </xf>
    <xf numFmtId="0" fontId="45" fillId="2" borderId="42" xfId="0" applyFont="1" applyFill="1" applyBorder="1" applyAlignment="1">
      <alignment horizontal="right" vertical="center" shrinkToFit="1"/>
    </xf>
    <xf numFmtId="184" fontId="45" fillId="2" borderId="219" xfId="0" applyNumberFormat="1" applyFont="1" applyFill="1" applyBorder="1" applyAlignment="1">
      <alignment horizontal="center" vertical="center" shrinkToFit="1"/>
    </xf>
    <xf numFmtId="185" fontId="45" fillId="2" borderId="220" xfId="0" applyNumberFormat="1" applyFont="1" applyFill="1" applyBorder="1" applyAlignment="1">
      <alignment horizontal="center" vertical="center" shrinkToFit="1"/>
    </xf>
    <xf numFmtId="0" fontId="31" fillId="0" borderId="111" xfId="6" applyFont="1" applyBorder="1" applyAlignment="1">
      <alignment horizontal="center" vertical="center" shrinkToFit="1"/>
    </xf>
    <xf numFmtId="0" fontId="2" fillId="0" borderId="111" xfId="3" applyBorder="1" applyAlignment="1">
      <alignment horizontal="center" vertical="center" shrinkToFit="1"/>
    </xf>
    <xf numFmtId="182" fontId="34" fillId="17" borderId="67" xfId="0" applyNumberFormat="1" applyFont="1" applyFill="1" applyBorder="1" applyAlignment="1">
      <alignment horizontal="right" vertical="center" shrinkToFit="1"/>
    </xf>
    <xf numFmtId="38" fontId="31" fillId="4" borderId="110" xfId="1" applyFont="1" applyFill="1" applyBorder="1" applyAlignment="1">
      <alignment horizontal="right" vertical="center" shrinkToFit="1"/>
    </xf>
    <xf numFmtId="182" fontId="50" fillId="17" borderId="67" xfId="0" applyNumberFormat="1" applyFont="1" applyFill="1" applyBorder="1" applyAlignment="1">
      <alignment horizontal="right" vertical="center" shrinkToFit="1"/>
    </xf>
    <xf numFmtId="0" fontId="45" fillId="24" borderId="116" xfId="0" applyFont="1" applyFill="1" applyBorder="1" applyAlignment="1">
      <alignment horizontal="center" vertical="center" shrinkToFit="1"/>
    </xf>
    <xf numFmtId="38" fontId="61" fillId="0" borderId="0" xfId="1" applyFont="1" applyFill="1" applyBorder="1" applyAlignment="1">
      <alignment horizontal="right" vertical="center" shrinkToFit="1"/>
    </xf>
    <xf numFmtId="182" fontId="30" fillId="17" borderId="108" xfId="0" applyNumberFormat="1" applyFont="1" applyFill="1" applyBorder="1" applyAlignment="1">
      <alignment vertical="center" shrinkToFit="1"/>
    </xf>
    <xf numFmtId="182" fontId="30" fillId="17" borderId="218" xfId="0" applyNumberFormat="1" applyFont="1" applyFill="1" applyBorder="1" applyAlignment="1">
      <alignment vertical="center" shrinkToFit="1"/>
    </xf>
    <xf numFmtId="0" fontId="45" fillId="24" borderId="104" xfId="0" applyFont="1" applyFill="1" applyBorder="1" applyAlignment="1">
      <alignment horizontal="center" vertical="center" shrinkToFit="1"/>
    </xf>
    <xf numFmtId="182" fontId="30" fillId="17" borderId="65" xfId="0" applyNumberFormat="1" applyFont="1" applyFill="1" applyBorder="1" applyAlignment="1">
      <alignment vertical="center" shrinkToFit="1"/>
    </xf>
    <xf numFmtId="0" fontId="45" fillId="24" borderId="65" xfId="0" applyFont="1" applyFill="1" applyBorder="1" applyAlignment="1">
      <alignment horizontal="center" vertical="center" shrinkToFit="1"/>
    </xf>
    <xf numFmtId="41" fontId="31" fillId="2" borderId="73" xfId="0" applyNumberFormat="1" applyFont="1" applyFill="1" applyBorder="1" applyAlignment="1">
      <alignment horizontal="center" vertical="center" shrinkToFit="1"/>
    </xf>
    <xf numFmtId="38" fontId="30" fillId="2" borderId="67" xfId="1" applyFont="1" applyFill="1" applyBorder="1" applyAlignment="1">
      <alignment horizontal="center" vertical="center" shrinkToFit="1"/>
    </xf>
    <xf numFmtId="41" fontId="33" fillId="4" borderId="68" xfId="0" applyNumberFormat="1" applyFont="1" applyFill="1" applyBorder="1" applyAlignment="1">
      <alignment horizontal="center" vertical="center" shrinkToFit="1"/>
    </xf>
    <xf numFmtId="41" fontId="31" fillId="23" borderId="112" xfId="0" applyNumberFormat="1" applyFont="1" applyFill="1" applyBorder="1" applyAlignment="1">
      <alignment horizontal="center" vertical="center" shrinkToFit="1"/>
    </xf>
    <xf numFmtId="14" fontId="30" fillId="5" borderId="65" xfId="1" applyNumberFormat="1" applyFont="1" applyFill="1" applyBorder="1" applyAlignment="1">
      <alignment horizontal="center" vertical="center" shrinkToFit="1"/>
    </xf>
    <xf numFmtId="186" fontId="34" fillId="23" borderId="117" xfId="0" applyNumberFormat="1" applyFont="1" applyFill="1" applyBorder="1" applyAlignment="1">
      <alignment vertical="center" shrinkToFit="1"/>
    </xf>
    <xf numFmtId="179" fontId="34" fillId="0" borderId="42" xfId="0" applyNumberFormat="1" applyFont="1" applyBorder="1" applyAlignment="1">
      <alignment vertical="center" shrinkToFit="1"/>
    </xf>
    <xf numFmtId="179" fontId="34" fillId="0" borderId="62" xfId="0" applyNumberFormat="1" applyFont="1" applyBorder="1" applyAlignment="1">
      <alignment vertical="center" shrinkToFit="1"/>
    </xf>
    <xf numFmtId="179" fontId="34" fillId="0" borderId="69" xfId="0" applyNumberFormat="1" applyFont="1" applyBorder="1" applyAlignment="1">
      <alignment vertical="center" shrinkToFit="1"/>
    </xf>
    <xf numFmtId="179" fontId="34" fillId="0" borderId="65" xfId="0" applyNumberFormat="1" applyFont="1" applyBorder="1" applyAlignment="1">
      <alignment vertical="center" shrinkToFit="1"/>
    </xf>
    <xf numFmtId="179" fontId="8" fillId="26" borderId="65" xfId="0" applyNumberFormat="1" applyFont="1" applyFill="1" applyBorder="1" applyAlignment="1">
      <alignment vertical="center" shrinkToFit="1"/>
    </xf>
    <xf numFmtId="0" fontId="45" fillId="2" borderId="42" xfId="3" applyNumberFormat="1" applyFont="1" applyFill="1" applyBorder="1" applyAlignment="1">
      <alignment vertical="center" shrinkToFit="1"/>
    </xf>
    <xf numFmtId="0" fontId="31" fillId="0" borderId="241" xfId="6" applyFont="1" applyBorder="1" applyAlignment="1">
      <alignment horizontal="center" vertical="center" shrinkToFit="1"/>
    </xf>
    <xf numFmtId="0" fontId="31" fillId="0" borderId="11" xfId="6" applyFont="1" applyBorder="1" applyAlignment="1">
      <alignment horizontal="center" vertical="center" shrinkToFit="1"/>
    </xf>
    <xf numFmtId="0" fontId="31" fillId="0" borderId="242" xfId="6" applyFont="1" applyBorder="1" applyAlignment="1">
      <alignment horizontal="center" vertical="center" shrinkToFit="1"/>
    </xf>
    <xf numFmtId="0" fontId="45" fillId="10" borderId="242" xfId="1" applyNumberFormat="1" applyFont="1" applyFill="1" applyBorder="1" applyAlignment="1">
      <alignment horizontal="center" vertical="center" shrinkToFit="1"/>
    </xf>
    <xf numFmtId="0" fontId="45" fillId="0" borderId="242" xfId="1" applyNumberFormat="1" applyFont="1" applyFill="1" applyBorder="1" applyAlignment="1">
      <alignment vertical="center" shrinkToFit="1"/>
    </xf>
    <xf numFmtId="176" fontId="31" fillId="0" borderId="242" xfId="1" applyNumberFormat="1" applyFont="1" applyBorder="1" applyAlignment="1">
      <alignment horizontal="right" vertical="center" shrinkToFit="1"/>
    </xf>
    <xf numFmtId="176" fontId="31" fillId="0" borderId="242" xfId="6" applyNumberFormat="1" applyFont="1" applyBorder="1" applyAlignment="1">
      <alignment horizontal="right" vertical="center" shrinkToFit="1"/>
    </xf>
    <xf numFmtId="176" fontId="31" fillId="0" borderId="242" xfId="6" applyNumberFormat="1" applyFont="1" applyBorder="1" applyAlignment="1">
      <alignment horizontal="center" vertical="center" shrinkToFit="1"/>
    </xf>
    <xf numFmtId="0" fontId="45" fillId="0" borderId="242" xfId="1" applyNumberFormat="1" applyFont="1" applyFill="1" applyBorder="1" applyAlignment="1">
      <alignment horizontal="center" vertical="center" shrinkToFit="1"/>
    </xf>
    <xf numFmtId="0" fontId="45" fillId="17" borderId="243" xfId="0" applyFont="1" applyFill="1" applyBorder="1" applyAlignment="1">
      <alignment horizontal="center" vertical="center" shrinkToFit="1"/>
    </xf>
    <xf numFmtId="41" fontId="45" fillId="17" borderId="243" xfId="0" applyNumberFormat="1" applyFont="1" applyFill="1" applyBorder="1" applyAlignment="1">
      <alignment horizontal="center" vertical="center" shrinkToFit="1"/>
    </xf>
    <xf numFmtId="182" fontId="45" fillId="17" borderId="243" xfId="0" applyNumberFormat="1" applyFont="1" applyFill="1" applyBorder="1" applyAlignment="1">
      <alignment horizontal="right" vertical="center" shrinkToFit="1"/>
    </xf>
    <xf numFmtId="182" fontId="34" fillId="17" borderId="244" xfId="0" applyNumberFormat="1" applyFont="1" applyFill="1" applyBorder="1" applyAlignment="1">
      <alignment vertical="center" shrinkToFit="1"/>
    </xf>
    <xf numFmtId="41" fontId="31" fillId="10" borderId="245" xfId="0" applyNumberFormat="1" applyFont="1" applyFill="1" applyBorder="1" applyAlignment="1">
      <alignment horizontal="center" vertical="center" shrinkToFit="1"/>
    </xf>
    <xf numFmtId="41" fontId="31" fillId="10" borderId="11" xfId="0" applyNumberFormat="1" applyFont="1" applyFill="1" applyBorder="1" applyAlignment="1">
      <alignment horizontal="center" vertical="center" shrinkToFit="1"/>
    </xf>
    <xf numFmtId="41" fontId="30" fillId="10" borderId="246" xfId="0" applyNumberFormat="1" applyFont="1" applyFill="1" applyBorder="1" applyAlignment="1">
      <alignment horizontal="center" vertical="center" shrinkToFit="1"/>
    </xf>
    <xf numFmtId="41" fontId="31" fillId="10" borderId="11" xfId="0" applyNumberFormat="1" applyFont="1" applyFill="1" applyBorder="1" applyAlignment="1">
      <alignment horizontal="left" vertical="center" shrinkToFit="1"/>
    </xf>
    <xf numFmtId="41" fontId="30" fillId="10" borderId="11" xfId="0" applyNumberFormat="1" applyFont="1" applyFill="1" applyBorder="1" applyAlignment="1">
      <alignment horizontal="center" vertical="center" shrinkToFit="1"/>
    </xf>
    <xf numFmtId="41" fontId="30" fillId="10" borderId="247" xfId="0" applyNumberFormat="1" applyFont="1" applyFill="1" applyBorder="1" applyAlignment="1">
      <alignment horizontal="center" vertical="center" shrinkToFit="1"/>
    </xf>
    <xf numFmtId="41" fontId="30" fillId="0" borderId="242" xfId="0" applyNumberFormat="1" applyFont="1" applyBorder="1" applyAlignment="1">
      <alignment horizontal="center" vertical="center" shrinkToFit="1"/>
    </xf>
    <xf numFmtId="41" fontId="34" fillId="0" borderId="248" xfId="0" applyNumberFormat="1" applyFont="1" applyBorder="1" applyAlignment="1">
      <alignment vertical="center" shrinkToFit="1"/>
    </xf>
    <xf numFmtId="41" fontId="34" fillId="0" borderId="242" xfId="0" applyNumberFormat="1" applyFont="1" applyBorder="1" applyAlignment="1">
      <alignment vertical="center" shrinkToFit="1"/>
    </xf>
    <xf numFmtId="179" fontId="8" fillId="26" borderId="243" xfId="0" applyNumberFormat="1" applyFont="1" applyFill="1" applyBorder="1" applyAlignment="1">
      <alignment vertical="center" shrinkToFit="1"/>
    </xf>
    <xf numFmtId="179" fontId="8" fillId="26" borderId="249" xfId="0" applyNumberFormat="1" applyFont="1" applyFill="1" applyBorder="1" applyAlignment="1">
      <alignment vertical="center" shrinkToFit="1"/>
    </xf>
    <xf numFmtId="179" fontId="8" fillId="26" borderId="250" xfId="0" applyNumberFormat="1" applyFont="1" applyFill="1" applyBorder="1" applyAlignment="1">
      <alignment vertical="center" shrinkToFit="1"/>
    </xf>
    <xf numFmtId="179" fontId="8" fillId="26" borderId="251" xfId="0" applyNumberFormat="1" applyFont="1" applyFill="1" applyBorder="1" applyAlignment="1">
      <alignment vertical="center" shrinkToFit="1"/>
    </xf>
    <xf numFmtId="41" fontId="34" fillId="0" borderId="244" xfId="0" applyNumberFormat="1" applyFont="1" applyBorder="1" applyAlignment="1">
      <alignment vertical="center" shrinkToFit="1"/>
    </xf>
    <xf numFmtId="41" fontId="34" fillId="0" borderId="252" xfId="0" applyNumberFormat="1" applyFont="1" applyBorder="1" applyAlignment="1">
      <alignment vertical="center" shrinkToFit="1"/>
    </xf>
    <xf numFmtId="41" fontId="34" fillId="0" borderId="253" xfId="0" applyNumberFormat="1" applyFont="1" applyBorder="1" applyAlignment="1">
      <alignment vertical="center" shrinkToFit="1"/>
    </xf>
    <xf numFmtId="41" fontId="31" fillId="17" borderId="243" xfId="0" applyNumberFormat="1" applyFont="1" applyFill="1" applyBorder="1" applyAlignment="1">
      <alignment horizontal="center" vertical="center" shrinkToFit="1"/>
    </xf>
    <xf numFmtId="182" fontId="31" fillId="17" borderId="243" xfId="0" applyNumberFormat="1" applyFont="1" applyFill="1" applyBorder="1" applyAlignment="1">
      <alignment horizontal="right" vertical="center" shrinkToFit="1"/>
    </xf>
    <xf numFmtId="182" fontId="30" fillId="17" borderId="244" xfId="0" applyNumberFormat="1" applyFont="1" applyFill="1" applyBorder="1" applyAlignment="1">
      <alignment vertical="center" shrinkToFit="1"/>
    </xf>
    <xf numFmtId="0" fontId="45" fillId="24" borderId="243" xfId="0" applyFont="1" applyFill="1" applyBorder="1" applyAlignment="1">
      <alignment horizontal="center" vertical="center" shrinkToFit="1"/>
    </xf>
    <xf numFmtId="184" fontId="45" fillId="25" borderId="254" xfId="0" applyNumberFormat="1" applyFont="1" applyFill="1" applyBorder="1" applyAlignment="1">
      <alignment horizontal="right" vertical="center" shrinkToFit="1"/>
    </xf>
    <xf numFmtId="185" fontId="45" fillId="25" borderId="255" xfId="0" applyNumberFormat="1" applyFont="1" applyFill="1" applyBorder="1" applyAlignment="1">
      <alignment horizontal="right" vertical="center" shrinkToFit="1"/>
    </xf>
    <xf numFmtId="0" fontId="45" fillId="2" borderId="243" xfId="0" applyFont="1" applyFill="1" applyBorder="1" applyAlignment="1">
      <alignment horizontal="center" vertical="center" shrinkToFit="1"/>
    </xf>
    <xf numFmtId="184" fontId="45" fillId="2" borderId="254" xfId="0" applyNumberFormat="1" applyFont="1" applyFill="1" applyBorder="1" applyAlignment="1">
      <alignment horizontal="right" vertical="center" shrinkToFit="1"/>
    </xf>
    <xf numFmtId="185" fontId="45" fillId="2" borderId="255" xfId="0" applyNumberFormat="1" applyFont="1" applyFill="1" applyBorder="1" applyAlignment="1">
      <alignment horizontal="right" vertical="center" shrinkToFit="1"/>
    </xf>
    <xf numFmtId="0" fontId="45" fillId="2" borderId="251" xfId="0" applyFont="1" applyFill="1" applyBorder="1" applyAlignment="1">
      <alignment horizontal="center" vertical="center" shrinkToFit="1"/>
    </xf>
    <xf numFmtId="185" fontId="45" fillId="2" borderId="256" xfId="0" applyNumberFormat="1" applyFont="1" applyFill="1" applyBorder="1" applyAlignment="1">
      <alignment horizontal="right" vertical="center" shrinkToFit="1"/>
    </xf>
    <xf numFmtId="177" fontId="30" fillId="24" borderId="257" xfId="0" applyNumberFormat="1" applyFont="1" applyFill="1" applyBorder="1" applyAlignment="1">
      <alignment vertical="center" shrinkToFit="1"/>
    </xf>
    <xf numFmtId="9" fontId="30" fillId="24" borderId="242" xfId="2" applyFont="1" applyFill="1" applyBorder="1" applyAlignment="1">
      <alignment vertical="center" shrinkToFit="1"/>
    </xf>
    <xf numFmtId="41" fontId="31" fillId="10" borderId="244" xfId="0" applyNumberFormat="1" applyFont="1" applyFill="1" applyBorder="1" applyAlignment="1">
      <alignment horizontal="center" vertical="center" shrinkToFit="1"/>
    </xf>
    <xf numFmtId="41" fontId="30" fillId="0" borderId="241" xfId="0" applyNumberFormat="1" applyFont="1" applyBorder="1" applyAlignment="1">
      <alignment horizontal="center" vertical="center" shrinkToFit="1"/>
    </xf>
    <xf numFmtId="41" fontId="34" fillId="0" borderId="258" xfId="0" applyNumberFormat="1" applyFont="1" applyBorder="1" applyAlignment="1">
      <alignment vertical="center" shrinkToFit="1"/>
    </xf>
    <xf numFmtId="0" fontId="45" fillId="0" borderId="56" xfId="1" applyNumberFormat="1" applyFont="1" applyFill="1" applyBorder="1" applyAlignment="1">
      <alignment vertical="center" shrinkToFit="1"/>
    </xf>
    <xf numFmtId="0" fontId="45" fillId="0" borderId="57" xfId="1" applyNumberFormat="1" applyFont="1" applyFill="1" applyBorder="1" applyAlignment="1">
      <alignment vertical="center" shrinkToFit="1"/>
    </xf>
    <xf numFmtId="0" fontId="62" fillId="0" borderId="0" xfId="4" applyFont="1" applyAlignment="1">
      <alignment vertical="top" wrapText="1"/>
    </xf>
    <xf numFmtId="0" fontId="31" fillId="0" borderId="0" xfId="4" applyFont="1" applyAlignment="1">
      <alignment vertical="top" wrapText="1"/>
    </xf>
    <xf numFmtId="176" fontId="31" fillId="0" borderId="0" xfId="1" applyNumberFormat="1" applyFont="1" applyBorder="1" applyAlignment="1">
      <alignment horizontal="right" vertical="center" shrinkToFit="1"/>
    </xf>
    <xf numFmtId="176" fontId="31" fillId="0" borderId="20" xfId="1" applyNumberFormat="1" applyFont="1" applyBorder="1" applyAlignment="1">
      <alignment vertical="center" wrapText="1" shrinkToFit="1"/>
    </xf>
    <xf numFmtId="176" fontId="31" fillId="0" borderId="20" xfId="1" applyNumberFormat="1" applyFont="1" applyBorder="1" applyAlignment="1">
      <alignment vertical="center" shrinkToFit="1"/>
    </xf>
    <xf numFmtId="176" fontId="31" fillId="0" borderId="259" xfId="1" applyNumberFormat="1" applyFont="1" applyBorder="1" applyAlignment="1">
      <alignment vertical="center" shrinkToFit="1"/>
    </xf>
    <xf numFmtId="0" fontId="34" fillId="12" borderId="14" xfId="4" applyFont="1" applyFill="1" applyBorder="1" applyAlignment="1">
      <alignment horizontal="center" vertical="center" wrapText="1"/>
    </xf>
    <xf numFmtId="0" fontId="34" fillId="12" borderId="19" xfId="4" applyFont="1" applyFill="1" applyBorder="1" applyAlignment="1">
      <alignment horizontal="center" vertical="center" wrapText="1"/>
    </xf>
    <xf numFmtId="0" fontId="34" fillId="12" borderId="15" xfId="4" applyFont="1" applyFill="1" applyBorder="1" applyAlignment="1">
      <alignment horizontal="center" vertical="center" wrapText="1"/>
    </xf>
    <xf numFmtId="188" fontId="35" fillId="12" borderId="17" xfId="4" applyNumberFormat="1" applyFont="1" applyFill="1" applyBorder="1" applyAlignment="1">
      <alignment horizontal="right" vertical="center"/>
    </xf>
    <xf numFmtId="189" fontId="34" fillId="0" borderId="0" xfId="0" applyNumberFormat="1" applyFont="1" applyAlignment="1">
      <alignment horizontal="right" vertical="center" shrinkToFit="1"/>
    </xf>
    <xf numFmtId="179" fontId="30" fillId="0" borderId="0" xfId="0" applyNumberFormat="1" applyFont="1" applyAlignment="1">
      <alignment horizontal="right" vertical="center" shrinkToFit="1"/>
    </xf>
    <xf numFmtId="0" fontId="31" fillId="0" borderId="0" xfId="0" applyFont="1" applyAlignment="1">
      <alignment horizontal="center" vertical="center" shrinkToFit="1"/>
    </xf>
    <xf numFmtId="41" fontId="34" fillId="0" borderId="260" xfId="0" applyNumberFormat="1" applyFont="1" applyBorder="1" applyAlignment="1">
      <alignment vertical="center" shrinkToFit="1"/>
    </xf>
    <xf numFmtId="41" fontId="34" fillId="0" borderId="20" xfId="0" applyNumberFormat="1" applyFont="1" applyBorder="1" applyAlignment="1">
      <alignment vertical="center" shrinkToFit="1"/>
    </xf>
    <xf numFmtId="177" fontId="34" fillId="0" borderId="0" xfId="0" applyNumberFormat="1" applyFont="1" applyAlignment="1">
      <alignment horizontal="center" vertical="center" shrinkToFit="1"/>
    </xf>
    <xf numFmtId="0" fontId="45" fillId="0" borderId="0" xfId="0" applyFont="1" applyAlignment="1">
      <alignment horizontal="right" vertical="center" shrinkToFit="1"/>
    </xf>
    <xf numFmtId="177" fontId="30" fillId="0" borderId="0" xfId="0" applyNumberFormat="1" applyFont="1" applyAlignment="1">
      <alignment horizontal="right" vertical="center" shrinkToFit="1"/>
    </xf>
    <xf numFmtId="41" fontId="34" fillId="0" borderId="261" xfId="0" applyNumberFormat="1" applyFont="1" applyBorder="1" applyAlignment="1">
      <alignment vertical="center" shrinkToFit="1"/>
    </xf>
    <xf numFmtId="178" fontId="3" fillId="0" borderId="153" xfId="0" applyNumberFormat="1" applyFont="1" applyBorder="1" applyAlignment="1">
      <alignment vertical="top" shrinkToFit="1"/>
    </xf>
    <xf numFmtId="178" fontId="3" fillId="0" borderId="0" xfId="0" applyNumberFormat="1" applyFont="1" applyAlignment="1">
      <alignment vertical="top" shrinkToFit="1"/>
    </xf>
    <xf numFmtId="0" fontId="3" fillId="0" borderId="154" xfId="0" applyFont="1" applyBorder="1" applyAlignment="1">
      <alignment vertical="top" shrinkToFit="1"/>
    </xf>
    <xf numFmtId="14" fontId="3" fillId="0" borderId="0" xfId="0" applyNumberFormat="1" applyFont="1" applyAlignment="1">
      <alignment vertical="top" shrinkToFit="1"/>
    </xf>
    <xf numFmtId="0" fontId="3" fillId="0" borderId="153" xfId="0" applyFont="1" applyBorder="1" applyAlignment="1">
      <alignment vertical="top" shrinkToFit="1"/>
    </xf>
    <xf numFmtId="0" fontId="3" fillId="0" borderId="156" xfId="0" applyFont="1" applyBorder="1" applyAlignment="1">
      <alignment vertical="top" shrinkToFit="1"/>
    </xf>
    <xf numFmtId="0" fontId="3" fillId="0" borderId="63" xfId="0" applyFont="1" applyBorder="1" applyAlignment="1">
      <alignment vertical="top" shrinkToFit="1"/>
    </xf>
    <xf numFmtId="0" fontId="3" fillId="0" borderId="2" xfId="0" applyFont="1" applyBorder="1" applyAlignment="1">
      <alignment vertical="top" shrinkToFit="1"/>
    </xf>
    <xf numFmtId="176" fontId="31" fillId="0" borderId="0" xfId="1" applyNumberFormat="1" applyFont="1" applyBorder="1" applyAlignment="1">
      <alignment vertical="center" shrinkToFit="1"/>
    </xf>
    <xf numFmtId="176" fontId="31" fillId="0" borderId="2" xfId="1" applyNumberFormat="1" applyFont="1" applyBorder="1" applyAlignment="1">
      <alignment vertical="center" shrinkToFit="1"/>
    </xf>
    <xf numFmtId="0" fontId="34" fillId="12" borderId="262" xfId="4" applyFont="1" applyFill="1" applyBorder="1" applyAlignment="1">
      <alignment horizontal="center" vertical="center" wrapText="1"/>
    </xf>
    <xf numFmtId="0" fontId="34" fillId="12" borderId="263" xfId="4" applyFont="1" applyFill="1" applyBorder="1" applyAlignment="1">
      <alignment horizontal="center" vertical="center" wrapText="1"/>
    </xf>
    <xf numFmtId="0" fontId="34" fillId="12" borderId="264" xfId="4" applyFont="1" applyFill="1" applyBorder="1" applyAlignment="1">
      <alignment horizontal="center" vertical="center" wrapText="1"/>
    </xf>
    <xf numFmtId="188" fontId="35" fillId="12" borderId="265" xfId="4" applyNumberFormat="1" applyFont="1" applyFill="1" applyBorder="1" applyAlignment="1">
      <alignment horizontal="right" vertical="center"/>
    </xf>
    <xf numFmtId="0" fontId="31" fillId="0" borderId="0" xfId="4" applyFont="1" applyAlignment="1">
      <alignment vertical="center" wrapText="1"/>
    </xf>
    <xf numFmtId="189" fontId="30" fillId="0" borderId="0" xfId="4" applyNumberFormat="1" applyFont="1" applyAlignment="1">
      <alignment horizontal="right" vertical="center" wrapText="1"/>
    </xf>
    <xf numFmtId="41" fontId="34" fillId="0" borderId="63" xfId="0" applyNumberFormat="1" applyFont="1" applyBorder="1" applyAlignment="1">
      <alignment vertical="center" shrinkToFit="1"/>
    </xf>
    <xf numFmtId="0" fontId="34" fillId="12" borderId="174" xfId="4" applyFont="1" applyFill="1" applyBorder="1" applyAlignment="1">
      <alignment horizontal="center" vertical="center" wrapText="1"/>
    </xf>
    <xf numFmtId="0" fontId="34" fillId="12" borderId="169" xfId="4" applyFont="1" applyFill="1" applyBorder="1" applyAlignment="1">
      <alignment horizontal="center" vertical="center" wrapText="1"/>
    </xf>
    <xf numFmtId="0" fontId="34" fillId="12" borderId="218" xfId="4" applyFont="1" applyFill="1" applyBorder="1" applyAlignment="1">
      <alignment horizontal="center" vertical="center" wrapText="1"/>
    </xf>
    <xf numFmtId="188" fontId="35" fillId="12" borderId="108" xfId="4" applyNumberFormat="1" applyFont="1" applyFill="1" applyBorder="1" applyAlignment="1">
      <alignment horizontal="right" vertical="center"/>
    </xf>
    <xf numFmtId="0" fontId="31" fillId="0" borderId="2" xfId="4" applyFont="1" applyBorder="1" applyAlignment="1">
      <alignment vertical="top" wrapText="1"/>
    </xf>
    <xf numFmtId="0" fontId="34" fillId="12" borderId="266" xfId="4" applyFont="1" applyFill="1" applyBorder="1" applyAlignment="1">
      <alignment horizontal="center" vertical="center" wrapText="1"/>
    </xf>
    <xf numFmtId="0" fontId="34" fillId="12" borderId="267" xfId="4" applyFont="1" applyFill="1" applyBorder="1" applyAlignment="1">
      <alignment horizontal="center" vertical="center" wrapText="1"/>
    </xf>
    <xf numFmtId="0" fontId="34" fillId="12" borderId="268" xfId="4" applyFont="1" applyFill="1" applyBorder="1" applyAlignment="1">
      <alignment horizontal="center" vertical="center" wrapText="1"/>
    </xf>
    <xf numFmtId="188" fontId="35" fillId="12" borderId="269" xfId="4" applyNumberFormat="1" applyFont="1" applyFill="1" applyBorder="1" applyAlignment="1">
      <alignment horizontal="right" vertical="center"/>
    </xf>
    <xf numFmtId="0" fontId="31" fillId="0" borderId="0" xfId="0" applyFont="1" applyAlignment="1">
      <alignment horizontal="right" vertical="center"/>
    </xf>
    <xf numFmtId="0" fontId="34" fillId="12" borderId="270" xfId="4" applyFont="1" applyFill="1" applyBorder="1" applyAlignment="1">
      <alignment horizontal="center" vertical="center" wrapText="1"/>
    </xf>
    <xf numFmtId="0" fontId="34" fillId="12" borderId="271" xfId="4" applyFont="1" applyFill="1" applyBorder="1" applyAlignment="1">
      <alignment horizontal="center" vertical="center" wrapText="1"/>
    </xf>
    <xf numFmtId="0" fontId="34" fillId="12" borderId="272" xfId="4" applyFont="1" applyFill="1" applyBorder="1" applyAlignment="1">
      <alignment horizontal="center" vertical="center" wrapText="1"/>
    </xf>
    <xf numFmtId="188" fontId="35" fillId="12" borderId="273" xfId="4" applyNumberFormat="1" applyFont="1" applyFill="1" applyBorder="1" applyAlignment="1">
      <alignment horizontal="right" vertical="center"/>
    </xf>
    <xf numFmtId="0" fontId="63" fillId="0" borderId="0" xfId="0" applyFont="1" applyAlignment="1">
      <alignment vertical="center" wrapText="1" shrinkToFit="1"/>
    </xf>
    <xf numFmtId="0" fontId="63" fillId="0" borderId="0" xfId="0" applyFont="1" applyAlignment="1">
      <alignment vertical="center" shrinkToFit="1"/>
    </xf>
    <xf numFmtId="41" fontId="34" fillId="0" borderId="245" xfId="0" applyNumberFormat="1" applyFont="1" applyBorder="1" applyAlignment="1">
      <alignment vertical="center" shrinkToFit="1"/>
    </xf>
    <xf numFmtId="41" fontId="34" fillId="0" borderId="11" xfId="0" applyNumberFormat="1" applyFont="1" applyBorder="1" applyAlignment="1">
      <alignment vertical="center" shrinkToFit="1"/>
    </xf>
    <xf numFmtId="0" fontId="3" fillId="0" borderId="0" xfId="0" applyFont="1" applyAlignment="1">
      <alignment horizontal="center" vertical="top" shrinkToFit="1"/>
    </xf>
    <xf numFmtId="190" fontId="30" fillId="10" borderId="0" xfId="0" applyNumberFormat="1" applyFont="1" applyFill="1" applyAlignment="1">
      <alignment horizontal="center" vertical="center" shrinkToFit="1"/>
    </xf>
    <xf numFmtId="176" fontId="31" fillId="0" borderId="0" xfId="1" applyNumberFormat="1" applyFont="1" applyFill="1" applyBorder="1" applyAlignment="1">
      <alignment horizontal="right" vertical="center" shrinkToFit="1"/>
    </xf>
    <xf numFmtId="176" fontId="31" fillId="0" borderId="0" xfId="0" applyNumberFormat="1" applyFont="1" applyAlignment="1">
      <alignment horizontal="right" vertical="center" shrinkToFit="1"/>
    </xf>
    <xf numFmtId="176" fontId="31" fillId="0" borderId="0" xfId="0" applyNumberFormat="1" applyFont="1" applyAlignment="1">
      <alignment horizontal="center" vertical="center" shrinkToFit="1"/>
    </xf>
    <xf numFmtId="190" fontId="30" fillId="0" borderId="0" xfId="0" applyNumberFormat="1" applyFont="1" applyAlignment="1">
      <alignment horizontal="center" vertical="center" shrinkToFit="1"/>
    </xf>
    <xf numFmtId="0" fontId="45" fillId="0" borderId="0" xfId="0" applyFont="1" applyAlignment="1">
      <alignment horizontal="center" vertical="center" shrinkToFit="1"/>
    </xf>
    <xf numFmtId="0" fontId="31" fillId="0" borderId="0" xfId="0" applyFont="1" applyAlignment="1">
      <alignment vertical="center" shrinkToFit="1"/>
    </xf>
    <xf numFmtId="0" fontId="64" fillId="12" borderId="20" xfId="0" applyFont="1" applyFill="1" applyBorder="1" applyAlignment="1">
      <alignment horizontal="center" vertical="center" shrinkToFit="1"/>
    </xf>
    <xf numFmtId="179" fontId="64" fillId="0" borderId="20" xfId="0" applyNumberFormat="1" applyFont="1" applyBorder="1" applyAlignment="1">
      <alignment horizontal="right" vertical="center" shrinkToFit="1"/>
    </xf>
    <xf numFmtId="179" fontId="64" fillId="0" borderId="0" xfId="0" applyNumberFormat="1" applyFont="1" applyAlignment="1">
      <alignment horizontal="right" vertical="center" shrinkToFit="1"/>
    </xf>
    <xf numFmtId="177" fontId="30" fillId="0" borderId="0" xfId="0" applyNumberFormat="1" applyFont="1" applyAlignment="1">
      <alignment horizontal="right" vertical="center" shrinkToFit="1"/>
    </xf>
    <xf numFmtId="0" fontId="30" fillId="0" borderId="0" xfId="0" applyFont="1" applyAlignment="1">
      <alignment horizontal="center" vertical="center" wrapText="1" shrinkToFit="1"/>
    </xf>
    <xf numFmtId="0" fontId="30" fillId="0" borderId="0" xfId="0" applyFont="1" applyAlignment="1">
      <alignment horizontal="center" vertical="center" wrapText="1" shrinkToFit="1"/>
    </xf>
    <xf numFmtId="41" fontId="34" fillId="12" borderId="274" xfId="0" applyNumberFormat="1" applyFont="1" applyFill="1" applyBorder="1" applyAlignment="1">
      <alignment vertical="center" shrinkToFit="1"/>
    </xf>
    <xf numFmtId="41" fontId="34" fillId="12" borderId="275" xfId="0" applyNumberFormat="1" applyFont="1" applyFill="1" applyBorder="1" applyAlignment="1">
      <alignment vertical="center" shrinkToFit="1"/>
    </xf>
    <xf numFmtId="41" fontId="34" fillId="12" borderId="276" xfId="0" applyNumberFormat="1" applyFont="1" applyFill="1" applyBorder="1" applyAlignment="1">
      <alignment vertical="center" shrinkToFit="1"/>
    </xf>
    <xf numFmtId="41" fontId="34" fillId="12" borderId="277" xfId="0" applyNumberFormat="1" applyFont="1" applyFill="1" applyBorder="1" applyAlignment="1">
      <alignment vertical="center" shrinkToFit="1"/>
    </xf>
    <xf numFmtId="41" fontId="34" fillId="12" borderId="278" xfId="0" applyNumberFormat="1" applyFont="1" applyFill="1" applyBorder="1" applyAlignment="1">
      <alignment vertical="center" shrinkToFit="1"/>
    </xf>
    <xf numFmtId="41" fontId="34" fillId="12" borderId="279" xfId="0" applyNumberFormat="1" applyFont="1" applyFill="1" applyBorder="1" applyAlignment="1">
      <alignment vertical="center" shrinkToFit="1"/>
    </xf>
    <xf numFmtId="41" fontId="34" fillId="12" borderId="280" xfId="0" applyNumberFormat="1" applyFont="1" applyFill="1" applyBorder="1" applyAlignment="1">
      <alignment vertical="center" shrinkToFit="1"/>
    </xf>
    <xf numFmtId="41" fontId="34" fillId="12" borderId="243" xfId="0" applyNumberFormat="1" applyFont="1" applyFill="1" applyBorder="1" applyAlignment="1">
      <alignment vertical="center" shrinkToFit="1"/>
    </xf>
    <xf numFmtId="41" fontId="34" fillId="12" borderId="249" xfId="0" applyNumberFormat="1" applyFont="1" applyFill="1" applyBorder="1" applyAlignment="1">
      <alignment vertical="center" shrinkToFit="1"/>
    </xf>
    <xf numFmtId="41" fontId="34" fillId="12" borderId="281" xfId="0" applyNumberFormat="1" applyFont="1" applyFill="1" applyBorder="1" applyAlignment="1">
      <alignment vertical="center" shrinkToFit="1"/>
    </xf>
    <xf numFmtId="41" fontId="34" fillId="12" borderId="251" xfId="0" applyNumberFormat="1" applyFont="1" applyFill="1" applyBorder="1" applyAlignment="1">
      <alignment vertical="center" shrinkToFit="1"/>
    </xf>
    <xf numFmtId="41" fontId="34" fillId="12" borderId="282" xfId="0" applyNumberFormat="1" applyFont="1" applyFill="1" applyBorder="1" applyAlignment="1">
      <alignment vertical="center" shrinkToFit="1"/>
    </xf>
    <xf numFmtId="178" fontId="3" fillId="0" borderId="227" xfId="0" applyNumberFormat="1" applyFont="1" applyBorder="1" applyAlignment="1">
      <alignment vertical="top" shrinkToFit="1"/>
    </xf>
    <xf numFmtId="178" fontId="3" fillId="0" borderId="97" xfId="0" applyNumberFormat="1" applyFont="1" applyBorder="1" applyAlignment="1">
      <alignment vertical="top" shrinkToFit="1"/>
    </xf>
    <xf numFmtId="0" fontId="3" fillId="0" borderId="228" xfId="0" applyFont="1" applyBorder="1" applyAlignment="1">
      <alignment vertical="top" shrinkToFit="1"/>
    </xf>
    <xf numFmtId="0" fontId="3" fillId="0" borderId="97" xfId="0" applyFont="1" applyBorder="1" applyAlignment="1">
      <alignment vertical="top" shrinkToFit="1"/>
    </xf>
    <xf numFmtId="14" fontId="3" fillId="0" borderId="97" xfId="0" applyNumberFormat="1" applyFont="1" applyBorder="1" applyAlignment="1">
      <alignment vertical="top" shrinkToFit="1"/>
    </xf>
    <xf numFmtId="0" fontId="3" fillId="0" borderId="227" xfId="0" applyFont="1" applyBorder="1" applyAlignment="1">
      <alignment vertical="top" shrinkToFit="1"/>
    </xf>
    <xf numFmtId="0" fontId="3" fillId="0" borderId="230" xfId="0" applyFont="1" applyBorder="1" applyAlignment="1">
      <alignment vertical="top" shrinkToFit="1"/>
    </xf>
    <xf numFmtId="182" fontId="30" fillId="0" borderId="0" xfId="0" applyNumberFormat="1" applyFont="1" applyAlignment="1">
      <alignment horizontal="center" vertical="center" shrinkToFit="1"/>
    </xf>
    <xf numFmtId="182" fontId="30" fillId="0" borderId="0" xfId="0" applyNumberFormat="1" applyFont="1" applyAlignment="1">
      <alignment horizontal="right" vertical="center" shrinkToFit="1"/>
    </xf>
    <xf numFmtId="0" fontId="64" fillId="27" borderId="0" xfId="0" applyFont="1" applyFill="1" applyAlignment="1">
      <alignment horizontal="center" vertical="center" shrinkToFit="1"/>
    </xf>
    <xf numFmtId="179" fontId="64" fillId="0" borderId="0" xfId="0" applyNumberFormat="1" applyFont="1" applyAlignment="1">
      <alignment horizontal="right" vertical="center" shrinkToFit="1"/>
    </xf>
    <xf numFmtId="179" fontId="64" fillId="5" borderId="0" xfId="0" applyNumberFormat="1" applyFont="1" applyFill="1" applyAlignment="1">
      <alignment horizontal="right" vertical="center" shrinkToFit="1"/>
    </xf>
    <xf numFmtId="0" fontId="30" fillId="0" borderId="0" xfId="0" applyFont="1" applyAlignment="1">
      <alignment horizontal="center" vertical="center" shrinkToFit="1"/>
    </xf>
    <xf numFmtId="0" fontId="30" fillId="0" borderId="0" xfId="0" applyFont="1" applyAlignment="1">
      <alignment horizontal="center" vertical="center" shrinkToFit="1"/>
    </xf>
    <xf numFmtId="41" fontId="58" fillId="0" borderId="0" xfId="0" applyNumberFormat="1" applyFont="1" applyAlignment="1">
      <alignment horizontal="right" vertical="center" shrinkToFit="1"/>
    </xf>
    <xf numFmtId="0" fontId="58" fillId="0" borderId="0" xfId="0" applyFont="1" applyAlignment="1">
      <alignment horizontal="right" vertical="center" shrinkToFit="1"/>
    </xf>
    <xf numFmtId="0" fontId="58" fillId="0" borderId="69" xfId="0" applyFont="1" applyBorder="1" applyAlignment="1">
      <alignment horizontal="right" vertical="center" shrinkToFit="1"/>
    </xf>
    <xf numFmtId="179" fontId="58" fillId="0" borderId="0" xfId="0" applyNumberFormat="1" applyFont="1" applyAlignment="1">
      <alignment horizontal="right" vertical="center" shrinkToFit="1"/>
    </xf>
    <xf numFmtId="0" fontId="58" fillId="0" borderId="0" xfId="0" applyFont="1" applyAlignment="1">
      <alignment horizontal="right" vertical="center"/>
    </xf>
    <xf numFmtId="0" fontId="30" fillId="0" borderId="0" xfId="0" applyFont="1" applyAlignment="1">
      <alignment horizontal="right" vertical="center"/>
    </xf>
    <xf numFmtId="0" fontId="64" fillId="2" borderId="0" xfId="0" applyFont="1" applyFill="1" applyAlignment="1">
      <alignment horizontal="center" vertical="center" shrinkToFit="1"/>
    </xf>
    <xf numFmtId="0" fontId="28" fillId="4" borderId="0" xfId="0" applyFont="1" applyFill="1" applyAlignment="1">
      <alignment horizontal="center" vertical="center" shrinkToFit="1"/>
    </xf>
    <xf numFmtId="0" fontId="37" fillId="19" borderId="283" xfId="5" applyFont="1" applyFill="1" applyBorder="1" applyAlignment="1">
      <alignment horizontal="center" vertical="center"/>
    </xf>
    <xf numFmtId="0" fontId="37" fillId="19" borderId="284" xfId="5" applyFont="1" applyFill="1" applyBorder="1" applyAlignment="1">
      <alignment horizontal="center" vertical="center"/>
    </xf>
    <xf numFmtId="0" fontId="41" fillId="19" borderId="284" xfId="5" applyFont="1" applyFill="1" applyBorder="1" applyAlignment="1">
      <alignment horizontal="center" vertical="center"/>
    </xf>
    <xf numFmtId="0" fontId="40" fillId="19" borderId="284" xfId="5" applyFont="1" applyFill="1" applyBorder="1" applyAlignment="1">
      <alignment horizontal="center" vertical="center"/>
    </xf>
    <xf numFmtId="181" fontId="41" fillId="19" borderId="284" xfId="5" applyNumberFormat="1" applyFont="1" applyFill="1" applyBorder="1" applyAlignment="1">
      <alignment horizontal="center" vertical="center"/>
    </xf>
    <xf numFmtId="181" fontId="40" fillId="19" borderId="284" xfId="5" applyNumberFormat="1" applyFont="1" applyFill="1" applyBorder="1" applyAlignment="1">
      <alignment horizontal="center" vertical="center"/>
    </xf>
    <xf numFmtId="181" fontId="41" fillId="19" borderId="285" xfId="5" applyNumberFormat="1" applyFont="1" applyFill="1" applyBorder="1" applyAlignment="1">
      <alignment horizontal="center" vertical="center"/>
    </xf>
    <xf numFmtId="181" fontId="40" fillId="8" borderId="286" xfId="5" applyNumberFormat="1" applyFont="1" applyFill="1" applyBorder="1" applyAlignment="1">
      <alignment horizontal="center" vertical="center"/>
    </xf>
    <xf numFmtId="181" fontId="40" fillId="19" borderId="287" xfId="5" applyNumberFormat="1" applyFont="1" applyFill="1" applyBorder="1" applyAlignment="1">
      <alignment horizontal="center" vertical="center"/>
    </xf>
    <xf numFmtId="181" fontId="40" fillId="19" borderId="285" xfId="5" applyNumberFormat="1" applyFont="1" applyFill="1" applyBorder="1" applyAlignment="1">
      <alignment horizontal="center" vertical="center"/>
    </xf>
    <xf numFmtId="181" fontId="41" fillId="19" borderId="287" xfId="5" applyNumberFormat="1" applyFont="1" applyFill="1" applyBorder="1" applyAlignment="1">
      <alignment horizontal="center" vertical="center"/>
    </xf>
    <xf numFmtId="181" fontId="37" fillId="19" borderId="288" xfId="5" applyNumberFormat="1" applyFont="1" applyFill="1" applyBorder="1" applyAlignment="1">
      <alignment horizontal="center" vertical="center"/>
    </xf>
    <xf numFmtId="182" fontId="31" fillId="0" borderId="0" xfId="0" applyNumberFormat="1" applyFont="1" applyAlignment="1">
      <alignment horizontal="right" vertical="center" shrinkToFit="1"/>
    </xf>
    <xf numFmtId="0" fontId="65" fillId="15" borderId="289" xfId="0" applyFont="1" applyFill="1" applyBorder="1" applyAlignment="1">
      <alignment horizontal="center" vertical="center" shrinkToFit="1"/>
    </xf>
    <xf numFmtId="179" fontId="66" fillId="0" borderId="289" xfId="0" applyNumberFormat="1" applyFont="1" applyBorder="1" applyAlignment="1">
      <alignment horizontal="right" vertical="center" shrinkToFit="1"/>
    </xf>
    <xf numFmtId="179" fontId="66" fillId="0" borderId="0" xfId="0" applyNumberFormat="1" applyFont="1" applyAlignment="1">
      <alignment horizontal="right" vertical="center" shrinkToFit="1"/>
    </xf>
    <xf numFmtId="38" fontId="31" fillId="0" borderId="0" xfId="0" applyNumberFormat="1" applyFont="1" applyAlignment="1">
      <alignment horizontal="right" vertical="center" shrinkToFit="1"/>
    </xf>
    <xf numFmtId="178" fontId="64" fillId="0" borderId="153" xfId="0" applyNumberFormat="1" applyFont="1" applyBorder="1" applyAlignment="1">
      <alignment vertical="center" shrinkToFit="1"/>
    </xf>
    <xf numFmtId="178" fontId="64" fillId="0" borderId="0" xfId="0" applyNumberFormat="1" applyFont="1" applyAlignment="1">
      <alignment vertical="center" shrinkToFit="1"/>
    </xf>
    <xf numFmtId="178" fontId="64" fillId="0" borderId="154" xfId="0" applyNumberFormat="1" applyFont="1" applyBorder="1" applyAlignment="1">
      <alignment vertical="center" shrinkToFit="1"/>
    </xf>
    <xf numFmtId="14" fontId="64" fillId="0" borderId="0" xfId="0" applyNumberFormat="1" applyFont="1" applyAlignment="1">
      <alignment vertical="center" shrinkToFit="1"/>
    </xf>
    <xf numFmtId="178" fontId="64" fillId="0" borderId="153" xfId="0" applyNumberFormat="1" applyFont="1" applyBorder="1">
      <alignment vertical="center"/>
    </xf>
    <xf numFmtId="178" fontId="64" fillId="0" borderId="156" xfId="0" applyNumberFormat="1" applyFont="1" applyBorder="1">
      <alignment vertical="center"/>
    </xf>
    <xf numFmtId="179" fontId="29" fillId="0" borderId="0" xfId="0" applyNumberFormat="1" applyFont="1" applyAlignment="1">
      <alignment horizontal="right" vertical="center" shrinkToFit="1"/>
    </xf>
    <xf numFmtId="0" fontId="67" fillId="5" borderId="289" xfId="0" applyFont="1" applyFill="1" applyBorder="1" applyAlignment="1">
      <alignment horizontal="center" vertical="center" shrinkToFit="1"/>
    </xf>
    <xf numFmtId="179" fontId="68" fillId="0" borderId="289" xfId="0" applyNumberFormat="1" applyFont="1" applyBorder="1" applyAlignment="1">
      <alignment horizontal="right" vertical="center" shrinkToFit="1"/>
    </xf>
    <xf numFmtId="0" fontId="68" fillId="0" borderId="289" xfId="0" applyFont="1" applyBorder="1" applyAlignment="1">
      <alignment horizontal="right" vertical="center" shrinkToFit="1"/>
    </xf>
    <xf numFmtId="179" fontId="31" fillId="0" borderId="0" xfId="0" applyNumberFormat="1" applyFont="1" applyAlignment="1">
      <alignment horizontal="center" vertical="center" shrinkToFit="1"/>
    </xf>
    <xf numFmtId="0" fontId="34" fillId="0" borderId="42" xfId="1" applyNumberFormat="1" applyFont="1" applyFill="1" applyBorder="1" applyAlignment="1">
      <alignment horizontal="left" vertical="center" shrinkToFit="1"/>
    </xf>
    <xf numFmtId="14" fontId="30" fillId="0" borderId="31" xfId="0" applyNumberFormat="1" applyFont="1" applyBorder="1" applyAlignment="1">
      <alignment horizontal="center" vertical="center" shrinkToFit="1"/>
    </xf>
    <xf numFmtId="14" fontId="30" fillId="0" borderId="207" xfId="0" applyNumberFormat="1" applyFont="1" applyBorder="1" applyAlignment="1">
      <alignment horizontal="center" vertical="center" shrinkToFit="1"/>
    </xf>
    <xf numFmtId="41" fontId="30" fillId="0" borderId="214" xfId="0" applyNumberFormat="1" applyFont="1" applyBorder="1" applyAlignment="1">
      <alignment horizontal="center" vertical="center" shrinkToFit="1"/>
    </xf>
    <xf numFmtId="41" fontId="34" fillId="0" borderId="180" xfId="0" applyNumberFormat="1" applyFont="1" applyBorder="1" applyAlignment="1">
      <alignment vertical="center" shrinkToFit="1"/>
    </xf>
    <xf numFmtId="186" fontId="34" fillId="23" borderId="61" xfId="0" applyNumberFormat="1" applyFont="1" applyFill="1" applyBorder="1" applyAlignment="1">
      <alignment vertical="center" shrinkToFit="1"/>
    </xf>
    <xf numFmtId="178" fontId="30" fillId="0" borderId="290" xfId="0" applyNumberFormat="1" applyFont="1" applyBorder="1" applyAlignment="1">
      <alignment vertical="center" shrinkToFit="1"/>
    </xf>
    <xf numFmtId="178" fontId="30" fillId="0" borderId="263" xfId="0" applyNumberFormat="1" applyFont="1" applyBorder="1" applyAlignment="1">
      <alignment vertical="center" shrinkToFit="1"/>
    </xf>
    <xf numFmtId="178" fontId="30" fillId="0" borderId="291" xfId="0" applyNumberFormat="1" applyFont="1" applyBorder="1" applyAlignment="1">
      <alignment vertical="center" shrinkToFit="1"/>
    </xf>
    <xf numFmtId="14" fontId="30" fillId="0" borderId="263" xfId="0" applyNumberFormat="1" applyFont="1" applyBorder="1" applyAlignment="1">
      <alignment vertical="center" shrinkToFit="1"/>
    </xf>
    <xf numFmtId="178" fontId="30" fillId="0" borderId="292" xfId="0" applyNumberFormat="1" applyFont="1" applyBorder="1" applyAlignment="1">
      <alignment vertical="center" shrinkToFit="1"/>
    </xf>
    <xf numFmtId="178" fontId="64" fillId="0" borderId="0" xfId="0" applyNumberFormat="1" applyFont="1">
      <alignment vertical="center"/>
    </xf>
    <xf numFmtId="0" fontId="69" fillId="10" borderId="0" xfId="0" applyFont="1" applyFill="1" applyAlignment="1">
      <alignment horizontal="center" vertical="center" shrinkToFit="1"/>
    </xf>
    <xf numFmtId="0" fontId="69" fillId="0" borderId="0" xfId="0" applyFont="1" applyAlignment="1">
      <alignment horizontal="center" vertical="center" shrinkToFit="1"/>
    </xf>
    <xf numFmtId="0" fontId="69" fillId="0" borderId="0" xfId="0" applyFont="1" applyAlignment="1">
      <alignment horizontal="right" vertical="center" shrinkToFit="1"/>
    </xf>
    <xf numFmtId="0" fontId="70" fillId="0" borderId="0" xfId="0" applyFont="1" applyAlignment="1">
      <alignment horizontal="center" vertical="center" shrinkToFit="1"/>
    </xf>
    <xf numFmtId="0" fontId="70" fillId="0" borderId="0" xfId="0" applyFont="1" applyAlignment="1">
      <alignment horizontal="right" vertical="center" shrinkToFit="1"/>
    </xf>
    <xf numFmtId="177" fontId="69" fillId="0" borderId="0" xfId="0" applyNumberFormat="1" applyFont="1" applyAlignment="1">
      <alignment horizontal="right" vertical="center" shrinkToFit="1"/>
    </xf>
    <xf numFmtId="0" fontId="28" fillId="0" borderId="0" xfId="0" applyFont="1" applyAlignment="1">
      <alignment horizontal="center" vertical="center" shrinkToFit="1"/>
    </xf>
    <xf numFmtId="0" fontId="70" fillId="10" borderId="0" xfId="0" applyFont="1" applyFill="1" applyAlignment="1">
      <alignment horizontal="center" vertical="center" shrinkToFit="1"/>
    </xf>
    <xf numFmtId="176" fontId="6" fillId="0" borderId="0" xfId="0" applyNumberFormat="1" applyFont="1" applyAlignment="1">
      <alignment horizontal="center" vertical="center" shrinkToFit="1"/>
    </xf>
    <xf numFmtId="176" fontId="6" fillId="0" borderId="0" xfId="0" applyNumberFormat="1" applyFont="1" applyAlignment="1">
      <alignment horizontal="right" vertical="center" shrinkToFit="1"/>
    </xf>
    <xf numFmtId="0" fontId="14" fillId="0" borderId="0" xfId="0" applyFont="1" applyAlignment="1">
      <alignment vertical="center" shrinkToFit="1"/>
    </xf>
    <xf numFmtId="0" fontId="14" fillId="0" borderId="0" xfId="0" applyFont="1" applyAlignment="1">
      <alignment vertical="center" wrapText="1" shrinkToFit="1"/>
    </xf>
    <xf numFmtId="0" fontId="50" fillId="0" borderId="0" xfId="0" applyFont="1" applyAlignment="1">
      <alignment horizontal="center" vertical="center" shrinkToFit="1"/>
    </xf>
    <xf numFmtId="0" fontId="64" fillId="8" borderId="0" xfId="0" applyFont="1" applyFill="1" applyAlignment="1">
      <alignment horizontal="center" vertical="center" shrinkToFit="1"/>
    </xf>
    <xf numFmtId="182" fontId="50" fillId="0" borderId="0" xfId="0" applyNumberFormat="1" applyFont="1" applyAlignment="1">
      <alignment horizontal="right" vertical="center" shrinkToFit="1"/>
    </xf>
    <xf numFmtId="0" fontId="64" fillId="12" borderId="0" xfId="0" applyFont="1" applyFill="1" applyAlignment="1">
      <alignment horizontal="center" vertical="center" shrinkToFit="1"/>
    </xf>
    <xf numFmtId="178" fontId="64" fillId="12" borderId="0" xfId="0" applyNumberFormat="1" applyFont="1" applyFill="1" applyAlignment="1">
      <alignment horizontal="center" vertical="center" shrinkToFit="1"/>
    </xf>
    <xf numFmtId="178" fontId="66" fillId="11" borderId="0" xfId="0" applyNumberFormat="1" applyFont="1" applyFill="1" applyAlignment="1">
      <alignment horizontal="center" vertical="center" shrinkToFit="1"/>
    </xf>
    <xf numFmtId="0" fontId="64" fillId="19" borderId="0" xfId="0" applyFont="1" applyFill="1" applyAlignment="1">
      <alignment horizontal="center" vertical="center" shrinkToFit="1"/>
    </xf>
    <xf numFmtId="0" fontId="65" fillId="9" borderId="289" xfId="0" applyFont="1" applyFill="1" applyBorder="1" applyAlignment="1">
      <alignment horizontal="center" vertical="center" shrinkToFit="1"/>
    </xf>
    <xf numFmtId="178" fontId="63" fillId="27" borderId="0" xfId="6" applyNumberFormat="1" applyFont="1" applyFill="1" applyAlignment="1">
      <alignment vertical="center"/>
    </xf>
    <xf numFmtId="38" fontId="31" fillId="0" borderId="0" xfId="0" applyNumberFormat="1" applyFont="1" applyAlignment="1">
      <alignment horizontal="center" vertical="center" shrinkToFit="1"/>
    </xf>
    <xf numFmtId="178" fontId="64" fillId="0" borderId="0" xfId="0" applyNumberFormat="1" applyFont="1" applyAlignment="1">
      <alignment horizontal="right" vertical="center" shrinkToFit="1"/>
    </xf>
    <xf numFmtId="0" fontId="31" fillId="0" borderId="97" xfId="0" applyFont="1" applyBorder="1" applyAlignment="1">
      <alignment horizontal="center" vertical="center" shrinkToFit="1"/>
    </xf>
    <xf numFmtId="178" fontId="64" fillId="0" borderId="97" xfId="0" applyNumberFormat="1" applyFont="1" applyBorder="1" applyAlignment="1">
      <alignment horizontal="right" vertical="center" shrinkToFit="1"/>
    </xf>
    <xf numFmtId="0" fontId="64" fillId="0" borderId="97" xfId="0" applyFont="1" applyBorder="1" applyAlignment="1">
      <alignment horizontal="right" vertical="center" shrinkToFit="1"/>
    </xf>
    <xf numFmtId="0" fontId="30" fillId="5" borderId="0" xfId="0" applyFont="1" applyFill="1" applyAlignment="1">
      <alignment horizontal="center" vertical="center" shrinkToFit="1"/>
    </xf>
    <xf numFmtId="178" fontId="64" fillId="5" borderId="0" xfId="0" applyNumberFormat="1" applyFont="1" applyFill="1" applyAlignment="1">
      <alignment horizontal="right" vertical="center" shrinkToFit="1"/>
    </xf>
    <xf numFmtId="0" fontId="64" fillId="5" borderId="0" xfId="0" applyFont="1" applyFill="1" applyAlignment="1">
      <alignment horizontal="right" vertical="center" shrinkToFit="1"/>
    </xf>
    <xf numFmtId="0" fontId="3" fillId="0" borderId="0" xfId="0" applyFont="1" applyAlignment="1">
      <alignment horizontal="center" vertical="center" wrapText="1" shrinkToFit="1"/>
    </xf>
    <xf numFmtId="178" fontId="3" fillId="0" borderId="0" xfId="1" applyNumberFormat="1" applyFont="1" applyFill="1" applyAlignment="1">
      <alignment horizontal="right" vertical="center" shrinkToFit="1"/>
    </xf>
    <xf numFmtId="176" fontId="3" fillId="0" borderId="0" xfId="1" applyNumberFormat="1" applyFont="1" applyFill="1" applyBorder="1" applyAlignment="1">
      <alignment horizontal="right" vertical="center" shrinkToFit="1"/>
    </xf>
    <xf numFmtId="0" fontId="3" fillId="10" borderId="0" xfId="0" applyFont="1" applyFill="1" applyAlignment="1">
      <alignment horizontal="center" vertical="center" shrinkToFit="1"/>
    </xf>
    <xf numFmtId="176" fontId="3" fillId="0" borderId="0" xfId="1" applyNumberFormat="1" applyFont="1" applyAlignment="1">
      <alignment horizontal="right" vertical="center" shrinkToFit="1"/>
    </xf>
    <xf numFmtId="0" fontId="6" fillId="19" borderId="0" xfId="0" applyFont="1" applyFill="1" applyAlignment="1">
      <alignment horizontal="right" vertical="center" shrinkToFit="1"/>
    </xf>
    <xf numFmtId="0" fontId="6" fillId="10" borderId="0" xfId="0" applyFont="1" applyFill="1" applyAlignment="1">
      <alignment horizontal="center" vertical="center" shrinkToFit="1"/>
    </xf>
    <xf numFmtId="0" fontId="7" fillId="19" borderId="0" xfId="0" applyFont="1" applyFill="1" applyAlignment="1">
      <alignment horizontal="right" vertical="center" shrinkToFit="1"/>
    </xf>
    <xf numFmtId="177" fontId="8" fillId="10" borderId="0" xfId="0" applyNumberFormat="1" applyFont="1" applyFill="1" applyAlignment="1">
      <alignment horizontal="center" vertical="center" shrinkToFit="1"/>
    </xf>
    <xf numFmtId="177" fontId="6" fillId="10" borderId="0" xfId="0" applyNumberFormat="1" applyFont="1" applyFill="1" applyAlignment="1">
      <alignment horizontal="right" vertical="center" shrinkToFit="1"/>
    </xf>
  </cellXfs>
  <cellStyles count="7">
    <cellStyle name="パーセント" xfId="2" builtinId="5"/>
    <cellStyle name="ハイパーリンク" xfId="3" builtinId="8"/>
    <cellStyle name="桁区切り" xfId="1" builtinId="6"/>
    <cellStyle name="標準" xfId="0" builtinId="0"/>
    <cellStyle name="標準 2 2" xfId="6" xr:uid="{C164A8EF-285D-4E13-837F-7AF574E3121D}"/>
    <cellStyle name="標準 2 2 2 3" xfId="5" xr:uid="{403129A3-64FA-43F8-B1B3-A55005EF2601}"/>
    <cellStyle name="標準 3 2" xfId="4" xr:uid="{AB12D5E2-6AAB-4F08-94A4-282C56EA09ED}"/>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FF0000"/>
      </font>
      <fill>
        <patternFill>
          <bgColor theme="5" tint="0.59996337778862885"/>
        </patternFill>
      </fill>
    </dxf>
    <dxf>
      <font>
        <color rgb="FFFF0000"/>
      </font>
      <fill>
        <patternFill>
          <bgColor theme="5" tint="0.59996337778862885"/>
        </patternFill>
      </fill>
    </dxf>
    <dxf>
      <font>
        <color rgb="FFFF0000"/>
      </font>
      <fill>
        <patternFill>
          <bgColor theme="5" tint="0.59996337778862885"/>
        </patternFill>
      </fill>
    </dxf>
    <dxf>
      <font>
        <color rgb="FFFF0000"/>
      </font>
      <fill>
        <patternFill>
          <bgColor theme="5" tint="0.59996337778862885"/>
        </patternFill>
      </fill>
    </dxf>
    <dxf>
      <font>
        <color rgb="FFFF0000"/>
      </font>
      <fill>
        <patternFill>
          <bgColor theme="5" tint="0.59996337778862885"/>
        </patternFill>
      </fill>
    </dxf>
    <dxf>
      <font>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microsoft.com/office/2017/10/relationships/person" Target="persons/person.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eetMetadata" Target="metadata.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esktop/&#36001;&#25919;&#35211;&#36890;&#12375;&#36039;&#26009;/&#35501;&#12415;&#36796;&#12415;&#29992;&#12288;20260206&#12288;&#23487;&#27850;&#36027;&#31309;&#31639;&#26681;&#25312;.xlsx" TargetMode="External"/><Relationship Id="rId2" Type="http://schemas.openxmlformats.org/officeDocument/2006/relationships/externalLinkPath" Target="file:///C:\Users\&#26494;&#26412;&#33521;&#26391;\Desktop\&#36001;&#25919;&#35211;&#36890;&#12375;&#36039;&#26009;\&#35501;&#12415;&#36796;&#12415;&#29992;&#12288;20260206&#12288;&#23487;&#27850;&#36027;&#31309;&#31639;&#26681;&#25312;.xlsx" TargetMode="External"/><Relationship Id="rId1" Type="http://schemas.openxmlformats.org/officeDocument/2006/relationships/externalLinkPath" Target="/Users/&#26494;&#26412;&#33521;&#26391;/Desktop/&#36001;&#25919;&#35211;&#36890;&#12375;&#36039;&#26009;/&#35501;&#12415;&#36796;&#12415;&#29992;&#12288;20260206&#12288;&#23487;&#27850;&#36027;&#31309;&#31639;&#26681;&#2531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ato-pc5-2\d\&#9734;&#31481;&#30000;&#36991;&#38627;\&#9733;&#23550;&#24540;&#29289;&#20214;\2019&#24180;&#24230;(82)\&#23546;&#19979;_&#12450;&#12472;&#12450;&#22823;&#20250;&#36015;&#30041;\MVP\&#12467;&#12500;&#12540;MVP-&#31309;-Ver3_9.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2016%20&#12388;&#12414;&#24651;&#12522;&#12478;&#12540;&#12488;&#24425;&#12398;&#37111;/&#12502;&#12525;&#12483;&#12463;&#12503;&#12521;&#12531;%20&amp;%20&#25552;&#20379;&#23458;&#23460;&#25968;/&#65308;&#12510;&#12473;&#12479;&#12540;&#65310;&#22865;&#32004;&#32224;&#32080;&#12395;&#20418;&#12427;&#23487;&#27850;&#26045;&#35373;&#35370;&#21839;&#31561;&#35352;&#37682;v4.7.xlsm" TargetMode="External"/><Relationship Id="rId1"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2016%20&#12388;&#12414;&#24651;&#12522;&#12478;&#12540;&#12488;&#24425;&#12398;&#37111;/&#12502;&#12525;&#12483;&#12463;&#12503;&#12521;&#12531;%20&amp;%20&#25552;&#20379;&#23458;&#23460;&#25968;/&#65308;&#12510;&#12473;&#12479;&#12540;&#65310;&#22865;&#32004;&#32224;&#32080;&#12395;&#20418;&#12427;&#23487;&#27850;&#26045;&#35373;&#35370;&#21839;&#31561;&#35352;&#37682;v4.7.xlsm"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file:///C:\Users\nagoya4606\Desktop\Downloads\&#26410;&#36865;&#20449;&#12304;20250328&#12305;&#21029;&#32025;1&#21450;&#12403;&#21029;&#34920;_&#24179;&#37326;&#23627;.xlsx" TargetMode="External"/><Relationship Id="rId2" Type="http://schemas.microsoft.com/office/2019/04/relationships/externalLinkLong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0252&#26666;&#24335;&#20250;&#31038;&#24179;&#37326;&#23627;/20250428_&#35370;&#21839;&#65288;&#22865;&#32004;&#26360;&#12289;&#12524;&#12452;&#12450;&#12454;&#12488;&#12503;&#12521;&#12531;&#65289;/20250422_&#20107;&#21069;&#12398;&#12420;&#12426;&#12392;&#12426;&#65288;JTB)/03&#12288;&#32068;&#32340;&#22996;&#21729;&#20250;&#8658;JTB&#65288;&#20837;&#28271;&#31246;&#12394;&#12375;&#65289;/&#12304;20250423&#12305;&#36865;&#20449;_&#22522;&#26412;&#22865;&#32004;&#26360;&#19968;&#24335;_&#24179;&#37326;&#23627;/Downloads/&#26410;&#36865;&#20449;&#12304;20250328&#12305;&#21029;&#32025;1&#21450;&#12403;&#21029;&#34920;_&#24179;&#37326;&#23627;.xlsx?F157E3A0" TargetMode="External"/><Relationship Id="rId1" Type="http://schemas.openxmlformats.org/officeDocument/2006/relationships/externalLinkPath" Target="file:///\\F157E3A0\&#26410;&#36865;&#20449;&#12304;20250328&#12305;&#21029;&#32025;1&#21450;&#12403;&#21029;&#34920;_&#24179;&#37326;&#23627;.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M.Uchida\Other\&#21508;&#31278;&#35336;&#31639;&#26360;&#31561;\&#27010;&#31639;&#24037;&#20107;&#36027;\&#23567;&#21475;&#24452;&#31649;&#25512;&#36914;&#24037;&#27861;&#65288;&#39640;&#32784;&#33655;&#21147;&#26041;&#24335;&#65289;\&#23567;&#12539;&#39640;&#12539;&#12458;&#12540;&#12460;&#19968;&#24037;&#3124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Kato-pc5-2\d\&#9734;&#31481;&#30000;&#36991;&#38627;\&#9733;&#23550;&#24540;&#29289;&#20214;\2019&#24180;&#24230;(82)\&#23546;&#19979;_&#12450;&#12472;&#12450;&#22823;&#20250;&#36015;&#30041;\CW\CW&#27010;&#31639;&#24037;&#20107;&#36027;&#31639;&#20986;&#65288;&#20196;&#21644;&#20803;&#24180;&#24230;&#65289;_20190625.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ainagoc2026-my.sharepoint.com/172.16.1.253/Public/002_&#32076;&#21942;&#20225;&#30011;&#35506;(&#35506;&#20869;&#12398;&#12415;&#20844;&#38283;)/002_&#32076;&#21942;G(&#12464;&#12523;&#12540;&#12503;&#20869;&#20844;&#38283;)/006_FIN/&#36001;&#25919;&#35336;&#30011;/&#12450;&#12472;&#12450;/&#9734;20230524&#21508;&#35506;&#20869;&#31034;&#38989;&#36890;&#30693;&#29992;/&#9733;&#21508;&#35506;&#36865;&#20184;&#29992;/&#9733;&#20840;&#20307;&#19968;&#35239;&#34920;/&#12450;&#12472;&#12450;/&#20840;&#20307;&#19968;&#35239;&#34920;(&#12450;&#12472;&#12450;).xlsx" TargetMode="External"/><Relationship Id="rId1" Type="http://schemas.openxmlformats.org/officeDocument/2006/relationships/externalLinkPath" Target="file:///\\172.16.1.252\Public2\002_&#32076;&#21942;&#20225;&#30011;&#35506;(&#35506;&#20869;&#12398;&#12415;&#20844;&#38283;)\002_&#32076;&#21942;G(&#12464;&#12523;&#12540;&#12503;&#20869;&#20844;&#38283;)\006_FIN\&#36001;&#25919;&#35336;&#30011;\&#12450;&#12472;&#12450;\&#9734;20230524&#21508;&#35506;&#20869;&#31034;&#38989;&#36890;&#30693;&#29992;\&#9733;&#21508;&#35506;&#36865;&#20184;&#29992;\&#9733;&#20840;&#20307;&#19968;&#35239;&#34920;\&#12450;&#12472;&#12450;\&#20840;&#20307;&#19968;&#35239;&#34920;(&#12450;&#12472;&#1245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予算管理比較積算 (VIL移管前)"/>
      <sheetName val="宿泊施設DB (2)"/>
      <sheetName val="Sheet2"/>
      <sheetName val="Sheet3"/>
      <sheetName val="新予算管理比較積算（食事部分を実質金額に置き換え）"/>
      <sheetName val="新予算管理比較積算（VIL移管反映）"/>
      <sheetName val="予算管理比較積算（VIL移管反映）"/>
      <sheetName val="食事単価の考え方"/>
      <sheetName val="債務負担行為積算  (全部盛り) "/>
      <sheetName val="財政見通し積算"/>
      <sheetName val="債務負担行為積算  (数式)"/>
      <sheetName val="消費者物価平均指数　IMF"/>
      <sheetName val="物価（案1）"/>
      <sheetName val="物価（案2）"/>
      <sheetName val="案3元データ"/>
      <sheetName val="アジア選手（v4）"/>
      <sheetName val="アジア選手（0913試行更新版）"/>
      <sheetName val="【20240925】アジア競技大会配宿シュミレーション"/>
      <sheetName val="アジアファミスポ(更新)"/>
      <sheetName val="財政見通し積算 (全SH全項目統合版）"/>
      <sheetName val="宿泊施設DB (5)"/>
      <sheetName val="【251001】アジア選手積算"/>
      <sheetName val="【251001】パラ選手積算"/>
      <sheetName val="財政見通し積算 (技術役員、スポンサー、メディア）"/>
      <sheetName val="【250925】アジパラファミリー積算"/>
      <sheetName val="Results【技術役員スポンサーメディア積算】"/>
      <sheetName val="【251001】アジア技術役員シミュ"/>
      <sheetName val="【251001】アジアスポンサーシミュ"/>
      <sheetName val="0209付けMP積算用"/>
      <sheetName val="【251001】アジアメディアシミュ"/>
      <sheetName val="アジア技術役員　更新版"/>
      <sheetName val="アジア技術役員(DCO以外 0913)"/>
      <sheetName val="アジア技術役員 (DCO更新) "/>
      <sheetName val="【アジア】飲食提供経費シュミレーション"/>
      <sheetName val="注意点"/>
      <sheetName val="アジアメディア（更新 没）"/>
      <sheetName val="アジアメディア(新更新版）"/>
      <sheetName val="パラ選手・チーム役員 (0531)"/>
      <sheetName val="パラメディア"/>
      <sheetName val="シン・パラ技術役員"/>
      <sheetName val="シン・パラ技術役員 (DCO)"/>
      <sheetName val="まとめ（考え方）"/>
      <sheetName val="契約期間上 宿泊期間  (2024財政見通し用）"/>
      <sheetName val="契約期間上　カレンダー確保泊数 (2024財政見通し用）"/>
      <sheetName val="【251001】パラ技術役員シミュ"/>
      <sheetName val="【250610】パラスポンサーシミュ"/>
      <sheetName val="パラファミスポ(0530)"/>
      <sheetName val="【251001】パラメディアシミュ"/>
      <sheetName val="0001_アパホテル&lt;尾張一宮駅&gt;"/>
      <sheetName val="0002_東横INN名古屋尾張一宮駅前"/>
      <sheetName val="0004_ホテルルートイン一宮駅前"/>
      <sheetName val="0007_一宮グリーンホテル"/>
      <sheetName val="0008_ホテルプラザ勝川"/>
      <sheetName val="0010_春日井中央ホテル"/>
      <sheetName val="0012_ルートイングランティア小牧"/>
      <sheetName val="0015_名鉄小牧ホテル"/>
      <sheetName val="0020_あいち健康の森　健康科学総合センター"/>
      <sheetName val="0021_公立学校共済組合　名古屋宿泊所　ホテルルブラ王山"/>
      <sheetName val="0022_ホテルルートイン　名古屋今池駅前"/>
      <sheetName val="0023_第二富士ホテル"/>
      <sheetName val="0024_ホテルメルパルク名古屋"/>
      <sheetName val="0026_名鉄イン名古屋駅前"/>
      <sheetName val="0027_HOTEL LiVEMAX名古屋桜通口"/>
      <sheetName val="0028_第一富士ホテル"/>
      <sheetName val="0034_サイプレスホテル名古屋駅前"/>
      <sheetName val="0038_東横INN名古屋駅桜通口本館"/>
      <sheetName val="0039_ザサイプレスメルキュールホテル名古屋"/>
      <sheetName val="0040_名古屋マリオットアソシアホテル"/>
      <sheetName val="0041_三交イン名古屋新幹線口"/>
      <sheetName val="0042_スーパーホテル名古屋駅前"/>
      <sheetName val="0043_チサンイン名古屋"/>
      <sheetName val="0044_ホテルパレス名古屋"/>
      <sheetName val="0045_名古屋フラワーホテル"/>
      <sheetName val="0046_名古屋フラワーホテル　別館PARTⅡ"/>
      <sheetName val="0047_東横INN名古屋駅新幹線口"/>
      <sheetName val="0049_名鉄グランドホテル"/>
      <sheetName val="0050_ダイワロイネットホテル名古屋駅前"/>
      <sheetName val="0051_ダイワロイネットホテル名古屋新幹線口"/>
      <sheetName val="0052_名鉄イン名古屋桜通"/>
      <sheetName val="0053_ヴィアイン名古屋新幹線口"/>
      <sheetName val="0054_ザロイヤルパークキャンバス名古屋"/>
      <sheetName val="0055_ホテルリソル名古屋"/>
      <sheetName val="0056_ストリングスホテル 名古屋"/>
      <sheetName val="0057_リッチモンドホテル名古屋新幹線口"/>
      <sheetName val="0058_ナゴヤエキアクセスホテル"/>
      <sheetName val="0059_三井ガーデンホテル名古屋プレミア"/>
      <sheetName val="0060_ダイワロイネットホテル名古屋太閤通口"/>
      <sheetName val="0061_名鉄イン名古屋駅新幹線口"/>
      <sheetName val="0062_名古屋JRゲートタワーホテル"/>
      <sheetName val="0063_HOTEL LiVEMAX名駅"/>
      <sheetName val="0064_名古屋プリンスホテルスカイタワー"/>
      <sheetName val="0065_くれたけインプレミアム名古屋納屋橋"/>
      <sheetName val="0066_三交イン名古屋新幹線口ANNEX"/>
      <sheetName val="0067_東横INN名古屋名駅南"/>
      <sheetName val="0068_HOTELLiVEMAXBUDGET名古屋太閤通口"/>
      <sheetName val="0069_ヴィアイン名古屋駅前椿町"/>
      <sheetName val="0070_ベッセルホテルカンパーナ名古屋"/>
      <sheetName val="0071_アットインホテル名古屋駅"/>
      <sheetName val="0073_Hamilton Hotel-BLUE-名駅南"/>
      <sheetName val="0074_スマイルホテル名古屋新幹線口"/>
      <sheetName val="0075_R&amp;Bホテル名古屋新幹線口"/>
      <sheetName val="0076_コンフォートホテル名古屋新幹線口"/>
      <sheetName val="0077_相鉄フレッサイン名古屋駅桜通口"/>
      <sheetName val="0078_三交インGrande名古屋-HOTEL＆SPA-"/>
      <sheetName val="0079_ニッコースタイル名古屋"/>
      <sheetName val="0080_アパホテル&lt;名古屋駅新幹線口北&gt;"/>
      <sheetName val="0081_イビススタイルズ名古屋"/>
      <sheetName val="0082_アパホテル&lt;名古屋駅新幹線口南&gt;"/>
      <sheetName val="0083_R&amp;Bホテル名古屋駅前"/>
      <sheetName val="0084_コンフォートホテル名古屋名駅南"/>
      <sheetName val="0090_名古屋観光ホテル"/>
      <sheetName val="0092_国家公務員共済組合連合会名古屋共済会館"/>
      <sheetName val="0093_都心の天然温泉名古屋クラウンホテル"/>
      <sheetName val="0094_ヒルトン名古屋"/>
      <sheetName val="0096_アイリス愛知"/>
      <sheetName val="0099_名古屋ガーデンパレス"/>
      <sheetName val="0101_東京第一ホテル錦"/>
      <sheetName val="0105_ANAクラウンプラザホテルグランコート名古屋"/>
      <sheetName val="0111_アパホテル&lt;名古屋錦&gt; EXCELLENT"/>
      <sheetName val="0114_リッチモンドホテル名古屋納屋橋"/>
      <sheetName val="0115_ザ・ビー名古屋"/>
      <sheetName val="0117_ホテルウィングインターナショナル名古屋"/>
      <sheetName val="0121_名古屋東急ホテル"/>
      <sheetName val="0127_名古屋クレストンホテル"/>
      <sheetName val="0130_ホテル シルク・トゥリー名古屋"/>
      <sheetName val="0133_アパホテル＜名古屋栄＞"/>
      <sheetName val="0139_ドーミーインPREMIUM名古屋栄"/>
      <sheetName val="0140_名古屋金山ホテル"/>
      <sheetName val="0141_プリンセスガーデンホテル"/>
      <sheetName val="0146_ホテルビスタ名古屋〔錦〕 "/>
      <sheetName val="0154_ダイワロイネットホテル名古屋納屋橋"/>
      <sheetName val="0156_アパホテル&lt;名古屋栄北&gt;"/>
      <sheetName val="0158_ベッセルイン栄駅前"/>
      <sheetName val="0159_ホテルJALシティ名古屋 錦"/>
      <sheetName val="0160_西鉄ホテルクルーム名古屋"/>
      <sheetName val="0161_ダイワロイネットホテル名古屋伏見"/>
      <sheetName val="0165_ホテル京阪　名古屋"/>
      <sheetName val="0166_東横INN名古屋金山"/>
      <sheetName val="0167_グリーンリッチホテル名古屋錦"/>
      <sheetName val="0168_ホテルフォルツァ栄"/>
      <sheetName val="0172_サイプレスガーデンホテル"/>
      <sheetName val="0177_邦和セミナープラザ"/>
      <sheetName val="179_LEGOLAND Japan Hotel"/>
      <sheetName val="0180_名古屋笠寺ホテル"/>
      <sheetName val="0184_犬山セントラルホテル"/>
      <sheetName val="0186_フォーポイントフレックスbyシェラトン名古屋駅"/>
      <sheetName val="188_名鉄イン刈谷"/>
      <sheetName val="189_コンフォートホテル刈谷"/>
      <sheetName val="0192_パークホテル刈谷"/>
      <sheetName val="0193_アクセスイン刈谷"/>
      <sheetName val="0195_ロイヤルホテルうお八"/>
      <sheetName val="0200_アットインホテル豊田市駅"/>
      <sheetName val="0201_全トヨタ労連研修センター つどいの丘"/>
      <sheetName val="0206_トヨタキャッスルホテル"/>
      <sheetName val="0207_豊田プレステージホテル"/>
      <sheetName val="0208_東横INN豊田駅前"/>
      <sheetName val="0210_名鉄トヨタホテル"/>
      <sheetName val="0211_ホテル松風"/>
      <sheetName val="0212_ホテルルートイン豊田陣中"/>
      <sheetName val="0213_ホテルルートイン豊田元町"/>
      <sheetName val="0214_HOTEL LiVEMAX愛知豊田駅前"/>
      <sheetName val="0219_東横INN三河安城駅新幹線南口2"/>
      <sheetName val="0220_東横INN三河安城駅新幹線南口1"/>
      <sheetName val="0221_ホテルグランドティアラ南名古屋"/>
      <sheetName val="0222_HOTEL LiVEMAX三河安城駅前"/>
      <sheetName val="0223_天然温泉三州の湯ドーミーインEXPRESS三河安城"/>
      <sheetName val="0227_ホテルクラウンパレス知立"/>
      <sheetName val="0228_東横INN名鉄知立駅前"/>
      <sheetName val="0229_岡崎オーワホテル"/>
      <sheetName val="0231_グランドイン東岡崎"/>
      <sheetName val="0232_HOTEL LiVEＭAX岡崎"/>
      <sheetName val="0234_MyHotelOkazaKi"/>
      <sheetName val="0238_岡崎ニューグランドホテル"/>
      <sheetName val="0239_アクセスイン西尾"/>
      <sheetName val="0240_株式会社竜宮ホテル"/>
      <sheetName val="0241_株式会社三河湾リゾート・リンクス"/>
      <sheetName val="0242_吉良かん"/>
      <sheetName val="0243_三河湾ヒルズ・ホテル"/>
      <sheetName val="0245_変なホテルラグーナテンボス"/>
      <sheetName val="0247_株式会社鈴岡"/>
      <sheetName val="0249_ホテル明山荘"/>
      <sheetName val="0250_松風園"/>
      <sheetName val="0251_株式会社三谷温泉ひがきホテル"/>
      <sheetName val="0252_株式会社平野屋"/>
      <sheetName val="0253_蒲郡ホテル"/>
      <sheetName val="0256_ホテル東海園"/>
      <sheetName val="0257_和のリゾートはづ"/>
      <sheetName val="0260_蒲郡クラシックホテル"/>
      <sheetName val="0261_ホテル竹島"/>
      <sheetName val="0266_ウインドシティホテル"/>
      <sheetName val="0269_ホテルルートイン豊川インター"/>
      <sheetName val="0271_コンフォートホテル豊川"/>
      <sheetName val="0275_シーパレスリゾート"/>
      <sheetName val="0278_ホテルアソシア豊橋"/>
      <sheetName val="0281_ロワジール豊橋"/>
      <sheetName val="0282_ホテルアークリッシュ豊橋"/>
      <sheetName val="0283_東横INN豊橋駅東口"/>
      <sheetName val="0287_コンフォートホテル豊橋"/>
      <sheetName val="0288_ホテルルートイン豊橋駅前"/>
      <sheetName val="0290_ジャストインプレミアム豊橋駅新幹線口"/>
      <sheetName val="0292_マーレホテル東海"/>
      <sheetName val="0293_ザ・カトーホテル"/>
      <sheetName val="0295_東海シティホテル"/>
      <sheetName val="0298_フォーポイントバイシェラトン名古屋中部空港"/>
      <sheetName val="0299_東横INN中部国際空港2"/>
      <sheetName val="0300_東横INN中部国際空港1"/>
      <sheetName val="0301_コンフォートホテル中部国際空港"/>
      <sheetName val="0302_中部国際空港セントレアホテル"/>
      <sheetName val="0303_J・HOTEL ANNEX"/>
      <sheetName val="0304_J・ホテルりんくう"/>
      <sheetName val="0305_ホテルルートイン常滑駅前グランドアネックス"/>
      <sheetName val="0306_ホテルルートイン常滑駅前"/>
      <sheetName val="0307_スプリングサニーホテル名古屋常滑駅前"/>
      <sheetName val="0319_ホテルルートイン半田亀崎"/>
      <sheetName val="0320_アズイン半田インター"/>
      <sheetName val="0321_半田ステーションホテル"/>
      <sheetName val="0322_名鉄イン知多半田駅前"/>
      <sheetName val="0323_センターワンホテル半田"/>
      <sheetName val="0324_カンデオホテルズ半田"/>
      <sheetName val="1002ルートイングランティア東海Spa＆Relaxation"/>
      <sheetName val="1003_ホテルルートイン新城"/>
      <sheetName val="1004_モンブランホテルラフィネ名古屋駅前"/>
      <sheetName val="1006_相鉄フレッサイン名古屋駅新幹線口"/>
      <sheetName val="1007_ホテルミュースタイル犬山エクスペリエンス"/>
      <sheetName val="1008_ホテルインディゴ犬山有楽苑"/>
      <sheetName val="1010_天の丸"/>
      <sheetName val="1012_ホテルたつき"/>
      <sheetName val="1013_西浦グランドホテル吉慶"/>
      <sheetName val="1015_ホテル三河　海陽閣"/>
      <sheetName val="1016_くれたけインプレミアム名駅南"/>
      <sheetName val="1017_HOTEL LiVEMAX名古屋桜通口"/>
      <sheetName val="1018_アパホテル&lt;名古屋駅前&gt;"/>
      <sheetName val="1021_コートヤードバイマリオット名古屋"/>
      <sheetName val="1027_TIAD"/>
      <sheetName val="1028_蒲郡ホテル＜別館＞"/>
      <sheetName val="1029_伊良湖オーシャンリゾート"/>
      <sheetName val="1030_伊良湖シーパーク＆スパ"/>
      <sheetName val="1032_ザロイヤルパークアイコニック名古屋"/>
      <sheetName val="1033_エスパシオ　ナゴヤキャッスル"/>
      <sheetName val="1034_コンラッド名古屋"/>
      <sheetName val="1035_JICA中部"/>
      <sheetName val="1036_衣浦グランドホテル"/>
      <sheetName val="1037_ルートインGrand名古屋藤が丘駅前"/>
      <sheetName val="1038_東横イン名古屋駅桜通口新館"/>
      <sheetName val="1039_ベストウェスタンプラス名古屋栄"/>
      <sheetName val="2001_アパホテル&lt;岐阜羽島駅前&gt;"/>
      <sheetName val="2007_シェラトン都ホテル大阪"/>
      <sheetName val="2008_ホテルアゴーラリージェンシー大阪堺"/>
      <sheetName val="2009_帝国ホテル大阪"/>
      <sheetName val="2010_神戸西神オリエンタルホテル"/>
      <sheetName val="2011_ANAクラウンプラザホテル神戸"/>
      <sheetName val="2012_シーサイドホテル舞子ビラ神戸"/>
      <sheetName val="2013_ホテルオークラ神戸"/>
      <sheetName val="2015_京都ホテルオークラ "/>
      <sheetName val="2016_つま恋リゾート彩の郷"/>
      <sheetName val="2018_掛川グランドホテル"/>
      <sheetName val="2019_グランドメルキュール浜名湖リゾート＆スパ"/>
      <sheetName val="2021_オークラアクトシティホテル浜松"/>
      <sheetName val="2022_ホテルラフォーレ修善寺"/>
      <sheetName val="2024_富士山三島東急ホテル"/>
      <sheetName val="2025_伊豆マリオット修善寺"/>
      <sheetName val="2026_岐阜グランドホテル"/>
      <sheetName val="2027_都ホテル岐阜長良川"/>
      <sheetName val="2028_ホテルグランヴェール岐山（公立共済やすらぎの里）"/>
      <sheetName val="2030_ホテルリソル岐阜"/>
      <sheetName val="2032_大垣フォーラムホテル"/>
      <sheetName val="2034_ホテルルートイン各務原"/>
      <sheetName val="2036_ホテルルートイン羽島駅前"/>
      <sheetName val="2037_ホテルコーヨー"/>
      <sheetName val="2038_京都 東急ホテル"/>
      <sheetName val="2040_リーガロイヤルホテル京都"/>
      <sheetName val="2041_ホテルコンコルド浜松"/>
      <sheetName val="2042_神戸ポートピアホテル"/>
      <sheetName val="2043_パレスホテル掛川"/>
      <sheetName val="2044_くれたけインプレミアム大垣駅前"/>
      <sheetName val="2045_クインテッサホテル大垣"/>
      <sheetName val="2046_ホテルナガシマ"/>
      <sheetName val="2048_東京イーストサイドホテル櫂会"/>
      <sheetName val="2050_二子玉川エクセルホテル東急"/>
      <sheetName val="2051_東京ベイ潮見プリンスホテル"/>
      <sheetName val="3000_ホテルルートイン愛知東郷町"/>
      <sheetName val="3001_グランドニッコー東京 台場"/>
      <sheetName val="3002_長島温泉ガーデンホテルオリーブ"/>
      <sheetName val="3003_長島温泉 ホテル花水木"/>
      <sheetName val="3004_東横イン富士山三島駅"/>
      <sheetName val="3005_アパホテル新大阪駅前"/>
      <sheetName val="3006_アパホテル＆リゾート東京ベイ潮見"/>
      <sheetName val="-_東横イン浜松駅北口"/>
      <sheetName val="-_オースタット国際ホテル多治見"/>
      <sheetName val="-_THE OKURA TOKYO"/>
      <sheetName val="-_帝国ホテル　東京"/>
      <sheetName val="-_東横イン京都四条烏丸"/>
      <sheetName val="-_東横イン大阪なんば日本橋"/>
      <sheetName val="-_東横イン神戸三ノ宮1"/>
      <sheetName val="_チサンスタンダード大阪新今宮"/>
      <sheetName val="-_ホテルイースト21東京"/>
      <sheetName val="3007_the b 三軒茶屋"/>
      <sheetName val="3008_相鉄グランドフレッサ東京ベイ有明"/>
      <sheetName val="3009_東横イン大阪なんば日本橋"/>
      <sheetName val="3010_東横イン浜松駅北口"/>
      <sheetName val="3011_東横イン神戸三ノ宮1"/>
      <sheetName val="3012_東横イン熱海駅前"/>
      <sheetName val="3013_ウインドシティホテル"/>
      <sheetName val="3014_コンフォートホテル浜松"/>
      <sheetName val="3015_アパホテル＜神戸三宮＞"/>
      <sheetName val="3016_ホテルルートイン浜松駅東"/>
      <sheetName val="3017_the b 神戸"/>
      <sheetName val="3018_R＆B東京東陽町"/>
      <sheetName val="3019_ヴィラフォンテーヌグランド東京有明"/>
      <sheetName val="3025_トヨタスポーツセンター"/>
      <sheetName val="3027_アパホテル名古屋伏見駅北"/>
      <sheetName val="3028_愛知県野外教育センター"/>
      <sheetName val="3029_カントリーハウス　ル・シュール"/>
      <sheetName val="3030_多治見天然温泉 ホテルルートイン多治見インター"/>
      <sheetName val="3031_ホテルワイナリーヒル"/>
      <sheetName val="3033_グランドホテル浜松"/>
      <sheetName val="3034_グランドプリンスホテル大阪ベイ"/>
      <sheetName val="3036_吉祥寺東急REIホテル"/>
      <sheetName val="3037_アパホテル名古屋伏見駅北"/>
      <sheetName val="3038_ナゴヤグランドホテル"/>
      <sheetName val="3039_くれたけイン浜松駅南口プレミアム"/>
      <sheetName val="3040_浜松ステーションホテル"/>
      <sheetName val="3041_ホテルソリッソ浜松"/>
      <sheetName val="3042_ヴィアインあべの天王寺"/>
      <sheetName val="3043_アパホテル〈天王寺駅前〉"/>
      <sheetName val="3044_東横インあべの天王寺"/>
      <sheetName val="3045_コンフォートホテル大阪心斎橋"/>
      <sheetName val="3046_ホテルリブマックス東京潮見駅前"/>
      <sheetName val="5000_ホテルメトロポリタン大井町トラックス"/>
      <sheetName val="宿泊施設DB"/>
      <sheetName val="0012_ルートイン小牧　別紙1-1"/>
      <sheetName val="0012_ルートイン小牧　別紙1-2"/>
      <sheetName val="0020_あいち健康プラザ　別紙1-1"/>
      <sheetName val="0020_あいち健康プラザ　別紙1-2"/>
      <sheetName val="0024_ホテルメルパルク名古屋　別紙1-1"/>
      <sheetName val="0024_ホテルメルパルク名古屋　別紙1-2"/>
      <sheetName val="0024_ホテルメルパルク名古屋　別紙1-3"/>
      <sheetName val="0040_名古屋マリオット　別紙1-1"/>
      <sheetName val="0040_名古屋マリオット　別紙1-2"/>
      <sheetName val="0049_名鉄グランドホテル　別紙1-1"/>
      <sheetName val="0049_名鉄グランドホテル　別紙1-2"/>
      <sheetName val="0056_ストリングス名古屋　別紙1-1"/>
      <sheetName val="0056_ストリングス名古屋　別紙1-2"/>
      <sheetName val="0064_名古屋プリンス　別紙1-1"/>
      <sheetName val="0064_名古屋プリンス　別紙1-2"/>
      <sheetName val="0090_名古屋観光ホテル　別紙1-1"/>
      <sheetName val="0090_名古屋観光ホテル　別紙1-2"/>
      <sheetName val="0094_ヒルトン名古屋　別紙1-1"/>
      <sheetName val="0094_ヒルトン名古屋　別紙1-2"/>
      <sheetName val="0094_ヒルトン名古屋　別紙1-3"/>
      <sheetName val="0096_アイリス愛知　別紙1-1"/>
      <sheetName val="0096_アイリス愛知　別紙1-2"/>
      <sheetName val="0105_ANAクラウン　別紙1-1"/>
      <sheetName val="0105_ANAクラウン　別紙1-2"/>
      <sheetName val="0105_ANAクラウン　別紙1-3"/>
      <sheetName val="0111　アパEXCELLENT_別紙1-1"/>
      <sheetName val="0111_アパEXCELLENT 別紙1-2"/>
      <sheetName val="0121_名古屋東急　別紙1-1"/>
      <sheetName val="0121_名古屋東急　別紙1-2"/>
      <sheetName val="0159_JALシティ錦　別紙1-1"/>
      <sheetName val="0167_グリーンリッチ　別紙1-1"/>
      <sheetName val="0200_アットイン豊田市駅　別紙1-1"/>
      <sheetName val="0201_つどいの丘　別紙1-1"/>
      <sheetName val="0201_つどいの丘　別紙1-2"/>
      <sheetName val="0206_トヨタキャッスル　別紙1-1"/>
      <sheetName val="0206_トヨタキャッスル　別紙1-2"/>
      <sheetName val="0210_名鉄トヨタ　別紙1-1"/>
      <sheetName val="0210_名鉄トヨタ　別紙1-2"/>
      <sheetName val="0219_東横三河Ⅱ　別紙1-1"/>
      <sheetName val="0200_東横三河Ⅰ　別紙1-1"/>
      <sheetName val="0221_グランドティアラ　別紙1-1"/>
      <sheetName val="0221_グランドティアラ　別紙1-2"/>
      <sheetName val="0221_グランドティアラ　別紙1-3"/>
      <sheetName val="0222_リブマックス三河安城　別紙1-1"/>
      <sheetName val="0223_ドーミー三河安城　別紙1-1"/>
      <sheetName val="0245_変なホテル　別紙1-1"/>
      <sheetName val="0245_変なホテル　別紙1-2"/>
      <sheetName val="0249_明山荘　別紙1-1"/>
      <sheetName val="0249_明山荘　別紙1-2"/>
      <sheetName val="0252_ホテル平野屋　別紙1-1"/>
      <sheetName val="0252_ホテル平野屋　別紙1-2"/>
      <sheetName val="0253_蒲郡ホテル　別紙1-1"/>
      <sheetName val="0253_蒲郡ホテル　別紙1-2"/>
      <sheetName val="0261_ホテル竹島　別紙1-1"/>
      <sheetName val="0261_ホテル竹島　別紙1-2"/>
      <sheetName val="0281_ロワジール豊橋　別紙1-1"/>
      <sheetName val="0281_ロワジール豊橋　別紙1-2"/>
      <sheetName val="0298_フォーポイント中部　別紙1-1"/>
      <sheetName val="0298_フォーポイント中部　別紙1-3"/>
      <sheetName val="0299_東横中部国際Ⅱ　別紙1-1"/>
      <sheetName val="0299_東横中部国際Ⅱ　別紙1-3"/>
      <sheetName val="0300_東横中部国際Ⅰ　別紙1-1"/>
      <sheetName val="0300_東横中部国際Ⅰ　別紙1-2"/>
      <sheetName val="0301_Jホテルりんくう　別紙1-1"/>
      <sheetName val="0301_Jホテルりんくう　別紙1-2"/>
      <sheetName val="0302_セントレアホテル　別紙1-1"/>
      <sheetName val="1003_ルートイン新城　別紙1-1"/>
      <sheetName val="1003_ルートイン新城　別紙1-2"/>
      <sheetName val="1007_ミュースタイル　別紙1-1"/>
      <sheetName val="1007_ミュースタイル　別紙1-2"/>
      <sheetName val="1015_三河海陽閣　別紙1-1"/>
      <sheetName val="1015_三河海陽閣　別紙1-2"/>
      <sheetName val="1021_コートヤード　別紙1-1"/>
      <sheetName val="1021_コートヤード　別紙1-2"/>
      <sheetName val="1021_コートヤード　別紙1-3"/>
      <sheetName val="1027_TIAD 別紙1-1"/>
      <sheetName val="1027_TIAD 別紙1-2"/>
      <sheetName val="1029_伊良湖オーシャン　別紙1-1"/>
      <sheetName val="1029_伊良湖オーシャン　別紙1-2"/>
      <sheetName val="2007_シェラトン都ホテル大阪 (2)"/>
      <sheetName val="2007_シェラトン都ホテル　別紙1-3"/>
      <sheetName val="2008_アゴーラ堺　別紙1-1"/>
      <sheetName val="2008_アゴーラ堺　別紙1-2"/>
      <sheetName val="2016_つま恋リゾート　別紙1-1"/>
      <sheetName val="2016_つま恋リゾート　別紙1-2"/>
      <sheetName val="2018_掛川グランド　別紙1-1"/>
      <sheetName val="2018_掛川グランド　別紙1-2"/>
      <sheetName val="2019_メルキュール浜名湖　別紙1-1"/>
      <sheetName val="2019_メルキュール浜名湖　別紙1-2"/>
      <sheetName val="2022_ラフォーレ修善寺 別紙1-1"/>
      <sheetName val="2022_ラフォーレ修善寺 別紙1-2"/>
      <sheetName val="2022_ラフォーレ修善寺 別紙1-3"/>
      <sheetName val="2026_岐阜グランド　別紙1-1"/>
      <sheetName val="2026_岐阜グランド　別紙1-2"/>
      <sheetName val="2027_岐阜都　別紙1-1"/>
      <sheetName val="2027_岐阜都　別紙1-2"/>
      <sheetName val="2032_大垣フォーラム　別紙1-1"/>
      <sheetName val="2032_大垣フォーラム　別紙1-2"/>
      <sheetName val="2041_コンコルド浜松　別紙1-1"/>
      <sheetName val="2041_コンコルド浜松　別紙1-2"/>
      <sheetName val="2045_クインテッサ大垣　別紙1-1"/>
      <sheetName val="2045_クインテッサ大垣　別紙1-2"/>
      <sheetName val="2049_青年館ホテル　別紙1-1"/>
      <sheetName val="2049_青年館ホテル　別紙1-2"/>
      <sheetName val="2051_ベイ潮見プリンス　別紙1-1"/>
      <sheetName val="2051_ベイ潮見プリンス　別紙1-2"/>
      <sheetName val="3001_グランドニッコー台場　別紙1-1"/>
      <sheetName val="3001_グランドニッコー台場　別紙1-3"/>
      <sheetName val="アジアResults1031"/>
      <sheetName val="パラResults1031"/>
      <sheetName val="KKR中目黒　別紙1-1"/>
      <sheetName val="食事単価の考え方(1021更新)"/>
      <sheetName val="物価（案3）"/>
      <sheetName val="オリジナル"/>
      <sheetName val="マスター1_項目コード"/>
      <sheetName val="マスター2_施設情報"/>
      <sheetName val="ボツ債務負担行為積算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0">
          <cell r="CL10">
            <v>29789.100000000002</v>
          </cell>
          <cell r="CN10">
            <v>29789.100000000002</v>
          </cell>
          <cell r="CP10">
            <v>1897.5000000000002</v>
          </cell>
        </row>
        <row r="51">
          <cell r="DF51">
            <v>233901768</v>
          </cell>
          <cell r="DH51">
            <v>425521981</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row r="26">
          <cell r="F26">
            <v>40</v>
          </cell>
        </row>
        <row r="28">
          <cell r="G28">
            <v>3261192</v>
          </cell>
        </row>
      </sheetData>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8">
          <cell r="B8">
            <v>46279</v>
          </cell>
          <cell r="G8">
            <v>46297</v>
          </cell>
        </row>
      </sheetData>
      <sheetData sheetId="332"/>
      <sheetData sheetId="333">
        <row r="17">
          <cell r="AB17">
            <v>356250</v>
          </cell>
        </row>
        <row r="20">
          <cell r="I20">
            <v>413820.00000000006</v>
          </cell>
        </row>
        <row r="22">
          <cell r="D22">
            <v>10345500</v>
          </cell>
        </row>
      </sheetData>
      <sheetData sheetId="334">
        <row r="16">
          <cell r="O16">
            <v>9080500</v>
          </cell>
        </row>
      </sheetData>
      <sheetData sheetId="335">
        <row r="23">
          <cell r="K23">
            <v>243</v>
          </cell>
          <cell r="AF23">
            <v>330</v>
          </cell>
        </row>
        <row r="25">
          <cell r="M25">
            <v>6675240.0000000009</v>
          </cell>
        </row>
      </sheetData>
      <sheetData sheetId="336">
        <row r="39">
          <cell r="O39">
            <v>311762269.5</v>
          </cell>
        </row>
        <row r="41">
          <cell r="N41">
            <v>14982660.000000002</v>
          </cell>
        </row>
      </sheetData>
      <sheetData sheetId="337"/>
      <sheetData sheetId="338">
        <row r="23">
          <cell r="K23">
            <v>162</v>
          </cell>
          <cell r="AF23">
            <v>260</v>
          </cell>
        </row>
        <row r="25">
          <cell r="M25">
            <v>13455734.600000001</v>
          </cell>
        </row>
        <row r="27">
          <cell r="C27">
            <v>319020523</v>
          </cell>
        </row>
      </sheetData>
      <sheetData sheetId="339">
        <row r="27">
          <cell r="I27">
            <v>3</v>
          </cell>
        </row>
        <row r="28">
          <cell r="O28">
            <v>7590000.0000000009</v>
          </cell>
        </row>
        <row r="30">
          <cell r="N30">
            <v>202400.00000000003</v>
          </cell>
        </row>
      </sheetData>
      <sheetData sheetId="340">
        <row r="24">
          <cell r="K24">
            <v>193</v>
          </cell>
          <cell r="AF24">
            <v>230</v>
          </cell>
        </row>
        <row r="26">
          <cell r="M26">
            <v>8595400</v>
          </cell>
        </row>
        <row r="28">
          <cell r="C28">
            <v>204164400</v>
          </cell>
        </row>
      </sheetData>
      <sheetData sheetId="341">
        <row r="34">
          <cell r="I34">
            <v>7</v>
          </cell>
        </row>
        <row r="35">
          <cell r="O35">
            <v>165920700</v>
          </cell>
        </row>
        <row r="37">
          <cell r="N37">
            <v>6744100.0000000009</v>
          </cell>
        </row>
      </sheetData>
      <sheetData sheetId="342">
        <row r="23">
          <cell r="K23">
            <v>93</v>
          </cell>
          <cell r="AF23">
            <v>159</v>
          </cell>
        </row>
        <row r="25">
          <cell r="M25">
            <v>10840500</v>
          </cell>
        </row>
        <row r="27">
          <cell r="C27">
            <v>214711200</v>
          </cell>
        </row>
      </sheetData>
      <sheetData sheetId="343">
        <row r="18">
          <cell r="I18">
            <v>1</v>
          </cell>
        </row>
        <row r="19">
          <cell r="O19">
            <v>32804612.500000004</v>
          </cell>
        </row>
        <row r="21">
          <cell r="N21">
            <v>1600225.0000000002</v>
          </cell>
        </row>
      </sheetData>
      <sheetData sheetId="344"/>
      <sheetData sheetId="345"/>
      <sheetData sheetId="346">
        <row r="34">
          <cell r="K34">
            <v>100</v>
          </cell>
          <cell r="AF34">
            <v>149</v>
          </cell>
        </row>
        <row r="36">
          <cell r="M36">
            <v>8879047.1000000015</v>
          </cell>
        </row>
        <row r="38">
          <cell r="C38">
            <v>123316047</v>
          </cell>
        </row>
      </sheetData>
      <sheetData sheetId="347">
        <row r="34">
          <cell r="I34">
            <v>3</v>
          </cell>
        </row>
        <row r="35">
          <cell r="O35">
            <v>108608874.00000001</v>
          </cell>
        </row>
        <row r="37">
          <cell r="N37">
            <v>7240591.6000000006</v>
          </cell>
        </row>
      </sheetData>
      <sheetData sheetId="348"/>
      <sheetData sheetId="349"/>
      <sheetData sheetId="350"/>
      <sheetData sheetId="351">
        <row r="20">
          <cell r="I20">
            <v>1360040</v>
          </cell>
        </row>
        <row r="22">
          <cell r="D22">
            <v>28560840</v>
          </cell>
        </row>
      </sheetData>
      <sheetData sheetId="352">
        <row r="40">
          <cell r="O40">
            <v>73267920</v>
          </cell>
        </row>
      </sheetData>
      <sheetData sheetId="353"/>
      <sheetData sheetId="354"/>
      <sheetData sheetId="355"/>
      <sheetData sheetId="356"/>
      <sheetData sheetId="357"/>
      <sheetData sheetId="358">
        <row r="27">
          <cell r="K27">
            <v>246</v>
          </cell>
          <cell r="AF27">
            <v>349</v>
          </cell>
        </row>
        <row r="29">
          <cell r="M29">
            <v>10221200</v>
          </cell>
        </row>
        <row r="31">
          <cell r="C31">
            <v>173760400</v>
          </cell>
        </row>
      </sheetData>
      <sheetData sheetId="359">
        <row r="21">
          <cell r="O21">
            <v>86991344</v>
          </cell>
        </row>
        <row r="23">
          <cell r="N23">
            <v>5004472</v>
          </cell>
        </row>
      </sheetData>
      <sheetData sheetId="360">
        <row r="8">
          <cell r="B8">
            <v>46278</v>
          </cell>
        </row>
        <row r="26">
          <cell r="G26">
            <v>46300</v>
          </cell>
        </row>
        <row r="31">
          <cell r="C31">
            <v>195268800</v>
          </cell>
        </row>
        <row r="60">
          <cell r="M60">
            <v>9004800</v>
          </cell>
        </row>
      </sheetData>
      <sheetData sheetId="361">
        <row r="9">
          <cell r="B9">
            <v>45925</v>
          </cell>
          <cell r="G9">
            <v>45935</v>
          </cell>
        </row>
        <row r="26">
          <cell r="M26">
            <v>3698200.0000000005</v>
          </cell>
        </row>
        <row r="28">
          <cell r="C28">
            <v>36307315</v>
          </cell>
        </row>
      </sheetData>
      <sheetData sheetId="362">
        <row r="8">
          <cell r="B8">
            <v>46283</v>
          </cell>
          <cell r="G8">
            <v>46294</v>
          </cell>
        </row>
        <row r="18">
          <cell r="K18">
            <v>122</v>
          </cell>
          <cell r="AF18">
            <v>134</v>
          </cell>
        </row>
        <row r="20">
          <cell r="M20">
            <v>2581700</v>
          </cell>
        </row>
        <row r="22">
          <cell r="C22">
            <v>28137802</v>
          </cell>
        </row>
      </sheetData>
      <sheetData sheetId="363"/>
      <sheetData sheetId="364"/>
      <sheetData sheetId="365"/>
      <sheetData sheetId="366"/>
      <sheetData sheetId="367">
        <row r="23">
          <cell r="K23">
            <v>97</v>
          </cell>
          <cell r="AF23">
            <v>126</v>
          </cell>
        </row>
        <row r="25">
          <cell r="M25">
            <v>3848900.0000000005</v>
          </cell>
        </row>
        <row r="27">
          <cell r="C27">
            <v>60750800</v>
          </cell>
        </row>
      </sheetData>
      <sheetData sheetId="368">
        <row r="18">
          <cell r="I18">
            <v>3</v>
          </cell>
        </row>
        <row r="19">
          <cell r="O19">
            <v>114590025.00000001</v>
          </cell>
        </row>
        <row r="21">
          <cell r="N21">
            <v>6944850.0000000009</v>
          </cell>
        </row>
      </sheetData>
      <sheetData sheetId="369">
        <row r="22">
          <cell r="K22">
            <v>245</v>
          </cell>
          <cell r="AF22">
            <v>245</v>
          </cell>
        </row>
        <row r="24">
          <cell r="M24">
            <v>3185000</v>
          </cell>
        </row>
        <row r="26">
          <cell r="C26">
            <v>66885000</v>
          </cell>
        </row>
      </sheetData>
      <sheetData sheetId="370">
        <row r="21">
          <cell r="K21">
            <v>64</v>
          </cell>
          <cell r="AF21">
            <v>64</v>
          </cell>
        </row>
        <row r="23">
          <cell r="M23">
            <v>823900</v>
          </cell>
        </row>
        <row r="24">
          <cell r="C24">
            <v>17301900</v>
          </cell>
        </row>
      </sheetData>
      <sheetData sheetId="371">
        <row r="23">
          <cell r="G23">
            <v>109</v>
          </cell>
          <cell r="Z23">
            <v>179</v>
          </cell>
        </row>
        <row r="25">
          <cell r="H25">
            <v>2488750</v>
          </cell>
        </row>
        <row r="27">
          <cell r="C27">
            <v>52263750.000000007</v>
          </cell>
        </row>
      </sheetData>
      <sheetData sheetId="372">
        <row r="36">
          <cell r="I36">
            <v>7</v>
          </cell>
        </row>
        <row r="37">
          <cell r="O37">
            <v>151818740</v>
          </cell>
        </row>
        <row r="39">
          <cell r="N39">
            <v>7249940</v>
          </cell>
        </row>
      </sheetData>
      <sheetData sheetId="373">
        <row r="18">
          <cell r="G18">
            <v>2</v>
          </cell>
        </row>
        <row r="19">
          <cell r="O19">
            <v>14908740.000000002</v>
          </cell>
        </row>
        <row r="21">
          <cell r="N21">
            <v>709940</v>
          </cell>
        </row>
      </sheetData>
      <sheetData sheetId="374">
        <row r="8">
          <cell r="B8">
            <v>46278</v>
          </cell>
          <cell r="G8">
            <v>46299</v>
          </cell>
        </row>
        <row r="23">
          <cell r="K23">
            <v>72</v>
          </cell>
          <cell r="AF23">
            <v>80</v>
          </cell>
        </row>
        <row r="25">
          <cell r="M25">
            <v>968000.00000000012</v>
          </cell>
        </row>
        <row r="27">
          <cell r="C27">
            <v>20328000</v>
          </cell>
        </row>
      </sheetData>
      <sheetData sheetId="375">
        <row r="23">
          <cell r="K23">
            <v>128</v>
          </cell>
          <cell r="AF23">
            <v>156</v>
          </cell>
          <cell r="AG23">
            <v>491400</v>
          </cell>
        </row>
        <row r="25">
          <cell r="M25">
            <v>5935490.0000000009</v>
          </cell>
        </row>
        <row r="27">
          <cell r="C27">
            <v>125136690</v>
          </cell>
        </row>
      </sheetData>
      <sheetData sheetId="376"/>
      <sheetData sheetId="377"/>
      <sheetData sheetId="378">
        <row r="8">
          <cell r="B8">
            <v>46279</v>
          </cell>
          <cell r="G8">
            <v>46299</v>
          </cell>
        </row>
      </sheetData>
      <sheetData sheetId="379"/>
      <sheetData sheetId="380">
        <row r="23">
          <cell r="K23">
            <v>74</v>
          </cell>
          <cell r="AF23">
            <v>215</v>
          </cell>
        </row>
        <row r="25">
          <cell r="M25">
            <v>6081900.0000000009</v>
          </cell>
        </row>
        <row r="27">
          <cell r="C27">
            <v>115889400</v>
          </cell>
        </row>
      </sheetData>
      <sheetData sheetId="381">
        <row r="26">
          <cell r="I26">
            <v>9</v>
          </cell>
        </row>
        <row r="27">
          <cell r="O27">
            <v>22550000</v>
          </cell>
        </row>
        <row r="29">
          <cell r="N29">
            <v>1100000</v>
          </cell>
        </row>
      </sheetData>
      <sheetData sheetId="382">
        <row r="9">
          <cell r="B9">
            <v>46279</v>
          </cell>
          <cell r="G9">
            <v>46299</v>
          </cell>
        </row>
        <row r="26">
          <cell r="M26">
            <v>1647360.0000000002</v>
          </cell>
        </row>
        <row r="28">
          <cell r="C28">
            <v>32252220</v>
          </cell>
        </row>
      </sheetData>
      <sheetData sheetId="383">
        <row r="19">
          <cell r="O19">
            <v>6765000.0000000009</v>
          </cell>
        </row>
        <row r="21">
          <cell r="N21">
            <v>330000</v>
          </cell>
        </row>
      </sheetData>
      <sheetData sheetId="384">
        <row r="8">
          <cell r="G8">
            <v>46289</v>
          </cell>
        </row>
      </sheetData>
      <sheetData sheetId="385"/>
      <sheetData sheetId="386"/>
      <sheetData sheetId="387"/>
      <sheetData sheetId="388"/>
      <sheetData sheetId="389"/>
      <sheetData sheetId="390"/>
      <sheetData sheetId="391">
        <row r="22">
          <cell r="C22">
            <v>80121470</v>
          </cell>
        </row>
      </sheetData>
      <sheetData sheetId="392">
        <row r="23">
          <cell r="AH23">
            <v>1987200</v>
          </cell>
        </row>
      </sheetData>
      <sheetData sheetId="393"/>
      <sheetData sheetId="394"/>
      <sheetData sheetId="395"/>
      <sheetData sheetId="396">
        <row r="9">
          <cell r="B9">
            <v>45913</v>
          </cell>
          <cell r="G9">
            <v>45935</v>
          </cell>
        </row>
        <row r="24">
          <cell r="K24">
            <v>160</v>
          </cell>
          <cell r="AF24">
            <v>320</v>
          </cell>
        </row>
        <row r="26">
          <cell r="M26">
            <v>7621152.0000000009</v>
          </cell>
        </row>
        <row r="28">
          <cell r="C28">
            <v>164557140</v>
          </cell>
        </row>
      </sheetData>
      <sheetData sheetId="397">
        <row r="8">
          <cell r="B8">
            <v>46280</v>
          </cell>
          <cell r="G8">
            <v>46290</v>
          </cell>
        </row>
        <row r="25">
          <cell r="M25">
            <v>2299550</v>
          </cell>
        </row>
        <row r="27">
          <cell r="C27">
            <v>22995500</v>
          </cell>
        </row>
      </sheetData>
      <sheetData sheetId="398">
        <row r="18">
          <cell r="O18">
            <v>5760000</v>
          </cell>
        </row>
        <row r="21">
          <cell r="N21">
            <v>480000</v>
          </cell>
        </row>
      </sheetData>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23">
          <cell r="K23">
            <v>40</v>
          </cell>
          <cell r="AF23">
            <v>160</v>
          </cell>
        </row>
        <row r="25">
          <cell r="M25">
            <v>1936000.0000000002</v>
          </cell>
        </row>
        <row r="27">
          <cell r="C27">
            <v>47212000</v>
          </cell>
        </row>
      </sheetData>
      <sheetData sheetId="415">
        <row r="26">
          <cell r="I26">
            <v>8</v>
          </cell>
        </row>
        <row r="27">
          <cell r="O27">
            <v>62972250.000000007</v>
          </cell>
        </row>
        <row r="29">
          <cell r="N29">
            <v>2469500</v>
          </cell>
        </row>
      </sheetData>
      <sheetData sheetId="416"/>
      <sheetData sheetId="417"/>
      <sheetData sheetId="418">
        <row r="8">
          <cell r="B8">
            <v>46281</v>
          </cell>
          <cell r="G8">
            <v>46294</v>
          </cell>
        </row>
        <row r="23">
          <cell r="K23">
            <v>225</v>
          </cell>
          <cell r="AF23">
            <v>335</v>
          </cell>
        </row>
        <row r="25">
          <cell r="M25">
            <v>9102500</v>
          </cell>
        </row>
        <row r="27">
          <cell r="C27">
            <v>115016000</v>
          </cell>
        </row>
      </sheetData>
      <sheetData sheetId="419">
        <row r="30">
          <cell r="I30">
            <v>11</v>
          </cell>
        </row>
        <row r="31">
          <cell r="O31">
            <v>17394300</v>
          </cell>
        </row>
        <row r="33">
          <cell r="N33">
            <v>1251800</v>
          </cell>
        </row>
      </sheetData>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row r="8">
          <cell r="B8">
            <v>46278</v>
          </cell>
          <cell r="G8">
            <v>46301</v>
          </cell>
        </row>
        <row r="23">
          <cell r="K23">
            <v>117</v>
          </cell>
          <cell r="AF23">
            <v>163</v>
          </cell>
        </row>
        <row r="25">
          <cell r="M25">
            <v>3655850.0000000005</v>
          </cell>
        </row>
        <row r="27">
          <cell r="C27">
            <v>82739800</v>
          </cell>
        </row>
      </sheetData>
      <sheetData sheetId="434">
        <row r="24">
          <cell r="G24">
            <v>8</v>
          </cell>
        </row>
        <row r="25">
          <cell r="O25">
            <v>63482100.000000007</v>
          </cell>
        </row>
        <row r="27">
          <cell r="N27">
            <v>2651165</v>
          </cell>
        </row>
      </sheetData>
      <sheetData sheetId="435"/>
      <sheetData sheetId="436"/>
      <sheetData sheetId="437"/>
      <sheetData sheetId="438"/>
      <sheetData sheetId="439">
        <row r="1">
          <cell r="A1" t="str">
            <v>施設No.</v>
          </cell>
          <cell r="B1" t="str">
            <v>宿泊施設</v>
          </cell>
          <cell r="C1" t="str">
            <v>配宿SH（アジア）</v>
          </cell>
          <cell r="D1" t="str">
            <v>配宿SH（アジア）_2</v>
          </cell>
          <cell r="E1" t="str">
            <v>配宿SH（アジア）_3</v>
          </cell>
          <cell r="F1" t="str">
            <v>配宿SH（パラ）</v>
          </cell>
          <cell r="G1" t="str">
            <v>配宿SH（パラ）_2</v>
          </cell>
          <cell r="H1" t="str">
            <v>施設保有Fn_部屋数</v>
          </cell>
          <cell r="I1" t="str">
            <v>Fn_部屋数</v>
          </cell>
          <cell r="J1" t="str">
            <v>検証</v>
          </cell>
          <cell r="K1" t="str">
            <v>保有－現状積み上げ部屋数の差
選手ファミリー本部のみ</v>
          </cell>
          <cell r="L1" t="str">
            <v>Fn_部屋額</v>
          </cell>
          <cell r="M1" t="str">
            <v>Fn_ネット額</v>
          </cell>
          <cell r="N1" t="str">
            <v>輸送関連施設利用費</v>
          </cell>
          <cell r="O1" t="str">
            <v>入湯税</v>
          </cell>
          <cell r="P1" t="str">
            <v>宿泊税</v>
          </cell>
          <cell r="Q1" t="str">
            <v>K～O列計</v>
          </cell>
          <cell r="R1" t="str">
            <v>Fn_計
(1泊あたり)</v>
          </cell>
          <cell r="S1" t="str">
            <v>Fn
EXACT関数</v>
          </cell>
          <cell r="T1" t="str">
            <v>Fn_1室あたり平均単価
※宿泊税などひっくるめて計算</v>
          </cell>
          <cell r="V1" t="str">
            <v>宿泊費の合計
1泊あたり1007</v>
          </cell>
          <cell r="W1" t="str">
            <v>宿泊費の合計
1泊あたり</v>
          </cell>
          <cell r="X1" t="str">
            <v>客室
EXACT関数</v>
          </cell>
          <cell r="Y1" t="str">
            <v>1室あたり平均単価</v>
          </cell>
          <cell r="Z1" t="str">
            <v>最小</v>
          </cell>
          <cell r="AA1" t="str">
            <v>最大</v>
          </cell>
          <cell r="AB1" t="str">
            <v>1名あたり平均単価（シミュレーション上の話、計算には使えない）</v>
          </cell>
          <cell r="AC1" t="str">
            <v>朝食料金（税込）
※HPおよび宿泊プラン調べ</v>
          </cell>
          <cell r="AD1" t="str">
            <v>FNB積算朝食料金（税込）</v>
          </cell>
          <cell r="AE1" t="str">
            <v>総客室数</v>
          </cell>
          <cell r="AF1" t="str">
            <v>現状の利用客室数</v>
          </cell>
          <cell r="AG1" t="str">
            <v>検証用</v>
          </cell>
          <cell r="AH1" t="str">
            <v>収容可能人数</v>
          </cell>
          <cell r="AI1" t="str">
            <v>シミュレーションの人数
（アジア）</v>
          </cell>
          <cell r="AJ1" t="str">
            <v>シミュレーションの客室数
（アジア）_2</v>
          </cell>
          <cell r="AK1" t="str">
            <v>シミュレーションの客室数
（アジア）_DCO</v>
          </cell>
          <cell r="AL1" t="str">
            <v>シミュレーションの客室数
（パラ）</v>
          </cell>
          <cell r="AM1" t="str">
            <v>シミュレーションの客室数
（パラ）_DCO</v>
          </cell>
          <cell r="AN1" t="str">
            <v>現状積上客室とシミュレーションとの差（アジア）</v>
          </cell>
          <cell r="AO1" t="str">
            <v>現状積上客室とシミュレーションとの差（アジア）_2</v>
          </cell>
          <cell r="AP1" t="str">
            <v>現状積上客室とシミュレーションとの差（アジア）_3</v>
          </cell>
          <cell r="AQ1" t="str">
            <v>現状積み上げ客室とシミュレーションとの差（パラ）</v>
          </cell>
          <cell r="AR1" t="str">
            <v>現状積み上げ客室とシミュレーションとの差（パラ）_DCO</v>
          </cell>
          <cell r="AS1" t="str">
            <v>１日あたりの合計
（物価上昇前）</v>
          </cell>
          <cell r="AT1" t="str">
            <v>物価上昇率
2021→2026</v>
          </cell>
          <cell r="AU1" t="str">
            <v>１日あたりの合計
（物価上昇後）</v>
          </cell>
          <cell r="AV1" t="str">
            <v>泊数（アジア選手（修正案））</v>
          </cell>
          <cell r="AW1" t="str">
            <v>泊数（アジア12000）</v>
          </cell>
          <cell r="AX1" t="str">
            <v>泊数（アジアスポンサー本部）</v>
          </cell>
          <cell r="AY1" t="str">
            <v>泊数（アジアファミリー）</v>
          </cell>
          <cell r="AZ1" t="str">
            <v>泊数（アジアメディア）</v>
          </cell>
          <cell r="BA1" t="str">
            <v>泊数（アジア技術DCO以外）</v>
          </cell>
          <cell r="BB1" t="str">
            <v>泊数（アジア技術DCO）</v>
          </cell>
          <cell r="BC1" t="str">
            <v>泊数（パラ選手）</v>
          </cell>
          <cell r="BD1" t="str">
            <v>泊数（パラファミスポ）</v>
          </cell>
          <cell r="BE1" t="str">
            <v>泊数（パラメディア）</v>
          </cell>
          <cell r="BF1" t="str">
            <v>泊数（パラ技術DCO以外）</v>
          </cell>
          <cell r="BG1" t="str">
            <v>泊数（パラ技術DCO）</v>
          </cell>
          <cell r="BH1" t="str">
            <v>上昇前金額_アジア選手（修正案）</v>
          </cell>
          <cell r="BI1" t="str">
            <v>上昇前金額_アジア12000</v>
          </cell>
          <cell r="BJ1" t="str">
            <v>上昇前金額_アジアファミリー</v>
          </cell>
          <cell r="BK1" t="str">
            <v>上昇前金額_アジアメディア</v>
          </cell>
          <cell r="BL1" t="str">
            <v>上昇前金額_アジアスポンサー</v>
          </cell>
          <cell r="BM1" t="str">
            <v>上昇前金額_アジア本部</v>
          </cell>
          <cell r="BN1" t="str">
            <v>上昇前金額_アジア技術役員</v>
          </cell>
          <cell r="BO1" t="str">
            <v>上昇前金額_アジアDCO</v>
          </cell>
          <cell r="BP1" t="str">
            <v>上昇前金額_パラ選手4000</v>
          </cell>
          <cell r="BQ1" t="str">
            <v>上昇前金額_パラ選手3600</v>
          </cell>
          <cell r="BR1" t="str">
            <v>上昇前金額_パラファミリー</v>
          </cell>
          <cell r="BS1" t="str">
            <v>上昇前金額_パラ本部</v>
          </cell>
          <cell r="BT1" t="str">
            <v>上昇前金額_パラメディア</v>
          </cell>
          <cell r="BU1" t="str">
            <v>上昇前金額_パラスポンサー</v>
          </cell>
          <cell r="BV1" t="str">
            <v>上昇前金額_パラ技術役員</v>
          </cell>
          <cell r="BW1" t="str">
            <v>上昇前金額_パラDCO</v>
          </cell>
          <cell r="BX1" t="str">
            <v>Fn上昇前金額_アジア選手（修正案）</v>
          </cell>
          <cell r="BY1" t="str">
            <v>Fn上昇前金額_アジア12000</v>
          </cell>
          <cell r="BZ1" t="str">
            <v>Fn上昇前金額_アジアファミリー</v>
          </cell>
          <cell r="CA1" t="str">
            <v>Fn上昇前金額_アジア本部</v>
          </cell>
          <cell r="CB1" t="str">
            <v>Fn上昇前金額_アジア技術役員
※一律？</v>
          </cell>
          <cell r="CC1" t="str">
            <v>Fn上昇前金額_パラ4000</v>
          </cell>
          <cell r="CD1" t="str">
            <v>Fn上昇前金額_パラ3600</v>
          </cell>
          <cell r="CE1" t="str">
            <v>Fn上昇前金額_パラファミリー</v>
          </cell>
          <cell r="CF1" t="str">
            <v>Fn上昇前金額_パラ本部</v>
          </cell>
          <cell r="CG1" t="str">
            <v>Fn上昇前金額_パラ技術役員
※一律？</v>
          </cell>
          <cell r="CH1" t="str">
            <v>備考</v>
          </cell>
        </row>
        <row r="2">
          <cell r="A2">
            <v>1</v>
          </cell>
          <cell r="B2" t="str">
            <v>0001_アパホテル&lt;尾張一宮駅&gt;</v>
          </cell>
          <cell r="C2" t="str">
            <v/>
          </cell>
          <cell r="D2" t="str">
            <v/>
          </cell>
          <cell r="E2" t="str">
            <v/>
          </cell>
          <cell r="F2" t="str">
            <v/>
          </cell>
          <cell r="G2" t="str">
            <v/>
          </cell>
          <cell r="H2">
            <v>2</v>
          </cell>
          <cell r="I2">
            <v>1</v>
          </cell>
          <cell r="J2" t="b">
            <v>1</v>
          </cell>
          <cell r="K2" t="str">
            <v/>
          </cell>
          <cell r="L2">
            <v>211765</v>
          </cell>
          <cell r="M2">
            <v>3530</v>
          </cell>
          <cell r="N2">
            <v>0</v>
          </cell>
          <cell r="O2">
            <v>0</v>
          </cell>
          <cell r="P2">
            <v>0</v>
          </cell>
          <cell r="Q2">
            <v>236824.50000000003</v>
          </cell>
          <cell r="R2">
            <v>236824</v>
          </cell>
          <cell r="S2" t="b">
            <v>1</v>
          </cell>
          <cell r="T2">
            <v>236824</v>
          </cell>
          <cell r="U2">
            <v>0</v>
          </cell>
          <cell r="V2">
            <v>1449448</v>
          </cell>
          <cell r="W2">
            <v>1449448</v>
          </cell>
          <cell r="X2" t="b">
            <v>1</v>
          </cell>
          <cell r="Y2">
            <v>19325.973333333332</v>
          </cell>
          <cell r="AB2" t="str">
            <v/>
          </cell>
          <cell r="AE2">
            <v>75</v>
          </cell>
          <cell r="AF2">
            <v>75</v>
          </cell>
          <cell r="AG2" t="b">
            <v>1</v>
          </cell>
          <cell r="AH2">
            <v>87</v>
          </cell>
          <cell r="AI2" t="str">
            <v/>
          </cell>
          <cell r="AJ2" t="str">
            <v/>
          </cell>
          <cell r="AK2" t="str">
            <v/>
          </cell>
          <cell r="AL2" t="str">
            <v/>
          </cell>
          <cell r="AM2" t="str">
            <v/>
          </cell>
          <cell r="AN2" t="str">
            <v/>
          </cell>
          <cell r="AO2" t="str">
            <v/>
          </cell>
          <cell r="AQ2" t="str">
            <v/>
          </cell>
          <cell r="AV2" t="str">
            <v/>
          </cell>
          <cell r="AW2" t="str">
            <v/>
          </cell>
          <cell r="AX2" t="str">
            <v/>
          </cell>
          <cell r="AY2" t="str">
            <v/>
          </cell>
          <cell r="AZ2" t="str">
            <v/>
          </cell>
          <cell r="BA2" t="str">
            <v/>
          </cell>
          <cell r="BB2" t="str">
            <v/>
          </cell>
          <cell r="BC2" t="str">
            <v/>
          </cell>
          <cell r="BD2" t="str">
            <v/>
          </cell>
          <cell r="BE2" t="str">
            <v/>
          </cell>
          <cell r="BF2" t="str">
            <v/>
          </cell>
          <cell r="BG2" t="str">
            <v/>
          </cell>
          <cell r="BH2" t="str">
            <v/>
          </cell>
          <cell r="BJ2" t="str">
            <v/>
          </cell>
          <cell r="BK2" t="str">
            <v/>
          </cell>
          <cell r="BL2" t="str">
            <v/>
          </cell>
          <cell r="BM2" t="str">
            <v/>
          </cell>
          <cell r="BN2" t="str">
            <v/>
          </cell>
          <cell r="BO2" t="str">
            <v/>
          </cell>
          <cell r="BP2" t="str">
            <v/>
          </cell>
          <cell r="BQ2" t="str">
            <v/>
          </cell>
          <cell r="BR2" t="str">
            <v/>
          </cell>
          <cell r="BS2" t="str">
            <v/>
          </cell>
          <cell r="BT2" t="str">
            <v/>
          </cell>
          <cell r="BU2" t="str">
            <v/>
          </cell>
          <cell r="BV2" t="str">
            <v/>
          </cell>
          <cell r="BW2" t="str">
            <v/>
          </cell>
          <cell r="BX2" t="str">
            <v/>
          </cell>
          <cell r="BY2" t="str">
            <v/>
          </cell>
          <cell r="BZ2" t="str">
            <v/>
          </cell>
          <cell r="CA2" t="str">
            <v/>
          </cell>
          <cell r="CC2" t="str">
            <v/>
          </cell>
          <cell r="CD2" t="str">
            <v/>
          </cell>
          <cell r="CE2" t="str">
            <v/>
          </cell>
          <cell r="CF2" t="str">
            <v/>
          </cell>
        </row>
        <row r="3">
          <cell r="A3">
            <v>2</v>
          </cell>
          <cell r="B3" t="str">
            <v>0002_東横INN名古屋尾張一宮駅前</v>
          </cell>
          <cell r="C3" t="str">
            <v/>
          </cell>
          <cell r="D3" t="str">
            <v/>
          </cell>
          <cell r="E3" t="str">
            <v/>
          </cell>
          <cell r="F3" t="str">
            <v/>
          </cell>
          <cell r="G3" t="str">
            <v/>
          </cell>
          <cell r="H3">
            <v>0</v>
          </cell>
          <cell r="I3">
            <v>0</v>
          </cell>
          <cell r="J3" t="b">
            <v>1</v>
          </cell>
          <cell r="K3" t="str">
            <v/>
          </cell>
          <cell r="L3">
            <v>0</v>
          </cell>
          <cell r="M3">
            <v>0</v>
          </cell>
          <cell r="N3">
            <v>0</v>
          </cell>
          <cell r="O3">
            <v>0</v>
          </cell>
          <cell r="P3">
            <v>0</v>
          </cell>
          <cell r="Q3">
            <v>0</v>
          </cell>
          <cell r="R3">
            <v>0</v>
          </cell>
          <cell r="S3" t="b">
            <v>1</v>
          </cell>
          <cell r="T3" t="str">
            <v/>
          </cell>
          <cell r="U3">
            <v>0</v>
          </cell>
          <cell r="V3">
            <v>886127</v>
          </cell>
          <cell r="W3">
            <v>886127</v>
          </cell>
          <cell r="X3" t="b">
            <v>1</v>
          </cell>
          <cell r="Y3">
            <v>7639.0258620689656</v>
          </cell>
          <cell r="AB3" t="str">
            <v/>
          </cell>
          <cell r="AE3">
            <v>116</v>
          </cell>
          <cell r="AF3">
            <v>116</v>
          </cell>
          <cell r="AG3" t="b">
            <v>1</v>
          </cell>
          <cell r="AH3">
            <v>116</v>
          </cell>
          <cell r="AI3" t="str">
            <v/>
          </cell>
          <cell r="AJ3" t="str">
            <v/>
          </cell>
          <cell r="AK3" t="str">
            <v/>
          </cell>
          <cell r="AL3" t="str">
            <v/>
          </cell>
          <cell r="AM3" t="str">
            <v/>
          </cell>
          <cell r="AN3" t="str">
            <v/>
          </cell>
          <cell r="AO3" t="str">
            <v/>
          </cell>
          <cell r="AQ3" t="str">
            <v/>
          </cell>
          <cell r="AV3" t="str">
            <v/>
          </cell>
          <cell r="AW3" t="str">
            <v/>
          </cell>
          <cell r="AX3" t="str">
            <v/>
          </cell>
          <cell r="AY3" t="str">
            <v/>
          </cell>
          <cell r="AZ3" t="str">
            <v/>
          </cell>
          <cell r="BA3" t="str">
            <v/>
          </cell>
          <cell r="BB3" t="str">
            <v/>
          </cell>
          <cell r="BC3" t="str">
            <v/>
          </cell>
          <cell r="BD3" t="str">
            <v/>
          </cell>
          <cell r="BE3" t="str">
            <v/>
          </cell>
          <cell r="BF3" t="str">
            <v/>
          </cell>
          <cell r="BG3" t="str">
            <v/>
          </cell>
          <cell r="BH3" t="str">
            <v/>
          </cell>
          <cell r="BJ3" t="str">
            <v/>
          </cell>
          <cell r="BK3" t="str">
            <v/>
          </cell>
          <cell r="BL3" t="str">
            <v/>
          </cell>
          <cell r="BM3" t="str">
            <v/>
          </cell>
          <cell r="BN3" t="str">
            <v/>
          </cell>
          <cell r="BO3" t="str">
            <v/>
          </cell>
          <cell r="BP3" t="str">
            <v/>
          </cell>
          <cell r="BQ3" t="str">
            <v/>
          </cell>
          <cell r="BR3" t="str">
            <v/>
          </cell>
          <cell r="BS3" t="str">
            <v/>
          </cell>
          <cell r="BT3" t="str">
            <v/>
          </cell>
          <cell r="BU3" t="str">
            <v/>
          </cell>
          <cell r="BV3" t="str">
            <v/>
          </cell>
          <cell r="BW3" t="str">
            <v/>
          </cell>
          <cell r="BX3" t="str">
            <v/>
          </cell>
          <cell r="BY3" t="str">
            <v/>
          </cell>
          <cell r="BZ3" t="str">
            <v/>
          </cell>
          <cell r="CA3" t="str">
            <v/>
          </cell>
          <cell r="CC3" t="str">
            <v/>
          </cell>
          <cell r="CD3" t="str">
            <v/>
          </cell>
          <cell r="CE3" t="str">
            <v/>
          </cell>
          <cell r="CF3" t="str">
            <v/>
          </cell>
        </row>
        <row r="4">
          <cell r="A4">
            <v>4</v>
          </cell>
          <cell r="B4" t="str">
            <v>0004_ホテルルートイン一宮駅前</v>
          </cell>
          <cell r="C4" t="str">
            <v/>
          </cell>
          <cell r="D4" t="str">
            <v/>
          </cell>
          <cell r="E4" t="str">
            <v/>
          </cell>
          <cell r="F4" t="str">
            <v/>
          </cell>
          <cell r="G4" t="str">
            <v/>
          </cell>
          <cell r="H4">
            <v>0</v>
          </cell>
          <cell r="I4">
            <v>0</v>
          </cell>
          <cell r="J4" t="b">
            <v>1</v>
          </cell>
          <cell r="K4" t="str">
            <v/>
          </cell>
          <cell r="L4">
            <v>0</v>
          </cell>
          <cell r="M4">
            <v>0</v>
          </cell>
          <cell r="N4">
            <v>0</v>
          </cell>
          <cell r="O4">
            <v>0</v>
          </cell>
          <cell r="P4">
            <v>0</v>
          </cell>
          <cell r="Q4">
            <v>0</v>
          </cell>
          <cell r="R4">
            <v>0</v>
          </cell>
          <cell r="S4" t="b">
            <v>1</v>
          </cell>
          <cell r="T4" t="str">
            <v/>
          </cell>
          <cell r="U4">
            <v>0</v>
          </cell>
          <cell r="V4">
            <v>1267612</v>
          </cell>
          <cell r="W4">
            <v>1267612</v>
          </cell>
          <cell r="X4" t="b">
            <v>1</v>
          </cell>
          <cell r="Y4">
            <v>16251.435897435897</v>
          </cell>
          <cell r="AB4" t="str">
            <v/>
          </cell>
          <cell r="AE4">
            <v>149</v>
          </cell>
          <cell r="AF4">
            <v>78</v>
          </cell>
          <cell r="AG4" t="b">
            <v>1</v>
          </cell>
          <cell r="AH4">
            <v>149</v>
          </cell>
          <cell r="AI4" t="str">
            <v/>
          </cell>
          <cell r="AJ4" t="str">
            <v/>
          </cell>
          <cell r="AK4" t="str">
            <v/>
          </cell>
          <cell r="AL4" t="str">
            <v/>
          </cell>
          <cell r="AM4" t="str">
            <v/>
          </cell>
          <cell r="AN4" t="str">
            <v/>
          </cell>
          <cell r="AO4" t="str">
            <v/>
          </cell>
          <cell r="AQ4" t="str">
            <v/>
          </cell>
          <cell r="AV4" t="str">
            <v/>
          </cell>
          <cell r="AW4" t="str">
            <v/>
          </cell>
          <cell r="AX4" t="str">
            <v/>
          </cell>
          <cell r="AY4" t="str">
            <v/>
          </cell>
          <cell r="AZ4" t="str">
            <v/>
          </cell>
          <cell r="BA4" t="str">
            <v/>
          </cell>
          <cell r="BB4" t="str">
            <v/>
          </cell>
          <cell r="BC4" t="str">
            <v/>
          </cell>
          <cell r="BD4" t="str">
            <v/>
          </cell>
          <cell r="BE4" t="str">
            <v/>
          </cell>
          <cell r="BF4" t="str">
            <v/>
          </cell>
          <cell r="BG4" t="str">
            <v/>
          </cell>
          <cell r="BH4" t="str">
            <v/>
          </cell>
          <cell r="BJ4" t="str">
            <v/>
          </cell>
          <cell r="BK4" t="str">
            <v/>
          </cell>
          <cell r="BL4" t="str">
            <v/>
          </cell>
          <cell r="BM4" t="str">
            <v/>
          </cell>
          <cell r="BN4" t="str">
            <v/>
          </cell>
          <cell r="BO4" t="str">
            <v/>
          </cell>
          <cell r="BP4" t="str">
            <v/>
          </cell>
          <cell r="BQ4" t="str">
            <v/>
          </cell>
          <cell r="BR4" t="str">
            <v/>
          </cell>
          <cell r="BS4" t="str">
            <v/>
          </cell>
          <cell r="BT4" t="str">
            <v/>
          </cell>
          <cell r="BU4" t="str">
            <v/>
          </cell>
          <cell r="BV4" t="str">
            <v/>
          </cell>
          <cell r="BW4" t="str">
            <v/>
          </cell>
          <cell r="BX4" t="str">
            <v/>
          </cell>
          <cell r="BY4" t="str">
            <v/>
          </cell>
          <cell r="BZ4" t="str">
            <v/>
          </cell>
          <cell r="CA4" t="str">
            <v/>
          </cell>
          <cell r="CC4" t="str">
            <v/>
          </cell>
          <cell r="CD4" t="str">
            <v/>
          </cell>
          <cell r="CE4" t="str">
            <v/>
          </cell>
          <cell r="CF4" t="str">
            <v/>
          </cell>
        </row>
        <row r="5">
          <cell r="A5">
            <v>7</v>
          </cell>
          <cell r="B5" t="str">
            <v>0007_一宮グリーンホテル</v>
          </cell>
          <cell r="C5" t="str">
            <v/>
          </cell>
          <cell r="D5" t="str">
            <v/>
          </cell>
          <cell r="E5" t="str">
            <v/>
          </cell>
          <cell r="F5" t="str">
            <v/>
          </cell>
          <cell r="G5" t="str">
            <v/>
          </cell>
          <cell r="H5">
            <v>1</v>
          </cell>
          <cell r="I5">
            <v>1</v>
          </cell>
          <cell r="J5" t="b">
            <v>1</v>
          </cell>
          <cell r="K5" t="str">
            <v/>
          </cell>
          <cell r="L5">
            <v>35295</v>
          </cell>
          <cell r="M5">
            <v>0</v>
          </cell>
          <cell r="N5">
            <v>0</v>
          </cell>
          <cell r="O5">
            <v>0</v>
          </cell>
          <cell r="P5">
            <v>0</v>
          </cell>
          <cell r="Q5">
            <v>38824.5</v>
          </cell>
          <cell r="R5">
            <v>38824</v>
          </cell>
          <cell r="S5" t="b">
            <v>1</v>
          </cell>
          <cell r="T5">
            <v>38824</v>
          </cell>
          <cell r="U5">
            <v>0</v>
          </cell>
          <cell r="V5">
            <v>565434</v>
          </cell>
          <cell r="W5">
            <v>565434</v>
          </cell>
          <cell r="X5" t="b">
            <v>1</v>
          </cell>
          <cell r="Y5">
            <v>12850.772727272728</v>
          </cell>
          <cell r="AB5" t="str">
            <v/>
          </cell>
          <cell r="AE5">
            <v>44</v>
          </cell>
          <cell r="AF5">
            <v>44</v>
          </cell>
          <cell r="AG5" t="b">
            <v>1</v>
          </cell>
          <cell r="AH5">
            <v>44</v>
          </cell>
          <cell r="AI5" t="str">
            <v/>
          </cell>
          <cell r="AJ5" t="str">
            <v/>
          </cell>
          <cell r="AK5" t="str">
            <v/>
          </cell>
          <cell r="AL5" t="str">
            <v/>
          </cell>
          <cell r="AM5" t="str">
            <v/>
          </cell>
          <cell r="AN5" t="str">
            <v/>
          </cell>
          <cell r="AO5" t="str">
            <v/>
          </cell>
          <cell r="AQ5" t="str">
            <v/>
          </cell>
          <cell r="AV5" t="str">
            <v/>
          </cell>
          <cell r="AW5" t="str">
            <v/>
          </cell>
          <cell r="AX5" t="str">
            <v/>
          </cell>
          <cell r="AY5" t="str">
            <v/>
          </cell>
          <cell r="AZ5" t="str">
            <v/>
          </cell>
          <cell r="BA5" t="str">
            <v/>
          </cell>
          <cell r="BB5" t="str">
            <v/>
          </cell>
          <cell r="BC5" t="str">
            <v/>
          </cell>
          <cell r="BD5" t="str">
            <v/>
          </cell>
          <cell r="BE5" t="str">
            <v/>
          </cell>
          <cell r="BF5" t="str">
            <v/>
          </cell>
          <cell r="BG5" t="str">
            <v/>
          </cell>
          <cell r="BH5" t="str">
            <v/>
          </cell>
          <cell r="BJ5" t="str">
            <v/>
          </cell>
          <cell r="BK5" t="str">
            <v/>
          </cell>
          <cell r="BL5" t="str">
            <v/>
          </cell>
          <cell r="BM5" t="str">
            <v/>
          </cell>
          <cell r="BN5" t="str">
            <v/>
          </cell>
          <cell r="BO5" t="str">
            <v/>
          </cell>
          <cell r="BP5" t="str">
            <v/>
          </cell>
          <cell r="BQ5" t="str">
            <v/>
          </cell>
          <cell r="BR5" t="str">
            <v/>
          </cell>
          <cell r="BS5" t="str">
            <v/>
          </cell>
          <cell r="BT5" t="str">
            <v/>
          </cell>
          <cell r="BU5" t="str">
            <v/>
          </cell>
          <cell r="BV5" t="str">
            <v/>
          </cell>
          <cell r="BW5" t="str">
            <v/>
          </cell>
          <cell r="BX5" t="str">
            <v/>
          </cell>
          <cell r="BY5" t="str">
            <v/>
          </cell>
          <cell r="BZ5" t="str">
            <v/>
          </cell>
          <cell r="CA5" t="str">
            <v/>
          </cell>
          <cell r="CC5" t="str">
            <v/>
          </cell>
          <cell r="CD5" t="str">
            <v/>
          </cell>
          <cell r="CE5" t="str">
            <v/>
          </cell>
          <cell r="CF5" t="str">
            <v/>
          </cell>
        </row>
        <row r="6">
          <cell r="A6">
            <v>8</v>
          </cell>
          <cell r="B6" t="str">
            <v>008_ホテルプラザ勝川</v>
          </cell>
          <cell r="C6" t="str">
            <v/>
          </cell>
          <cell r="D6" t="str">
            <v>技術役員</v>
          </cell>
          <cell r="E6" t="str">
            <v/>
          </cell>
          <cell r="F6" t="str">
            <v>技術役員</v>
          </cell>
          <cell r="G6" t="str">
            <v/>
          </cell>
          <cell r="H6">
            <v>10</v>
          </cell>
          <cell r="I6">
            <v>7</v>
          </cell>
          <cell r="J6" t="b">
            <v>1</v>
          </cell>
          <cell r="K6" t="str">
            <v/>
          </cell>
          <cell r="L6">
            <v>1714708</v>
          </cell>
          <cell r="M6">
            <v>82355</v>
          </cell>
          <cell r="N6">
            <v>0</v>
          </cell>
          <cell r="O6">
            <v>0</v>
          </cell>
          <cell r="P6">
            <v>0</v>
          </cell>
          <cell r="Q6">
            <v>1976769.3</v>
          </cell>
          <cell r="R6">
            <v>1976769</v>
          </cell>
          <cell r="S6" t="b">
            <v>1</v>
          </cell>
          <cell r="T6">
            <v>282395.57142857142</v>
          </cell>
          <cell r="U6">
            <v>0</v>
          </cell>
          <cell r="V6">
            <v>1014292</v>
          </cell>
          <cell r="W6">
            <v>1014292</v>
          </cell>
          <cell r="X6" t="b">
            <v>1</v>
          </cell>
          <cell r="Y6">
            <v>15368.060606060606</v>
          </cell>
          <cell r="AB6" t="str">
            <v/>
          </cell>
          <cell r="AE6">
            <v>90</v>
          </cell>
          <cell r="AF6">
            <v>66</v>
          </cell>
          <cell r="AG6" t="b">
            <v>1</v>
          </cell>
          <cell r="AH6">
            <v>102</v>
          </cell>
          <cell r="AI6" t="str">
            <v/>
          </cell>
          <cell r="AJ6">
            <v>51</v>
          </cell>
          <cell r="AK6" t="str">
            <v/>
          </cell>
          <cell r="AL6">
            <v>44</v>
          </cell>
          <cell r="AM6" t="str">
            <v/>
          </cell>
          <cell r="AN6" t="str">
            <v/>
          </cell>
          <cell r="AO6">
            <v>-15</v>
          </cell>
          <cell r="AQ6">
            <v>-22</v>
          </cell>
          <cell r="AV6" t="str">
            <v/>
          </cell>
          <cell r="AW6" t="str">
            <v/>
          </cell>
          <cell r="AX6" t="str">
            <v/>
          </cell>
          <cell r="AY6" t="str">
            <v/>
          </cell>
          <cell r="AZ6" t="str">
            <v/>
          </cell>
          <cell r="BA6">
            <v>11</v>
          </cell>
          <cell r="BB6" t="str">
            <v/>
          </cell>
          <cell r="BC6" t="str">
            <v/>
          </cell>
          <cell r="BD6" t="str">
            <v/>
          </cell>
          <cell r="BE6" t="str">
            <v/>
          </cell>
          <cell r="BF6">
            <v>10</v>
          </cell>
          <cell r="BG6" t="str">
            <v/>
          </cell>
          <cell r="BH6" t="str">
            <v/>
          </cell>
          <cell r="BJ6" t="str">
            <v/>
          </cell>
          <cell r="BK6" t="str">
            <v/>
          </cell>
          <cell r="BL6" t="str">
            <v/>
          </cell>
          <cell r="BM6" t="str">
            <v/>
          </cell>
          <cell r="BN6">
            <v>8621482</v>
          </cell>
          <cell r="BO6" t="str">
            <v/>
          </cell>
          <cell r="BP6" t="str">
            <v/>
          </cell>
          <cell r="BQ6" t="str">
            <v/>
          </cell>
          <cell r="BR6" t="str">
            <v/>
          </cell>
          <cell r="BS6" t="str">
            <v/>
          </cell>
          <cell r="BT6" t="str">
            <v/>
          </cell>
          <cell r="BU6" t="str">
            <v/>
          </cell>
          <cell r="BV6">
            <v>6761946.666666666</v>
          </cell>
          <cell r="BW6" t="str">
            <v/>
          </cell>
          <cell r="BX6" t="str">
            <v/>
          </cell>
          <cell r="BY6" t="str">
            <v/>
          </cell>
          <cell r="BZ6" t="str">
            <v/>
          </cell>
          <cell r="CA6" t="str">
            <v/>
          </cell>
          <cell r="CC6" t="str">
            <v/>
          </cell>
          <cell r="CD6" t="str">
            <v/>
          </cell>
          <cell r="CE6" t="str">
            <v/>
          </cell>
          <cell r="CF6" t="str">
            <v/>
          </cell>
        </row>
        <row r="7">
          <cell r="A7">
            <v>10</v>
          </cell>
          <cell r="B7" t="str">
            <v>0010_春日井中央ホテル</v>
          </cell>
          <cell r="C7" t="str">
            <v/>
          </cell>
          <cell r="D7" t="str">
            <v/>
          </cell>
          <cell r="E7" t="str">
            <v/>
          </cell>
          <cell r="F7" t="str">
            <v/>
          </cell>
          <cell r="G7" t="str">
            <v/>
          </cell>
          <cell r="H7">
            <v>0</v>
          </cell>
          <cell r="I7">
            <v>0</v>
          </cell>
          <cell r="J7" t="b">
            <v>1</v>
          </cell>
          <cell r="K7" t="str">
            <v/>
          </cell>
          <cell r="L7">
            <v>0</v>
          </cell>
          <cell r="M7">
            <v>0</v>
          </cell>
          <cell r="N7">
            <v>0</v>
          </cell>
          <cell r="O7">
            <v>0</v>
          </cell>
          <cell r="P7">
            <v>0</v>
          </cell>
          <cell r="Q7">
            <v>0</v>
          </cell>
          <cell r="R7">
            <v>0</v>
          </cell>
          <cell r="S7" t="b">
            <v>1</v>
          </cell>
          <cell r="T7" t="str">
            <v/>
          </cell>
          <cell r="U7">
            <v>0</v>
          </cell>
          <cell r="V7">
            <v>882362</v>
          </cell>
          <cell r="W7">
            <v>882362</v>
          </cell>
          <cell r="X7" t="b">
            <v>1</v>
          </cell>
          <cell r="Y7">
            <v>16648.33962264151</v>
          </cell>
          <cell r="AB7" t="str">
            <v/>
          </cell>
          <cell r="AE7">
            <v>77</v>
          </cell>
          <cell r="AF7">
            <v>53</v>
          </cell>
          <cell r="AG7" t="b">
            <v>1</v>
          </cell>
          <cell r="AH7">
            <v>89</v>
          </cell>
          <cell r="AI7" t="str">
            <v/>
          </cell>
          <cell r="AJ7" t="str">
            <v/>
          </cell>
          <cell r="AK7" t="str">
            <v/>
          </cell>
          <cell r="AL7" t="str">
            <v/>
          </cell>
          <cell r="AM7" t="str">
            <v/>
          </cell>
          <cell r="AN7" t="str">
            <v/>
          </cell>
          <cell r="AO7" t="str">
            <v/>
          </cell>
          <cell r="AQ7" t="str">
            <v/>
          </cell>
          <cell r="AV7" t="str">
            <v/>
          </cell>
          <cell r="AW7" t="str">
            <v/>
          </cell>
          <cell r="AX7" t="str">
            <v/>
          </cell>
          <cell r="AY7" t="str">
            <v/>
          </cell>
          <cell r="AZ7" t="str">
            <v/>
          </cell>
          <cell r="BA7" t="str">
            <v/>
          </cell>
          <cell r="BB7" t="str">
            <v/>
          </cell>
          <cell r="BC7" t="str">
            <v/>
          </cell>
          <cell r="BD7" t="str">
            <v/>
          </cell>
          <cell r="BE7" t="str">
            <v/>
          </cell>
          <cell r="BF7" t="str">
            <v/>
          </cell>
          <cell r="BG7" t="str">
            <v/>
          </cell>
          <cell r="BH7" t="str">
            <v/>
          </cell>
          <cell r="BJ7" t="str">
            <v/>
          </cell>
          <cell r="BK7" t="str">
            <v/>
          </cell>
          <cell r="BL7" t="str">
            <v/>
          </cell>
          <cell r="BM7" t="str">
            <v/>
          </cell>
          <cell r="BN7" t="str">
            <v/>
          </cell>
          <cell r="BO7" t="str">
            <v/>
          </cell>
          <cell r="BP7" t="str">
            <v/>
          </cell>
          <cell r="BQ7" t="str">
            <v/>
          </cell>
          <cell r="BR7" t="str">
            <v/>
          </cell>
          <cell r="BS7" t="str">
            <v/>
          </cell>
          <cell r="BT7" t="str">
            <v/>
          </cell>
          <cell r="BU7" t="str">
            <v/>
          </cell>
          <cell r="BV7" t="str">
            <v/>
          </cell>
          <cell r="BW7" t="str">
            <v/>
          </cell>
          <cell r="BX7" t="str">
            <v/>
          </cell>
          <cell r="BY7" t="str">
            <v/>
          </cell>
          <cell r="BZ7" t="str">
            <v/>
          </cell>
          <cell r="CA7" t="str">
            <v/>
          </cell>
          <cell r="CC7" t="str">
            <v/>
          </cell>
          <cell r="CD7" t="str">
            <v/>
          </cell>
          <cell r="CE7" t="str">
            <v/>
          </cell>
          <cell r="CF7" t="str">
            <v/>
          </cell>
        </row>
        <row r="8">
          <cell r="A8">
            <v>12</v>
          </cell>
          <cell r="B8" t="str">
            <v>0012_ルートイングランティア小牧</v>
          </cell>
          <cell r="C8" t="str">
            <v>選手（修正案）</v>
          </cell>
          <cell r="D8" t="str">
            <v>選手12000</v>
          </cell>
          <cell r="E8" t="str">
            <v/>
          </cell>
          <cell r="F8" t="str">
            <v/>
          </cell>
          <cell r="G8" t="str">
            <v/>
          </cell>
          <cell r="H8">
            <v>9</v>
          </cell>
          <cell r="I8">
            <v>4</v>
          </cell>
          <cell r="J8" t="b">
            <v>1</v>
          </cell>
          <cell r="K8" t="str">
            <v/>
          </cell>
          <cell r="L8">
            <v>1384711</v>
          </cell>
          <cell r="M8">
            <v>0</v>
          </cell>
          <cell r="N8">
            <v>0</v>
          </cell>
          <cell r="O8">
            <v>0</v>
          </cell>
          <cell r="P8">
            <v>0</v>
          </cell>
          <cell r="Q8">
            <v>1523182.1</v>
          </cell>
          <cell r="R8">
            <v>1138826</v>
          </cell>
          <cell r="S8" t="b">
            <v>1</v>
          </cell>
          <cell r="T8">
            <v>284706.5</v>
          </cell>
          <cell r="U8">
            <v>741534</v>
          </cell>
          <cell r="V8">
            <v>2650925</v>
          </cell>
          <cell r="W8">
            <v>1909391</v>
          </cell>
          <cell r="X8" t="b">
            <v>1</v>
          </cell>
          <cell r="Y8">
            <v>13078.020547945205</v>
          </cell>
          <cell r="Z8">
            <v>8353</v>
          </cell>
          <cell r="AA8">
            <v>20706</v>
          </cell>
          <cell r="AB8">
            <v>8878.8235294117658</v>
          </cell>
          <cell r="AC8">
            <v>1100</v>
          </cell>
          <cell r="AE8">
            <v>224</v>
          </cell>
          <cell r="AF8">
            <v>146</v>
          </cell>
          <cell r="AG8" t="b">
            <v>1</v>
          </cell>
          <cell r="AH8">
            <v>241</v>
          </cell>
          <cell r="AI8">
            <v>187</v>
          </cell>
          <cell r="AJ8" t="str">
            <v/>
          </cell>
          <cell r="AK8" t="str">
            <v/>
          </cell>
          <cell r="AL8" t="str">
            <v/>
          </cell>
          <cell r="AM8" t="str">
            <v/>
          </cell>
          <cell r="AN8">
            <v>41</v>
          </cell>
          <cell r="AQ8" t="str">
            <v/>
          </cell>
          <cell r="AV8">
            <v>23</v>
          </cell>
          <cell r="AW8">
            <v>29</v>
          </cell>
          <cell r="AX8" t="str">
            <v/>
          </cell>
          <cell r="AY8" t="str">
            <v/>
          </cell>
          <cell r="AZ8" t="str">
            <v/>
          </cell>
          <cell r="BA8" t="str">
            <v/>
          </cell>
          <cell r="BB8" t="str">
            <v/>
          </cell>
          <cell r="BC8" t="str">
            <v/>
          </cell>
          <cell r="BD8" t="str">
            <v/>
          </cell>
          <cell r="BE8" t="str">
            <v/>
          </cell>
          <cell r="BF8" t="str">
            <v/>
          </cell>
          <cell r="BG8" t="str">
            <v/>
          </cell>
          <cell r="BH8">
            <v>43915993</v>
          </cell>
          <cell r="BI8">
            <v>55372339</v>
          </cell>
          <cell r="BJ8" t="str">
            <v/>
          </cell>
          <cell r="BK8" t="str">
            <v/>
          </cell>
          <cell r="BL8" t="str">
            <v/>
          </cell>
          <cell r="BM8" t="str">
            <v/>
          </cell>
          <cell r="BN8" t="str">
            <v/>
          </cell>
          <cell r="BO8" t="str">
            <v/>
          </cell>
          <cell r="BP8" t="str">
            <v/>
          </cell>
          <cell r="BQ8" t="str">
            <v/>
          </cell>
          <cell r="BR8" t="str">
            <v/>
          </cell>
          <cell r="BS8" t="str">
            <v/>
          </cell>
          <cell r="BT8" t="str">
            <v/>
          </cell>
          <cell r="BU8" t="str">
            <v/>
          </cell>
          <cell r="BV8" t="str">
            <v/>
          </cell>
          <cell r="BW8" t="str">
            <v/>
          </cell>
          <cell r="BX8">
            <v>26192998</v>
          </cell>
          <cell r="BY8">
            <v>33025954</v>
          </cell>
          <cell r="BZ8" t="str">
            <v/>
          </cell>
          <cell r="CA8" t="str">
            <v/>
          </cell>
          <cell r="CC8" t="str">
            <v/>
          </cell>
          <cell r="CD8" t="str">
            <v/>
          </cell>
          <cell r="CE8" t="str">
            <v/>
          </cell>
          <cell r="CF8" t="str">
            <v/>
          </cell>
        </row>
        <row r="9">
          <cell r="A9">
            <v>15</v>
          </cell>
          <cell r="B9" t="str">
            <v>0015_名鉄小牧ホテル</v>
          </cell>
          <cell r="C9" t="str">
            <v/>
          </cell>
          <cell r="D9" t="str">
            <v>技術役員</v>
          </cell>
          <cell r="E9" t="str">
            <v/>
          </cell>
          <cell r="F9" t="str">
            <v/>
          </cell>
          <cell r="G9" t="str">
            <v/>
          </cell>
          <cell r="H9">
            <v>7</v>
          </cell>
          <cell r="I9">
            <v>4</v>
          </cell>
          <cell r="J9" t="b">
            <v>1</v>
          </cell>
          <cell r="K9" t="str">
            <v/>
          </cell>
          <cell r="L9">
            <v>2249182</v>
          </cell>
          <cell r="M9">
            <v>94120</v>
          </cell>
          <cell r="N9">
            <v>0</v>
          </cell>
          <cell r="O9">
            <v>0</v>
          </cell>
          <cell r="P9">
            <v>0</v>
          </cell>
          <cell r="Q9">
            <v>2577632.2000000002</v>
          </cell>
          <cell r="R9">
            <v>1808923</v>
          </cell>
          <cell r="S9" t="b">
            <v>0</v>
          </cell>
          <cell r="T9">
            <v>452230.75</v>
          </cell>
          <cell r="U9">
            <v>0</v>
          </cell>
          <cell r="V9">
            <v>1151291</v>
          </cell>
          <cell r="W9">
            <v>1151291</v>
          </cell>
          <cell r="X9" t="b">
            <v>1</v>
          </cell>
          <cell r="Y9">
            <v>16447.014285714286</v>
          </cell>
          <cell r="AB9" t="str">
            <v/>
          </cell>
          <cell r="AC9">
            <v>2200</v>
          </cell>
          <cell r="AE9">
            <v>73</v>
          </cell>
          <cell r="AF9">
            <v>70</v>
          </cell>
          <cell r="AG9" t="b">
            <v>1</v>
          </cell>
          <cell r="AH9">
            <v>90</v>
          </cell>
          <cell r="AI9" t="str">
            <v/>
          </cell>
          <cell r="AJ9">
            <v>64</v>
          </cell>
          <cell r="AK9" t="str">
            <v/>
          </cell>
          <cell r="AL9" t="str">
            <v/>
          </cell>
          <cell r="AM9" t="str">
            <v/>
          </cell>
          <cell r="AN9" t="str">
            <v/>
          </cell>
          <cell r="AQ9" t="str">
            <v/>
          </cell>
          <cell r="AV9" t="str">
            <v/>
          </cell>
          <cell r="AW9" t="str">
            <v/>
          </cell>
          <cell r="AX9" t="str">
            <v/>
          </cell>
          <cell r="AY9" t="str">
            <v/>
          </cell>
          <cell r="AZ9" t="str">
            <v/>
          </cell>
          <cell r="BA9">
            <v>11</v>
          </cell>
          <cell r="BB9" t="str">
            <v/>
          </cell>
          <cell r="BC9" t="str">
            <v/>
          </cell>
          <cell r="BD9" t="str">
            <v/>
          </cell>
          <cell r="BE9" t="str">
            <v/>
          </cell>
          <cell r="BF9" t="str">
            <v/>
          </cell>
          <cell r="BG9" t="str">
            <v/>
          </cell>
          <cell r="BH9" t="str">
            <v/>
          </cell>
          <cell r="BI9" t="str">
            <v/>
          </cell>
          <cell r="BJ9" t="str">
            <v/>
          </cell>
          <cell r="BK9" t="str">
            <v/>
          </cell>
          <cell r="BL9" t="str">
            <v/>
          </cell>
          <cell r="BM9" t="str">
            <v/>
          </cell>
          <cell r="BN9">
            <v>11578698.057142857</v>
          </cell>
          <cell r="BO9" t="str">
            <v/>
          </cell>
          <cell r="BP9" t="str">
            <v/>
          </cell>
          <cell r="BQ9" t="str">
            <v/>
          </cell>
          <cell r="BR9" t="str">
            <v/>
          </cell>
          <cell r="BS9" t="str">
            <v/>
          </cell>
          <cell r="BT9" t="str">
            <v/>
          </cell>
          <cell r="BU9" t="str">
            <v/>
          </cell>
          <cell r="BV9" t="str">
            <v/>
          </cell>
          <cell r="BW9" t="str">
            <v/>
          </cell>
          <cell r="BX9" t="str">
            <v/>
          </cell>
          <cell r="BY9" t="str">
            <v/>
          </cell>
          <cell r="BZ9" t="str">
            <v/>
          </cell>
          <cell r="CA9" t="str">
            <v/>
          </cell>
          <cell r="CC9" t="str">
            <v/>
          </cell>
          <cell r="CD9" t="str">
            <v/>
          </cell>
          <cell r="CE9" t="str">
            <v/>
          </cell>
          <cell r="CF9" t="str">
            <v/>
          </cell>
        </row>
        <row r="10">
          <cell r="A10">
            <v>20</v>
          </cell>
          <cell r="B10" t="str">
            <v>0020_あいち健康の森　健康科学総合センター</v>
          </cell>
          <cell r="C10" t="str">
            <v/>
          </cell>
          <cell r="D10" t="str">
            <v/>
          </cell>
          <cell r="E10" t="str">
            <v/>
          </cell>
          <cell r="F10" t="str">
            <v/>
          </cell>
          <cell r="G10" t="str">
            <v/>
          </cell>
          <cell r="H10">
            <v>11</v>
          </cell>
          <cell r="I10">
            <v>7</v>
          </cell>
          <cell r="J10" t="b">
            <v>0</v>
          </cell>
          <cell r="K10" t="str">
            <v/>
          </cell>
          <cell r="L10">
            <v>427062</v>
          </cell>
          <cell r="M10">
            <v>0</v>
          </cell>
          <cell r="N10">
            <v>0</v>
          </cell>
          <cell r="O10">
            <v>0</v>
          </cell>
          <cell r="P10">
            <v>0</v>
          </cell>
          <cell r="Q10">
            <v>469768.2</v>
          </cell>
          <cell r="R10">
            <v>469768</v>
          </cell>
          <cell r="S10" t="b">
            <v>0</v>
          </cell>
          <cell r="T10">
            <v>67109.71428571429</v>
          </cell>
          <cell r="U10">
            <v>0</v>
          </cell>
          <cell r="V10">
            <v>571235</v>
          </cell>
          <cell r="W10">
            <v>571235</v>
          </cell>
          <cell r="X10" t="b">
            <v>1</v>
          </cell>
          <cell r="Y10">
            <v>9067.2222222222226</v>
          </cell>
          <cell r="AB10" t="str">
            <v/>
          </cell>
          <cell r="AE10">
            <v>63</v>
          </cell>
          <cell r="AF10">
            <v>63</v>
          </cell>
          <cell r="AG10" t="b">
            <v>1</v>
          </cell>
          <cell r="AH10">
            <v>80</v>
          </cell>
          <cell r="AI10" t="str">
            <v/>
          </cell>
          <cell r="AJ10" t="str">
            <v/>
          </cell>
          <cell r="AK10" t="str">
            <v/>
          </cell>
          <cell r="AL10" t="str">
            <v/>
          </cell>
          <cell r="AM10" t="str">
            <v/>
          </cell>
          <cell r="AN10" t="str">
            <v/>
          </cell>
          <cell r="AQ10" t="str">
            <v/>
          </cell>
          <cell r="AV10" t="str">
            <v/>
          </cell>
          <cell r="AW10" t="str">
            <v/>
          </cell>
          <cell r="AX10" t="str">
            <v/>
          </cell>
          <cell r="AY10" t="str">
            <v/>
          </cell>
          <cell r="AZ10" t="str">
            <v/>
          </cell>
          <cell r="BA10" t="str">
            <v/>
          </cell>
          <cell r="BB10" t="str">
            <v/>
          </cell>
          <cell r="BC10" t="str">
            <v/>
          </cell>
          <cell r="BD10" t="str">
            <v/>
          </cell>
          <cell r="BE10" t="str">
            <v/>
          </cell>
          <cell r="BF10" t="str">
            <v/>
          </cell>
          <cell r="BG10" t="str">
            <v/>
          </cell>
          <cell r="BH10" t="str">
            <v/>
          </cell>
          <cell r="BJ10" t="str">
            <v/>
          </cell>
          <cell r="BK10" t="str">
            <v/>
          </cell>
          <cell r="BL10" t="str">
            <v/>
          </cell>
          <cell r="BM10" t="str">
            <v/>
          </cell>
          <cell r="BN10" t="str">
            <v/>
          </cell>
          <cell r="BO10" t="str">
            <v/>
          </cell>
          <cell r="BP10" t="str">
            <v/>
          </cell>
          <cell r="BQ10" t="str">
            <v/>
          </cell>
          <cell r="BR10" t="str">
            <v/>
          </cell>
          <cell r="BS10" t="str">
            <v/>
          </cell>
          <cell r="BT10" t="str">
            <v/>
          </cell>
          <cell r="BU10" t="str">
            <v/>
          </cell>
          <cell r="BV10" t="str">
            <v/>
          </cell>
          <cell r="BW10" t="str">
            <v/>
          </cell>
          <cell r="BX10" t="str">
            <v/>
          </cell>
          <cell r="BY10" t="str">
            <v/>
          </cell>
          <cell r="BZ10" t="str">
            <v/>
          </cell>
          <cell r="CA10" t="str">
            <v/>
          </cell>
          <cell r="CC10" t="str">
            <v/>
          </cell>
          <cell r="CD10" t="str">
            <v/>
          </cell>
          <cell r="CE10" t="str">
            <v/>
          </cell>
          <cell r="CF10" t="str">
            <v/>
          </cell>
        </row>
        <row r="11">
          <cell r="A11">
            <v>21</v>
          </cell>
          <cell r="B11" t="str">
            <v>0021_公立学校共済組合　名古屋宿泊所　ホテルルブラ王山</v>
          </cell>
          <cell r="C11" t="str">
            <v/>
          </cell>
          <cell r="D11" t="str">
            <v/>
          </cell>
          <cell r="E11" t="str">
            <v/>
          </cell>
          <cell r="F11" t="str">
            <v>技術役員</v>
          </cell>
          <cell r="G11" t="str">
            <v/>
          </cell>
          <cell r="H11">
            <v>15</v>
          </cell>
          <cell r="I11">
            <v>13</v>
          </cell>
          <cell r="J11" t="b">
            <v>0</v>
          </cell>
          <cell r="K11" t="str">
            <v/>
          </cell>
          <cell r="L11">
            <v>2083772</v>
          </cell>
          <cell r="M11">
            <v>0</v>
          </cell>
          <cell r="N11">
            <v>0</v>
          </cell>
          <cell r="O11">
            <v>0</v>
          </cell>
          <cell r="P11">
            <v>0</v>
          </cell>
          <cell r="Q11">
            <v>2292149.2000000002</v>
          </cell>
          <cell r="R11">
            <v>2292149</v>
          </cell>
          <cell r="S11" t="b">
            <v>0</v>
          </cell>
          <cell r="T11">
            <v>176319.15384615384</v>
          </cell>
          <cell r="U11">
            <v>0</v>
          </cell>
          <cell r="V11">
            <v>1527110</v>
          </cell>
          <cell r="W11">
            <v>1527110</v>
          </cell>
          <cell r="X11" t="b">
            <v>1</v>
          </cell>
          <cell r="Y11">
            <v>27269.821428571428</v>
          </cell>
          <cell r="AB11" t="str">
            <v/>
          </cell>
          <cell r="AE11">
            <v>56</v>
          </cell>
          <cell r="AF11">
            <v>56</v>
          </cell>
          <cell r="AG11" t="b">
            <v>1</v>
          </cell>
          <cell r="AH11">
            <v>74</v>
          </cell>
          <cell r="AI11" t="str">
            <v/>
          </cell>
          <cell r="AJ11" t="str">
            <v/>
          </cell>
          <cell r="AK11" t="str">
            <v/>
          </cell>
          <cell r="AL11">
            <v>8</v>
          </cell>
          <cell r="AM11" t="str">
            <v/>
          </cell>
          <cell r="AN11" t="str">
            <v/>
          </cell>
          <cell r="AQ11">
            <v>-48</v>
          </cell>
          <cell r="AV11" t="str">
            <v/>
          </cell>
          <cell r="AW11" t="str">
            <v/>
          </cell>
          <cell r="AX11" t="str">
            <v/>
          </cell>
          <cell r="AY11" t="str">
            <v/>
          </cell>
          <cell r="AZ11" t="str">
            <v/>
          </cell>
          <cell r="BA11" t="str">
            <v/>
          </cell>
          <cell r="BB11" t="str">
            <v/>
          </cell>
          <cell r="BC11" t="str">
            <v/>
          </cell>
          <cell r="BD11" t="str">
            <v/>
          </cell>
          <cell r="BE11" t="str">
            <v/>
          </cell>
          <cell r="BF11">
            <v>10</v>
          </cell>
          <cell r="BG11" t="str">
            <v/>
          </cell>
          <cell r="BH11" t="str">
            <v/>
          </cell>
          <cell r="BJ11" t="str">
            <v/>
          </cell>
          <cell r="BK11" t="str">
            <v/>
          </cell>
          <cell r="BL11" t="str">
            <v/>
          </cell>
          <cell r="BM11" t="str">
            <v/>
          </cell>
          <cell r="BN11" t="str">
            <v/>
          </cell>
          <cell r="BO11" t="str">
            <v/>
          </cell>
          <cell r="BP11" t="str">
            <v/>
          </cell>
          <cell r="BQ11" t="str">
            <v/>
          </cell>
          <cell r="BR11" t="str">
            <v/>
          </cell>
          <cell r="BS11" t="str">
            <v/>
          </cell>
          <cell r="BT11" t="str">
            <v/>
          </cell>
          <cell r="BU11" t="str">
            <v/>
          </cell>
          <cell r="BV11">
            <v>2181585.7142857141</v>
          </cell>
          <cell r="BW11" t="str">
            <v/>
          </cell>
          <cell r="BX11" t="str">
            <v/>
          </cell>
          <cell r="BY11" t="str">
            <v/>
          </cell>
          <cell r="BZ11" t="str">
            <v/>
          </cell>
          <cell r="CA11" t="str">
            <v/>
          </cell>
          <cell r="CC11" t="str">
            <v/>
          </cell>
          <cell r="CD11" t="str">
            <v/>
          </cell>
          <cell r="CE11" t="str">
            <v/>
          </cell>
          <cell r="CF11" t="str">
            <v/>
          </cell>
        </row>
        <row r="12">
          <cell r="A12">
            <v>22</v>
          </cell>
          <cell r="B12" t="str">
            <v>0022_ホテルルートイン　名古屋今池駅前</v>
          </cell>
          <cell r="C12" t="str">
            <v/>
          </cell>
          <cell r="D12" t="str">
            <v>技術役員</v>
          </cell>
          <cell r="E12" t="str">
            <v/>
          </cell>
          <cell r="F12" t="str">
            <v/>
          </cell>
          <cell r="G12" t="str">
            <v/>
          </cell>
          <cell r="H12">
            <v>0</v>
          </cell>
          <cell r="I12">
            <v>0</v>
          </cell>
          <cell r="J12" t="b">
            <v>0</v>
          </cell>
          <cell r="K12" t="str">
            <v/>
          </cell>
          <cell r="L12">
            <v>0</v>
          </cell>
          <cell r="M12">
            <v>0</v>
          </cell>
          <cell r="N12">
            <v>0</v>
          </cell>
          <cell r="O12">
            <v>0</v>
          </cell>
          <cell r="P12">
            <v>0</v>
          </cell>
          <cell r="Q12">
            <v>0</v>
          </cell>
          <cell r="R12">
            <v>0</v>
          </cell>
          <cell r="S12" t="b">
            <v>1</v>
          </cell>
          <cell r="T12" t="str">
            <v/>
          </cell>
          <cell r="U12">
            <v>0</v>
          </cell>
          <cell r="V12">
            <v>5113662</v>
          </cell>
          <cell r="W12">
            <v>5113662</v>
          </cell>
          <cell r="X12" t="b">
            <v>1</v>
          </cell>
          <cell r="Y12">
            <v>19517.793893129772</v>
          </cell>
          <cell r="AB12" t="str">
            <v/>
          </cell>
          <cell r="AE12">
            <v>262</v>
          </cell>
          <cell r="AF12">
            <v>262</v>
          </cell>
          <cell r="AG12" t="b">
            <v>1</v>
          </cell>
          <cell r="AH12">
            <v>262</v>
          </cell>
          <cell r="AI12" t="str">
            <v/>
          </cell>
          <cell r="AJ12">
            <v>216</v>
          </cell>
          <cell r="AK12" t="str">
            <v/>
          </cell>
          <cell r="AL12" t="str">
            <v/>
          </cell>
          <cell r="AM12" t="str">
            <v/>
          </cell>
          <cell r="AN12" t="str">
            <v/>
          </cell>
          <cell r="AQ12" t="str">
            <v/>
          </cell>
          <cell r="AV12" t="str">
            <v/>
          </cell>
          <cell r="AW12" t="str">
            <v/>
          </cell>
          <cell r="AX12" t="str">
            <v/>
          </cell>
          <cell r="AY12" t="str">
            <v/>
          </cell>
          <cell r="AZ12" t="str">
            <v/>
          </cell>
          <cell r="BA12">
            <v>11</v>
          </cell>
          <cell r="BB12" t="str">
            <v/>
          </cell>
          <cell r="BC12" t="str">
            <v/>
          </cell>
          <cell r="BD12" t="str">
            <v/>
          </cell>
          <cell r="BE12" t="str">
            <v/>
          </cell>
          <cell r="BF12" t="str">
            <v/>
          </cell>
          <cell r="BG12" t="str">
            <v/>
          </cell>
          <cell r="BH12" t="str">
            <v/>
          </cell>
          <cell r="BJ12" t="str">
            <v/>
          </cell>
          <cell r="BK12" t="str">
            <v/>
          </cell>
          <cell r="BL12" t="str">
            <v/>
          </cell>
          <cell r="BM12" t="str">
            <v/>
          </cell>
          <cell r="BN12">
            <v>46374278.290076338</v>
          </cell>
          <cell r="BO12" t="str">
            <v/>
          </cell>
          <cell r="BP12" t="str">
            <v/>
          </cell>
          <cell r="BQ12" t="str">
            <v/>
          </cell>
          <cell r="BR12" t="str">
            <v/>
          </cell>
          <cell r="BS12" t="str">
            <v/>
          </cell>
          <cell r="BT12" t="str">
            <v/>
          </cell>
          <cell r="BU12" t="str">
            <v/>
          </cell>
          <cell r="BV12" t="str">
            <v/>
          </cell>
          <cell r="BW12" t="str">
            <v/>
          </cell>
          <cell r="BX12" t="str">
            <v/>
          </cell>
          <cell r="BY12" t="str">
            <v/>
          </cell>
          <cell r="BZ12" t="str">
            <v/>
          </cell>
          <cell r="CA12" t="str">
            <v/>
          </cell>
          <cell r="CC12" t="str">
            <v/>
          </cell>
          <cell r="CD12" t="str">
            <v/>
          </cell>
          <cell r="CE12" t="str">
            <v/>
          </cell>
          <cell r="CF12" t="str">
            <v/>
          </cell>
        </row>
        <row r="13">
          <cell r="A13">
            <v>24</v>
          </cell>
          <cell r="B13" t="str">
            <v>0024_ホテルメルパルク名古屋</v>
          </cell>
          <cell r="C13" t="str">
            <v>選手（修正案）</v>
          </cell>
          <cell r="D13" t="str">
            <v>選手12000</v>
          </cell>
          <cell r="E13" t="str">
            <v/>
          </cell>
          <cell r="F13" t="str">
            <v>選手</v>
          </cell>
          <cell r="G13" t="str">
            <v/>
          </cell>
          <cell r="H13">
            <v>16</v>
          </cell>
          <cell r="I13">
            <v>4</v>
          </cell>
          <cell r="J13" t="b">
            <v>1</v>
          </cell>
          <cell r="K13">
            <v>12</v>
          </cell>
          <cell r="L13">
            <v>7455886</v>
          </cell>
          <cell r="M13">
            <v>550005</v>
          </cell>
          <cell r="N13">
            <v>0</v>
          </cell>
          <cell r="O13">
            <v>0</v>
          </cell>
          <cell r="P13">
            <v>0</v>
          </cell>
          <cell r="Q13">
            <v>8806480.1000000015</v>
          </cell>
          <cell r="R13">
            <v>3568661</v>
          </cell>
          <cell r="S13" t="b">
            <v>1</v>
          </cell>
          <cell r="T13">
            <v>892165.25</v>
          </cell>
          <cell r="U13">
            <v>965797</v>
          </cell>
          <cell r="V13">
            <v>4070943</v>
          </cell>
          <cell r="W13">
            <v>3105146</v>
          </cell>
          <cell r="X13" t="b">
            <v>1</v>
          </cell>
          <cell r="Y13">
            <v>23172.731343283584</v>
          </cell>
          <cell r="Z13">
            <v>14236</v>
          </cell>
          <cell r="AA13">
            <v>30000</v>
          </cell>
          <cell r="AB13">
            <v>16265.825039287587</v>
          </cell>
          <cell r="AC13">
            <v>2200</v>
          </cell>
          <cell r="AE13">
            <v>243</v>
          </cell>
          <cell r="AF13">
            <v>134</v>
          </cell>
          <cell r="AG13" t="b">
            <v>1</v>
          </cell>
          <cell r="AH13">
            <v>322</v>
          </cell>
          <cell r="AI13">
            <v>166</v>
          </cell>
          <cell r="AJ13" t="str">
            <v/>
          </cell>
          <cell r="AK13" t="str">
            <v/>
          </cell>
          <cell r="AL13">
            <v>243</v>
          </cell>
          <cell r="AM13" t="str">
            <v/>
          </cell>
          <cell r="AN13">
            <v>32</v>
          </cell>
          <cell r="AQ13">
            <v>109</v>
          </cell>
          <cell r="AV13">
            <v>21</v>
          </cell>
          <cell r="AW13">
            <v>26</v>
          </cell>
          <cell r="AX13" t="str">
            <v/>
          </cell>
          <cell r="AY13" t="str">
            <v/>
          </cell>
          <cell r="AZ13" t="str">
            <v/>
          </cell>
          <cell r="BA13" t="str">
            <v/>
          </cell>
          <cell r="BB13" t="str">
            <v/>
          </cell>
          <cell r="BC13">
            <v>18</v>
          </cell>
          <cell r="BD13" t="str">
            <v/>
          </cell>
          <cell r="BE13" t="str">
            <v/>
          </cell>
          <cell r="BF13" t="str">
            <v/>
          </cell>
          <cell r="BG13" t="str">
            <v/>
          </cell>
          <cell r="BH13">
            <v>65208066</v>
          </cell>
          <cell r="BI13">
            <v>80733796</v>
          </cell>
          <cell r="BJ13" t="str">
            <v/>
          </cell>
          <cell r="BK13" t="str">
            <v/>
          </cell>
          <cell r="BL13" t="str">
            <v/>
          </cell>
          <cell r="BM13" t="str">
            <v/>
          </cell>
          <cell r="BN13" t="str">
            <v/>
          </cell>
          <cell r="BO13" t="str">
            <v/>
          </cell>
          <cell r="BP13">
            <v>101357526.89552239</v>
          </cell>
          <cell r="BQ13">
            <v>101357526.89552239</v>
          </cell>
          <cell r="BR13" t="str">
            <v/>
          </cell>
          <cell r="BS13" t="str">
            <v/>
          </cell>
          <cell r="BT13" t="str">
            <v/>
          </cell>
          <cell r="BU13" t="str">
            <v/>
          </cell>
          <cell r="BV13" t="str">
            <v/>
          </cell>
          <cell r="BW13" t="str">
            <v/>
          </cell>
          <cell r="BX13">
            <v>74941881</v>
          </cell>
          <cell r="BY13">
            <v>92785186</v>
          </cell>
          <cell r="BZ13" t="str">
            <v/>
          </cell>
          <cell r="CA13" t="str">
            <v/>
          </cell>
          <cell r="CC13">
            <v>64235898</v>
          </cell>
          <cell r="CD13">
            <v>64235898</v>
          </cell>
          <cell r="CE13" t="str">
            <v/>
          </cell>
          <cell r="CF13" t="str">
            <v/>
          </cell>
        </row>
        <row r="14">
          <cell r="A14">
            <v>26</v>
          </cell>
          <cell r="B14" t="str">
            <v>0026_名鉄イン名古屋駅前</v>
          </cell>
          <cell r="C14" t="str">
            <v/>
          </cell>
          <cell r="D14" t="str">
            <v>技術役員</v>
          </cell>
          <cell r="E14" t="str">
            <v/>
          </cell>
          <cell r="F14" t="str">
            <v>メディア</v>
          </cell>
          <cell r="G14" t="str">
            <v/>
          </cell>
          <cell r="H14">
            <v>0</v>
          </cell>
          <cell r="I14">
            <v>0</v>
          </cell>
          <cell r="J14" t="b">
            <v>0</v>
          </cell>
          <cell r="K14" t="str">
            <v/>
          </cell>
          <cell r="L14">
            <v>0</v>
          </cell>
          <cell r="M14">
            <v>0</v>
          </cell>
          <cell r="N14">
            <v>0</v>
          </cell>
          <cell r="O14">
            <v>0</v>
          </cell>
          <cell r="P14">
            <v>0</v>
          </cell>
          <cell r="Q14">
            <v>0</v>
          </cell>
          <cell r="R14">
            <v>0</v>
          </cell>
          <cell r="S14" t="b">
            <v>1</v>
          </cell>
          <cell r="T14" t="str">
            <v/>
          </cell>
          <cell r="U14">
            <v>0</v>
          </cell>
          <cell r="V14">
            <v>1190618</v>
          </cell>
          <cell r="W14">
            <v>1190618</v>
          </cell>
          <cell r="X14" t="b">
            <v>1</v>
          </cell>
          <cell r="Y14">
            <v>12941.5</v>
          </cell>
          <cell r="AB14" t="str">
            <v/>
          </cell>
          <cell r="AE14">
            <v>285</v>
          </cell>
          <cell r="AF14">
            <v>92</v>
          </cell>
          <cell r="AG14" t="b">
            <v>1</v>
          </cell>
          <cell r="AH14">
            <v>292</v>
          </cell>
          <cell r="AI14" t="str">
            <v/>
          </cell>
          <cell r="AJ14">
            <v>179</v>
          </cell>
          <cell r="AK14" t="str">
            <v/>
          </cell>
          <cell r="AL14">
            <v>48</v>
          </cell>
          <cell r="AM14" t="str">
            <v/>
          </cell>
          <cell r="AN14">
            <v>87</v>
          </cell>
          <cell r="AO14">
            <v>87</v>
          </cell>
          <cell r="AQ14">
            <v>-44</v>
          </cell>
          <cell r="AR14" t="str">
            <v/>
          </cell>
          <cell r="AV14" t="str">
            <v/>
          </cell>
          <cell r="AW14" t="str">
            <v/>
          </cell>
          <cell r="AX14" t="str">
            <v/>
          </cell>
          <cell r="AY14" t="str">
            <v/>
          </cell>
          <cell r="AZ14" t="str">
            <v/>
          </cell>
          <cell r="BA14">
            <v>11</v>
          </cell>
          <cell r="BB14" t="str">
            <v/>
          </cell>
          <cell r="BC14" t="str">
            <v/>
          </cell>
          <cell r="BD14" t="str">
            <v/>
          </cell>
          <cell r="BE14">
            <v>16</v>
          </cell>
          <cell r="BF14" t="str">
            <v/>
          </cell>
          <cell r="BG14" t="str">
            <v/>
          </cell>
          <cell r="BH14" t="str">
            <v/>
          </cell>
          <cell r="BJ14" t="str">
            <v/>
          </cell>
          <cell r="BK14" t="str">
            <v/>
          </cell>
          <cell r="BL14" t="str">
            <v/>
          </cell>
          <cell r="BM14" t="str">
            <v/>
          </cell>
          <cell r="BN14">
            <v>25481813.5</v>
          </cell>
          <cell r="BO14" t="str">
            <v/>
          </cell>
          <cell r="BP14" t="str">
            <v/>
          </cell>
          <cell r="BQ14" t="str">
            <v/>
          </cell>
          <cell r="BR14" t="str">
            <v/>
          </cell>
          <cell r="BS14" t="str">
            <v/>
          </cell>
          <cell r="BT14">
            <v>9939072</v>
          </cell>
          <cell r="BU14" t="str">
            <v/>
          </cell>
          <cell r="BV14" t="str">
            <v/>
          </cell>
          <cell r="BW14" t="str">
            <v/>
          </cell>
          <cell r="BX14" t="str">
            <v/>
          </cell>
          <cell r="BY14" t="str">
            <v/>
          </cell>
          <cell r="BZ14" t="str">
            <v/>
          </cell>
          <cell r="CA14" t="str">
            <v/>
          </cell>
          <cell r="CC14" t="str">
            <v/>
          </cell>
          <cell r="CD14" t="str">
            <v/>
          </cell>
          <cell r="CE14" t="str">
            <v/>
          </cell>
          <cell r="CF14" t="str">
            <v/>
          </cell>
        </row>
        <row r="15">
          <cell r="A15">
            <v>27</v>
          </cell>
          <cell r="B15" t="str">
            <v>0027_HOTEL LiVEMAX名古屋桜通口</v>
          </cell>
          <cell r="C15" t="str">
            <v/>
          </cell>
          <cell r="D15" t="str">
            <v/>
          </cell>
          <cell r="E15" t="str">
            <v/>
          </cell>
          <cell r="F15" t="str">
            <v>メディア</v>
          </cell>
          <cell r="G15" t="str">
            <v/>
          </cell>
          <cell r="H15">
            <v>0</v>
          </cell>
          <cell r="I15">
            <v>0</v>
          </cell>
          <cell r="J15" t="b">
            <v>0</v>
          </cell>
          <cell r="K15" t="str">
            <v/>
          </cell>
          <cell r="L15">
            <v>0</v>
          </cell>
          <cell r="M15">
            <v>0</v>
          </cell>
          <cell r="N15">
            <v>0</v>
          </cell>
          <cell r="O15">
            <v>0</v>
          </cell>
          <cell r="P15">
            <v>0</v>
          </cell>
          <cell r="Q15">
            <v>0</v>
          </cell>
          <cell r="R15">
            <v>0</v>
          </cell>
          <cell r="S15" t="b">
            <v>1</v>
          </cell>
          <cell r="T15" t="str">
            <v/>
          </cell>
          <cell r="U15">
            <v>0</v>
          </cell>
          <cell r="V15">
            <v>1980088</v>
          </cell>
          <cell r="W15">
            <v>1980088</v>
          </cell>
          <cell r="X15" t="b">
            <v>0</v>
          </cell>
          <cell r="Y15">
            <v>21064.765957446809</v>
          </cell>
          <cell r="AB15" t="str">
            <v/>
          </cell>
          <cell r="AE15">
            <v>94</v>
          </cell>
          <cell r="AF15">
            <v>94</v>
          </cell>
          <cell r="AG15" t="b">
            <v>0</v>
          </cell>
          <cell r="AH15">
            <v>94</v>
          </cell>
          <cell r="AI15" t="str">
            <v/>
          </cell>
          <cell r="AJ15" t="str">
            <v/>
          </cell>
          <cell r="AK15" t="str">
            <v/>
          </cell>
          <cell r="AL15">
            <v>65</v>
          </cell>
          <cell r="AM15" t="str">
            <v/>
          </cell>
          <cell r="AN15" t="str">
            <v/>
          </cell>
          <cell r="AQ15">
            <v>-29</v>
          </cell>
          <cell r="AV15" t="str">
            <v/>
          </cell>
          <cell r="AW15" t="str">
            <v/>
          </cell>
          <cell r="AX15" t="str">
            <v/>
          </cell>
          <cell r="AY15" t="str">
            <v/>
          </cell>
          <cell r="AZ15" t="str">
            <v/>
          </cell>
          <cell r="BA15" t="str">
            <v/>
          </cell>
          <cell r="BB15" t="str">
            <v/>
          </cell>
          <cell r="BC15" t="str">
            <v/>
          </cell>
          <cell r="BD15" t="str">
            <v/>
          </cell>
          <cell r="BE15">
            <v>16</v>
          </cell>
          <cell r="BF15" t="str">
            <v/>
          </cell>
          <cell r="BG15" t="str">
            <v/>
          </cell>
          <cell r="BH15" t="str">
            <v/>
          </cell>
          <cell r="BJ15" t="str">
            <v/>
          </cell>
          <cell r="BK15" t="str">
            <v/>
          </cell>
          <cell r="BL15" t="str">
            <v/>
          </cell>
          <cell r="BM15" t="str">
            <v/>
          </cell>
          <cell r="BN15" t="str">
            <v/>
          </cell>
          <cell r="BO15" t="str">
            <v/>
          </cell>
          <cell r="BP15" t="str">
            <v/>
          </cell>
          <cell r="BQ15" t="str">
            <v/>
          </cell>
          <cell r="BR15" t="str">
            <v/>
          </cell>
          <cell r="BS15" t="str">
            <v/>
          </cell>
          <cell r="BT15">
            <v>21907356.595744681</v>
          </cell>
          <cell r="BU15" t="str">
            <v/>
          </cell>
          <cell r="BV15" t="str">
            <v/>
          </cell>
          <cell r="BW15" t="str">
            <v/>
          </cell>
          <cell r="BX15" t="str">
            <v/>
          </cell>
          <cell r="BY15" t="str">
            <v/>
          </cell>
          <cell r="BZ15" t="str">
            <v/>
          </cell>
          <cell r="CA15" t="str">
            <v/>
          </cell>
          <cell r="CC15" t="str">
            <v/>
          </cell>
          <cell r="CD15" t="str">
            <v/>
          </cell>
          <cell r="CE15" t="str">
            <v/>
          </cell>
          <cell r="CF15" t="str">
            <v/>
          </cell>
        </row>
        <row r="16">
          <cell r="A16">
            <v>28</v>
          </cell>
          <cell r="B16" t="str">
            <v>0028_第一富士ホテル</v>
          </cell>
          <cell r="C16" t="str">
            <v>メディア</v>
          </cell>
          <cell r="D16" t="str">
            <v/>
          </cell>
          <cell r="E16" t="str">
            <v/>
          </cell>
          <cell r="F16" t="str">
            <v/>
          </cell>
          <cell r="G16" t="str">
            <v/>
          </cell>
          <cell r="H16">
            <v>0</v>
          </cell>
          <cell r="I16">
            <v>0</v>
          </cell>
          <cell r="J16" t="b">
            <v>0</v>
          </cell>
          <cell r="K16" t="str">
            <v/>
          </cell>
          <cell r="L16">
            <v>0</v>
          </cell>
          <cell r="M16">
            <v>0</v>
          </cell>
          <cell r="N16">
            <v>0</v>
          </cell>
          <cell r="O16">
            <v>0</v>
          </cell>
          <cell r="P16">
            <v>0</v>
          </cell>
          <cell r="Q16">
            <v>0</v>
          </cell>
          <cell r="R16">
            <v>0</v>
          </cell>
          <cell r="S16" t="b">
            <v>1</v>
          </cell>
          <cell r="T16" t="str">
            <v/>
          </cell>
          <cell r="U16">
            <v>-949049</v>
          </cell>
          <cell r="W16">
            <v>949049</v>
          </cell>
          <cell r="X16" t="b">
            <v>0</v>
          </cell>
          <cell r="Y16">
            <v>12824.986486486487</v>
          </cell>
          <cell r="AB16">
            <v>9377.954545454546</v>
          </cell>
          <cell r="AF16">
            <v>74</v>
          </cell>
          <cell r="AG16" t="b">
            <v>0</v>
          </cell>
          <cell r="AI16">
            <v>88</v>
          </cell>
          <cell r="AJ16" t="str">
            <v/>
          </cell>
          <cell r="AK16" t="str">
            <v/>
          </cell>
          <cell r="AL16" t="str">
            <v/>
          </cell>
          <cell r="AM16" t="str">
            <v/>
          </cell>
          <cell r="AN16">
            <v>14</v>
          </cell>
          <cell r="AQ16" t="str">
            <v/>
          </cell>
          <cell r="AV16" t="str">
            <v/>
          </cell>
          <cell r="AW16" t="str">
            <v/>
          </cell>
          <cell r="AX16" t="str">
            <v/>
          </cell>
          <cell r="AY16" t="str">
            <v/>
          </cell>
          <cell r="AZ16">
            <v>32</v>
          </cell>
          <cell r="BA16" t="str">
            <v/>
          </cell>
          <cell r="BB16" t="str">
            <v/>
          </cell>
          <cell r="BC16" t="str">
            <v/>
          </cell>
          <cell r="BD16" t="str">
            <v/>
          </cell>
          <cell r="BE16" t="str">
            <v/>
          </cell>
          <cell r="BF16" t="str">
            <v/>
          </cell>
          <cell r="BG16" t="str">
            <v/>
          </cell>
          <cell r="BH16" t="str">
            <v/>
          </cell>
          <cell r="BJ16" t="str">
            <v/>
          </cell>
          <cell r="BK16">
            <v>36115161.945945948</v>
          </cell>
          <cell r="BL16" t="str">
            <v/>
          </cell>
          <cell r="BM16" t="str">
            <v/>
          </cell>
          <cell r="BN16" t="str">
            <v/>
          </cell>
          <cell r="BO16" t="str">
            <v/>
          </cell>
          <cell r="BP16" t="str">
            <v/>
          </cell>
          <cell r="BQ16" t="str">
            <v/>
          </cell>
          <cell r="BR16" t="str">
            <v/>
          </cell>
          <cell r="BS16" t="str">
            <v/>
          </cell>
          <cell r="BT16" t="str">
            <v/>
          </cell>
          <cell r="BU16" t="str">
            <v/>
          </cell>
          <cell r="BV16" t="str">
            <v/>
          </cell>
          <cell r="BW16" t="str">
            <v/>
          </cell>
          <cell r="BX16" t="str">
            <v/>
          </cell>
          <cell r="BY16" t="str">
            <v/>
          </cell>
          <cell r="BZ16" t="str">
            <v/>
          </cell>
          <cell r="CA16" t="str">
            <v/>
          </cell>
          <cell r="CC16" t="str">
            <v/>
          </cell>
          <cell r="CD16" t="str">
            <v/>
          </cell>
          <cell r="CE16" t="str">
            <v/>
          </cell>
          <cell r="CF16" t="str">
            <v/>
          </cell>
        </row>
        <row r="17">
          <cell r="A17">
            <v>34</v>
          </cell>
          <cell r="B17" t="str">
            <v>0034_サイプレスホテル名古屋駅前</v>
          </cell>
          <cell r="C17" t="str">
            <v/>
          </cell>
          <cell r="D17" t="str">
            <v>選手12000</v>
          </cell>
          <cell r="E17" t="str">
            <v/>
          </cell>
          <cell r="F17" t="str">
            <v>スポンサー</v>
          </cell>
          <cell r="G17" t="str">
            <v/>
          </cell>
          <cell r="H17">
            <v>8</v>
          </cell>
          <cell r="I17">
            <v>8</v>
          </cell>
          <cell r="J17" t="b">
            <v>1</v>
          </cell>
          <cell r="K17" t="str">
            <v/>
          </cell>
          <cell r="L17">
            <v>3383345</v>
          </cell>
          <cell r="M17">
            <v>0</v>
          </cell>
          <cell r="N17">
            <v>0</v>
          </cell>
          <cell r="O17">
            <v>0</v>
          </cell>
          <cell r="P17">
            <v>0</v>
          </cell>
          <cell r="Q17">
            <v>3721679.5000000005</v>
          </cell>
          <cell r="R17">
            <v>3721679</v>
          </cell>
          <cell r="S17" t="b">
            <v>1</v>
          </cell>
          <cell r="T17">
            <v>465209.875</v>
          </cell>
          <cell r="U17">
            <v>0</v>
          </cell>
          <cell r="V17">
            <v>4818721</v>
          </cell>
          <cell r="W17">
            <v>4818721</v>
          </cell>
          <cell r="X17" t="b">
            <v>1</v>
          </cell>
          <cell r="Y17">
            <v>17781.258302583024</v>
          </cell>
          <cell r="AB17" t="str">
            <v/>
          </cell>
          <cell r="AC17">
            <v>1350</v>
          </cell>
          <cell r="AE17">
            <v>271</v>
          </cell>
          <cell r="AF17">
            <v>271</v>
          </cell>
          <cell r="AG17" t="b">
            <v>1</v>
          </cell>
          <cell r="AH17">
            <v>309</v>
          </cell>
          <cell r="AI17" t="str">
            <v/>
          </cell>
          <cell r="AJ17" t="str">
            <v/>
          </cell>
          <cell r="AK17" t="str">
            <v/>
          </cell>
          <cell r="AL17">
            <v>233</v>
          </cell>
          <cell r="AM17" t="str">
            <v/>
          </cell>
          <cell r="AN17" t="str">
            <v/>
          </cell>
          <cell r="AQ17">
            <v>-38</v>
          </cell>
          <cell r="AV17" t="str">
            <v/>
          </cell>
          <cell r="AW17">
            <v>24</v>
          </cell>
          <cell r="AX17" t="str">
            <v/>
          </cell>
          <cell r="AY17" t="str">
            <v/>
          </cell>
          <cell r="AZ17" t="str">
            <v/>
          </cell>
          <cell r="BA17" t="str">
            <v/>
          </cell>
          <cell r="BB17" t="str">
            <v/>
          </cell>
          <cell r="BC17" t="str">
            <v/>
          </cell>
          <cell r="BD17">
            <v>9</v>
          </cell>
          <cell r="BE17" t="str">
            <v/>
          </cell>
          <cell r="BF17" t="str">
            <v/>
          </cell>
          <cell r="BG17" t="str">
            <v/>
          </cell>
          <cell r="BH17" t="str">
            <v/>
          </cell>
          <cell r="BI17">
            <v>115649304</v>
          </cell>
          <cell r="BJ17" t="str">
            <v/>
          </cell>
          <cell r="BK17" t="str">
            <v/>
          </cell>
          <cell r="BL17" t="str">
            <v/>
          </cell>
          <cell r="BM17" t="str">
            <v/>
          </cell>
          <cell r="BN17" t="str">
            <v/>
          </cell>
          <cell r="BO17" t="str">
            <v/>
          </cell>
          <cell r="BP17" t="str">
            <v/>
          </cell>
          <cell r="BQ17" t="str">
            <v/>
          </cell>
          <cell r="BR17" t="str">
            <v/>
          </cell>
          <cell r="BS17" t="str">
            <v/>
          </cell>
          <cell r="BT17" t="str">
            <v/>
          </cell>
          <cell r="BU17">
            <v>37287298.660516605</v>
          </cell>
          <cell r="BV17" t="str">
            <v/>
          </cell>
          <cell r="BW17" t="str">
            <v/>
          </cell>
          <cell r="BX17" t="str">
            <v/>
          </cell>
          <cell r="BY17">
            <v>89320296</v>
          </cell>
          <cell r="BZ17" t="str">
            <v/>
          </cell>
          <cell r="CA17" t="str">
            <v/>
          </cell>
          <cell r="CC17" t="str">
            <v/>
          </cell>
          <cell r="CD17" t="str">
            <v/>
          </cell>
          <cell r="CE17" t="str">
            <v/>
          </cell>
          <cell r="CF17" t="str">
            <v/>
          </cell>
        </row>
        <row r="18">
          <cell r="A18">
            <v>38</v>
          </cell>
          <cell r="B18" t="str">
            <v>0038_東横INN名古屋駅桜通口本館</v>
          </cell>
          <cell r="C18" t="str">
            <v/>
          </cell>
          <cell r="D18" t="str">
            <v/>
          </cell>
          <cell r="E18" t="str">
            <v/>
          </cell>
          <cell r="F18" t="str">
            <v>メディア</v>
          </cell>
          <cell r="G18" t="str">
            <v/>
          </cell>
          <cell r="H18">
            <v>0</v>
          </cell>
          <cell r="I18">
            <v>0</v>
          </cell>
          <cell r="J18" t="b">
            <v>1</v>
          </cell>
          <cell r="K18" t="str">
            <v/>
          </cell>
          <cell r="L18">
            <v>0</v>
          </cell>
          <cell r="M18">
            <v>0</v>
          </cell>
          <cell r="N18">
            <v>0</v>
          </cell>
          <cell r="O18">
            <v>0</v>
          </cell>
          <cell r="P18">
            <v>0</v>
          </cell>
          <cell r="Q18">
            <v>0</v>
          </cell>
          <cell r="R18">
            <v>0</v>
          </cell>
          <cell r="S18" t="b">
            <v>1</v>
          </cell>
          <cell r="T18" t="str">
            <v/>
          </cell>
          <cell r="U18">
            <v>0</v>
          </cell>
          <cell r="V18">
            <v>722163</v>
          </cell>
          <cell r="W18">
            <v>722163</v>
          </cell>
          <cell r="X18" t="b">
            <v>1</v>
          </cell>
          <cell r="Y18">
            <v>9628.84</v>
          </cell>
          <cell r="AB18" t="str">
            <v/>
          </cell>
          <cell r="AE18">
            <v>102</v>
          </cell>
          <cell r="AF18">
            <v>75</v>
          </cell>
          <cell r="AG18" t="b">
            <v>1</v>
          </cell>
          <cell r="AH18">
            <v>102</v>
          </cell>
          <cell r="AI18" t="str">
            <v/>
          </cell>
          <cell r="AJ18" t="str">
            <v/>
          </cell>
          <cell r="AK18" t="str">
            <v/>
          </cell>
          <cell r="AL18">
            <v>34</v>
          </cell>
          <cell r="AM18" t="str">
            <v/>
          </cell>
          <cell r="AN18" t="str">
            <v/>
          </cell>
          <cell r="AQ18">
            <v>-41</v>
          </cell>
          <cell r="AV18" t="str">
            <v/>
          </cell>
          <cell r="AW18" t="str">
            <v/>
          </cell>
          <cell r="AX18" t="str">
            <v/>
          </cell>
          <cell r="AY18" t="str">
            <v/>
          </cell>
          <cell r="AZ18" t="str">
            <v/>
          </cell>
          <cell r="BA18" t="str">
            <v/>
          </cell>
          <cell r="BB18" t="str">
            <v/>
          </cell>
          <cell r="BC18" t="str">
            <v/>
          </cell>
          <cell r="BD18" t="str">
            <v/>
          </cell>
          <cell r="BE18">
            <v>16</v>
          </cell>
          <cell r="BF18" t="str">
            <v/>
          </cell>
          <cell r="BG18" t="str">
            <v/>
          </cell>
          <cell r="BH18" t="str">
            <v/>
          </cell>
          <cell r="BJ18" t="str">
            <v/>
          </cell>
          <cell r="BK18" t="str">
            <v/>
          </cell>
          <cell r="BL18" t="str">
            <v/>
          </cell>
          <cell r="BM18" t="str">
            <v/>
          </cell>
          <cell r="BN18" t="str">
            <v/>
          </cell>
          <cell r="BO18" t="str">
            <v/>
          </cell>
          <cell r="BP18" t="str">
            <v/>
          </cell>
          <cell r="BQ18" t="str">
            <v/>
          </cell>
          <cell r="BR18" t="str">
            <v/>
          </cell>
          <cell r="BS18" t="str">
            <v/>
          </cell>
          <cell r="BT18">
            <v>5238088.96</v>
          </cell>
          <cell r="BU18" t="str">
            <v/>
          </cell>
          <cell r="BV18" t="str">
            <v/>
          </cell>
          <cell r="BW18" t="str">
            <v/>
          </cell>
          <cell r="BX18" t="str">
            <v/>
          </cell>
          <cell r="BY18" t="str">
            <v/>
          </cell>
          <cell r="BZ18" t="str">
            <v/>
          </cell>
          <cell r="CA18" t="str">
            <v/>
          </cell>
          <cell r="CC18" t="str">
            <v/>
          </cell>
          <cell r="CD18" t="str">
            <v/>
          </cell>
          <cell r="CE18" t="str">
            <v/>
          </cell>
          <cell r="CF18" t="str">
            <v/>
          </cell>
        </row>
        <row r="19">
          <cell r="A19">
            <v>39</v>
          </cell>
          <cell r="B19" t="str">
            <v>0039_ザサイプレスメルキュールホテル名古屋</v>
          </cell>
          <cell r="C19" t="str">
            <v>スポンサー</v>
          </cell>
          <cell r="D19" t="str">
            <v>選手12000</v>
          </cell>
          <cell r="E19" t="str">
            <v/>
          </cell>
          <cell r="F19" t="str">
            <v/>
          </cell>
          <cell r="G19" t="str">
            <v/>
          </cell>
          <cell r="H19">
            <v>3</v>
          </cell>
          <cell r="I19">
            <v>2</v>
          </cell>
          <cell r="J19" t="b">
            <v>1</v>
          </cell>
          <cell r="K19" t="str">
            <v/>
          </cell>
          <cell r="L19">
            <v>3168000</v>
          </cell>
          <cell r="M19">
            <v>0</v>
          </cell>
          <cell r="N19">
            <v>0</v>
          </cell>
          <cell r="O19">
            <v>0</v>
          </cell>
          <cell r="P19">
            <v>0</v>
          </cell>
          <cell r="Q19">
            <v>3484800.0000000005</v>
          </cell>
          <cell r="R19">
            <v>2428800</v>
          </cell>
          <cell r="S19" t="b">
            <v>1</v>
          </cell>
          <cell r="T19">
            <v>1214400</v>
          </cell>
          <cell r="U19">
            <v>0</v>
          </cell>
          <cell r="V19">
            <v>3565639</v>
          </cell>
          <cell r="W19">
            <v>3565639</v>
          </cell>
          <cell r="X19" t="b">
            <v>1</v>
          </cell>
          <cell r="Y19">
            <v>31005.55652173913</v>
          </cell>
          <cell r="AB19">
            <v>26961.353497164462</v>
          </cell>
          <cell r="AC19">
            <v>2475</v>
          </cell>
          <cell r="AE19">
            <v>115</v>
          </cell>
          <cell r="AF19">
            <v>115</v>
          </cell>
          <cell r="AG19" t="b">
            <v>1</v>
          </cell>
          <cell r="AH19">
            <v>154</v>
          </cell>
          <cell r="AI19">
            <v>115</v>
          </cell>
          <cell r="AJ19" t="str">
            <v/>
          </cell>
          <cell r="AK19" t="str">
            <v/>
          </cell>
          <cell r="AL19" t="str">
            <v/>
          </cell>
          <cell r="AM19" t="str">
            <v/>
          </cell>
          <cell r="AN19">
            <v>0</v>
          </cell>
          <cell r="AQ19" t="str">
            <v/>
          </cell>
          <cell r="AV19" t="str">
            <v/>
          </cell>
          <cell r="AW19">
            <v>24</v>
          </cell>
          <cell r="AX19">
            <v>18</v>
          </cell>
          <cell r="AY19" t="str">
            <v/>
          </cell>
          <cell r="AZ19" t="str">
            <v/>
          </cell>
          <cell r="BA19" t="str">
            <v/>
          </cell>
          <cell r="BB19" t="str">
            <v/>
          </cell>
          <cell r="BC19" t="str">
            <v/>
          </cell>
          <cell r="BD19" t="str">
            <v/>
          </cell>
          <cell r="BE19" t="str">
            <v/>
          </cell>
          <cell r="BF19" t="str">
            <v/>
          </cell>
          <cell r="BG19" t="str">
            <v/>
          </cell>
          <cell r="BH19" t="str">
            <v/>
          </cell>
          <cell r="BI19">
            <v>85575336</v>
          </cell>
          <cell r="BJ19" t="str">
            <v/>
          </cell>
          <cell r="BK19" t="str">
            <v/>
          </cell>
          <cell r="BL19">
            <v>64181502</v>
          </cell>
          <cell r="BM19" t="str">
            <v/>
          </cell>
          <cell r="BN19" t="str">
            <v/>
          </cell>
          <cell r="BO19" t="str">
            <v/>
          </cell>
          <cell r="BP19" t="str">
            <v/>
          </cell>
          <cell r="BQ19" t="str">
            <v/>
          </cell>
          <cell r="BR19" t="str">
            <v/>
          </cell>
          <cell r="BS19" t="str">
            <v/>
          </cell>
          <cell r="BT19" t="str">
            <v/>
          </cell>
          <cell r="BU19" t="str">
            <v/>
          </cell>
          <cell r="BV19" t="str">
            <v/>
          </cell>
          <cell r="BW19" t="str">
            <v/>
          </cell>
          <cell r="BX19" t="str">
            <v/>
          </cell>
          <cell r="BY19">
            <v>58291200</v>
          </cell>
          <cell r="BZ19" t="str">
            <v/>
          </cell>
          <cell r="CA19" t="str">
            <v/>
          </cell>
          <cell r="CC19" t="str">
            <v/>
          </cell>
          <cell r="CD19" t="str">
            <v/>
          </cell>
          <cell r="CE19" t="str">
            <v/>
          </cell>
          <cell r="CF19" t="str">
            <v/>
          </cell>
        </row>
        <row r="20">
          <cell r="A20">
            <v>40</v>
          </cell>
          <cell r="B20" t="str">
            <v>0040_名古屋マリオットアソシアホテル</v>
          </cell>
          <cell r="C20" t="str">
            <v>スポンサー</v>
          </cell>
          <cell r="D20" t="str">
            <v>ファミリー</v>
          </cell>
          <cell r="E20" t="str">
            <v/>
          </cell>
          <cell r="F20" t="str">
            <v>選手</v>
          </cell>
          <cell r="G20" t="str">
            <v/>
          </cell>
          <cell r="H20">
            <v>25</v>
          </cell>
          <cell r="I20">
            <v>25</v>
          </cell>
          <cell r="J20" t="b">
            <v>1</v>
          </cell>
          <cell r="K20">
            <v>0</v>
          </cell>
          <cell r="L20">
            <v>27221978</v>
          </cell>
          <cell r="M20">
            <v>588828</v>
          </cell>
          <cell r="N20">
            <v>463641</v>
          </cell>
          <cell r="O20">
            <v>0</v>
          </cell>
          <cell r="P20">
            <v>0</v>
          </cell>
          <cell r="Q20">
            <v>31101891.700000003</v>
          </cell>
          <cell r="R20">
            <v>31101891</v>
          </cell>
          <cell r="S20" t="b">
            <v>1</v>
          </cell>
          <cell r="T20">
            <v>1244075.6399999999</v>
          </cell>
          <cell r="U20">
            <v>0</v>
          </cell>
          <cell r="V20">
            <v>44878992</v>
          </cell>
          <cell r="W20">
            <v>44878992</v>
          </cell>
          <cell r="X20" t="b">
            <v>1</v>
          </cell>
          <cell r="Y20">
            <v>89757.983999999997</v>
          </cell>
          <cell r="AB20">
            <v>111500.60124223604</v>
          </cell>
          <cell r="AE20">
            <v>774</v>
          </cell>
          <cell r="AF20">
            <v>500</v>
          </cell>
          <cell r="AG20" t="b">
            <v>1</v>
          </cell>
          <cell r="AH20">
            <v>1123</v>
          </cell>
          <cell r="AI20">
            <v>350</v>
          </cell>
          <cell r="AJ20">
            <v>400</v>
          </cell>
          <cell r="AK20" t="str">
            <v/>
          </cell>
          <cell r="AL20">
            <v>460</v>
          </cell>
          <cell r="AM20" t="str">
            <v/>
          </cell>
          <cell r="AN20">
            <v>-150</v>
          </cell>
          <cell r="AQ20">
            <v>-40</v>
          </cell>
          <cell r="AV20" t="str">
            <v/>
          </cell>
          <cell r="AW20" t="str">
            <v/>
          </cell>
          <cell r="AX20">
            <v>18</v>
          </cell>
          <cell r="AY20">
            <v>20</v>
          </cell>
          <cell r="AZ20" t="str">
            <v/>
          </cell>
          <cell r="BA20" t="str">
            <v/>
          </cell>
          <cell r="BB20" t="str">
            <v/>
          </cell>
          <cell r="BC20">
            <v>18</v>
          </cell>
          <cell r="BD20" t="str">
            <v/>
          </cell>
          <cell r="BE20" t="str">
            <v/>
          </cell>
          <cell r="BF20" t="str">
            <v/>
          </cell>
          <cell r="BG20" t="str">
            <v/>
          </cell>
          <cell r="BH20" t="str">
            <v/>
          </cell>
          <cell r="BJ20">
            <v>718063872</v>
          </cell>
          <cell r="BK20" t="str">
            <v/>
          </cell>
          <cell r="BL20">
            <v>565475299.19999993</v>
          </cell>
          <cell r="BM20" t="str">
            <v/>
          </cell>
          <cell r="BN20" t="str">
            <v/>
          </cell>
          <cell r="BO20" t="str">
            <v/>
          </cell>
          <cell r="BP20">
            <v>743196107.51999998</v>
          </cell>
          <cell r="BQ20">
            <v>743196107.51999998</v>
          </cell>
          <cell r="BR20" t="str">
            <v/>
          </cell>
          <cell r="BS20" t="str">
            <v/>
          </cell>
          <cell r="BT20" t="str">
            <v/>
          </cell>
          <cell r="BU20" t="str">
            <v/>
          </cell>
          <cell r="BV20" t="str">
            <v/>
          </cell>
          <cell r="BW20" t="str">
            <v/>
          </cell>
          <cell r="BX20" t="str">
            <v/>
          </cell>
          <cell r="BY20" t="str">
            <v/>
          </cell>
          <cell r="BZ20">
            <v>622037819.99999988</v>
          </cell>
          <cell r="CA20" t="str">
            <v/>
          </cell>
          <cell r="CC20">
            <v>559834037.99999988</v>
          </cell>
          <cell r="CD20">
            <v>559834037.99999988</v>
          </cell>
          <cell r="CE20" t="str">
            <v/>
          </cell>
          <cell r="CF20" t="str">
            <v/>
          </cell>
        </row>
        <row r="21">
          <cell r="A21">
            <v>41</v>
          </cell>
          <cell r="B21" t="str">
            <v>0041_三交イン名古屋新幹線口</v>
          </cell>
          <cell r="C21" t="str">
            <v>メディア</v>
          </cell>
          <cell r="D21" t="str">
            <v/>
          </cell>
          <cell r="E21" t="str">
            <v/>
          </cell>
          <cell r="F21" t="str">
            <v>メディア</v>
          </cell>
          <cell r="G21" t="str">
            <v/>
          </cell>
          <cell r="H21">
            <v>0</v>
          </cell>
          <cell r="I21">
            <v>0</v>
          </cell>
          <cell r="J21" t="b">
            <v>0</v>
          </cell>
          <cell r="K21" t="str">
            <v/>
          </cell>
          <cell r="L21">
            <v>0</v>
          </cell>
          <cell r="M21">
            <v>0</v>
          </cell>
          <cell r="N21">
            <v>0</v>
          </cell>
          <cell r="O21">
            <v>0</v>
          </cell>
          <cell r="P21">
            <v>0</v>
          </cell>
          <cell r="Q21">
            <v>0</v>
          </cell>
          <cell r="R21">
            <v>0</v>
          </cell>
          <cell r="S21" t="b">
            <v>1</v>
          </cell>
          <cell r="T21" t="str">
            <v/>
          </cell>
          <cell r="U21">
            <v>0</v>
          </cell>
          <cell r="V21">
            <v>3061982</v>
          </cell>
          <cell r="W21">
            <v>3061982</v>
          </cell>
          <cell r="X21" t="b">
            <v>1</v>
          </cell>
          <cell r="Y21">
            <v>21871.3</v>
          </cell>
          <cell r="AB21">
            <v>27735.344202898552</v>
          </cell>
          <cell r="AE21">
            <v>195</v>
          </cell>
          <cell r="AF21">
            <v>140</v>
          </cell>
          <cell r="AG21" t="b">
            <v>1</v>
          </cell>
          <cell r="AH21">
            <v>201</v>
          </cell>
          <cell r="AI21">
            <v>96</v>
          </cell>
          <cell r="AJ21" t="str">
            <v/>
          </cell>
          <cell r="AK21" t="str">
            <v/>
          </cell>
          <cell r="AL21">
            <v>48</v>
          </cell>
          <cell r="AM21" t="str">
            <v/>
          </cell>
          <cell r="AN21">
            <v>-44</v>
          </cell>
          <cell r="AQ21">
            <v>-92</v>
          </cell>
          <cell r="AV21" t="str">
            <v/>
          </cell>
          <cell r="AW21" t="str">
            <v/>
          </cell>
          <cell r="AX21" t="str">
            <v/>
          </cell>
          <cell r="AY21" t="str">
            <v/>
          </cell>
          <cell r="AZ21">
            <v>32</v>
          </cell>
          <cell r="BA21" t="str">
            <v/>
          </cell>
          <cell r="BB21" t="str">
            <v/>
          </cell>
          <cell r="BC21" t="str">
            <v/>
          </cell>
          <cell r="BD21" t="str">
            <v/>
          </cell>
          <cell r="BE21">
            <v>16</v>
          </cell>
          <cell r="BF21" t="str">
            <v/>
          </cell>
          <cell r="BG21" t="str">
            <v/>
          </cell>
          <cell r="BH21" t="str">
            <v/>
          </cell>
          <cell r="BJ21" t="str">
            <v/>
          </cell>
          <cell r="BK21">
            <v>67188633.599999994</v>
          </cell>
          <cell r="BL21" t="str">
            <v/>
          </cell>
          <cell r="BM21" t="str">
            <v/>
          </cell>
          <cell r="BN21" t="str">
            <v/>
          </cell>
          <cell r="BO21" t="str">
            <v/>
          </cell>
          <cell r="BP21" t="str">
            <v/>
          </cell>
          <cell r="BQ21" t="str">
            <v/>
          </cell>
          <cell r="BR21" t="str">
            <v/>
          </cell>
          <cell r="BS21" t="str">
            <v/>
          </cell>
          <cell r="BT21">
            <v>16797158.399999999</v>
          </cell>
          <cell r="BU21" t="str">
            <v/>
          </cell>
          <cell r="BV21" t="str">
            <v/>
          </cell>
          <cell r="BW21" t="str">
            <v/>
          </cell>
          <cell r="BX21" t="str">
            <v/>
          </cell>
          <cell r="BY21" t="str">
            <v/>
          </cell>
          <cell r="BZ21" t="str">
            <v/>
          </cell>
          <cell r="CA21" t="str">
            <v/>
          </cell>
          <cell r="CC21" t="str">
            <v/>
          </cell>
          <cell r="CD21" t="str">
            <v/>
          </cell>
          <cell r="CE21" t="str">
            <v/>
          </cell>
          <cell r="CF21" t="str">
            <v/>
          </cell>
        </row>
        <row r="22">
          <cell r="A22">
            <v>42</v>
          </cell>
          <cell r="B22" t="str">
            <v>0042_スーパーホテル名古屋駅前</v>
          </cell>
          <cell r="C22" t="str">
            <v>メディア</v>
          </cell>
          <cell r="D22" t="str">
            <v/>
          </cell>
          <cell r="E22" t="str">
            <v/>
          </cell>
          <cell r="F22" t="str">
            <v>メディア</v>
          </cell>
          <cell r="G22" t="str">
            <v/>
          </cell>
          <cell r="H22">
            <v>0</v>
          </cell>
          <cell r="I22">
            <v>0</v>
          </cell>
          <cell r="J22" t="b">
            <v>0</v>
          </cell>
          <cell r="K22" t="str">
            <v/>
          </cell>
          <cell r="L22">
            <v>0</v>
          </cell>
          <cell r="M22">
            <v>0</v>
          </cell>
          <cell r="N22">
            <v>0</v>
          </cell>
          <cell r="O22">
            <v>0</v>
          </cell>
          <cell r="P22">
            <v>0</v>
          </cell>
          <cell r="Q22">
            <v>0</v>
          </cell>
          <cell r="R22">
            <v>0</v>
          </cell>
          <cell r="S22" t="b">
            <v>1</v>
          </cell>
          <cell r="T22" t="str">
            <v/>
          </cell>
          <cell r="U22">
            <v>0</v>
          </cell>
          <cell r="V22">
            <v>1193846</v>
          </cell>
          <cell r="W22">
            <v>1193846</v>
          </cell>
          <cell r="X22" t="b">
            <v>1</v>
          </cell>
          <cell r="Y22">
            <v>11938.46</v>
          </cell>
          <cell r="AB22">
            <v>15266.572890025578</v>
          </cell>
          <cell r="AE22">
            <v>139</v>
          </cell>
          <cell r="AF22">
            <v>100</v>
          </cell>
          <cell r="AG22" t="b">
            <v>1</v>
          </cell>
          <cell r="AH22">
            <v>139</v>
          </cell>
          <cell r="AI22">
            <v>68</v>
          </cell>
          <cell r="AJ22" t="str">
            <v/>
          </cell>
          <cell r="AK22" t="str">
            <v/>
          </cell>
          <cell r="AL22">
            <v>66</v>
          </cell>
          <cell r="AM22" t="str">
            <v/>
          </cell>
          <cell r="AN22">
            <v>-32</v>
          </cell>
          <cell r="AQ22">
            <v>-34</v>
          </cell>
          <cell r="AV22" t="str">
            <v/>
          </cell>
          <cell r="AW22" t="str">
            <v/>
          </cell>
          <cell r="AX22" t="str">
            <v/>
          </cell>
          <cell r="AY22" t="str">
            <v/>
          </cell>
          <cell r="AZ22">
            <v>32</v>
          </cell>
          <cell r="BA22" t="str">
            <v/>
          </cell>
          <cell r="BB22" t="str">
            <v/>
          </cell>
          <cell r="BC22" t="str">
            <v/>
          </cell>
          <cell r="BD22" t="str">
            <v/>
          </cell>
          <cell r="BE22">
            <v>16</v>
          </cell>
          <cell r="BF22" t="str">
            <v/>
          </cell>
          <cell r="BG22" t="str">
            <v/>
          </cell>
          <cell r="BH22" t="str">
            <v/>
          </cell>
          <cell r="BJ22" t="str">
            <v/>
          </cell>
          <cell r="BK22">
            <v>25978088.959999997</v>
          </cell>
          <cell r="BL22" t="str">
            <v/>
          </cell>
          <cell r="BM22" t="str">
            <v/>
          </cell>
          <cell r="BN22" t="str">
            <v/>
          </cell>
          <cell r="BO22" t="str">
            <v/>
          </cell>
          <cell r="BP22" t="str">
            <v/>
          </cell>
          <cell r="BQ22" t="str">
            <v/>
          </cell>
          <cell r="BR22" t="str">
            <v/>
          </cell>
          <cell r="BS22" t="str">
            <v/>
          </cell>
          <cell r="BT22">
            <v>12607013.76</v>
          </cell>
          <cell r="BU22" t="str">
            <v/>
          </cell>
          <cell r="BV22" t="str">
            <v/>
          </cell>
          <cell r="BW22" t="str">
            <v/>
          </cell>
          <cell r="BX22" t="str">
            <v/>
          </cell>
          <cell r="BY22" t="str">
            <v/>
          </cell>
          <cell r="BZ22" t="str">
            <v/>
          </cell>
          <cell r="CA22" t="str">
            <v/>
          </cell>
          <cell r="CC22" t="str">
            <v/>
          </cell>
          <cell r="CD22" t="str">
            <v/>
          </cell>
          <cell r="CE22" t="str">
            <v/>
          </cell>
          <cell r="CF22" t="str">
            <v/>
          </cell>
        </row>
        <row r="23">
          <cell r="A23">
            <v>43</v>
          </cell>
          <cell r="B23" t="str">
            <v>0043_チサンイン名古屋</v>
          </cell>
          <cell r="C23" t="str">
            <v>メディア</v>
          </cell>
          <cell r="D23" t="str">
            <v/>
          </cell>
          <cell r="E23" t="str">
            <v/>
          </cell>
          <cell r="F23" t="str">
            <v>メディア</v>
          </cell>
          <cell r="G23" t="str">
            <v/>
          </cell>
          <cell r="H23">
            <v>2</v>
          </cell>
          <cell r="I23">
            <v>2</v>
          </cell>
          <cell r="J23" t="b">
            <v>0</v>
          </cell>
          <cell r="K23" t="str">
            <v/>
          </cell>
          <cell r="L23">
            <v>141177</v>
          </cell>
          <cell r="M23">
            <v>0</v>
          </cell>
          <cell r="N23">
            <v>0</v>
          </cell>
          <cell r="O23">
            <v>0</v>
          </cell>
          <cell r="P23">
            <v>0</v>
          </cell>
          <cell r="Q23">
            <v>155294.70000000001</v>
          </cell>
          <cell r="R23">
            <v>155294</v>
          </cell>
          <cell r="S23" t="b">
            <v>0</v>
          </cell>
          <cell r="T23">
            <v>77647</v>
          </cell>
          <cell r="U23">
            <v>0</v>
          </cell>
          <cell r="V23">
            <v>3473577</v>
          </cell>
          <cell r="W23">
            <v>3473577</v>
          </cell>
          <cell r="X23" t="b">
            <v>1</v>
          </cell>
          <cell r="Y23">
            <v>12865.1</v>
          </cell>
          <cell r="AB23">
            <v>16415.770321361058</v>
          </cell>
          <cell r="AE23">
            <v>375</v>
          </cell>
          <cell r="AF23">
            <v>270</v>
          </cell>
          <cell r="AG23" t="b">
            <v>1</v>
          </cell>
          <cell r="AH23">
            <v>375</v>
          </cell>
          <cell r="AI23">
            <v>184</v>
          </cell>
          <cell r="AJ23" t="str">
            <v/>
          </cell>
          <cell r="AK23" t="str">
            <v/>
          </cell>
          <cell r="AL23">
            <v>146</v>
          </cell>
          <cell r="AM23" t="str">
            <v/>
          </cell>
          <cell r="AN23">
            <v>-86</v>
          </cell>
          <cell r="AQ23">
            <v>-124</v>
          </cell>
          <cell r="AV23" t="str">
            <v/>
          </cell>
          <cell r="AW23" t="str">
            <v/>
          </cell>
          <cell r="AX23" t="str">
            <v/>
          </cell>
          <cell r="AY23" t="str">
            <v/>
          </cell>
          <cell r="AZ23">
            <v>32</v>
          </cell>
          <cell r="BA23" t="str">
            <v/>
          </cell>
          <cell r="BB23" t="str">
            <v/>
          </cell>
          <cell r="BC23" t="str">
            <v/>
          </cell>
          <cell r="BD23" t="str">
            <v/>
          </cell>
          <cell r="BE23">
            <v>16</v>
          </cell>
          <cell r="BF23" t="str">
            <v/>
          </cell>
          <cell r="BG23" t="str">
            <v/>
          </cell>
          <cell r="BH23" t="str">
            <v/>
          </cell>
          <cell r="BJ23" t="str">
            <v/>
          </cell>
          <cell r="BK23">
            <v>75749708.799999997</v>
          </cell>
          <cell r="BL23" t="str">
            <v/>
          </cell>
          <cell r="BM23" t="str">
            <v/>
          </cell>
          <cell r="BN23" t="str">
            <v/>
          </cell>
          <cell r="BO23" t="str">
            <v/>
          </cell>
          <cell r="BP23" t="str">
            <v/>
          </cell>
          <cell r="BQ23" t="str">
            <v/>
          </cell>
          <cell r="BR23" t="str">
            <v/>
          </cell>
          <cell r="BS23" t="str">
            <v/>
          </cell>
          <cell r="BT23">
            <v>30052873.600000001</v>
          </cell>
          <cell r="BU23" t="str">
            <v/>
          </cell>
          <cell r="BV23" t="str">
            <v/>
          </cell>
          <cell r="BW23" t="str">
            <v/>
          </cell>
          <cell r="BX23" t="str">
            <v/>
          </cell>
          <cell r="BY23" t="str">
            <v/>
          </cell>
          <cell r="BZ23" t="str">
            <v/>
          </cell>
          <cell r="CA23" t="str">
            <v/>
          </cell>
          <cell r="CC23" t="str">
            <v/>
          </cell>
          <cell r="CD23" t="str">
            <v/>
          </cell>
          <cell r="CE23" t="str">
            <v/>
          </cell>
          <cell r="CF23" t="str">
            <v/>
          </cell>
        </row>
        <row r="24">
          <cell r="A24">
            <v>44</v>
          </cell>
          <cell r="B24" t="str">
            <v>0044_ホテルパレス名古屋</v>
          </cell>
          <cell r="C24" t="str">
            <v>メディア</v>
          </cell>
          <cell r="D24" t="str">
            <v/>
          </cell>
          <cell r="E24" t="str">
            <v/>
          </cell>
          <cell r="F24" t="str">
            <v/>
          </cell>
          <cell r="G24" t="str">
            <v/>
          </cell>
          <cell r="H24">
            <v>1</v>
          </cell>
          <cell r="I24">
            <v>1</v>
          </cell>
          <cell r="J24" t="b">
            <v>0</v>
          </cell>
          <cell r="K24" t="str">
            <v/>
          </cell>
          <cell r="L24">
            <v>70589</v>
          </cell>
          <cell r="M24">
            <v>0</v>
          </cell>
          <cell r="N24">
            <v>0</v>
          </cell>
          <cell r="O24">
            <v>0</v>
          </cell>
          <cell r="P24">
            <v>0</v>
          </cell>
          <cell r="Q24">
            <v>77647.900000000009</v>
          </cell>
          <cell r="R24">
            <v>77647</v>
          </cell>
          <cell r="S24" t="b">
            <v>0</v>
          </cell>
          <cell r="T24">
            <v>77647</v>
          </cell>
          <cell r="U24">
            <v>0</v>
          </cell>
          <cell r="V24">
            <v>926728</v>
          </cell>
          <cell r="W24">
            <v>926728</v>
          </cell>
          <cell r="X24" t="b">
            <v>1</v>
          </cell>
          <cell r="Y24">
            <v>12356.373333333333</v>
          </cell>
          <cell r="AB24">
            <v>16445.927240461402</v>
          </cell>
          <cell r="AE24">
            <v>100</v>
          </cell>
          <cell r="AF24">
            <v>75</v>
          </cell>
          <cell r="AG24" t="b">
            <v>1</v>
          </cell>
          <cell r="AH24">
            <v>99</v>
          </cell>
          <cell r="AI24">
            <v>49</v>
          </cell>
          <cell r="AJ24" t="str">
            <v/>
          </cell>
          <cell r="AK24" t="str">
            <v/>
          </cell>
          <cell r="AL24" t="str">
            <v/>
          </cell>
          <cell r="AM24" t="str">
            <v/>
          </cell>
          <cell r="AN24">
            <v>-26</v>
          </cell>
          <cell r="AQ24" t="str">
            <v/>
          </cell>
          <cell r="AV24" t="str">
            <v/>
          </cell>
          <cell r="AW24" t="str">
            <v/>
          </cell>
          <cell r="AX24" t="str">
            <v/>
          </cell>
          <cell r="AY24" t="str">
            <v/>
          </cell>
          <cell r="AZ24">
            <v>32</v>
          </cell>
          <cell r="BA24" t="str">
            <v/>
          </cell>
          <cell r="BB24" t="str">
            <v/>
          </cell>
          <cell r="BC24" t="str">
            <v/>
          </cell>
          <cell r="BD24" t="str">
            <v/>
          </cell>
          <cell r="BE24" t="str">
            <v/>
          </cell>
          <cell r="BF24" t="str">
            <v/>
          </cell>
          <cell r="BG24" t="str">
            <v/>
          </cell>
          <cell r="BH24" t="str">
            <v/>
          </cell>
          <cell r="BJ24" t="str">
            <v/>
          </cell>
          <cell r="BK24">
            <v>19374793.386666667</v>
          </cell>
          <cell r="BL24" t="str">
            <v/>
          </cell>
          <cell r="BM24" t="str">
            <v/>
          </cell>
          <cell r="BN24" t="str">
            <v/>
          </cell>
          <cell r="BO24" t="str">
            <v/>
          </cell>
          <cell r="BP24" t="str">
            <v/>
          </cell>
          <cell r="BQ24" t="str">
            <v/>
          </cell>
          <cell r="BR24" t="str">
            <v/>
          </cell>
          <cell r="BS24" t="str">
            <v/>
          </cell>
          <cell r="BT24" t="str">
            <v/>
          </cell>
          <cell r="BU24" t="str">
            <v/>
          </cell>
          <cell r="BV24" t="str">
            <v/>
          </cell>
          <cell r="BW24" t="str">
            <v/>
          </cell>
          <cell r="BX24" t="str">
            <v/>
          </cell>
          <cell r="BY24" t="str">
            <v/>
          </cell>
          <cell r="BZ24" t="str">
            <v/>
          </cell>
          <cell r="CA24" t="str">
            <v/>
          </cell>
          <cell r="CC24" t="str">
            <v/>
          </cell>
          <cell r="CD24" t="str">
            <v/>
          </cell>
          <cell r="CE24" t="str">
            <v/>
          </cell>
          <cell r="CF24" t="str">
            <v/>
          </cell>
        </row>
        <row r="25">
          <cell r="A25">
            <v>45</v>
          </cell>
          <cell r="B25" t="str">
            <v>0045_名古屋フラワーホテル</v>
          </cell>
          <cell r="C25" t="str">
            <v>メディア</v>
          </cell>
          <cell r="D25" t="str">
            <v/>
          </cell>
          <cell r="E25" t="str">
            <v/>
          </cell>
          <cell r="F25" t="str">
            <v/>
          </cell>
          <cell r="G25" t="str">
            <v/>
          </cell>
          <cell r="H25">
            <v>0</v>
          </cell>
          <cell r="I25">
            <v>0</v>
          </cell>
          <cell r="J25" t="b">
            <v>0</v>
          </cell>
          <cell r="K25" t="str">
            <v/>
          </cell>
          <cell r="L25">
            <v>70589</v>
          </cell>
          <cell r="M25">
            <v>0</v>
          </cell>
          <cell r="N25">
            <v>0</v>
          </cell>
          <cell r="O25">
            <v>0</v>
          </cell>
          <cell r="P25">
            <v>0</v>
          </cell>
          <cell r="Q25">
            <v>77647.900000000009</v>
          </cell>
          <cell r="R25">
            <v>0</v>
          </cell>
          <cell r="S25" t="b">
            <v>0</v>
          </cell>
          <cell r="T25" t="str">
            <v/>
          </cell>
          <cell r="U25">
            <v>-724724</v>
          </cell>
          <cell r="W25">
            <v>724724</v>
          </cell>
          <cell r="X25" t="b">
            <v>1</v>
          </cell>
          <cell r="Y25">
            <v>10353.200000000001</v>
          </cell>
          <cell r="AB25">
            <v>9002.782608695652</v>
          </cell>
          <cell r="AF25">
            <v>70</v>
          </cell>
          <cell r="AG25" t="b">
            <v>1</v>
          </cell>
          <cell r="AI25">
            <v>70</v>
          </cell>
          <cell r="AJ25" t="str">
            <v/>
          </cell>
          <cell r="AK25" t="str">
            <v/>
          </cell>
          <cell r="AL25" t="str">
            <v/>
          </cell>
          <cell r="AM25" t="str">
            <v/>
          </cell>
          <cell r="AN25">
            <v>0</v>
          </cell>
          <cell r="AQ25" t="str">
            <v/>
          </cell>
          <cell r="AV25" t="str">
            <v/>
          </cell>
          <cell r="AW25" t="str">
            <v/>
          </cell>
          <cell r="AX25" t="str">
            <v/>
          </cell>
          <cell r="AY25" t="str">
            <v/>
          </cell>
          <cell r="AZ25">
            <v>32</v>
          </cell>
          <cell r="BA25" t="str">
            <v/>
          </cell>
          <cell r="BB25" t="str">
            <v/>
          </cell>
          <cell r="BC25" t="str">
            <v/>
          </cell>
          <cell r="BD25" t="str">
            <v/>
          </cell>
          <cell r="BE25" t="str">
            <v/>
          </cell>
          <cell r="BF25" t="str">
            <v/>
          </cell>
          <cell r="BG25" t="str">
            <v/>
          </cell>
          <cell r="BH25" t="str">
            <v/>
          </cell>
          <cell r="BJ25" t="str">
            <v/>
          </cell>
          <cell r="BK25">
            <v>23191168</v>
          </cell>
          <cell r="BL25" t="str">
            <v/>
          </cell>
          <cell r="BM25" t="str">
            <v/>
          </cell>
          <cell r="BN25" t="str">
            <v/>
          </cell>
          <cell r="BO25" t="str">
            <v/>
          </cell>
          <cell r="BP25" t="str">
            <v/>
          </cell>
          <cell r="BQ25" t="str">
            <v/>
          </cell>
          <cell r="BR25" t="str">
            <v/>
          </cell>
          <cell r="BS25" t="str">
            <v/>
          </cell>
          <cell r="BT25" t="str">
            <v/>
          </cell>
          <cell r="BU25" t="str">
            <v/>
          </cell>
          <cell r="BV25" t="str">
            <v/>
          </cell>
          <cell r="BW25" t="str">
            <v/>
          </cell>
          <cell r="BX25" t="str">
            <v/>
          </cell>
          <cell r="BY25" t="str">
            <v/>
          </cell>
          <cell r="BZ25" t="str">
            <v/>
          </cell>
          <cell r="CA25" t="str">
            <v/>
          </cell>
          <cell r="CC25" t="str">
            <v/>
          </cell>
          <cell r="CD25" t="str">
            <v/>
          </cell>
          <cell r="CE25" t="str">
            <v/>
          </cell>
          <cell r="CF25" t="str">
            <v/>
          </cell>
        </row>
        <row r="26">
          <cell r="A26">
            <v>46</v>
          </cell>
          <cell r="B26" t="str">
            <v>0046_名古屋フラワーホテル　別館PARTⅡ</v>
          </cell>
          <cell r="C26" t="str">
            <v>メディア</v>
          </cell>
          <cell r="D26" t="str">
            <v/>
          </cell>
          <cell r="E26" t="str">
            <v/>
          </cell>
          <cell r="F26" t="str">
            <v/>
          </cell>
          <cell r="G26" t="str">
            <v/>
          </cell>
          <cell r="H26">
            <v>0</v>
          </cell>
          <cell r="I26">
            <v>0</v>
          </cell>
          <cell r="J26" t="b">
            <v>0</v>
          </cell>
          <cell r="K26" t="str">
            <v/>
          </cell>
          <cell r="L26">
            <v>70589</v>
          </cell>
          <cell r="M26">
            <v>0</v>
          </cell>
          <cell r="N26">
            <v>0</v>
          </cell>
          <cell r="O26">
            <v>0</v>
          </cell>
          <cell r="P26">
            <v>0</v>
          </cell>
          <cell r="Q26">
            <v>77647.900000000009</v>
          </cell>
          <cell r="R26">
            <v>0</v>
          </cell>
          <cell r="S26" t="b">
            <v>0</v>
          </cell>
          <cell r="T26" t="str">
            <v/>
          </cell>
          <cell r="U26">
            <v>-797196</v>
          </cell>
          <cell r="W26">
            <v>797196</v>
          </cell>
          <cell r="X26" t="b">
            <v>1</v>
          </cell>
          <cell r="Y26">
            <v>10353.194805194806</v>
          </cell>
          <cell r="AB26">
            <v>18242.47139588101</v>
          </cell>
          <cell r="AF26">
            <v>77</v>
          </cell>
          <cell r="AG26" t="b">
            <v>1</v>
          </cell>
          <cell r="AI26">
            <v>38</v>
          </cell>
          <cell r="AJ26" t="str">
            <v/>
          </cell>
          <cell r="AK26" t="str">
            <v/>
          </cell>
          <cell r="AL26" t="str">
            <v/>
          </cell>
          <cell r="AM26" t="str">
            <v/>
          </cell>
          <cell r="AN26">
            <v>-39</v>
          </cell>
          <cell r="AQ26" t="str">
            <v/>
          </cell>
          <cell r="AV26" t="str">
            <v/>
          </cell>
          <cell r="AW26" t="str">
            <v/>
          </cell>
          <cell r="AX26" t="str">
            <v/>
          </cell>
          <cell r="AY26" t="str">
            <v/>
          </cell>
          <cell r="AZ26">
            <v>32</v>
          </cell>
          <cell r="BA26" t="str">
            <v/>
          </cell>
          <cell r="BB26" t="str">
            <v/>
          </cell>
          <cell r="BC26" t="str">
            <v/>
          </cell>
          <cell r="BD26" t="str">
            <v/>
          </cell>
          <cell r="BE26" t="str">
            <v/>
          </cell>
          <cell r="BF26" t="str">
            <v/>
          </cell>
          <cell r="BG26" t="str">
            <v/>
          </cell>
          <cell r="BH26" t="str">
            <v/>
          </cell>
          <cell r="BJ26" t="str">
            <v/>
          </cell>
          <cell r="BK26">
            <v>12589484.883116884</v>
          </cell>
          <cell r="BL26" t="str">
            <v/>
          </cell>
          <cell r="BM26" t="str">
            <v/>
          </cell>
          <cell r="BN26" t="str">
            <v/>
          </cell>
          <cell r="BO26" t="str">
            <v/>
          </cell>
          <cell r="BP26" t="str">
            <v/>
          </cell>
          <cell r="BQ26" t="str">
            <v/>
          </cell>
          <cell r="BR26" t="str">
            <v/>
          </cell>
          <cell r="BS26" t="str">
            <v/>
          </cell>
          <cell r="BT26" t="str">
            <v/>
          </cell>
          <cell r="BU26" t="str">
            <v/>
          </cell>
          <cell r="BV26" t="str">
            <v/>
          </cell>
          <cell r="BW26" t="str">
            <v/>
          </cell>
          <cell r="BX26" t="str">
            <v/>
          </cell>
          <cell r="BY26" t="str">
            <v/>
          </cell>
          <cell r="BZ26" t="str">
            <v/>
          </cell>
          <cell r="CA26" t="str">
            <v/>
          </cell>
          <cell r="CC26" t="str">
            <v/>
          </cell>
          <cell r="CD26" t="str">
            <v/>
          </cell>
          <cell r="CE26" t="str">
            <v/>
          </cell>
          <cell r="CF26" t="str">
            <v/>
          </cell>
        </row>
        <row r="27">
          <cell r="A27">
            <v>47</v>
          </cell>
          <cell r="B27" t="str">
            <v>0047_東横INN名古屋駅新幹線口</v>
          </cell>
          <cell r="C27" t="str">
            <v>メディア</v>
          </cell>
          <cell r="D27" t="str">
            <v/>
          </cell>
          <cell r="E27" t="str">
            <v/>
          </cell>
          <cell r="F27" t="str">
            <v>メディア</v>
          </cell>
          <cell r="G27" t="str">
            <v/>
          </cell>
          <cell r="H27">
            <v>0</v>
          </cell>
          <cell r="I27">
            <v>0</v>
          </cell>
          <cell r="J27" t="b">
            <v>0</v>
          </cell>
          <cell r="K27" t="str">
            <v/>
          </cell>
          <cell r="L27">
            <v>0</v>
          </cell>
          <cell r="M27">
            <v>0</v>
          </cell>
          <cell r="N27">
            <v>0</v>
          </cell>
          <cell r="O27">
            <v>0</v>
          </cell>
          <cell r="P27">
            <v>0</v>
          </cell>
          <cell r="Q27">
            <v>0</v>
          </cell>
          <cell r="R27">
            <v>0</v>
          </cell>
          <cell r="S27" t="b">
            <v>1</v>
          </cell>
          <cell r="T27" t="str">
            <v/>
          </cell>
          <cell r="U27">
            <v>0</v>
          </cell>
          <cell r="V27">
            <v>1699002</v>
          </cell>
          <cell r="W27">
            <v>1699002</v>
          </cell>
          <cell r="X27" t="b">
            <v>1</v>
          </cell>
          <cell r="Y27">
            <v>10552.80745341615</v>
          </cell>
          <cell r="AB27">
            <v>18701.177765547607</v>
          </cell>
          <cell r="AE27">
            <v>161</v>
          </cell>
          <cell r="AF27">
            <v>161</v>
          </cell>
          <cell r="AG27" t="b">
            <v>1</v>
          </cell>
          <cell r="AH27">
            <v>162</v>
          </cell>
          <cell r="AI27">
            <v>79</v>
          </cell>
          <cell r="AJ27" t="str">
            <v/>
          </cell>
          <cell r="AK27" t="str">
            <v/>
          </cell>
          <cell r="AL27">
            <v>112</v>
          </cell>
          <cell r="AM27" t="str">
            <v/>
          </cell>
          <cell r="AN27">
            <v>-82</v>
          </cell>
          <cell r="AQ27">
            <v>-49</v>
          </cell>
          <cell r="AV27" t="str">
            <v/>
          </cell>
          <cell r="AW27" t="str">
            <v/>
          </cell>
          <cell r="AX27" t="str">
            <v/>
          </cell>
          <cell r="AY27" t="str">
            <v/>
          </cell>
          <cell r="AZ27">
            <v>32</v>
          </cell>
          <cell r="BA27" t="str">
            <v/>
          </cell>
          <cell r="BB27" t="str">
            <v/>
          </cell>
          <cell r="BC27" t="str">
            <v/>
          </cell>
          <cell r="BD27" t="str">
            <v/>
          </cell>
          <cell r="BE27">
            <v>16</v>
          </cell>
          <cell r="BF27" t="str">
            <v/>
          </cell>
          <cell r="BG27" t="str">
            <v/>
          </cell>
          <cell r="BH27" t="str">
            <v/>
          </cell>
          <cell r="BJ27" t="str">
            <v/>
          </cell>
          <cell r="BK27">
            <v>26677497.242236026</v>
          </cell>
          <cell r="BL27" t="str">
            <v/>
          </cell>
          <cell r="BM27" t="str">
            <v/>
          </cell>
          <cell r="BN27" t="str">
            <v/>
          </cell>
          <cell r="BO27" t="str">
            <v/>
          </cell>
          <cell r="BP27" t="str">
            <v/>
          </cell>
          <cell r="BQ27" t="str">
            <v/>
          </cell>
          <cell r="BR27" t="str">
            <v/>
          </cell>
          <cell r="BS27" t="str">
            <v/>
          </cell>
          <cell r="BT27">
            <v>18910630.956521742</v>
          </cell>
          <cell r="BU27" t="str">
            <v/>
          </cell>
          <cell r="BV27" t="str">
            <v/>
          </cell>
          <cell r="BW27" t="str">
            <v/>
          </cell>
          <cell r="BX27" t="str">
            <v/>
          </cell>
          <cell r="BY27" t="str">
            <v/>
          </cell>
          <cell r="BZ27" t="str">
            <v/>
          </cell>
          <cell r="CA27" t="str">
            <v/>
          </cell>
          <cell r="CC27" t="str">
            <v/>
          </cell>
          <cell r="CD27" t="str">
            <v/>
          </cell>
          <cell r="CE27" t="str">
            <v/>
          </cell>
          <cell r="CF27" t="str">
            <v/>
          </cell>
        </row>
        <row r="28">
          <cell r="A28">
            <v>49</v>
          </cell>
          <cell r="B28" t="str">
            <v>0049_名鉄グランドホテル</v>
          </cell>
          <cell r="C28" t="str">
            <v/>
          </cell>
          <cell r="D28" t="str">
            <v/>
          </cell>
          <cell r="E28" t="str">
            <v/>
          </cell>
          <cell r="F28" t="str">
            <v/>
          </cell>
          <cell r="G28" t="str">
            <v/>
          </cell>
          <cell r="H28">
            <v>11</v>
          </cell>
          <cell r="I28">
            <v>7</v>
          </cell>
          <cell r="J28" t="b">
            <v>0</v>
          </cell>
          <cell r="K28" t="str">
            <v/>
          </cell>
          <cell r="L28">
            <v>12235815</v>
          </cell>
          <cell r="M28">
            <v>294120</v>
          </cell>
          <cell r="N28">
            <v>0</v>
          </cell>
          <cell r="O28">
            <v>0</v>
          </cell>
          <cell r="P28">
            <v>0</v>
          </cell>
          <cell r="Q28">
            <v>13782928.500000002</v>
          </cell>
          <cell r="R28">
            <v>13782928</v>
          </cell>
          <cell r="S28" t="b">
            <v>0</v>
          </cell>
          <cell r="T28">
            <v>1968989.7142857143</v>
          </cell>
          <cell r="U28">
            <v>0</v>
          </cell>
          <cell r="V28">
            <v>7092669</v>
          </cell>
          <cell r="W28">
            <v>7092669</v>
          </cell>
          <cell r="X28" t="b">
            <v>1</v>
          </cell>
          <cell r="Y28">
            <v>29430.16182572614</v>
          </cell>
          <cell r="AB28" t="str">
            <v/>
          </cell>
          <cell r="AE28">
            <v>241</v>
          </cell>
          <cell r="AF28">
            <v>241</v>
          </cell>
          <cell r="AG28" t="b">
            <v>1</v>
          </cell>
          <cell r="AH28">
            <v>301</v>
          </cell>
          <cell r="AI28" t="str">
            <v/>
          </cell>
          <cell r="AJ28" t="str">
            <v/>
          </cell>
          <cell r="AK28" t="str">
            <v/>
          </cell>
          <cell r="AL28" t="str">
            <v/>
          </cell>
          <cell r="AM28" t="str">
            <v/>
          </cell>
          <cell r="AN28" t="str">
            <v/>
          </cell>
          <cell r="AQ28" t="str">
            <v/>
          </cell>
          <cell r="AV28" t="str">
            <v/>
          </cell>
          <cell r="AW28" t="str">
            <v/>
          </cell>
          <cell r="AX28" t="str">
            <v/>
          </cell>
          <cell r="AY28" t="str">
            <v/>
          </cell>
          <cell r="AZ28" t="str">
            <v/>
          </cell>
          <cell r="BA28" t="str">
            <v/>
          </cell>
          <cell r="BB28" t="str">
            <v/>
          </cell>
          <cell r="BC28" t="str">
            <v/>
          </cell>
          <cell r="BD28" t="str">
            <v/>
          </cell>
          <cell r="BE28" t="str">
            <v/>
          </cell>
          <cell r="BF28" t="str">
            <v/>
          </cell>
          <cell r="BG28" t="str">
            <v/>
          </cell>
          <cell r="BH28" t="str">
            <v/>
          </cell>
          <cell r="BJ28" t="str">
            <v/>
          </cell>
          <cell r="BK28" t="str">
            <v/>
          </cell>
          <cell r="BL28" t="str">
            <v/>
          </cell>
          <cell r="BM28" t="str">
            <v/>
          </cell>
          <cell r="BN28" t="str">
            <v/>
          </cell>
          <cell r="BO28" t="str">
            <v/>
          </cell>
          <cell r="BP28" t="str">
            <v/>
          </cell>
          <cell r="BQ28" t="str">
            <v/>
          </cell>
          <cell r="BR28" t="str">
            <v/>
          </cell>
          <cell r="BS28" t="str">
            <v/>
          </cell>
          <cell r="BT28" t="str">
            <v/>
          </cell>
          <cell r="BU28" t="str">
            <v/>
          </cell>
          <cell r="BV28" t="str">
            <v/>
          </cell>
          <cell r="BW28" t="str">
            <v/>
          </cell>
          <cell r="BX28" t="str">
            <v/>
          </cell>
          <cell r="BY28" t="str">
            <v/>
          </cell>
          <cell r="BZ28" t="str">
            <v/>
          </cell>
          <cell r="CA28" t="str">
            <v/>
          </cell>
          <cell r="CC28" t="str">
            <v/>
          </cell>
          <cell r="CD28" t="str">
            <v/>
          </cell>
          <cell r="CE28" t="str">
            <v/>
          </cell>
          <cell r="CF28" t="str">
            <v/>
          </cell>
        </row>
        <row r="29">
          <cell r="A29">
            <v>50</v>
          </cell>
          <cell r="B29" t="str">
            <v>0050_ダイワロイネットホテル名古屋駅前</v>
          </cell>
          <cell r="C29" t="str">
            <v/>
          </cell>
          <cell r="D29" t="str">
            <v/>
          </cell>
          <cell r="E29" t="str">
            <v/>
          </cell>
          <cell r="F29" t="str">
            <v/>
          </cell>
          <cell r="G29" t="str">
            <v/>
          </cell>
          <cell r="H29">
            <v>0</v>
          </cell>
          <cell r="I29">
            <v>0</v>
          </cell>
          <cell r="J29" t="b">
            <v>0</v>
          </cell>
          <cell r="K29" t="str">
            <v/>
          </cell>
          <cell r="L29">
            <v>0</v>
          </cell>
          <cell r="M29">
            <v>0</v>
          </cell>
          <cell r="N29">
            <v>0</v>
          </cell>
          <cell r="O29">
            <v>0</v>
          </cell>
          <cell r="P29">
            <v>0</v>
          </cell>
          <cell r="Q29">
            <v>0</v>
          </cell>
          <cell r="R29">
            <v>0</v>
          </cell>
          <cell r="S29" t="b">
            <v>1</v>
          </cell>
          <cell r="T29" t="str">
            <v/>
          </cell>
          <cell r="U29">
            <v>0</v>
          </cell>
          <cell r="V29">
            <v>2090429</v>
          </cell>
          <cell r="W29">
            <v>2090429</v>
          </cell>
          <cell r="X29" t="b">
            <v>1</v>
          </cell>
          <cell r="Y29">
            <v>26130.362499999999</v>
          </cell>
          <cell r="AB29" t="str">
            <v/>
          </cell>
          <cell r="AE29">
            <v>188</v>
          </cell>
          <cell r="AF29">
            <v>80</v>
          </cell>
          <cell r="AG29" t="b">
            <v>1</v>
          </cell>
          <cell r="AH29">
            <v>210</v>
          </cell>
          <cell r="AI29" t="str">
            <v/>
          </cell>
          <cell r="AJ29" t="str">
            <v/>
          </cell>
          <cell r="AK29" t="str">
            <v/>
          </cell>
          <cell r="AL29" t="str">
            <v/>
          </cell>
          <cell r="AM29" t="str">
            <v/>
          </cell>
          <cell r="AN29" t="str">
            <v/>
          </cell>
          <cell r="AQ29" t="str">
            <v/>
          </cell>
          <cell r="AV29" t="str">
            <v/>
          </cell>
          <cell r="AW29" t="str">
            <v/>
          </cell>
          <cell r="AX29" t="str">
            <v/>
          </cell>
          <cell r="AY29" t="str">
            <v/>
          </cell>
          <cell r="AZ29" t="str">
            <v/>
          </cell>
          <cell r="BA29" t="str">
            <v/>
          </cell>
          <cell r="BB29" t="str">
            <v/>
          </cell>
          <cell r="BC29" t="str">
            <v/>
          </cell>
          <cell r="BD29" t="str">
            <v/>
          </cell>
          <cell r="BE29" t="str">
            <v/>
          </cell>
          <cell r="BF29" t="str">
            <v/>
          </cell>
          <cell r="BG29" t="str">
            <v/>
          </cell>
          <cell r="BH29" t="str">
            <v/>
          </cell>
          <cell r="BJ29" t="str">
            <v/>
          </cell>
          <cell r="BK29" t="str">
            <v/>
          </cell>
          <cell r="BL29" t="str">
            <v/>
          </cell>
          <cell r="BM29" t="str">
            <v/>
          </cell>
          <cell r="BN29" t="str">
            <v/>
          </cell>
          <cell r="BO29" t="str">
            <v/>
          </cell>
          <cell r="BP29" t="str">
            <v/>
          </cell>
          <cell r="BQ29" t="str">
            <v/>
          </cell>
          <cell r="BR29" t="str">
            <v/>
          </cell>
          <cell r="BS29" t="str">
            <v/>
          </cell>
          <cell r="BT29" t="str">
            <v/>
          </cell>
          <cell r="BU29" t="str">
            <v/>
          </cell>
          <cell r="BV29" t="str">
            <v/>
          </cell>
          <cell r="BW29" t="str">
            <v/>
          </cell>
          <cell r="BX29" t="str">
            <v/>
          </cell>
          <cell r="BY29" t="str">
            <v/>
          </cell>
          <cell r="BZ29" t="str">
            <v/>
          </cell>
          <cell r="CA29" t="str">
            <v/>
          </cell>
          <cell r="CC29" t="str">
            <v/>
          </cell>
          <cell r="CD29" t="str">
            <v/>
          </cell>
          <cell r="CE29" t="str">
            <v/>
          </cell>
          <cell r="CF29" t="str">
            <v/>
          </cell>
        </row>
        <row r="30">
          <cell r="A30">
            <v>51</v>
          </cell>
          <cell r="B30" t="str">
            <v>0051_ダイワロイネットホテル名古屋新幹線口</v>
          </cell>
          <cell r="C30" t="str">
            <v/>
          </cell>
          <cell r="D30" t="str">
            <v/>
          </cell>
          <cell r="E30" t="str">
            <v/>
          </cell>
          <cell r="F30" t="str">
            <v>メディア</v>
          </cell>
          <cell r="G30" t="str">
            <v/>
          </cell>
          <cell r="H30">
            <v>1</v>
          </cell>
          <cell r="I30">
            <v>1</v>
          </cell>
          <cell r="J30" t="b">
            <v>0</v>
          </cell>
          <cell r="K30" t="str">
            <v/>
          </cell>
          <cell r="L30">
            <v>137648</v>
          </cell>
          <cell r="M30">
            <v>0</v>
          </cell>
          <cell r="N30">
            <v>0</v>
          </cell>
          <cell r="O30">
            <v>0</v>
          </cell>
          <cell r="P30">
            <v>0</v>
          </cell>
          <cell r="Q30">
            <v>151412.80000000002</v>
          </cell>
          <cell r="R30">
            <v>151412</v>
          </cell>
          <cell r="S30" t="b">
            <v>0</v>
          </cell>
          <cell r="T30">
            <v>151412</v>
          </cell>
          <cell r="U30">
            <v>0</v>
          </cell>
          <cell r="V30">
            <v>1821022</v>
          </cell>
          <cell r="W30">
            <v>1821022</v>
          </cell>
          <cell r="X30" t="b">
            <v>1</v>
          </cell>
          <cell r="Y30">
            <v>24280.293333333335</v>
          </cell>
          <cell r="AB30" t="str">
            <v/>
          </cell>
          <cell r="AE30">
            <v>165</v>
          </cell>
          <cell r="AF30">
            <v>75</v>
          </cell>
          <cell r="AG30" t="b">
            <v>1</v>
          </cell>
          <cell r="AH30">
            <v>207</v>
          </cell>
          <cell r="AI30" t="str">
            <v/>
          </cell>
          <cell r="AJ30" t="str">
            <v/>
          </cell>
          <cell r="AK30" t="str">
            <v/>
          </cell>
          <cell r="AL30">
            <v>62</v>
          </cell>
          <cell r="AM30" t="str">
            <v/>
          </cell>
          <cell r="AN30" t="str">
            <v/>
          </cell>
          <cell r="AQ30">
            <v>-13</v>
          </cell>
          <cell r="AV30" t="str">
            <v/>
          </cell>
          <cell r="AW30" t="str">
            <v/>
          </cell>
          <cell r="AX30" t="str">
            <v/>
          </cell>
          <cell r="AY30" t="str">
            <v/>
          </cell>
          <cell r="AZ30" t="str">
            <v/>
          </cell>
          <cell r="BA30" t="str">
            <v/>
          </cell>
          <cell r="BB30" t="str">
            <v/>
          </cell>
          <cell r="BC30" t="str">
            <v/>
          </cell>
          <cell r="BD30" t="str">
            <v/>
          </cell>
          <cell r="BE30">
            <v>16</v>
          </cell>
          <cell r="BF30" t="str">
            <v/>
          </cell>
          <cell r="BG30" t="str">
            <v/>
          </cell>
          <cell r="BH30" t="str">
            <v/>
          </cell>
          <cell r="BJ30" t="str">
            <v/>
          </cell>
          <cell r="BK30" t="str">
            <v/>
          </cell>
          <cell r="BL30" t="str">
            <v/>
          </cell>
          <cell r="BM30" t="str">
            <v/>
          </cell>
          <cell r="BN30" t="str">
            <v/>
          </cell>
          <cell r="BO30" t="str">
            <v/>
          </cell>
          <cell r="BP30" t="str">
            <v/>
          </cell>
          <cell r="BQ30" t="str">
            <v/>
          </cell>
          <cell r="BR30" t="str">
            <v/>
          </cell>
          <cell r="BS30" t="str">
            <v/>
          </cell>
          <cell r="BT30">
            <v>24086050.986666668</v>
          </cell>
          <cell r="BU30" t="str">
            <v/>
          </cell>
          <cell r="BV30" t="str">
            <v/>
          </cell>
          <cell r="BW30" t="str">
            <v/>
          </cell>
          <cell r="BX30" t="str">
            <v/>
          </cell>
          <cell r="BY30" t="str">
            <v/>
          </cell>
          <cell r="BZ30" t="str">
            <v/>
          </cell>
          <cell r="CA30" t="str">
            <v/>
          </cell>
          <cell r="CC30" t="str">
            <v/>
          </cell>
          <cell r="CD30" t="str">
            <v/>
          </cell>
          <cell r="CE30" t="str">
            <v/>
          </cell>
          <cell r="CF30" t="str">
            <v/>
          </cell>
        </row>
        <row r="31">
          <cell r="A31">
            <v>52</v>
          </cell>
          <cell r="B31" t="str">
            <v>0052_名鉄イン名古屋桜通</v>
          </cell>
          <cell r="C31" t="str">
            <v/>
          </cell>
          <cell r="D31" t="str">
            <v/>
          </cell>
          <cell r="E31" t="str">
            <v/>
          </cell>
          <cell r="F31" t="str">
            <v>メディア</v>
          </cell>
          <cell r="G31" t="str">
            <v/>
          </cell>
          <cell r="H31">
            <v>0</v>
          </cell>
          <cell r="I31">
            <v>0</v>
          </cell>
          <cell r="J31" t="b">
            <v>0</v>
          </cell>
          <cell r="K31" t="str">
            <v/>
          </cell>
          <cell r="L31">
            <v>0</v>
          </cell>
          <cell r="M31">
            <v>0</v>
          </cell>
          <cell r="N31">
            <v>0</v>
          </cell>
          <cell r="O31">
            <v>0</v>
          </cell>
          <cell r="P31">
            <v>0</v>
          </cell>
          <cell r="Q31">
            <v>0</v>
          </cell>
          <cell r="R31">
            <v>0</v>
          </cell>
          <cell r="S31" t="b">
            <v>1</v>
          </cell>
          <cell r="T31" t="str">
            <v/>
          </cell>
          <cell r="U31">
            <v>0</v>
          </cell>
          <cell r="V31">
            <v>972149</v>
          </cell>
          <cell r="W31">
            <v>972149</v>
          </cell>
          <cell r="X31" t="b">
            <v>1</v>
          </cell>
          <cell r="Y31">
            <v>13887.842857142858</v>
          </cell>
          <cell r="AB31" t="str">
            <v/>
          </cell>
          <cell r="AE31">
            <v>98</v>
          </cell>
          <cell r="AF31">
            <v>70</v>
          </cell>
          <cell r="AG31" t="b">
            <v>1</v>
          </cell>
          <cell r="AH31">
            <v>99</v>
          </cell>
          <cell r="AI31" t="str">
            <v/>
          </cell>
          <cell r="AJ31" t="str">
            <v/>
          </cell>
          <cell r="AK31" t="str">
            <v/>
          </cell>
          <cell r="AL31">
            <v>10</v>
          </cell>
          <cell r="AM31" t="str">
            <v/>
          </cell>
          <cell r="AN31" t="str">
            <v/>
          </cell>
          <cell r="AQ31">
            <v>-60</v>
          </cell>
          <cell r="AV31" t="str">
            <v/>
          </cell>
          <cell r="AW31" t="str">
            <v/>
          </cell>
          <cell r="AX31" t="str">
            <v/>
          </cell>
          <cell r="AY31" t="str">
            <v/>
          </cell>
          <cell r="AZ31" t="str">
            <v/>
          </cell>
          <cell r="BA31" t="str">
            <v/>
          </cell>
          <cell r="BB31" t="str">
            <v/>
          </cell>
          <cell r="BC31" t="str">
            <v/>
          </cell>
          <cell r="BD31" t="str">
            <v/>
          </cell>
          <cell r="BE31">
            <v>16</v>
          </cell>
          <cell r="BF31" t="str">
            <v/>
          </cell>
          <cell r="BG31" t="str">
            <v/>
          </cell>
          <cell r="BH31" t="str">
            <v/>
          </cell>
          <cell r="BJ31" t="str">
            <v/>
          </cell>
          <cell r="BK31" t="str">
            <v/>
          </cell>
          <cell r="BL31" t="str">
            <v/>
          </cell>
          <cell r="BM31" t="str">
            <v/>
          </cell>
          <cell r="BN31" t="str">
            <v/>
          </cell>
          <cell r="BO31" t="str">
            <v/>
          </cell>
          <cell r="BP31" t="str">
            <v/>
          </cell>
          <cell r="BQ31" t="str">
            <v/>
          </cell>
          <cell r="BR31" t="str">
            <v/>
          </cell>
          <cell r="BS31" t="str">
            <v/>
          </cell>
          <cell r="BT31">
            <v>2222054.8571428573</v>
          </cell>
          <cell r="BU31" t="str">
            <v/>
          </cell>
          <cell r="BV31" t="str">
            <v/>
          </cell>
          <cell r="BW31" t="str">
            <v/>
          </cell>
          <cell r="BX31" t="str">
            <v/>
          </cell>
          <cell r="BY31" t="str">
            <v/>
          </cell>
          <cell r="BZ31" t="str">
            <v/>
          </cell>
          <cell r="CA31" t="str">
            <v/>
          </cell>
          <cell r="CC31" t="str">
            <v/>
          </cell>
          <cell r="CD31" t="str">
            <v/>
          </cell>
          <cell r="CE31" t="str">
            <v/>
          </cell>
          <cell r="CF31" t="str">
            <v/>
          </cell>
        </row>
        <row r="32">
          <cell r="A32">
            <v>53</v>
          </cell>
          <cell r="B32" t="str">
            <v>0053_ヴィアイン名古屋新幹線口</v>
          </cell>
          <cell r="C32" t="str">
            <v>メディア</v>
          </cell>
          <cell r="D32" t="str">
            <v/>
          </cell>
          <cell r="E32" t="str">
            <v/>
          </cell>
          <cell r="F32" t="str">
            <v/>
          </cell>
          <cell r="G32" t="str">
            <v/>
          </cell>
          <cell r="H32">
            <v>0</v>
          </cell>
          <cell r="I32">
            <v>0</v>
          </cell>
          <cell r="J32" t="b">
            <v>0</v>
          </cell>
          <cell r="K32" t="str">
            <v/>
          </cell>
          <cell r="L32">
            <v>0</v>
          </cell>
          <cell r="M32">
            <v>0</v>
          </cell>
          <cell r="N32">
            <v>0</v>
          </cell>
          <cell r="O32">
            <v>0</v>
          </cell>
          <cell r="P32">
            <v>0</v>
          </cell>
          <cell r="Q32">
            <v>0</v>
          </cell>
          <cell r="R32">
            <v>0</v>
          </cell>
          <cell r="S32" t="b">
            <v>1</v>
          </cell>
          <cell r="T32" t="str">
            <v/>
          </cell>
          <cell r="U32">
            <v>0</v>
          </cell>
          <cell r="V32">
            <v>5821217</v>
          </cell>
          <cell r="W32">
            <v>5821217</v>
          </cell>
          <cell r="X32" t="b">
            <v>1</v>
          </cell>
          <cell r="Y32">
            <v>24458.894957983193</v>
          </cell>
          <cell r="AB32">
            <v>43264.340393905615</v>
          </cell>
          <cell r="AE32">
            <v>238</v>
          </cell>
          <cell r="AF32">
            <v>238</v>
          </cell>
          <cell r="AG32" t="b">
            <v>1</v>
          </cell>
          <cell r="AH32">
            <v>240</v>
          </cell>
          <cell r="AI32">
            <v>117</v>
          </cell>
          <cell r="AJ32" t="str">
            <v/>
          </cell>
          <cell r="AK32" t="str">
            <v/>
          </cell>
          <cell r="AL32" t="str">
            <v/>
          </cell>
          <cell r="AM32" t="str">
            <v/>
          </cell>
          <cell r="AN32">
            <v>-121</v>
          </cell>
          <cell r="AQ32" t="str">
            <v/>
          </cell>
          <cell r="AV32" t="str">
            <v/>
          </cell>
          <cell r="AW32" t="str">
            <v/>
          </cell>
          <cell r="AX32" t="str">
            <v/>
          </cell>
          <cell r="AY32" t="str">
            <v/>
          </cell>
          <cell r="AZ32">
            <v>32</v>
          </cell>
          <cell r="BA32" t="str">
            <v/>
          </cell>
          <cell r="BB32" t="str">
            <v/>
          </cell>
          <cell r="BC32" t="str">
            <v/>
          </cell>
          <cell r="BD32" t="str">
            <v/>
          </cell>
          <cell r="BE32" t="str">
            <v/>
          </cell>
          <cell r="BF32" t="str">
            <v/>
          </cell>
          <cell r="BG32" t="str">
            <v/>
          </cell>
          <cell r="BH32" t="str">
            <v/>
          </cell>
          <cell r="BJ32" t="str">
            <v/>
          </cell>
          <cell r="BK32">
            <v>91574102.722689077</v>
          </cell>
          <cell r="BL32" t="str">
            <v/>
          </cell>
          <cell r="BM32" t="str">
            <v/>
          </cell>
          <cell r="BN32" t="str">
            <v/>
          </cell>
          <cell r="BO32" t="str">
            <v/>
          </cell>
          <cell r="BP32" t="str">
            <v/>
          </cell>
          <cell r="BQ32" t="str">
            <v/>
          </cell>
          <cell r="BR32" t="str">
            <v/>
          </cell>
          <cell r="BS32" t="str">
            <v/>
          </cell>
          <cell r="BT32" t="str">
            <v/>
          </cell>
          <cell r="BU32" t="str">
            <v/>
          </cell>
          <cell r="BV32" t="str">
            <v/>
          </cell>
          <cell r="BW32" t="str">
            <v/>
          </cell>
          <cell r="BX32" t="str">
            <v/>
          </cell>
          <cell r="BY32" t="str">
            <v/>
          </cell>
          <cell r="BZ32" t="str">
            <v/>
          </cell>
          <cell r="CA32" t="str">
            <v/>
          </cell>
          <cell r="CC32" t="str">
            <v/>
          </cell>
          <cell r="CD32" t="str">
            <v/>
          </cell>
          <cell r="CE32" t="str">
            <v/>
          </cell>
          <cell r="CF32" t="str">
            <v/>
          </cell>
        </row>
        <row r="33">
          <cell r="A33">
            <v>54</v>
          </cell>
          <cell r="B33" t="str">
            <v>0054_ザロイヤルパークキャンバス名古屋</v>
          </cell>
          <cell r="C33" t="str">
            <v>スポンサー</v>
          </cell>
          <cell r="D33" t="str">
            <v/>
          </cell>
          <cell r="E33" t="str">
            <v/>
          </cell>
          <cell r="F33" t="str">
            <v/>
          </cell>
          <cell r="G33" t="str">
            <v/>
          </cell>
          <cell r="H33">
            <v>0</v>
          </cell>
          <cell r="I33">
            <v>0</v>
          </cell>
          <cell r="J33" t="b">
            <v>0</v>
          </cell>
          <cell r="K33" t="str">
            <v/>
          </cell>
          <cell r="L33">
            <v>0</v>
          </cell>
          <cell r="M33">
            <v>0</v>
          </cell>
          <cell r="N33">
            <v>0</v>
          </cell>
          <cell r="O33">
            <v>0</v>
          </cell>
          <cell r="P33">
            <v>0</v>
          </cell>
          <cell r="Q33">
            <v>0</v>
          </cell>
          <cell r="R33">
            <v>0</v>
          </cell>
          <cell r="S33" t="b">
            <v>1</v>
          </cell>
          <cell r="T33" t="str">
            <v/>
          </cell>
          <cell r="U33">
            <v>0</v>
          </cell>
          <cell r="V33">
            <v>9504102</v>
          </cell>
          <cell r="W33">
            <v>9504102</v>
          </cell>
          <cell r="X33" t="b">
            <v>1</v>
          </cell>
          <cell r="Y33">
            <v>62118.313725490196</v>
          </cell>
          <cell r="AB33">
            <v>54015.92497868713</v>
          </cell>
          <cell r="AE33">
            <v>153</v>
          </cell>
          <cell r="AF33">
            <v>153</v>
          </cell>
          <cell r="AG33" t="b">
            <v>1</v>
          </cell>
          <cell r="AH33">
            <v>179</v>
          </cell>
          <cell r="AI33">
            <v>153</v>
          </cell>
          <cell r="AJ33" t="str">
            <v/>
          </cell>
          <cell r="AK33" t="str">
            <v/>
          </cell>
          <cell r="AL33" t="str">
            <v/>
          </cell>
          <cell r="AM33" t="str">
            <v/>
          </cell>
          <cell r="AN33">
            <v>0</v>
          </cell>
          <cell r="AQ33" t="str">
            <v/>
          </cell>
          <cell r="AV33" t="str">
            <v/>
          </cell>
          <cell r="AW33" t="str">
            <v/>
          </cell>
          <cell r="AX33">
            <v>18</v>
          </cell>
          <cell r="AY33" t="str">
            <v/>
          </cell>
          <cell r="AZ33" t="str">
            <v/>
          </cell>
          <cell r="BA33" t="str">
            <v/>
          </cell>
          <cell r="BB33" t="str">
            <v/>
          </cell>
          <cell r="BC33" t="str">
            <v/>
          </cell>
          <cell r="BD33" t="str">
            <v/>
          </cell>
          <cell r="BE33" t="str">
            <v/>
          </cell>
          <cell r="BF33" t="str">
            <v/>
          </cell>
          <cell r="BG33" t="str">
            <v/>
          </cell>
          <cell r="BH33" t="str">
            <v/>
          </cell>
          <cell r="BJ33" t="str">
            <v/>
          </cell>
          <cell r="BK33" t="str">
            <v/>
          </cell>
          <cell r="BL33">
            <v>171073836</v>
          </cell>
          <cell r="BM33" t="str">
            <v/>
          </cell>
          <cell r="BN33" t="str">
            <v/>
          </cell>
          <cell r="BO33" t="str">
            <v/>
          </cell>
          <cell r="BP33" t="str">
            <v/>
          </cell>
          <cell r="BQ33" t="str">
            <v/>
          </cell>
          <cell r="BR33" t="str">
            <v/>
          </cell>
          <cell r="BS33" t="str">
            <v/>
          </cell>
          <cell r="BT33" t="str">
            <v/>
          </cell>
          <cell r="BU33" t="str">
            <v/>
          </cell>
          <cell r="BV33" t="str">
            <v/>
          </cell>
          <cell r="BW33" t="str">
            <v/>
          </cell>
          <cell r="BX33" t="str">
            <v/>
          </cell>
          <cell r="BY33" t="str">
            <v/>
          </cell>
          <cell r="BZ33" t="str">
            <v/>
          </cell>
          <cell r="CA33" t="str">
            <v/>
          </cell>
          <cell r="CC33" t="str">
            <v/>
          </cell>
          <cell r="CD33" t="str">
            <v/>
          </cell>
          <cell r="CE33" t="str">
            <v/>
          </cell>
          <cell r="CF33" t="str">
            <v/>
          </cell>
        </row>
        <row r="34">
          <cell r="A34">
            <v>55</v>
          </cell>
          <cell r="B34" t="str">
            <v>0055_ホテルリソル名古屋</v>
          </cell>
          <cell r="C34" t="str">
            <v/>
          </cell>
          <cell r="D34" t="str">
            <v/>
          </cell>
          <cell r="E34" t="str">
            <v/>
          </cell>
          <cell r="F34" t="str">
            <v/>
          </cell>
          <cell r="G34" t="str">
            <v/>
          </cell>
          <cell r="H34">
            <v>2</v>
          </cell>
          <cell r="I34">
            <v>1</v>
          </cell>
          <cell r="J34" t="b">
            <v>0</v>
          </cell>
          <cell r="K34" t="str">
            <v/>
          </cell>
          <cell r="L34">
            <v>85412</v>
          </cell>
          <cell r="M34">
            <v>0</v>
          </cell>
          <cell r="N34">
            <v>0</v>
          </cell>
          <cell r="O34">
            <v>0</v>
          </cell>
          <cell r="P34">
            <v>0</v>
          </cell>
          <cell r="Q34">
            <v>93953.200000000012</v>
          </cell>
          <cell r="R34">
            <v>93953</v>
          </cell>
          <cell r="S34" t="b">
            <v>0</v>
          </cell>
          <cell r="T34">
            <v>93953</v>
          </cell>
          <cell r="U34">
            <v>0</v>
          </cell>
          <cell r="V34">
            <v>388256</v>
          </cell>
          <cell r="W34">
            <v>388256</v>
          </cell>
          <cell r="X34" t="b">
            <v>1</v>
          </cell>
          <cell r="Y34">
            <v>19412.8</v>
          </cell>
          <cell r="AB34" t="str">
            <v/>
          </cell>
          <cell r="AE34">
            <v>101</v>
          </cell>
          <cell r="AF34">
            <v>20</v>
          </cell>
          <cell r="AG34" t="b">
            <v>1</v>
          </cell>
          <cell r="AH34">
            <v>101</v>
          </cell>
          <cell r="AI34" t="str">
            <v/>
          </cell>
          <cell r="AJ34" t="str">
            <v/>
          </cell>
          <cell r="AK34" t="str">
            <v/>
          </cell>
          <cell r="AL34" t="str">
            <v/>
          </cell>
          <cell r="AM34" t="str">
            <v/>
          </cell>
          <cell r="AN34" t="str">
            <v/>
          </cell>
          <cell r="AQ34" t="str">
            <v/>
          </cell>
          <cell r="AV34" t="str">
            <v/>
          </cell>
          <cell r="AW34" t="str">
            <v/>
          </cell>
          <cell r="AX34" t="str">
            <v/>
          </cell>
          <cell r="AY34" t="str">
            <v/>
          </cell>
          <cell r="AZ34" t="str">
            <v/>
          </cell>
          <cell r="BA34" t="str">
            <v/>
          </cell>
          <cell r="BB34" t="str">
            <v/>
          </cell>
          <cell r="BC34" t="str">
            <v/>
          </cell>
          <cell r="BD34" t="str">
            <v/>
          </cell>
          <cell r="BE34" t="str">
            <v/>
          </cell>
          <cell r="BF34" t="str">
            <v/>
          </cell>
          <cell r="BG34" t="str">
            <v/>
          </cell>
          <cell r="BH34" t="str">
            <v/>
          </cell>
          <cell r="BJ34" t="str">
            <v/>
          </cell>
          <cell r="BK34" t="str">
            <v/>
          </cell>
          <cell r="BL34" t="str">
            <v/>
          </cell>
          <cell r="BM34" t="str">
            <v/>
          </cell>
          <cell r="BN34" t="str">
            <v/>
          </cell>
          <cell r="BO34" t="str">
            <v/>
          </cell>
          <cell r="BP34" t="str">
            <v/>
          </cell>
          <cell r="BQ34" t="str">
            <v/>
          </cell>
          <cell r="BR34" t="str">
            <v/>
          </cell>
          <cell r="BS34" t="str">
            <v/>
          </cell>
          <cell r="BT34" t="str">
            <v/>
          </cell>
          <cell r="BU34" t="str">
            <v/>
          </cell>
          <cell r="BV34" t="str">
            <v/>
          </cell>
          <cell r="BW34" t="str">
            <v/>
          </cell>
          <cell r="BX34" t="str">
            <v/>
          </cell>
          <cell r="BY34" t="str">
            <v/>
          </cell>
          <cell r="BZ34" t="str">
            <v/>
          </cell>
          <cell r="CA34" t="str">
            <v/>
          </cell>
          <cell r="CC34" t="str">
            <v/>
          </cell>
          <cell r="CD34" t="str">
            <v/>
          </cell>
          <cell r="CE34" t="str">
            <v/>
          </cell>
          <cell r="CF34" t="str">
            <v/>
          </cell>
        </row>
        <row r="35">
          <cell r="A35">
            <v>56</v>
          </cell>
          <cell r="B35" t="str">
            <v>0056_ストリングスホテル 名古屋</v>
          </cell>
          <cell r="C35" t="str">
            <v>本部</v>
          </cell>
          <cell r="D35" t="str">
            <v/>
          </cell>
          <cell r="E35" t="str">
            <v/>
          </cell>
          <cell r="F35" t="str">
            <v>本部</v>
          </cell>
          <cell r="G35" t="str">
            <v/>
          </cell>
          <cell r="H35">
            <v>7</v>
          </cell>
          <cell r="I35">
            <v>1</v>
          </cell>
          <cell r="J35" t="b">
            <v>1</v>
          </cell>
          <cell r="K35">
            <v>6</v>
          </cell>
          <cell r="L35">
            <v>6117648</v>
          </cell>
          <cell r="M35">
            <v>370601</v>
          </cell>
          <cell r="N35">
            <v>109140</v>
          </cell>
          <cell r="O35">
            <v>0</v>
          </cell>
          <cell r="P35">
            <v>0</v>
          </cell>
          <cell r="Q35">
            <v>7257127.9000000004</v>
          </cell>
          <cell r="R35">
            <v>1051818</v>
          </cell>
          <cell r="S35" t="b">
            <v>1</v>
          </cell>
          <cell r="T35">
            <v>1051818</v>
          </cell>
          <cell r="U35">
            <v>0</v>
          </cell>
          <cell r="V35">
            <v>6262685</v>
          </cell>
          <cell r="W35">
            <v>6262685</v>
          </cell>
          <cell r="X35" t="b">
            <v>1</v>
          </cell>
          <cell r="Y35">
            <v>53988.663793103449</v>
          </cell>
          <cell r="AB35">
            <v>46946.664167916053</v>
          </cell>
          <cell r="AE35">
            <v>126</v>
          </cell>
          <cell r="AF35">
            <v>116</v>
          </cell>
          <cell r="AG35" t="b">
            <v>1</v>
          </cell>
          <cell r="AH35">
            <v>199</v>
          </cell>
          <cell r="AI35">
            <v>116</v>
          </cell>
          <cell r="AJ35" t="str">
            <v/>
          </cell>
          <cell r="AK35" t="str">
            <v/>
          </cell>
          <cell r="AL35">
            <v>116</v>
          </cell>
          <cell r="AM35" t="str">
            <v/>
          </cell>
          <cell r="AN35">
            <v>0</v>
          </cell>
          <cell r="AQ35">
            <v>0</v>
          </cell>
          <cell r="AV35" t="str">
            <v/>
          </cell>
          <cell r="AW35" t="str">
            <v/>
          </cell>
          <cell r="AX35">
            <v>36</v>
          </cell>
          <cell r="AY35" t="str">
            <v/>
          </cell>
          <cell r="AZ35" t="str">
            <v/>
          </cell>
          <cell r="BA35" t="str">
            <v/>
          </cell>
          <cell r="BB35" t="str">
            <v/>
          </cell>
          <cell r="BC35" t="str">
            <v/>
          </cell>
          <cell r="BD35">
            <v>19</v>
          </cell>
          <cell r="BE35" t="str">
            <v/>
          </cell>
          <cell r="BF35" t="str">
            <v/>
          </cell>
          <cell r="BG35" t="str">
            <v/>
          </cell>
          <cell r="BH35" t="str">
            <v/>
          </cell>
          <cell r="BJ35" t="str">
            <v/>
          </cell>
          <cell r="BK35" t="str">
            <v/>
          </cell>
          <cell r="BL35" t="str">
            <v/>
          </cell>
          <cell r="BM35">
            <v>225456660</v>
          </cell>
          <cell r="BN35" t="str">
            <v/>
          </cell>
          <cell r="BO35" t="str">
            <v/>
          </cell>
          <cell r="BP35" t="str">
            <v/>
          </cell>
          <cell r="BQ35" t="str">
            <v/>
          </cell>
          <cell r="BR35" t="str">
            <v/>
          </cell>
          <cell r="BS35">
            <v>118991015</v>
          </cell>
          <cell r="BT35" t="str">
            <v/>
          </cell>
          <cell r="BU35" t="str">
            <v/>
          </cell>
          <cell r="BV35" t="str">
            <v/>
          </cell>
          <cell r="BW35" t="str">
            <v/>
          </cell>
          <cell r="BX35" t="str">
            <v/>
          </cell>
          <cell r="BY35" t="str">
            <v/>
          </cell>
          <cell r="BZ35" t="str">
            <v/>
          </cell>
          <cell r="CA35">
            <v>37865448</v>
          </cell>
          <cell r="CC35" t="str">
            <v/>
          </cell>
          <cell r="CD35" t="str">
            <v/>
          </cell>
          <cell r="CE35" t="str">
            <v/>
          </cell>
          <cell r="CF35">
            <v>19984542</v>
          </cell>
          <cell r="CH35" t="str">
            <v>NOC本部、NPC本部</v>
          </cell>
        </row>
        <row r="36">
          <cell r="A36">
            <v>57</v>
          </cell>
          <cell r="B36" t="str">
            <v>0057_リッチモンドホテル名古屋新幹線口</v>
          </cell>
          <cell r="C36" t="str">
            <v>メディア</v>
          </cell>
          <cell r="D36" t="str">
            <v/>
          </cell>
          <cell r="E36" t="str">
            <v/>
          </cell>
          <cell r="F36" t="str">
            <v/>
          </cell>
          <cell r="G36" t="str">
            <v/>
          </cell>
          <cell r="H36">
            <v>0</v>
          </cell>
          <cell r="I36">
            <v>0</v>
          </cell>
          <cell r="J36" t="b">
            <v>1</v>
          </cell>
          <cell r="K36" t="str">
            <v/>
          </cell>
          <cell r="L36">
            <v>0</v>
          </cell>
          <cell r="M36">
            <v>0</v>
          </cell>
          <cell r="N36">
            <v>0</v>
          </cell>
          <cell r="O36">
            <v>0</v>
          </cell>
          <cell r="P36">
            <v>0</v>
          </cell>
          <cell r="Q36">
            <v>0</v>
          </cell>
          <cell r="R36">
            <v>0</v>
          </cell>
          <cell r="S36" t="b">
            <v>1</v>
          </cell>
          <cell r="T36" t="str">
            <v/>
          </cell>
          <cell r="U36">
            <v>0</v>
          </cell>
          <cell r="V36">
            <v>4584386</v>
          </cell>
          <cell r="W36">
            <v>4584386</v>
          </cell>
          <cell r="X36" t="b">
            <v>1</v>
          </cell>
          <cell r="Y36">
            <v>30562.573333333334</v>
          </cell>
          <cell r="AB36">
            <v>53870.575793184493</v>
          </cell>
          <cell r="AE36">
            <v>150</v>
          </cell>
          <cell r="AF36">
            <v>150</v>
          </cell>
          <cell r="AG36" t="b">
            <v>1</v>
          </cell>
          <cell r="AH36">
            <v>159</v>
          </cell>
          <cell r="AI36">
            <v>74</v>
          </cell>
          <cell r="AJ36" t="str">
            <v/>
          </cell>
          <cell r="AK36" t="str">
            <v/>
          </cell>
          <cell r="AL36" t="str">
            <v/>
          </cell>
          <cell r="AM36" t="str">
            <v/>
          </cell>
          <cell r="AN36">
            <v>-76</v>
          </cell>
          <cell r="AQ36" t="str">
            <v/>
          </cell>
          <cell r="AV36" t="str">
            <v/>
          </cell>
          <cell r="AW36" t="str">
            <v/>
          </cell>
          <cell r="AX36" t="str">
            <v/>
          </cell>
          <cell r="AY36" t="str">
            <v/>
          </cell>
          <cell r="AZ36">
            <v>32</v>
          </cell>
          <cell r="BA36" t="str">
            <v/>
          </cell>
          <cell r="BB36" t="str">
            <v/>
          </cell>
          <cell r="BC36" t="str">
            <v/>
          </cell>
          <cell r="BD36" t="str">
            <v/>
          </cell>
          <cell r="BE36" t="str">
            <v/>
          </cell>
          <cell r="BF36" t="str">
            <v/>
          </cell>
          <cell r="BG36" t="str">
            <v/>
          </cell>
          <cell r="BH36" t="str">
            <v/>
          </cell>
          <cell r="BJ36" t="str">
            <v/>
          </cell>
          <cell r="BK36">
            <v>72372173.653333336</v>
          </cell>
          <cell r="BL36" t="str">
            <v/>
          </cell>
          <cell r="BM36" t="str">
            <v/>
          </cell>
          <cell r="BN36" t="str">
            <v/>
          </cell>
          <cell r="BO36" t="str">
            <v/>
          </cell>
          <cell r="BP36" t="str">
            <v/>
          </cell>
          <cell r="BQ36" t="str">
            <v/>
          </cell>
          <cell r="BR36" t="str">
            <v/>
          </cell>
          <cell r="BS36" t="str">
            <v/>
          </cell>
          <cell r="BT36" t="str">
            <v/>
          </cell>
          <cell r="BU36" t="str">
            <v/>
          </cell>
          <cell r="BV36" t="str">
            <v/>
          </cell>
          <cell r="BW36" t="str">
            <v/>
          </cell>
          <cell r="BX36" t="str">
            <v/>
          </cell>
          <cell r="BY36" t="str">
            <v/>
          </cell>
          <cell r="BZ36" t="str">
            <v/>
          </cell>
          <cell r="CA36" t="str">
            <v/>
          </cell>
          <cell r="CC36" t="str">
            <v/>
          </cell>
          <cell r="CD36" t="str">
            <v/>
          </cell>
          <cell r="CE36" t="str">
            <v/>
          </cell>
          <cell r="CF36" t="str">
            <v/>
          </cell>
        </row>
        <row r="37">
          <cell r="A37">
            <v>58</v>
          </cell>
          <cell r="B37" t="str">
            <v>0058_ナゴヤエキアクセスホテル</v>
          </cell>
          <cell r="C37" t="str">
            <v>メディア</v>
          </cell>
          <cell r="D37" t="str">
            <v/>
          </cell>
          <cell r="E37" t="str">
            <v/>
          </cell>
          <cell r="F37" t="str">
            <v/>
          </cell>
          <cell r="G37" t="str">
            <v/>
          </cell>
          <cell r="H37">
            <v>7</v>
          </cell>
          <cell r="I37">
            <v>0</v>
          </cell>
          <cell r="J37" t="b">
            <v>1</v>
          </cell>
          <cell r="K37" t="str">
            <v/>
          </cell>
          <cell r="L37">
            <v>6117648</v>
          </cell>
          <cell r="M37">
            <v>370601</v>
          </cell>
          <cell r="N37">
            <v>109140</v>
          </cell>
          <cell r="O37">
            <v>0</v>
          </cell>
          <cell r="P37">
            <v>0</v>
          </cell>
          <cell r="Q37">
            <v>7257127.9000000004</v>
          </cell>
          <cell r="R37">
            <v>0</v>
          </cell>
          <cell r="S37" t="b">
            <v>1</v>
          </cell>
          <cell r="T37" t="str">
            <v/>
          </cell>
          <cell r="U37">
            <v>-380472</v>
          </cell>
          <cell r="W37">
            <v>380472</v>
          </cell>
          <cell r="X37" t="b">
            <v>1</v>
          </cell>
          <cell r="Y37">
            <v>13588.285714285714</v>
          </cell>
          <cell r="AB37">
            <v>11815.900621118013</v>
          </cell>
          <cell r="AF37">
            <v>28</v>
          </cell>
          <cell r="AG37" t="b">
            <v>1</v>
          </cell>
          <cell r="AH37">
            <v>199</v>
          </cell>
          <cell r="AI37">
            <v>28</v>
          </cell>
          <cell r="AJ37" t="str">
            <v/>
          </cell>
          <cell r="AK37" t="str">
            <v/>
          </cell>
          <cell r="AL37" t="str">
            <v/>
          </cell>
          <cell r="AM37" t="str">
            <v/>
          </cell>
          <cell r="AN37">
            <v>0</v>
          </cell>
          <cell r="AQ37" t="str">
            <v/>
          </cell>
          <cell r="AV37" t="str">
            <v/>
          </cell>
          <cell r="AW37" t="str">
            <v/>
          </cell>
          <cell r="AX37" t="str">
            <v/>
          </cell>
          <cell r="AY37" t="str">
            <v/>
          </cell>
          <cell r="AZ37">
            <v>32</v>
          </cell>
          <cell r="BA37" t="str">
            <v/>
          </cell>
          <cell r="BB37" t="str">
            <v/>
          </cell>
          <cell r="BC37" t="str">
            <v/>
          </cell>
          <cell r="BD37" t="str">
            <v/>
          </cell>
          <cell r="BE37" t="str">
            <v/>
          </cell>
          <cell r="BF37" t="str">
            <v/>
          </cell>
          <cell r="BG37" t="str">
            <v/>
          </cell>
          <cell r="BH37" t="str">
            <v/>
          </cell>
          <cell r="BJ37" t="str">
            <v/>
          </cell>
          <cell r="BK37">
            <v>12175104</v>
          </cell>
          <cell r="BL37" t="str">
            <v/>
          </cell>
          <cell r="BM37" t="str">
            <v/>
          </cell>
          <cell r="BN37" t="str">
            <v/>
          </cell>
          <cell r="BO37" t="str">
            <v/>
          </cell>
          <cell r="BP37" t="str">
            <v/>
          </cell>
          <cell r="BQ37" t="str">
            <v/>
          </cell>
          <cell r="BR37" t="str">
            <v/>
          </cell>
          <cell r="BS37" t="str">
            <v/>
          </cell>
          <cell r="BT37" t="str">
            <v/>
          </cell>
          <cell r="BU37" t="str">
            <v/>
          </cell>
          <cell r="BV37" t="str">
            <v/>
          </cell>
          <cell r="BW37" t="str">
            <v/>
          </cell>
          <cell r="BX37" t="str">
            <v/>
          </cell>
          <cell r="BY37" t="str">
            <v/>
          </cell>
          <cell r="BZ37" t="str">
            <v/>
          </cell>
          <cell r="CA37" t="str">
            <v/>
          </cell>
          <cell r="CC37" t="str">
            <v/>
          </cell>
          <cell r="CD37" t="str">
            <v/>
          </cell>
          <cell r="CE37" t="str">
            <v/>
          </cell>
          <cell r="CF37" t="str">
            <v/>
          </cell>
          <cell r="CH37" t="str">
            <v>NOC本部、NPC本部</v>
          </cell>
        </row>
        <row r="38">
          <cell r="A38">
            <v>59</v>
          </cell>
          <cell r="B38" t="str">
            <v>0059_三井ガーデンホテル名古屋プレミア</v>
          </cell>
          <cell r="C38" t="str">
            <v>スポンサー</v>
          </cell>
          <cell r="D38" t="str">
            <v/>
          </cell>
          <cell r="E38" t="str">
            <v/>
          </cell>
          <cell r="F38" t="str">
            <v>スポンサー</v>
          </cell>
          <cell r="G38" t="str">
            <v/>
          </cell>
          <cell r="H38">
            <v>0</v>
          </cell>
          <cell r="I38">
            <v>0</v>
          </cell>
          <cell r="J38" t="b">
            <v>1</v>
          </cell>
          <cell r="K38" t="str">
            <v/>
          </cell>
          <cell r="L38">
            <v>0</v>
          </cell>
          <cell r="M38">
            <v>0</v>
          </cell>
          <cell r="N38">
            <v>0</v>
          </cell>
          <cell r="O38">
            <v>0</v>
          </cell>
          <cell r="P38">
            <v>0</v>
          </cell>
          <cell r="Q38">
            <v>0</v>
          </cell>
          <cell r="R38">
            <v>0</v>
          </cell>
          <cell r="S38" t="b">
            <v>1</v>
          </cell>
          <cell r="T38" t="str">
            <v/>
          </cell>
          <cell r="U38">
            <v>0</v>
          </cell>
          <cell r="V38">
            <v>13971529</v>
          </cell>
          <cell r="W38">
            <v>13971529</v>
          </cell>
          <cell r="X38" t="b">
            <v>1</v>
          </cell>
          <cell r="Y38">
            <v>47361.115254237287</v>
          </cell>
          <cell r="AB38">
            <v>39703.123046319983</v>
          </cell>
          <cell r="AE38">
            <v>306</v>
          </cell>
          <cell r="AF38">
            <v>295</v>
          </cell>
          <cell r="AG38" t="b">
            <v>1</v>
          </cell>
          <cell r="AH38">
            <v>386</v>
          </cell>
          <cell r="AI38">
            <v>306</v>
          </cell>
          <cell r="AJ38" t="str">
            <v/>
          </cell>
          <cell r="AK38" t="str">
            <v/>
          </cell>
          <cell r="AL38">
            <v>130</v>
          </cell>
          <cell r="AM38" t="str">
            <v/>
          </cell>
          <cell r="AN38">
            <v>11</v>
          </cell>
          <cell r="AQ38">
            <v>-165</v>
          </cell>
          <cell r="AV38" t="str">
            <v/>
          </cell>
          <cell r="AW38" t="str">
            <v/>
          </cell>
          <cell r="AX38">
            <v>18</v>
          </cell>
          <cell r="AY38" t="str">
            <v/>
          </cell>
          <cell r="AZ38" t="str">
            <v/>
          </cell>
          <cell r="BA38" t="str">
            <v/>
          </cell>
          <cell r="BB38" t="str">
            <v/>
          </cell>
          <cell r="BC38" t="str">
            <v/>
          </cell>
          <cell r="BD38">
            <v>9</v>
          </cell>
          <cell r="BE38" t="str">
            <v/>
          </cell>
          <cell r="BF38" t="str">
            <v/>
          </cell>
          <cell r="BG38" t="str">
            <v/>
          </cell>
          <cell r="BH38" t="str">
            <v/>
          </cell>
          <cell r="BJ38" t="str">
            <v/>
          </cell>
          <cell r="BK38" t="str">
            <v/>
          </cell>
          <cell r="BL38">
            <v>260865022.82033896</v>
          </cell>
          <cell r="BM38" t="str">
            <v/>
          </cell>
          <cell r="BN38" t="str">
            <v/>
          </cell>
          <cell r="BO38" t="str">
            <v/>
          </cell>
          <cell r="BP38" t="str">
            <v/>
          </cell>
          <cell r="BQ38" t="str">
            <v/>
          </cell>
          <cell r="BR38" t="str">
            <v/>
          </cell>
          <cell r="BS38" t="str">
            <v/>
          </cell>
          <cell r="BT38" t="str">
            <v/>
          </cell>
          <cell r="BU38">
            <v>55412504.847457625</v>
          </cell>
          <cell r="BV38" t="str">
            <v/>
          </cell>
          <cell r="BW38" t="str">
            <v/>
          </cell>
          <cell r="BX38" t="str">
            <v/>
          </cell>
          <cell r="BY38" t="str">
            <v/>
          </cell>
          <cell r="BZ38" t="str">
            <v/>
          </cell>
          <cell r="CA38" t="str">
            <v/>
          </cell>
          <cell r="CC38" t="str">
            <v/>
          </cell>
          <cell r="CD38" t="str">
            <v/>
          </cell>
          <cell r="CE38" t="str">
            <v/>
          </cell>
          <cell r="CF38" t="str">
            <v/>
          </cell>
        </row>
        <row r="39">
          <cell r="A39">
            <v>60</v>
          </cell>
          <cell r="B39" t="str">
            <v>0060_ダイワロイネットホテル名古屋太閤通口</v>
          </cell>
          <cell r="C39" t="str">
            <v>メディア</v>
          </cell>
          <cell r="D39" t="str">
            <v/>
          </cell>
          <cell r="E39" t="str">
            <v/>
          </cell>
          <cell r="F39" t="str">
            <v>メディア</v>
          </cell>
          <cell r="G39" t="str">
            <v/>
          </cell>
          <cell r="H39">
            <v>0</v>
          </cell>
          <cell r="I39">
            <v>0</v>
          </cell>
          <cell r="J39" t="b">
            <v>1</v>
          </cell>
          <cell r="K39" t="str">
            <v/>
          </cell>
          <cell r="L39">
            <v>0</v>
          </cell>
          <cell r="M39">
            <v>0</v>
          </cell>
          <cell r="N39">
            <v>0</v>
          </cell>
          <cell r="O39">
            <v>0</v>
          </cell>
          <cell r="P39">
            <v>0</v>
          </cell>
          <cell r="Q39">
            <v>0</v>
          </cell>
          <cell r="R39">
            <v>0</v>
          </cell>
          <cell r="S39" t="b">
            <v>1</v>
          </cell>
          <cell r="T39" t="str">
            <v/>
          </cell>
          <cell r="U39">
            <v>0</v>
          </cell>
          <cell r="V39">
            <v>4477869</v>
          </cell>
          <cell r="W39">
            <v>4477869</v>
          </cell>
          <cell r="X39" t="b">
            <v>1</v>
          </cell>
          <cell r="Y39">
            <v>34445.146153846152</v>
          </cell>
          <cell r="AB39">
            <v>29276.685191238968</v>
          </cell>
          <cell r="AE39">
            <v>272</v>
          </cell>
          <cell r="AF39">
            <v>130</v>
          </cell>
          <cell r="AG39" t="b">
            <v>1</v>
          </cell>
          <cell r="AH39">
            <v>342</v>
          </cell>
          <cell r="AI39">
            <v>133</v>
          </cell>
          <cell r="AJ39" t="str">
            <v/>
          </cell>
          <cell r="AK39" t="str">
            <v/>
          </cell>
          <cell r="AL39">
            <v>104</v>
          </cell>
          <cell r="AM39" t="str">
            <v/>
          </cell>
          <cell r="AN39">
            <v>3</v>
          </cell>
          <cell r="AQ39">
            <v>-26</v>
          </cell>
          <cell r="AV39" t="str">
            <v/>
          </cell>
          <cell r="AW39" t="str">
            <v/>
          </cell>
          <cell r="AX39" t="str">
            <v/>
          </cell>
          <cell r="AY39" t="str">
            <v/>
          </cell>
          <cell r="AZ39">
            <v>32</v>
          </cell>
          <cell r="BA39" t="str">
            <v/>
          </cell>
          <cell r="BB39" t="str">
            <v/>
          </cell>
          <cell r="BC39" t="str">
            <v/>
          </cell>
          <cell r="BD39" t="str">
            <v/>
          </cell>
          <cell r="BE39">
            <v>16</v>
          </cell>
          <cell r="BF39" t="str">
            <v/>
          </cell>
          <cell r="BG39" t="str">
            <v/>
          </cell>
          <cell r="BH39" t="str">
            <v/>
          </cell>
          <cell r="BJ39" t="str">
            <v/>
          </cell>
          <cell r="BK39">
            <v>146598542.03076923</v>
          </cell>
          <cell r="BL39" t="str">
            <v/>
          </cell>
          <cell r="BM39" t="str">
            <v/>
          </cell>
          <cell r="BN39" t="str">
            <v/>
          </cell>
          <cell r="BO39" t="str">
            <v/>
          </cell>
          <cell r="BP39" t="str">
            <v/>
          </cell>
          <cell r="BQ39" t="str">
            <v/>
          </cell>
          <cell r="BR39" t="str">
            <v/>
          </cell>
          <cell r="BS39" t="str">
            <v/>
          </cell>
          <cell r="BT39">
            <v>57316723.199999996</v>
          </cell>
          <cell r="BU39" t="str">
            <v/>
          </cell>
          <cell r="BV39" t="str">
            <v/>
          </cell>
          <cell r="BW39" t="str">
            <v/>
          </cell>
          <cell r="BX39" t="str">
            <v/>
          </cell>
          <cell r="BY39" t="str">
            <v/>
          </cell>
          <cell r="BZ39" t="str">
            <v/>
          </cell>
          <cell r="CA39" t="str">
            <v/>
          </cell>
          <cell r="CC39" t="str">
            <v/>
          </cell>
          <cell r="CD39" t="str">
            <v/>
          </cell>
          <cell r="CE39" t="str">
            <v/>
          </cell>
          <cell r="CF39" t="str">
            <v/>
          </cell>
        </row>
        <row r="40">
          <cell r="A40">
            <v>61</v>
          </cell>
          <cell r="B40" t="str">
            <v>0061_名鉄イン名古屋駅新幹線口</v>
          </cell>
          <cell r="C40" t="str">
            <v>メディア</v>
          </cell>
          <cell r="D40" t="str">
            <v/>
          </cell>
          <cell r="E40" t="str">
            <v/>
          </cell>
          <cell r="F40" t="str">
            <v>メディア</v>
          </cell>
          <cell r="G40" t="str">
            <v/>
          </cell>
          <cell r="H40">
            <v>0</v>
          </cell>
          <cell r="I40">
            <v>0</v>
          </cell>
          <cell r="J40" t="b">
            <v>1</v>
          </cell>
          <cell r="K40" t="str">
            <v/>
          </cell>
          <cell r="L40">
            <v>0</v>
          </cell>
          <cell r="M40">
            <v>0</v>
          </cell>
          <cell r="N40">
            <v>0</v>
          </cell>
          <cell r="O40">
            <v>0</v>
          </cell>
          <cell r="P40">
            <v>0</v>
          </cell>
          <cell r="Q40">
            <v>0</v>
          </cell>
          <cell r="R40">
            <v>0</v>
          </cell>
          <cell r="S40" t="b">
            <v>1</v>
          </cell>
          <cell r="T40" t="str">
            <v/>
          </cell>
          <cell r="U40">
            <v>0</v>
          </cell>
          <cell r="V40">
            <v>1469094</v>
          </cell>
          <cell r="W40">
            <v>1469094</v>
          </cell>
          <cell r="X40" t="b">
            <v>1</v>
          </cell>
          <cell r="Y40">
            <v>24484.9</v>
          </cell>
          <cell r="AB40">
            <v>8349.4970161977835</v>
          </cell>
          <cell r="AE40">
            <v>313</v>
          </cell>
          <cell r="AF40">
            <v>60</v>
          </cell>
          <cell r="AG40" t="b">
            <v>1</v>
          </cell>
          <cell r="AH40">
            <v>333</v>
          </cell>
          <cell r="AI40">
            <v>153</v>
          </cell>
          <cell r="AJ40" t="str">
            <v/>
          </cell>
          <cell r="AK40" t="str">
            <v/>
          </cell>
          <cell r="AL40">
            <v>41</v>
          </cell>
          <cell r="AM40" t="str">
            <v/>
          </cell>
          <cell r="AN40">
            <v>93</v>
          </cell>
          <cell r="AQ40">
            <v>-19</v>
          </cell>
          <cell r="AV40" t="str">
            <v/>
          </cell>
          <cell r="AW40" t="str">
            <v/>
          </cell>
          <cell r="AX40" t="str">
            <v/>
          </cell>
          <cell r="AY40" t="str">
            <v/>
          </cell>
          <cell r="AZ40">
            <v>32</v>
          </cell>
          <cell r="BA40" t="str">
            <v/>
          </cell>
          <cell r="BB40" t="str">
            <v/>
          </cell>
          <cell r="BC40" t="str">
            <v/>
          </cell>
          <cell r="BD40" t="str">
            <v/>
          </cell>
          <cell r="BE40">
            <v>16</v>
          </cell>
          <cell r="BF40" t="str">
            <v/>
          </cell>
          <cell r="BG40" t="str">
            <v/>
          </cell>
          <cell r="BH40" t="str">
            <v/>
          </cell>
          <cell r="BJ40" t="str">
            <v/>
          </cell>
          <cell r="BK40">
            <v>119878070.40000001</v>
          </cell>
          <cell r="BL40" t="str">
            <v/>
          </cell>
          <cell r="BM40" t="str">
            <v/>
          </cell>
          <cell r="BN40" t="str">
            <v/>
          </cell>
          <cell r="BO40" t="str">
            <v/>
          </cell>
          <cell r="BP40" t="str">
            <v/>
          </cell>
          <cell r="BQ40" t="str">
            <v/>
          </cell>
          <cell r="BR40" t="str">
            <v/>
          </cell>
          <cell r="BS40" t="str">
            <v/>
          </cell>
          <cell r="BT40">
            <v>16062094.4</v>
          </cell>
          <cell r="BU40" t="str">
            <v/>
          </cell>
          <cell r="BV40" t="str">
            <v/>
          </cell>
          <cell r="BW40" t="str">
            <v/>
          </cell>
          <cell r="BX40" t="str">
            <v/>
          </cell>
          <cell r="BY40" t="str">
            <v/>
          </cell>
          <cell r="BZ40" t="str">
            <v/>
          </cell>
          <cell r="CA40" t="str">
            <v/>
          </cell>
          <cell r="CC40" t="str">
            <v/>
          </cell>
          <cell r="CD40" t="str">
            <v/>
          </cell>
          <cell r="CE40" t="str">
            <v/>
          </cell>
          <cell r="CF40" t="str">
            <v/>
          </cell>
        </row>
        <row r="41">
          <cell r="A41">
            <v>62</v>
          </cell>
          <cell r="B41" t="str">
            <v>0062_名古屋JRゲートタワーホテル</v>
          </cell>
          <cell r="C41" t="str">
            <v>スポンサー</v>
          </cell>
          <cell r="D41" t="str">
            <v/>
          </cell>
          <cell r="E41" t="str">
            <v/>
          </cell>
          <cell r="F41" t="str">
            <v>スポンサー</v>
          </cell>
          <cell r="G41" t="str">
            <v/>
          </cell>
          <cell r="H41">
            <v>12</v>
          </cell>
          <cell r="I41">
            <v>2</v>
          </cell>
          <cell r="J41" t="b">
            <v>1</v>
          </cell>
          <cell r="K41" t="str">
            <v/>
          </cell>
          <cell r="L41">
            <v>1015295</v>
          </cell>
          <cell r="M41">
            <v>0</v>
          </cell>
          <cell r="N41">
            <v>0</v>
          </cell>
          <cell r="O41">
            <v>0</v>
          </cell>
          <cell r="P41">
            <v>0</v>
          </cell>
          <cell r="Q41">
            <v>1116824.5</v>
          </cell>
          <cell r="R41">
            <v>1116824</v>
          </cell>
          <cell r="S41" t="b">
            <v>1</v>
          </cell>
          <cell r="T41">
            <v>558412</v>
          </cell>
          <cell r="U41">
            <v>0</v>
          </cell>
          <cell r="V41">
            <v>20998492</v>
          </cell>
          <cell r="W41">
            <v>20998492</v>
          </cell>
          <cell r="X41" t="b">
            <v>1</v>
          </cell>
          <cell r="Y41">
            <v>59995.69142857143</v>
          </cell>
          <cell r="AB41">
            <v>52170.166459627333</v>
          </cell>
          <cell r="AE41">
            <v>350</v>
          </cell>
          <cell r="AF41">
            <v>350</v>
          </cell>
          <cell r="AG41" t="b">
            <v>1</v>
          </cell>
          <cell r="AH41">
            <v>490</v>
          </cell>
          <cell r="AI41">
            <v>350</v>
          </cell>
          <cell r="AJ41" t="str">
            <v/>
          </cell>
          <cell r="AK41" t="str">
            <v/>
          </cell>
          <cell r="AL41">
            <v>350</v>
          </cell>
          <cell r="AM41" t="str">
            <v/>
          </cell>
          <cell r="AN41">
            <v>0</v>
          </cell>
          <cell r="AQ41">
            <v>0</v>
          </cell>
          <cell r="AV41" t="str">
            <v/>
          </cell>
          <cell r="AW41" t="str">
            <v/>
          </cell>
          <cell r="AX41">
            <v>18</v>
          </cell>
          <cell r="AY41" t="str">
            <v/>
          </cell>
          <cell r="AZ41" t="str">
            <v/>
          </cell>
          <cell r="BA41" t="str">
            <v/>
          </cell>
          <cell r="BB41" t="str">
            <v/>
          </cell>
          <cell r="BC41" t="str">
            <v/>
          </cell>
          <cell r="BD41">
            <v>9</v>
          </cell>
          <cell r="BE41" t="str">
            <v/>
          </cell>
          <cell r="BF41" t="str">
            <v/>
          </cell>
          <cell r="BG41" t="str">
            <v/>
          </cell>
          <cell r="BH41" t="str">
            <v/>
          </cell>
          <cell r="BJ41" t="str">
            <v/>
          </cell>
          <cell r="BK41" t="str">
            <v/>
          </cell>
          <cell r="BL41">
            <v>377972856</v>
          </cell>
          <cell r="BM41" t="str">
            <v/>
          </cell>
          <cell r="BN41" t="str">
            <v/>
          </cell>
          <cell r="BO41" t="str">
            <v/>
          </cell>
          <cell r="BP41" t="str">
            <v/>
          </cell>
          <cell r="BQ41" t="str">
            <v/>
          </cell>
          <cell r="BR41" t="str">
            <v/>
          </cell>
          <cell r="BS41" t="str">
            <v/>
          </cell>
          <cell r="BT41" t="str">
            <v/>
          </cell>
          <cell r="BU41">
            <v>188986428</v>
          </cell>
          <cell r="BV41" t="str">
            <v/>
          </cell>
          <cell r="BW41" t="str">
            <v/>
          </cell>
          <cell r="BX41" t="str">
            <v/>
          </cell>
          <cell r="BY41" t="str">
            <v/>
          </cell>
          <cell r="BZ41" t="str">
            <v/>
          </cell>
          <cell r="CA41" t="str">
            <v/>
          </cell>
          <cell r="CC41" t="str">
            <v/>
          </cell>
          <cell r="CD41" t="str">
            <v/>
          </cell>
          <cell r="CE41" t="str">
            <v/>
          </cell>
          <cell r="CF41" t="str">
            <v/>
          </cell>
        </row>
        <row r="42">
          <cell r="A42">
            <v>63</v>
          </cell>
          <cell r="B42" t="str">
            <v>0063_HOTEL LiVEMAX名駅</v>
          </cell>
          <cell r="C42" t="str">
            <v/>
          </cell>
          <cell r="D42" t="str">
            <v/>
          </cell>
          <cell r="E42" t="str">
            <v/>
          </cell>
          <cell r="F42" t="str">
            <v>メディア</v>
          </cell>
          <cell r="G42" t="str">
            <v/>
          </cell>
          <cell r="H42">
            <v>0</v>
          </cell>
          <cell r="I42">
            <v>0</v>
          </cell>
          <cell r="J42" t="b">
            <v>1</v>
          </cell>
          <cell r="K42" t="str">
            <v/>
          </cell>
          <cell r="L42">
            <v>0</v>
          </cell>
          <cell r="M42">
            <v>0</v>
          </cell>
          <cell r="N42">
            <v>0</v>
          </cell>
          <cell r="O42">
            <v>0</v>
          </cell>
          <cell r="P42">
            <v>0</v>
          </cell>
          <cell r="Q42">
            <v>0</v>
          </cell>
          <cell r="R42">
            <v>0</v>
          </cell>
          <cell r="S42" t="b">
            <v>1</v>
          </cell>
          <cell r="T42" t="str">
            <v/>
          </cell>
          <cell r="U42">
            <v>0</v>
          </cell>
          <cell r="V42">
            <v>1087116</v>
          </cell>
          <cell r="W42">
            <v>1087116</v>
          </cell>
          <cell r="X42" t="b">
            <v>1</v>
          </cell>
          <cell r="Y42">
            <v>19412.785714285714</v>
          </cell>
          <cell r="AB42" t="str">
            <v/>
          </cell>
          <cell r="AE42">
            <v>56</v>
          </cell>
          <cell r="AF42">
            <v>56</v>
          </cell>
          <cell r="AG42" t="b">
            <v>1</v>
          </cell>
          <cell r="AH42">
            <v>56</v>
          </cell>
          <cell r="AI42" t="str">
            <v/>
          </cell>
          <cell r="AJ42" t="str">
            <v/>
          </cell>
          <cell r="AK42" t="str">
            <v/>
          </cell>
          <cell r="AL42">
            <v>39</v>
          </cell>
          <cell r="AM42" t="str">
            <v/>
          </cell>
          <cell r="AN42" t="str">
            <v/>
          </cell>
          <cell r="AQ42">
            <v>-17</v>
          </cell>
          <cell r="AV42" t="str">
            <v/>
          </cell>
          <cell r="AW42" t="str">
            <v/>
          </cell>
          <cell r="AX42" t="str">
            <v/>
          </cell>
          <cell r="AY42" t="str">
            <v/>
          </cell>
          <cell r="AZ42" t="str">
            <v/>
          </cell>
          <cell r="BA42" t="str">
            <v/>
          </cell>
          <cell r="BB42" t="str">
            <v/>
          </cell>
          <cell r="BC42" t="str">
            <v/>
          </cell>
          <cell r="BD42" t="str">
            <v/>
          </cell>
          <cell r="BE42">
            <v>16</v>
          </cell>
          <cell r="BF42" t="str">
            <v/>
          </cell>
          <cell r="BG42" t="str">
            <v/>
          </cell>
          <cell r="BH42" t="str">
            <v/>
          </cell>
          <cell r="BJ42" t="str">
            <v/>
          </cell>
          <cell r="BK42" t="str">
            <v/>
          </cell>
          <cell r="BL42" t="str">
            <v/>
          </cell>
          <cell r="BM42" t="str">
            <v/>
          </cell>
          <cell r="BN42" t="str">
            <v/>
          </cell>
          <cell r="BO42" t="str">
            <v/>
          </cell>
          <cell r="BP42" t="str">
            <v/>
          </cell>
          <cell r="BQ42" t="str">
            <v/>
          </cell>
          <cell r="BR42" t="str">
            <v/>
          </cell>
          <cell r="BS42" t="str">
            <v/>
          </cell>
          <cell r="BT42">
            <v>12113578.285714285</v>
          </cell>
          <cell r="BU42" t="str">
            <v/>
          </cell>
          <cell r="BV42" t="str">
            <v/>
          </cell>
          <cell r="BW42" t="str">
            <v/>
          </cell>
          <cell r="BX42" t="str">
            <v/>
          </cell>
          <cell r="BY42" t="str">
            <v/>
          </cell>
          <cell r="BZ42" t="str">
            <v/>
          </cell>
          <cell r="CA42" t="str">
            <v/>
          </cell>
          <cell r="CC42" t="str">
            <v/>
          </cell>
          <cell r="CD42" t="str">
            <v/>
          </cell>
          <cell r="CE42" t="str">
            <v/>
          </cell>
          <cell r="CF42" t="str">
            <v/>
          </cell>
        </row>
        <row r="43">
          <cell r="A43">
            <v>64</v>
          </cell>
          <cell r="B43" t="str">
            <v>0064_名古屋プリンスホテルスカイタワー</v>
          </cell>
          <cell r="C43" t="str">
            <v>本部</v>
          </cell>
          <cell r="D43" t="str">
            <v/>
          </cell>
          <cell r="E43" t="str">
            <v/>
          </cell>
          <cell r="F43" t="str">
            <v>選手</v>
          </cell>
          <cell r="G43" t="str">
            <v/>
          </cell>
          <cell r="H43">
            <v>60</v>
          </cell>
          <cell r="I43">
            <v>30</v>
          </cell>
          <cell r="J43" t="b">
            <v>1</v>
          </cell>
          <cell r="K43">
            <v>30</v>
          </cell>
          <cell r="L43">
            <v>9593062</v>
          </cell>
          <cell r="M43">
            <v>3114240</v>
          </cell>
          <cell r="N43">
            <v>0</v>
          </cell>
          <cell r="O43">
            <v>0</v>
          </cell>
          <cell r="P43">
            <v>0</v>
          </cell>
          <cell r="Q43">
            <v>13978032.200000001</v>
          </cell>
          <cell r="R43">
            <v>10552355</v>
          </cell>
          <cell r="S43" t="b">
            <v>1</v>
          </cell>
          <cell r="T43">
            <v>351745.16666666669</v>
          </cell>
          <cell r="U43">
            <v>0</v>
          </cell>
          <cell r="V43">
            <v>13735852</v>
          </cell>
          <cell r="W43">
            <v>13735852</v>
          </cell>
          <cell r="X43" t="b">
            <v>1</v>
          </cell>
          <cell r="Y43">
            <v>80799.129411764705</v>
          </cell>
          <cell r="AB43">
            <v>70260.112531969324</v>
          </cell>
          <cell r="AE43">
            <v>170</v>
          </cell>
          <cell r="AF43">
            <v>170</v>
          </cell>
          <cell r="AG43" t="b">
            <v>1</v>
          </cell>
          <cell r="AH43">
            <v>265</v>
          </cell>
          <cell r="AI43">
            <v>170</v>
          </cell>
          <cell r="AJ43" t="str">
            <v/>
          </cell>
          <cell r="AK43" t="str">
            <v/>
          </cell>
          <cell r="AL43">
            <v>170</v>
          </cell>
          <cell r="AM43" t="str">
            <v/>
          </cell>
          <cell r="AN43">
            <v>0</v>
          </cell>
          <cell r="AQ43">
            <v>0</v>
          </cell>
          <cell r="AV43" t="str">
            <v/>
          </cell>
          <cell r="AW43" t="str">
            <v/>
          </cell>
          <cell r="AX43">
            <v>36</v>
          </cell>
          <cell r="AY43" t="str">
            <v/>
          </cell>
          <cell r="AZ43" t="str">
            <v/>
          </cell>
          <cell r="BA43" t="str">
            <v/>
          </cell>
          <cell r="BB43" t="str">
            <v/>
          </cell>
          <cell r="BC43">
            <v>18</v>
          </cell>
          <cell r="BD43" t="str">
            <v/>
          </cell>
          <cell r="BE43" t="str">
            <v/>
          </cell>
          <cell r="BF43" t="str">
            <v/>
          </cell>
          <cell r="BG43" t="str">
            <v/>
          </cell>
          <cell r="BH43" t="str">
            <v/>
          </cell>
          <cell r="BJ43" t="str">
            <v/>
          </cell>
          <cell r="BK43" t="str">
            <v/>
          </cell>
          <cell r="BL43" t="str">
            <v/>
          </cell>
          <cell r="BM43">
            <v>494490672</v>
          </cell>
          <cell r="BN43" t="str">
            <v/>
          </cell>
          <cell r="BO43" t="str">
            <v/>
          </cell>
          <cell r="BP43">
            <v>247245336</v>
          </cell>
          <cell r="BQ43">
            <v>247245336</v>
          </cell>
          <cell r="BR43" t="str">
            <v/>
          </cell>
          <cell r="BS43" t="str">
            <v/>
          </cell>
          <cell r="BT43" t="str">
            <v/>
          </cell>
          <cell r="BU43" t="str">
            <v/>
          </cell>
          <cell r="BV43" t="str">
            <v/>
          </cell>
          <cell r="BW43" t="str">
            <v/>
          </cell>
          <cell r="BX43" t="str">
            <v/>
          </cell>
          <cell r="BY43" t="str">
            <v/>
          </cell>
          <cell r="BZ43" t="str">
            <v/>
          </cell>
          <cell r="CA43">
            <v>379884780</v>
          </cell>
          <cell r="CC43">
            <v>189942390</v>
          </cell>
          <cell r="CD43">
            <v>189942390</v>
          </cell>
          <cell r="CE43" t="str">
            <v/>
          </cell>
          <cell r="CF43" t="str">
            <v/>
          </cell>
          <cell r="CH43" t="str">
            <v>NOC本部</v>
          </cell>
        </row>
        <row r="44">
          <cell r="A44">
            <v>65</v>
          </cell>
          <cell r="B44" t="str">
            <v>0065_くれたけインプレミアム名古屋納屋橋</v>
          </cell>
          <cell r="C44" t="str">
            <v/>
          </cell>
          <cell r="D44" t="str">
            <v/>
          </cell>
          <cell r="E44" t="str">
            <v/>
          </cell>
          <cell r="F44" t="str">
            <v/>
          </cell>
          <cell r="G44" t="str">
            <v/>
          </cell>
          <cell r="H44">
            <v>0</v>
          </cell>
          <cell r="I44">
            <v>0</v>
          </cell>
          <cell r="J44" t="b">
            <v>1</v>
          </cell>
          <cell r="K44" t="str">
            <v/>
          </cell>
          <cell r="L44">
            <v>0</v>
          </cell>
          <cell r="M44">
            <v>0</v>
          </cell>
          <cell r="N44">
            <v>0</v>
          </cell>
          <cell r="O44">
            <v>0</v>
          </cell>
          <cell r="P44">
            <v>0</v>
          </cell>
          <cell r="Q44">
            <v>0</v>
          </cell>
          <cell r="R44">
            <v>0</v>
          </cell>
          <cell r="S44" t="b">
            <v>1</v>
          </cell>
          <cell r="T44" t="str">
            <v/>
          </cell>
          <cell r="U44">
            <v>0</v>
          </cell>
          <cell r="V44">
            <v>815353</v>
          </cell>
          <cell r="W44">
            <v>815353</v>
          </cell>
          <cell r="X44" t="b">
            <v>1</v>
          </cell>
          <cell r="Y44">
            <v>11647.9</v>
          </cell>
          <cell r="AB44" t="str">
            <v/>
          </cell>
          <cell r="AE44">
            <v>166</v>
          </cell>
          <cell r="AF44">
            <v>70</v>
          </cell>
          <cell r="AG44" t="b">
            <v>1</v>
          </cell>
          <cell r="AH44">
            <v>191</v>
          </cell>
          <cell r="AI44" t="str">
            <v/>
          </cell>
          <cell r="AJ44" t="str">
            <v/>
          </cell>
          <cell r="AK44" t="str">
            <v/>
          </cell>
          <cell r="AL44" t="str">
            <v/>
          </cell>
          <cell r="AM44" t="str">
            <v/>
          </cell>
          <cell r="AN44" t="str">
            <v/>
          </cell>
          <cell r="AQ44" t="str">
            <v/>
          </cell>
          <cell r="AV44" t="str">
            <v/>
          </cell>
          <cell r="AW44" t="str">
            <v/>
          </cell>
          <cell r="AX44" t="str">
            <v/>
          </cell>
          <cell r="AY44" t="str">
            <v/>
          </cell>
          <cell r="AZ44" t="str">
            <v/>
          </cell>
          <cell r="BA44" t="str">
            <v/>
          </cell>
          <cell r="BB44" t="str">
            <v/>
          </cell>
          <cell r="BC44" t="str">
            <v/>
          </cell>
          <cell r="BD44" t="str">
            <v/>
          </cell>
          <cell r="BE44" t="str">
            <v/>
          </cell>
          <cell r="BF44" t="str">
            <v/>
          </cell>
          <cell r="BG44" t="str">
            <v/>
          </cell>
          <cell r="BH44" t="str">
            <v/>
          </cell>
          <cell r="BJ44" t="str">
            <v/>
          </cell>
          <cell r="BK44" t="str">
            <v/>
          </cell>
          <cell r="BL44" t="str">
            <v/>
          </cell>
          <cell r="BM44" t="str">
            <v/>
          </cell>
          <cell r="BN44" t="str">
            <v/>
          </cell>
          <cell r="BO44" t="str">
            <v/>
          </cell>
          <cell r="BP44" t="str">
            <v/>
          </cell>
          <cell r="BQ44" t="str">
            <v/>
          </cell>
          <cell r="BR44" t="str">
            <v/>
          </cell>
          <cell r="BS44" t="str">
            <v/>
          </cell>
          <cell r="BT44" t="str">
            <v/>
          </cell>
          <cell r="BU44" t="str">
            <v/>
          </cell>
          <cell r="BV44" t="str">
            <v/>
          </cell>
          <cell r="BW44" t="str">
            <v/>
          </cell>
          <cell r="BX44" t="str">
            <v/>
          </cell>
          <cell r="BY44" t="str">
            <v/>
          </cell>
          <cell r="BZ44" t="str">
            <v/>
          </cell>
          <cell r="CA44" t="str">
            <v/>
          </cell>
          <cell r="CC44" t="str">
            <v/>
          </cell>
          <cell r="CD44" t="str">
            <v/>
          </cell>
          <cell r="CE44" t="str">
            <v/>
          </cell>
          <cell r="CF44" t="str">
            <v/>
          </cell>
        </row>
        <row r="45">
          <cell r="A45">
            <v>66</v>
          </cell>
          <cell r="B45" t="str">
            <v>0066_三交イン名古屋新幹線口ANNEX</v>
          </cell>
          <cell r="C45" t="str">
            <v/>
          </cell>
          <cell r="D45" t="str">
            <v/>
          </cell>
          <cell r="E45" t="str">
            <v/>
          </cell>
          <cell r="F45" t="str">
            <v>メディア</v>
          </cell>
          <cell r="G45" t="str">
            <v/>
          </cell>
          <cell r="H45">
            <v>0</v>
          </cell>
          <cell r="I45">
            <v>0</v>
          </cell>
          <cell r="J45" t="b">
            <v>1</v>
          </cell>
          <cell r="K45" t="str">
            <v/>
          </cell>
          <cell r="L45">
            <v>0</v>
          </cell>
          <cell r="M45">
            <v>0</v>
          </cell>
          <cell r="N45">
            <v>0</v>
          </cell>
          <cell r="O45">
            <v>0</v>
          </cell>
          <cell r="P45">
            <v>0</v>
          </cell>
          <cell r="Q45">
            <v>0</v>
          </cell>
          <cell r="R45">
            <v>0</v>
          </cell>
          <cell r="S45" t="b">
            <v>1</v>
          </cell>
          <cell r="T45" t="str">
            <v/>
          </cell>
          <cell r="U45">
            <v>0</v>
          </cell>
          <cell r="V45">
            <v>890384</v>
          </cell>
          <cell r="W45">
            <v>890384</v>
          </cell>
          <cell r="X45" t="b">
            <v>1</v>
          </cell>
          <cell r="Y45">
            <v>22259.599999999999</v>
          </cell>
          <cell r="AB45" t="str">
            <v/>
          </cell>
          <cell r="AE45">
            <v>118</v>
          </cell>
          <cell r="AF45">
            <v>40</v>
          </cell>
          <cell r="AG45" t="b">
            <v>1</v>
          </cell>
          <cell r="AH45">
            <v>119</v>
          </cell>
          <cell r="AI45" t="str">
            <v/>
          </cell>
          <cell r="AJ45" t="str">
            <v/>
          </cell>
          <cell r="AK45" t="str">
            <v/>
          </cell>
          <cell r="AL45">
            <v>28</v>
          </cell>
          <cell r="AM45" t="str">
            <v/>
          </cell>
          <cell r="AN45" t="str">
            <v/>
          </cell>
          <cell r="AQ45">
            <v>-12</v>
          </cell>
          <cell r="AV45" t="str">
            <v/>
          </cell>
          <cell r="AW45" t="str">
            <v/>
          </cell>
          <cell r="AX45" t="str">
            <v/>
          </cell>
          <cell r="AY45" t="str">
            <v/>
          </cell>
          <cell r="AZ45" t="str">
            <v/>
          </cell>
          <cell r="BA45" t="str">
            <v/>
          </cell>
          <cell r="BB45" t="str">
            <v/>
          </cell>
          <cell r="BC45" t="str">
            <v/>
          </cell>
          <cell r="BD45" t="str">
            <v/>
          </cell>
          <cell r="BE45">
            <v>16</v>
          </cell>
          <cell r="BF45" t="str">
            <v/>
          </cell>
          <cell r="BG45" t="str">
            <v/>
          </cell>
          <cell r="BH45" t="str">
            <v/>
          </cell>
          <cell r="BJ45" t="str">
            <v/>
          </cell>
          <cell r="BK45" t="str">
            <v/>
          </cell>
          <cell r="BL45" t="str">
            <v/>
          </cell>
          <cell r="BM45" t="str">
            <v/>
          </cell>
          <cell r="BN45" t="str">
            <v/>
          </cell>
          <cell r="BO45" t="str">
            <v/>
          </cell>
          <cell r="BP45" t="str">
            <v/>
          </cell>
          <cell r="BQ45" t="str">
            <v/>
          </cell>
          <cell r="BR45" t="str">
            <v/>
          </cell>
          <cell r="BS45" t="str">
            <v/>
          </cell>
          <cell r="BT45">
            <v>9972300.7999999989</v>
          </cell>
          <cell r="BU45" t="str">
            <v/>
          </cell>
          <cell r="BV45" t="str">
            <v/>
          </cell>
          <cell r="BW45" t="str">
            <v/>
          </cell>
          <cell r="BX45" t="str">
            <v/>
          </cell>
          <cell r="BY45" t="str">
            <v/>
          </cell>
          <cell r="BZ45" t="str">
            <v/>
          </cell>
          <cell r="CA45" t="str">
            <v/>
          </cell>
          <cell r="CC45" t="str">
            <v/>
          </cell>
          <cell r="CD45" t="str">
            <v/>
          </cell>
          <cell r="CE45" t="str">
            <v/>
          </cell>
          <cell r="CF45" t="str">
            <v/>
          </cell>
        </row>
        <row r="46">
          <cell r="A46">
            <v>67</v>
          </cell>
          <cell r="B46" t="str">
            <v>0067_東横INN名駅南</v>
          </cell>
          <cell r="C46" t="str">
            <v/>
          </cell>
          <cell r="D46" t="str">
            <v>技術役員</v>
          </cell>
          <cell r="E46" t="str">
            <v>DCO</v>
          </cell>
          <cell r="F46" t="str">
            <v/>
          </cell>
          <cell r="G46" t="str">
            <v/>
          </cell>
          <cell r="H46">
            <v>1</v>
          </cell>
          <cell r="I46">
            <v>1</v>
          </cell>
          <cell r="J46" t="b">
            <v>1</v>
          </cell>
          <cell r="K46" t="str">
            <v/>
          </cell>
          <cell r="L46">
            <v>23530</v>
          </cell>
          <cell r="M46">
            <v>0</v>
          </cell>
          <cell r="N46">
            <v>0</v>
          </cell>
          <cell r="O46">
            <v>0</v>
          </cell>
          <cell r="P46">
            <v>0</v>
          </cell>
          <cell r="Q46">
            <v>25883.000000000004</v>
          </cell>
          <cell r="R46">
            <v>25883</v>
          </cell>
          <cell r="S46" t="b">
            <v>1</v>
          </cell>
          <cell r="T46">
            <v>25883</v>
          </cell>
          <cell r="U46">
            <v>0</v>
          </cell>
          <cell r="V46">
            <v>9264304</v>
          </cell>
          <cell r="W46">
            <v>9264304</v>
          </cell>
          <cell r="X46" t="b">
            <v>1</v>
          </cell>
          <cell r="Y46">
            <v>11508.452173913043</v>
          </cell>
          <cell r="AB46" t="str">
            <v/>
          </cell>
          <cell r="AE46">
            <v>805</v>
          </cell>
          <cell r="AF46">
            <v>805</v>
          </cell>
          <cell r="AG46" t="b">
            <v>1</v>
          </cell>
          <cell r="AH46">
            <v>806</v>
          </cell>
          <cell r="AI46" t="str">
            <v/>
          </cell>
          <cell r="AJ46">
            <v>407</v>
          </cell>
          <cell r="AK46">
            <v>170</v>
          </cell>
          <cell r="AL46" t="str">
            <v/>
          </cell>
          <cell r="AM46" t="str">
            <v/>
          </cell>
          <cell r="AN46" t="str">
            <v/>
          </cell>
          <cell r="AQ46" t="str">
            <v/>
          </cell>
          <cell r="AV46" t="str">
            <v/>
          </cell>
          <cell r="AW46" t="str">
            <v/>
          </cell>
          <cell r="AX46" t="str">
            <v/>
          </cell>
          <cell r="AY46" t="str">
            <v/>
          </cell>
          <cell r="AZ46" t="str">
            <v/>
          </cell>
          <cell r="BA46">
            <v>11</v>
          </cell>
          <cell r="BB46">
            <v>32</v>
          </cell>
          <cell r="BC46" t="str">
            <v/>
          </cell>
          <cell r="BD46" t="str">
            <v/>
          </cell>
          <cell r="BE46" t="str">
            <v/>
          </cell>
          <cell r="BF46" t="str">
            <v/>
          </cell>
          <cell r="BG46" t="str">
            <v/>
          </cell>
          <cell r="BH46" t="str">
            <v/>
          </cell>
          <cell r="BJ46" t="str">
            <v/>
          </cell>
          <cell r="BK46" t="str">
            <v/>
          </cell>
          <cell r="BL46" t="str">
            <v/>
          </cell>
          <cell r="BM46" t="str">
            <v/>
          </cell>
          <cell r="BN46">
            <v>51523340.382608697</v>
          </cell>
          <cell r="BO46">
            <v>62605979.826086953</v>
          </cell>
          <cell r="BP46" t="str">
            <v/>
          </cell>
          <cell r="BQ46" t="str">
            <v/>
          </cell>
          <cell r="BR46" t="str">
            <v/>
          </cell>
          <cell r="BS46" t="str">
            <v/>
          </cell>
          <cell r="BT46" t="str">
            <v/>
          </cell>
          <cell r="BU46" t="str">
            <v/>
          </cell>
          <cell r="BV46" t="str">
            <v/>
          </cell>
          <cell r="BW46" t="str">
            <v/>
          </cell>
          <cell r="BX46" t="str">
            <v/>
          </cell>
          <cell r="BY46" t="str">
            <v/>
          </cell>
          <cell r="BZ46" t="str">
            <v/>
          </cell>
          <cell r="CA46" t="str">
            <v/>
          </cell>
          <cell r="CC46" t="str">
            <v/>
          </cell>
          <cell r="CD46" t="str">
            <v/>
          </cell>
          <cell r="CE46" t="str">
            <v/>
          </cell>
          <cell r="CF46" t="str">
            <v/>
          </cell>
        </row>
        <row r="47">
          <cell r="A47">
            <v>68</v>
          </cell>
          <cell r="B47" t="str">
            <v>0068_HOTELLiVEMAXBUDGET名古屋太閤通口</v>
          </cell>
          <cell r="C47" t="str">
            <v/>
          </cell>
          <cell r="D47" t="str">
            <v/>
          </cell>
          <cell r="E47" t="str">
            <v/>
          </cell>
          <cell r="F47" t="str">
            <v>メディア</v>
          </cell>
          <cell r="G47" t="str">
            <v/>
          </cell>
          <cell r="H47">
            <v>0</v>
          </cell>
          <cell r="I47">
            <v>0</v>
          </cell>
          <cell r="J47" t="b">
            <v>1</v>
          </cell>
          <cell r="K47" t="str">
            <v/>
          </cell>
          <cell r="L47">
            <v>0</v>
          </cell>
          <cell r="M47">
            <v>0</v>
          </cell>
          <cell r="N47">
            <v>0</v>
          </cell>
          <cell r="O47">
            <v>0</v>
          </cell>
          <cell r="P47">
            <v>0</v>
          </cell>
          <cell r="Q47">
            <v>0</v>
          </cell>
          <cell r="R47">
            <v>0</v>
          </cell>
          <cell r="S47" t="b">
            <v>1</v>
          </cell>
          <cell r="T47" t="str">
            <v/>
          </cell>
          <cell r="U47">
            <v>0</v>
          </cell>
          <cell r="V47">
            <v>1087086</v>
          </cell>
          <cell r="W47">
            <v>1087086</v>
          </cell>
          <cell r="X47" t="b">
            <v>1</v>
          </cell>
          <cell r="Y47">
            <v>27177.15</v>
          </cell>
          <cell r="AB47" t="str">
            <v/>
          </cell>
          <cell r="AE47">
            <v>40</v>
          </cell>
          <cell r="AF47">
            <v>40</v>
          </cell>
          <cell r="AG47" t="b">
            <v>1</v>
          </cell>
          <cell r="AH47">
            <v>50</v>
          </cell>
          <cell r="AI47" t="str">
            <v/>
          </cell>
          <cell r="AJ47" t="str">
            <v/>
          </cell>
          <cell r="AK47" t="str">
            <v/>
          </cell>
          <cell r="AL47">
            <v>34</v>
          </cell>
          <cell r="AM47" t="str">
            <v/>
          </cell>
          <cell r="AN47" t="str">
            <v/>
          </cell>
          <cell r="AQ47">
            <v>-6</v>
          </cell>
          <cell r="AV47" t="str">
            <v/>
          </cell>
          <cell r="AW47" t="str">
            <v/>
          </cell>
          <cell r="AX47" t="str">
            <v/>
          </cell>
          <cell r="AY47" t="str">
            <v/>
          </cell>
          <cell r="AZ47" t="str">
            <v/>
          </cell>
          <cell r="BA47" t="str">
            <v/>
          </cell>
          <cell r="BB47" t="str">
            <v/>
          </cell>
          <cell r="BC47" t="str">
            <v/>
          </cell>
          <cell r="BD47" t="str">
            <v/>
          </cell>
          <cell r="BE47">
            <v>16</v>
          </cell>
          <cell r="BF47" t="str">
            <v/>
          </cell>
          <cell r="BG47" t="str">
            <v/>
          </cell>
          <cell r="BH47" t="str">
            <v/>
          </cell>
          <cell r="BJ47" t="str">
            <v/>
          </cell>
          <cell r="BK47" t="str">
            <v/>
          </cell>
          <cell r="BL47" t="str">
            <v/>
          </cell>
          <cell r="BM47" t="str">
            <v/>
          </cell>
          <cell r="BN47" t="str">
            <v/>
          </cell>
          <cell r="BO47" t="str">
            <v/>
          </cell>
          <cell r="BP47" t="str">
            <v/>
          </cell>
          <cell r="BQ47" t="str">
            <v/>
          </cell>
          <cell r="BR47" t="str">
            <v/>
          </cell>
          <cell r="BS47" t="str">
            <v/>
          </cell>
          <cell r="BT47">
            <v>14784369.600000001</v>
          </cell>
          <cell r="BU47" t="str">
            <v/>
          </cell>
          <cell r="BV47" t="str">
            <v/>
          </cell>
          <cell r="BW47" t="str">
            <v/>
          </cell>
          <cell r="BX47" t="str">
            <v/>
          </cell>
          <cell r="BY47" t="str">
            <v/>
          </cell>
          <cell r="BZ47" t="str">
            <v/>
          </cell>
          <cell r="CA47" t="str">
            <v/>
          </cell>
          <cell r="CC47" t="str">
            <v/>
          </cell>
          <cell r="CD47" t="str">
            <v/>
          </cell>
          <cell r="CE47" t="str">
            <v/>
          </cell>
          <cell r="CF47" t="str">
            <v/>
          </cell>
        </row>
        <row r="48">
          <cell r="A48">
            <v>69</v>
          </cell>
          <cell r="B48" t="str">
            <v>0069_ヴィアイン名古屋駅前椿町</v>
          </cell>
          <cell r="C48" t="str">
            <v>メディア</v>
          </cell>
          <cell r="D48" t="str">
            <v/>
          </cell>
          <cell r="E48" t="str">
            <v/>
          </cell>
          <cell r="F48" t="str">
            <v/>
          </cell>
          <cell r="G48" t="str">
            <v/>
          </cell>
          <cell r="H48">
            <v>0</v>
          </cell>
          <cell r="I48">
            <v>0</v>
          </cell>
          <cell r="J48" t="b">
            <v>1</v>
          </cell>
          <cell r="K48" t="str">
            <v/>
          </cell>
          <cell r="L48">
            <v>0</v>
          </cell>
          <cell r="M48">
            <v>0</v>
          </cell>
          <cell r="N48">
            <v>0</v>
          </cell>
          <cell r="O48">
            <v>0</v>
          </cell>
          <cell r="P48">
            <v>0</v>
          </cell>
          <cell r="Q48">
            <v>0</v>
          </cell>
          <cell r="R48">
            <v>0</v>
          </cell>
          <cell r="S48" t="b">
            <v>1</v>
          </cell>
          <cell r="T48" t="str">
            <v/>
          </cell>
          <cell r="U48">
            <v>0</v>
          </cell>
          <cell r="V48">
            <v>6830859</v>
          </cell>
          <cell r="W48">
            <v>6830859</v>
          </cell>
          <cell r="X48" t="b">
            <v>1</v>
          </cell>
          <cell r="Y48">
            <v>27433.168674698794</v>
          </cell>
          <cell r="AB48">
            <v>48687.519600855318</v>
          </cell>
          <cell r="AE48">
            <v>249</v>
          </cell>
          <cell r="AF48">
            <v>249</v>
          </cell>
          <cell r="AG48" t="b">
            <v>1</v>
          </cell>
          <cell r="AH48">
            <v>250</v>
          </cell>
          <cell r="AI48">
            <v>122</v>
          </cell>
          <cell r="AJ48" t="str">
            <v/>
          </cell>
          <cell r="AK48" t="str">
            <v/>
          </cell>
          <cell r="AL48" t="str">
            <v/>
          </cell>
          <cell r="AM48" t="str">
            <v/>
          </cell>
          <cell r="AN48">
            <v>-127</v>
          </cell>
          <cell r="AQ48" t="str">
            <v/>
          </cell>
          <cell r="AV48" t="str">
            <v/>
          </cell>
          <cell r="AW48" t="str">
            <v/>
          </cell>
          <cell r="AX48" t="str">
            <v/>
          </cell>
          <cell r="AY48" t="str">
            <v/>
          </cell>
          <cell r="AZ48">
            <v>32</v>
          </cell>
          <cell r="BA48" t="str">
            <v/>
          </cell>
          <cell r="BB48" t="str">
            <v/>
          </cell>
          <cell r="BC48" t="str">
            <v/>
          </cell>
          <cell r="BD48" t="str">
            <v/>
          </cell>
          <cell r="BE48" t="str">
            <v/>
          </cell>
          <cell r="BF48" t="str">
            <v/>
          </cell>
          <cell r="BG48" t="str">
            <v/>
          </cell>
          <cell r="BH48" t="str">
            <v/>
          </cell>
          <cell r="BJ48" t="str">
            <v/>
          </cell>
          <cell r="BK48">
            <v>107099090.50602409</v>
          </cell>
          <cell r="BL48" t="str">
            <v/>
          </cell>
          <cell r="BM48" t="str">
            <v/>
          </cell>
          <cell r="BN48" t="str">
            <v/>
          </cell>
          <cell r="BO48" t="str">
            <v/>
          </cell>
          <cell r="BP48" t="str">
            <v/>
          </cell>
          <cell r="BQ48" t="str">
            <v/>
          </cell>
          <cell r="BR48" t="str">
            <v/>
          </cell>
          <cell r="BS48" t="str">
            <v/>
          </cell>
          <cell r="BT48" t="str">
            <v/>
          </cell>
          <cell r="BU48" t="str">
            <v/>
          </cell>
          <cell r="BV48" t="str">
            <v/>
          </cell>
          <cell r="BW48" t="str">
            <v/>
          </cell>
          <cell r="BX48" t="str">
            <v/>
          </cell>
          <cell r="BY48" t="str">
            <v/>
          </cell>
          <cell r="BZ48" t="str">
            <v/>
          </cell>
          <cell r="CA48" t="str">
            <v/>
          </cell>
          <cell r="CC48" t="str">
            <v/>
          </cell>
          <cell r="CD48" t="str">
            <v/>
          </cell>
          <cell r="CE48" t="str">
            <v/>
          </cell>
          <cell r="CF48" t="str">
            <v/>
          </cell>
        </row>
        <row r="49">
          <cell r="A49">
            <v>70</v>
          </cell>
          <cell r="B49" t="str">
            <v>0070_ベッセルホテルカンパーナ名古屋</v>
          </cell>
          <cell r="C49" t="str">
            <v/>
          </cell>
          <cell r="D49" t="str">
            <v>選手12000</v>
          </cell>
          <cell r="E49" t="str">
            <v/>
          </cell>
          <cell r="F49" t="str">
            <v>スポンサー</v>
          </cell>
          <cell r="G49" t="str">
            <v/>
          </cell>
          <cell r="H49">
            <v>0</v>
          </cell>
          <cell r="I49">
            <v>0</v>
          </cell>
          <cell r="J49" t="b">
            <v>1</v>
          </cell>
          <cell r="K49" t="str">
            <v/>
          </cell>
          <cell r="L49">
            <v>0</v>
          </cell>
          <cell r="M49">
            <v>0</v>
          </cell>
          <cell r="N49">
            <v>0</v>
          </cell>
          <cell r="O49">
            <v>0</v>
          </cell>
          <cell r="P49">
            <v>0</v>
          </cell>
          <cell r="Q49">
            <v>0</v>
          </cell>
          <cell r="R49">
            <v>0</v>
          </cell>
          <cell r="S49" t="b">
            <v>1</v>
          </cell>
          <cell r="T49" t="str">
            <v/>
          </cell>
          <cell r="U49">
            <v>19413</v>
          </cell>
          <cell r="V49">
            <v>4396273</v>
          </cell>
          <cell r="W49">
            <v>4376860</v>
          </cell>
          <cell r="X49" t="b">
            <v>1</v>
          </cell>
          <cell r="Y49">
            <v>18865.775862068964</v>
          </cell>
          <cell r="AB49" t="str">
            <v/>
          </cell>
          <cell r="AC49">
            <v>1700</v>
          </cell>
          <cell r="AE49">
            <v>233</v>
          </cell>
          <cell r="AF49">
            <v>232</v>
          </cell>
          <cell r="AG49" t="b">
            <v>1</v>
          </cell>
          <cell r="AH49">
            <v>343</v>
          </cell>
          <cell r="AI49" t="str">
            <v/>
          </cell>
          <cell r="AJ49" t="str">
            <v/>
          </cell>
          <cell r="AK49" t="str">
            <v/>
          </cell>
          <cell r="AL49">
            <v>63</v>
          </cell>
          <cell r="AM49" t="str">
            <v/>
          </cell>
          <cell r="AN49" t="str">
            <v/>
          </cell>
          <cell r="AQ49">
            <v>-169</v>
          </cell>
          <cell r="AV49" t="str">
            <v/>
          </cell>
          <cell r="AW49">
            <v>20</v>
          </cell>
          <cell r="AX49" t="str">
            <v/>
          </cell>
          <cell r="AY49" t="str">
            <v/>
          </cell>
          <cell r="AZ49" t="str">
            <v/>
          </cell>
          <cell r="BA49" t="str">
            <v/>
          </cell>
          <cell r="BB49" t="str">
            <v/>
          </cell>
          <cell r="BC49" t="str">
            <v/>
          </cell>
          <cell r="BD49">
            <v>9</v>
          </cell>
          <cell r="BE49" t="str">
            <v/>
          </cell>
          <cell r="BF49" t="str">
            <v/>
          </cell>
          <cell r="BG49" t="str">
            <v/>
          </cell>
          <cell r="BH49" t="str">
            <v/>
          </cell>
          <cell r="BI49">
            <v>87537200</v>
          </cell>
          <cell r="BJ49" t="str">
            <v/>
          </cell>
          <cell r="BK49" t="str">
            <v/>
          </cell>
          <cell r="BL49" t="str">
            <v/>
          </cell>
          <cell r="BM49" t="str">
            <v/>
          </cell>
          <cell r="BN49" t="str">
            <v/>
          </cell>
          <cell r="BO49" t="str">
            <v/>
          </cell>
          <cell r="BP49" t="str">
            <v/>
          </cell>
          <cell r="BQ49" t="str">
            <v/>
          </cell>
          <cell r="BR49" t="str">
            <v/>
          </cell>
          <cell r="BS49" t="str">
            <v/>
          </cell>
          <cell r="BT49" t="str">
            <v/>
          </cell>
          <cell r="BU49">
            <v>10696894.913793104</v>
          </cell>
          <cell r="BV49" t="str">
            <v/>
          </cell>
          <cell r="BW49" t="str">
            <v/>
          </cell>
          <cell r="BX49" t="str">
            <v/>
          </cell>
          <cell r="BY49" t="str">
            <v/>
          </cell>
          <cell r="BZ49" t="str">
            <v/>
          </cell>
          <cell r="CA49" t="str">
            <v/>
          </cell>
          <cell r="CC49" t="str">
            <v/>
          </cell>
          <cell r="CD49" t="str">
            <v/>
          </cell>
          <cell r="CE49" t="str">
            <v/>
          </cell>
          <cell r="CF49" t="str">
            <v/>
          </cell>
        </row>
        <row r="50">
          <cell r="A50">
            <v>71</v>
          </cell>
          <cell r="B50" t="str">
            <v>0071_アットインホテル名古屋駅</v>
          </cell>
          <cell r="C50" t="str">
            <v/>
          </cell>
          <cell r="D50" t="str">
            <v/>
          </cell>
          <cell r="E50" t="str">
            <v/>
          </cell>
          <cell r="F50" t="str">
            <v>メディア</v>
          </cell>
          <cell r="G50" t="str">
            <v/>
          </cell>
          <cell r="H50">
            <v>0</v>
          </cell>
          <cell r="I50">
            <v>0</v>
          </cell>
          <cell r="J50" t="b">
            <v>1</v>
          </cell>
          <cell r="K50" t="str">
            <v/>
          </cell>
          <cell r="L50">
            <v>0</v>
          </cell>
          <cell r="M50">
            <v>0</v>
          </cell>
          <cell r="N50">
            <v>0</v>
          </cell>
          <cell r="O50">
            <v>0</v>
          </cell>
          <cell r="P50">
            <v>0</v>
          </cell>
          <cell r="Q50">
            <v>0</v>
          </cell>
          <cell r="R50">
            <v>0</v>
          </cell>
          <cell r="S50" t="b">
            <v>1</v>
          </cell>
          <cell r="T50" t="str">
            <v/>
          </cell>
          <cell r="U50">
            <v>0</v>
          </cell>
          <cell r="V50">
            <v>1608491</v>
          </cell>
          <cell r="W50">
            <v>1608491</v>
          </cell>
          <cell r="X50" t="b">
            <v>1</v>
          </cell>
          <cell r="Y50">
            <v>13516.731092436974</v>
          </cell>
          <cell r="AB50" t="str">
            <v/>
          </cell>
          <cell r="AE50">
            <v>119</v>
          </cell>
          <cell r="AF50">
            <v>119</v>
          </cell>
          <cell r="AG50" t="b">
            <v>1</v>
          </cell>
          <cell r="AH50">
            <v>112</v>
          </cell>
          <cell r="AI50" t="str">
            <v/>
          </cell>
          <cell r="AJ50" t="str">
            <v/>
          </cell>
          <cell r="AK50" t="str">
            <v/>
          </cell>
          <cell r="AL50">
            <v>77</v>
          </cell>
          <cell r="AM50" t="str">
            <v/>
          </cell>
          <cell r="AN50" t="str">
            <v/>
          </cell>
          <cell r="AQ50">
            <v>-42</v>
          </cell>
          <cell r="AV50" t="str">
            <v/>
          </cell>
          <cell r="AW50" t="str">
            <v/>
          </cell>
          <cell r="AX50" t="str">
            <v/>
          </cell>
          <cell r="AY50" t="str">
            <v/>
          </cell>
          <cell r="AZ50" t="str">
            <v/>
          </cell>
          <cell r="BA50" t="str">
            <v/>
          </cell>
          <cell r="BB50" t="str">
            <v/>
          </cell>
          <cell r="BC50" t="str">
            <v/>
          </cell>
          <cell r="BD50" t="str">
            <v/>
          </cell>
          <cell r="BE50">
            <v>16</v>
          </cell>
          <cell r="BF50" t="str">
            <v/>
          </cell>
          <cell r="BG50" t="str">
            <v/>
          </cell>
          <cell r="BH50" t="str">
            <v/>
          </cell>
          <cell r="BJ50" t="str">
            <v/>
          </cell>
          <cell r="BK50" t="str">
            <v/>
          </cell>
          <cell r="BL50" t="str">
            <v/>
          </cell>
          <cell r="BM50" t="str">
            <v/>
          </cell>
          <cell r="BN50" t="str">
            <v/>
          </cell>
          <cell r="BO50" t="str">
            <v/>
          </cell>
          <cell r="BP50" t="str">
            <v/>
          </cell>
          <cell r="BQ50" t="str">
            <v/>
          </cell>
          <cell r="BR50" t="str">
            <v/>
          </cell>
          <cell r="BS50" t="str">
            <v/>
          </cell>
          <cell r="BT50">
            <v>16652612.705882352</v>
          </cell>
          <cell r="BU50" t="str">
            <v/>
          </cell>
          <cell r="BV50" t="str">
            <v/>
          </cell>
          <cell r="BW50" t="str">
            <v/>
          </cell>
          <cell r="BX50" t="str">
            <v/>
          </cell>
          <cell r="BY50" t="str">
            <v/>
          </cell>
          <cell r="BZ50" t="str">
            <v/>
          </cell>
          <cell r="CA50" t="str">
            <v/>
          </cell>
          <cell r="CC50" t="str">
            <v/>
          </cell>
          <cell r="CD50" t="str">
            <v/>
          </cell>
          <cell r="CE50" t="str">
            <v/>
          </cell>
          <cell r="CF50" t="str">
            <v/>
          </cell>
        </row>
        <row r="51">
          <cell r="A51">
            <v>73</v>
          </cell>
          <cell r="B51" t="str">
            <v>0073_Hamilton Hotel-BLUE-名駅南</v>
          </cell>
          <cell r="C51" t="str">
            <v/>
          </cell>
          <cell r="D51" t="str">
            <v/>
          </cell>
          <cell r="E51" t="str">
            <v/>
          </cell>
          <cell r="F51" t="str">
            <v>メディア</v>
          </cell>
          <cell r="G51" t="str">
            <v/>
          </cell>
          <cell r="H51">
            <v>0</v>
          </cell>
          <cell r="I51">
            <v>0</v>
          </cell>
          <cell r="J51" t="b">
            <v>1</v>
          </cell>
          <cell r="K51" t="str">
            <v/>
          </cell>
          <cell r="L51">
            <v>0</v>
          </cell>
          <cell r="M51">
            <v>0</v>
          </cell>
          <cell r="N51">
            <v>0</v>
          </cell>
          <cell r="O51">
            <v>0</v>
          </cell>
          <cell r="P51">
            <v>0</v>
          </cell>
          <cell r="Q51">
            <v>0</v>
          </cell>
          <cell r="R51">
            <v>0</v>
          </cell>
          <cell r="S51" t="b">
            <v>1</v>
          </cell>
          <cell r="T51" t="str">
            <v/>
          </cell>
          <cell r="U51">
            <v>0</v>
          </cell>
          <cell r="V51">
            <v>931788</v>
          </cell>
          <cell r="W51">
            <v>931788</v>
          </cell>
          <cell r="X51" t="b">
            <v>1</v>
          </cell>
          <cell r="Y51">
            <v>11647.35</v>
          </cell>
          <cell r="AB51" t="str">
            <v/>
          </cell>
          <cell r="AE51">
            <v>96</v>
          </cell>
          <cell r="AF51">
            <v>80</v>
          </cell>
          <cell r="AG51" t="b">
            <v>1</v>
          </cell>
          <cell r="AH51">
            <v>84</v>
          </cell>
          <cell r="AI51" t="str">
            <v/>
          </cell>
          <cell r="AJ51" t="str">
            <v/>
          </cell>
          <cell r="AK51" t="str">
            <v/>
          </cell>
          <cell r="AL51">
            <v>48</v>
          </cell>
          <cell r="AM51" t="str">
            <v/>
          </cell>
          <cell r="AN51" t="str">
            <v/>
          </cell>
          <cell r="AQ51">
            <v>-32</v>
          </cell>
          <cell r="AV51" t="str">
            <v/>
          </cell>
          <cell r="AW51" t="str">
            <v/>
          </cell>
          <cell r="AX51" t="str">
            <v/>
          </cell>
          <cell r="AY51" t="str">
            <v/>
          </cell>
          <cell r="AZ51" t="str">
            <v/>
          </cell>
          <cell r="BA51" t="str">
            <v/>
          </cell>
          <cell r="BB51" t="str">
            <v/>
          </cell>
          <cell r="BC51" t="str">
            <v/>
          </cell>
          <cell r="BD51" t="str">
            <v/>
          </cell>
          <cell r="BE51">
            <v>16</v>
          </cell>
          <cell r="BF51" t="str">
            <v/>
          </cell>
          <cell r="BG51" t="str">
            <v/>
          </cell>
          <cell r="BH51" t="str">
            <v/>
          </cell>
          <cell r="BJ51" t="str">
            <v/>
          </cell>
          <cell r="BK51" t="str">
            <v/>
          </cell>
          <cell r="BL51" t="str">
            <v/>
          </cell>
          <cell r="BM51" t="str">
            <v/>
          </cell>
          <cell r="BN51" t="str">
            <v/>
          </cell>
          <cell r="BO51" t="str">
            <v/>
          </cell>
          <cell r="BP51" t="str">
            <v/>
          </cell>
          <cell r="BQ51" t="str">
            <v/>
          </cell>
          <cell r="BR51" t="str">
            <v/>
          </cell>
          <cell r="BS51" t="str">
            <v/>
          </cell>
          <cell r="BT51">
            <v>8945164.8000000007</v>
          </cell>
          <cell r="BU51" t="str">
            <v/>
          </cell>
          <cell r="BV51" t="str">
            <v/>
          </cell>
          <cell r="BW51" t="str">
            <v/>
          </cell>
          <cell r="BX51" t="str">
            <v/>
          </cell>
          <cell r="BY51" t="str">
            <v/>
          </cell>
          <cell r="BZ51" t="str">
            <v/>
          </cell>
          <cell r="CA51" t="str">
            <v/>
          </cell>
          <cell r="CC51" t="str">
            <v/>
          </cell>
          <cell r="CD51" t="str">
            <v/>
          </cell>
          <cell r="CE51" t="str">
            <v/>
          </cell>
          <cell r="CF51" t="str">
            <v/>
          </cell>
        </row>
        <row r="52">
          <cell r="A52">
            <v>74</v>
          </cell>
          <cell r="B52" t="str">
            <v>0074_スマイルホテル名古屋新幹線口</v>
          </cell>
          <cell r="C52" t="str">
            <v>メディア</v>
          </cell>
          <cell r="D52" t="str">
            <v/>
          </cell>
          <cell r="E52" t="str">
            <v/>
          </cell>
          <cell r="F52" t="str">
            <v>メディア</v>
          </cell>
          <cell r="G52" t="str">
            <v/>
          </cell>
          <cell r="H52">
            <v>0</v>
          </cell>
          <cell r="I52">
            <v>0</v>
          </cell>
          <cell r="J52" t="b">
            <v>1</v>
          </cell>
          <cell r="K52" t="str">
            <v/>
          </cell>
          <cell r="L52">
            <v>0</v>
          </cell>
          <cell r="M52">
            <v>0</v>
          </cell>
          <cell r="N52">
            <v>0</v>
          </cell>
          <cell r="O52">
            <v>0</v>
          </cell>
          <cell r="P52">
            <v>0</v>
          </cell>
          <cell r="Q52">
            <v>0</v>
          </cell>
          <cell r="R52">
            <v>0</v>
          </cell>
          <cell r="S52" t="b">
            <v>1</v>
          </cell>
          <cell r="T52" t="str">
            <v/>
          </cell>
          <cell r="U52">
            <v>0</v>
          </cell>
          <cell r="V52">
            <v>880022</v>
          </cell>
          <cell r="W52">
            <v>880022</v>
          </cell>
          <cell r="X52" t="b">
            <v>1</v>
          </cell>
          <cell r="Y52">
            <v>10353.200000000001</v>
          </cell>
          <cell r="AB52">
            <v>13425.20213577422</v>
          </cell>
          <cell r="AE52">
            <v>117</v>
          </cell>
          <cell r="AF52">
            <v>85</v>
          </cell>
          <cell r="AG52" t="b">
            <v>1</v>
          </cell>
          <cell r="AH52">
            <v>117</v>
          </cell>
          <cell r="AI52">
            <v>57</v>
          </cell>
          <cell r="AJ52" t="str">
            <v/>
          </cell>
          <cell r="AK52" t="str">
            <v/>
          </cell>
          <cell r="AL52">
            <v>14</v>
          </cell>
          <cell r="AM52" t="str">
            <v/>
          </cell>
          <cell r="AN52">
            <v>-28</v>
          </cell>
          <cell r="AQ52">
            <v>-71</v>
          </cell>
          <cell r="AV52" t="str">
            <v/>
          </cell>
          <cell r="AW52" t="str">
            <v/>
          </cell>
          <cell r="AX52" t="str">
            <v/>
          </cell>
          <cell r="AY52" t="str">
            <v/>
          </cell>
          <cell r="AZ52">
            <v>32</v>
          </cell>
          <cell r="BA52" t="str">
            <v/>
          </cell>
          <cell r="BB52" t="str">
            <v/>
          </cell>
          <cell r="BC52" t="str">
            <v/>
          </cell>
          <cell r="BD52" t="str">
            <v/>
          </cell>
          <cell r="BE52">
            <v>16</v>
          </cell>
          <cell r="BF52" t="str">
            <v/>
          </cell>
          <cell r="BG52" t="str">
            <v/>
          </cell>
          <cell r="BH52" t="str">
            <v/>
          </cell>
          <cell r="BJ52" t="str">
            <v/>
          </cell>
          <cell r="BK52">
            <v>18884236.800000001</v>
          </cell>
          <cell r="BL52" t="str">
            <v/>
          </cell>
          <cell r="BM52" t="str">
            <v/>
          </cell>
          <cell r="BN52" t="str">
            <v/>
          </cell>
          <cell r="BO52" t="str">
            <v/>
          </cell>
          <cell r="BP52" t="str">
            <v/>
          </cell>
          <cell r="BQ52" t="str">
            <v/>
          </cell>
          <cell r="BR52" t="str">
            <v/>
          </cell>
          <cell r="BS52" t="str">
            <v/>
          </cell>
          <cell r="BT52">
            <v>2319116.8000000003</v>
          </cell>
          <cell r="BU52" t="str">
            <v/>
          </cell>
          <cell r="BV52" t="str">
            <v/>
          </cell>
          <cell r="BW52" t="str">
            <v/>
          </cell>
          <cell r="BX52" t="str">
            <v/>
          </cell>
          <cell r="BY52" t="str">
            <v/>
          </cell>
          <cell r="BZ52" t="str">
            <v/>
          </cell>
          <cell r="CA52" t="str">
            <v/>
          </cell>
          <cell r="CC52" t="str">
            <v/>
          </cell>
          <cell r="CD52" t="str">
            <v/>
          </cell>
          <cell r="CE52" t="str">
            <v/>
          </cell>
          <cell r="CF52" t="str">
            <v/>
          </cell>
        </row>
        <row r="53">
          <cell r="A53">
            <v>75</v>
          </cell>
          <cell r="B53" t="str">
            <v>0075_R&amp;Bホテル名古屋新幹線口</v>
          </cell>
          <cell r="C53" t="str">
            <v>メディア</v>
          </cell>
          <cell r="D53" t="str">
            <v/>
          </cell>
          <cell r="E53" t="str">
            <v/>
          </cell>
          <cell r="F53" t="str">
            <v>メディア</v>
          </cell>
          <cell r="G53" t="str">
            <v/>
          </cell>
          <cell r="H53">
            <v>0</v>
          </cell>
          <cell r="I53">
            <v>0</v>
          </cell>
          <cell r="J53" t="b">
            <v>1</v>
          </cell>
          <cell r="K53" t="str">
            <v/>
          </cell>
          <cell r="L53">
            <v>0</v>
          </cell>
          <cell r="M53">
            <v>0</v>
          </cell>
          <cell r="N53">
            <v>0</v>
          </cell>
          <cell r="O53">
            <v>0</v>
          </cell>
          <cell r="P53">
            <v>0</v>
          </cell>
          <cell r="Q53">
            <v>0</v>
          </cell>
          <cell r="R53">
            <v>0</v>
          </cell>
          <cell r="S53" t="b">
            <v>1</v>
          </cell>
          <cell r="T53" t="str">
            <v/>
          </cell>
          <cell r="U53">
            <v>0</v>
          </cell>
          <cell r="V53">
            <v>2213101</v>
          </cell>
          <cell r="W53">
            <v>2213101</v>
          </cell>
          <cell r="X53" t="b">
            <v>1</v>
          </cell>
          <cell r="Y53">
            <v>11647.9</v>
          </cell>
          <cell r="AB53">
            <v>15034.653532608696</v>
          </cell>
          <cell r="AE53">
            <v>262</v>
          </cell>
          <cell r="AF53">
            <v>190</v>
          </cell>
          <cell r="AG53" t="b">
            <v>1</v>
          </cell>
          <cell r="AH53">
            <v>262</v>
          </cell>
          <cell r="AI53">
            <v>128</v>
          </cell>
          <cell r="AJ53" t="str">
            <v/>
          </cell>
          <cell r="AK53" t="str">
            <v/>
          </cell>
          <cell r="AL53">
            <v>55</v>
          </cell>
          <cell r="AM53" t="str">
            <v/>
          </cell>
          <cell r="AN53">
            <v>-62</v>
          </cell>
          <cell r="AQ53">
            <v>-135</v>
          </cell>
          <cell r="AV53" t="str">
            <v/>
          </cell>
          <cell r="AW53" t="str">
            <v/>
          </cell>
          <cell r="AX53" t="str">
            <v/>
          </cell>
          <cell r="AY53" t="str">
            <v/>
          </cell>
          <cell r="AZ53">
            <v>32</v>
          </cell>
          <cell r="BA53" t="str">
            <v/>
          </cell>
          <cell r="BB53" t="str">
            <v/>
          </cell>
          <cell r="BC53" t="str">
            <v/>
          </cell>
          <cell r="BD53" t="str">
            <v/>
          </cell>
          <cell r="BE53">
            <v>16</v>
          </cell>
          <cell r="BF53" t="str">
            <v/>
          </cell>
          <cell r="BG53" t="str">
            <v/>
          </cell>
          <cell r="BH53" t="str">
            <v/>
          </cell>
          <cell r="BJ53" t="str">
            <v/>
          </cell>
          <cell r="BK53">
            <v>47709798.399999999</v>
          </cell>
          <cell r="BL53" t="str">
            <v/>
          </cell>
          <cell r="BM53" t="str">
            <v/>
          </cell>
          <cell r="BN53" t="str">
            <v/>
          </cell>
          <cell r="BO53" t="str">
            <v/>
          </cell>
          <cell r="BP53" t="str">
            <v/>
          </cell>
          <cell r="BQ53" t="str">
            <v/>
          </cell>
          <cell r="BR53" t="str">
            <v/>
          </cell>
          <cell r="BS53" t="str">
            <v/>
          </cell>
          <cell r="BT53">
            <v>10250152</v>
          </cell>
          <cell r="BU53" t="str">
            <v/>
          </cell>
          <cell r="BV53" t="str">
            <v/>
          </cell>
          <cell r="BW53" t="str">
            <v/>
          </cell>
          <cell r="BX53" t="str">
            <v/>
          </cell>
          <cell r="BY53" t="str">
            <v/>
          </cell>
          <cell r="BZ53" t="str">
            <v/>
          </cell>
          <cell r="CA53" t="str">
            <v/>
          </cell>
          <cell r="CC53" t="str">
            <v/>
          </cell>
          <cell r="CD53" t="str">
            <v/>
          </cell>
          <cell r="CE53" t="str">
            <v/>
          </cell>
          <cell r="CF53" t="str">
            <v/>
          </cell>
        </row>
        <row r="54">
          <cell r="A54">
            <v>76</v>
          </cell>
          <cell r="B54" t="str">
            <v>0076_コンフォートホテル名古屋新幹線口</v>
          </cell>
          <cell r="C54" t="str">
            <v>メディア</v>
          </cell>
          <cell r="D54" t="str">
            <v/>
          </cell>
          <cell r="E54" t="str">
            <v/>
          </cell>
          <cell r="F54" t="str">
            <v>メディア</v>
          </cell>
          <cell r="G54" t="str">
            <v/>
          </cell>
          <cell r="H54">
            <v>0</v>
          </cell>
          <cell r="I54">
            <v>0</v>
          </cell>
          <cell r="J54" t="b">
            <v>1</v>
          </cell>
          <cell r="K54" t="str">
            <v/>
          </cell>
          <cell r="L54">
            <v>0</v>
          </cell>
          <cell r="M54">
            <v>0</v>
          </cell>
          <cell r="N54">
            <v>0</v>
          </cell>
          <cell r="O54">
            <v>0</v>
          </cell>
          <cell r="P54">
            <v>0</v>
          </cell>
          <cell r="Q54">
            <v>0</v>
          </cell>
          <cell r="R54">
            <v>0</v>
          </cell>
          <cell r="S54" t="b">
            <v>1</v>
          </cell>
          <cell r="T54" t="str">
            <v/>
          </cell>
          <cell r="U54">
            <v>0</v>
          </cell>
          <cell r="V54">
            <v>4351380</v>
          </cell>
          <cell r="W54">
            <v>4351380</v>
          </cell>
          <cell r="X54" t="b">
            <v>0</v>
          </cell>
          <cell r="Y54">
            <v>27893.461538461539</v>
          </cell>
          <cell r="AB54">
            <v>49786.956521739135</v>
          </cell>
          <cell r="AE54">
            <v>156</v>
          </cell>
          <cell r="AF54">
            <v>156</v>
          </cell>
          <cell r="AG54" t="b">
            <v>0</v>
          </cell>
          <cell r="AH54">
            <v>186</v>
          </cell>
          <cell r="AI54">
            <v>76</v>
          </cell>
          <cell r="AJ54" t="str">
            <v/>
          </cell>
          <cell r="AK54" t="str">
            <v/>
          </cell>
          <cell r="AL54">
            <v>35</v>
          </cell>
          <cell r="AM54" t="str">
            <v/>
          </cell>
          <cell r="AN54">
            <v>-80</v>
          </cell>
          <cell r="AQ54">
            <v>-121</v>
          </cell>
          <cell r="AV54" t="str">
            <v/>
          </cell>
          <cell r="AW54" t="str">
            <v/>
          </cell>
          <cell r="AX54" t="str">
            <v/>
          </cell>
          <cell r="AY54" t="str">
            <v/>
          </cell>
          <cell r="AZ54">
            <v>32</v>
          </cell>
          <cell r="BA54" t="str">
            <v/>
          </cell>
          <cell r="BB54" t="str">
            <v/>
          </cell>
          <cell r="BC54" t="str">
            <v/>
          </cell>
          <cell r="BD54" t="str">
            <v/>
          </cell>
          <cell r="BE54">
            <v>16</v>
          </cell>
          <cell r="BF54" t="str">
            <v/>
          </cell>
          <cell r="BG54" t="str">
            <v/>
          </cell>
          <cell r="BH54" t="str">
            <v/>
          </cell>
          <cell r="BJ54" t="str">
            <v/>
          </cell>
          <cell r="BK54">
            <v>67836898.461538464</v>
          </cell>
          <cell r="BL54" t="str">
            <v/>
          </cell>
          <cell r="BM54" t="str">
            <v/>
          </cell>
          <cell r="BN54" t="str">
            <v/>
          </cell>
          <cell r="BO54" t="str">
            <v/>
          </cell>
          <cell r="BP54" t="str">
            <v/>
          </cell>
          <cell r="BQ54" t="str">
            <v/>
          </cell>
          <cell r="BR54" t="str">
            <v/>
          </cell>
          <cell r="BS54" t="str">
            <v/>
          </cell>
          <cell r="BT54">
            <v>15620338.461538462</v>
          </cell>
          <cell r="BU54" t="str">
            <v/>
          </cell>
          <cell r="BV54" t="str">
            <v/>
          </cell>
          <cell r="BW54" t="str">
            <v/>
          </cell>
          <cell r="BX54" t="str">
            <v/>
          </cell>
          <cell r="BY54" t="str">
            <v/>
          </cell>
          <cell r="BZ54" t="str">
            <v/>
          </cell>
          <cell r="CA54" t="str">
            <v/>
          </cell>
          <cell r="CC54" t="str">
            <v/>
          </cell>
          <cell r="CD54" t="str">
            <v/>
          </cell>
          <cell r="CE54" t="str">
            <v/>
          </cell>
          <cell r="CF54" t="str">
            <v/>
          </cell>
        </row>
        <row r="55">
          <cell r="A55">
            <v>77</v>
          </cell>
          <cell r="B55" t="str">
            <v>0077_相鉄フレッサイン名古屋駅桜通口</v>
          </cell>
          <cell r="C55" t="str">
            <v/>
          </cell>
          <cell r="D55" t="str">
            <v/>
          </cell>
          <cell r="E55" t="str">
            <v/>
          </cell>
          <cell r="F55" t="str">
            <v>メディア</v>
          </cell>
          <cell r="G55" t="str">
            <v/>
          </cell>
          <cell r="H55">
            <v>0</v>
          </cell>
          <cell r="I55">
            <v>0</v>
          </cell>
          <cell r="J55" t="b">
            <v>1</v>
          </cell>
          <cell r="K55" t="str">
            <v/>
          </cell>
          <cell r="L55">
            <v>0</v>
          </cell>
          <cell r="M55">
            <v>0</v>
          </cell>
          <cell r="N55">
            <v>0</v>
          </cell>
          <cell r="O55">
            <v>0</v>
          </cell>
          <cell r="P55">
            <v>0</v>
          </cell>
          <cell r="Q55">
            <v>0</v>
          </cell>
          <cell r="R55">
            <v>0</v>
          </cell>
          <cell r="S55" t="b">
            <v>1</v>
          </cell>
          <cell r="T55" t="str">
            <v/>
          </cell>
          <cell r="U55">
            <v>0</v>
          </cell>
          <cell r="V55">
            <v>7830714</v>
          </cell>
          <cell r="W55">
            <v>7830714</v>
          </cell>
          <cell r="X55" t="b">
            <v>1</v>
          </cell>
          <cell r="Y55">
            <v>37289.114285714284</v>
          </cell>
          <cell r="AB55" t="str">
            <v/>
          </cell>
          <cell r="AE55">
            <v>250</v>
          </cell>
          <cell r="AF55">
            <v>210</v>
          </cell>
          <cell r="AG55" t="b">
            <v>1</v>
          </cell>
          <cell r="AH55">
            <v>251</v>
          </cell>
          <cell r="AI55" t="str">
            <v/>
          </cell>
          <cell r="AJ55" t="str">
            <v/>
          </cell>
          <cell r="AK55" t="str">
            <v/>
          </cell>
          <cell r="AL55">
            <v>69</v>
          </cell>
          <cell r="AM55" t="str">
            <v/>
          </cell>
          <cell r="AN55" t="str">
            <v/>
          </cell>
          <cell r="AQ55">
            <v>-141</v>
          </cell>
          <cell r="AV55" t="str">
            <v/>
          </cell>
          <cell r="AW55" t="str">
            <v/>
          </cell>
          <cell r="AX55" t="str">
            <v/>
          </cell>
          <cell r="AY55" t="str">
            <v/>
          </cell>
          <cell r="AZ55" t="str">
            <v/>
          </cell>
          <cell r="BA55" t="str">
            <v/>
          </cell>
          <cell r="BB55" t="str">
            <v/>
          </cell>
          <cell r="BC55" t="str">
            <v/>
          </cell>
          <cell r="BD55" t="str">
            <v/>
          </cell>
          <cell r="BE55">
            <v>16</v>
          </cell>
          <cell r="BF55" t="str">
            <v/>
          </cell>
          <cell r="BG55" t="str">
            <v/>
          </cell>
          <cell r="BH55" t="str">
            <v/>
          </cell>
          <cell r="BJ55" t="str">
            <v/>
          </cell>
          <cell r="BK55" t="str">
            <v/>
          </cell>
          <cell r="BL55" t="str">
            <v/>
          </cell>
          <cell r="BM55" t="str">
            <v/>
          </cell>
          <cell r="BN55" t="str">
            <v/>
          </cell>
          <cell r="BO55" t="str">
            <v/>
          </cell>
          <cell r="BP55" t="str">
            <v/>
          </cell>
          <cell r="BQ55" t="str">
            <v/>
          </cell>
          <cell r="BR55" t="str">
            <v/>
          </cell>
          <cell r="BS55" t="str">
            <v/>
          </cell>
          <cell r="BT55">
            <v>41167182.171428569</v>
          </cell>
          <cell r="BU55" t="str">
            <v/>
          </cell>
          <cell r="BV55" t="str">
            <v/>
          </cell>
          <cell r="BW55" t="str">
            <v/>
          </cell>
          <cell r="BX55" t="str">
            <v/>
          </cell>
          <cell r="BY55" t="str">
            <v/>
          </cell>
          <cell r="BZ55" t="str">
            <v/>
          </cell>
          <cell r="CA55" t="str">
            <v/>
          </cell>
          <cell r="CC55" t="str">
            <v/>
          </cell>
          <cell r="CD55" t="str">
            <v/>
          </cell>
          <cell r="CE55" t="str">
            <v/>
          </cell>
          <cell r="CF55" t="str">
            <v/>
          </cell>
        </row>
        <row r="56">
          <cell r="A56">
            <v>78</v>
          </cell>
          <cell r="B56" t="str">
            <v>0078_三交インGrande名古屋-HOTEL＆SPA-</v>
          </cell>
          <cell r="C56" t="str">
            <v/>
          </cell>
          <cell r="D56" t="str">
            <v/>
          </cell>
          <cell r="E56" t="str">
            <v/>
          </cell>
          <cell r="F56" t="str">
            <v/>
          </cell>
          <cell r="G56" t="str">
            <v/>
          </cell>
          <cell r="H56">
            <v>0</v>
          </cell>
          <cell r="I56">
            <v>0</v>
          </cell>
          <cell r="J56" t="b">
            <v>1</v>
          </cell>
          <cell r="K56" t="str">
            <v/>
          </cell>
          <cell r="L56">
            <v>0</v>
          </cell>
          <cell r="M56">
            <v>0</v>
          </cell>
          <cell r="N56">
            <v>0</v>
          </cell>
          <cell r="O56">
            <v>0</v>
          </cell>
          <cell r="P56">
            <v>0</v>
          </cell>
          <cell r="Q56">
            <v>0</v>
          </cell>
          <cell r="R56">
            <v>0</v>
          </cell>
          <cell r="S56" t="b">
            <v>1</v>
          </cell>
          <cell r="T56" t="str">
            <v/>
          </cell>
          <cell r="U56">
            <v>0</v>
          </cell>
          <cell r="V56">
            <v>1647085</v>
          </cell>
          <cell r="W56">
            <v>1647085</v>
          </cell>
          <cell r="X56" t="b">
            <v>1</v>
          </cell>
          <cell r="Y56">
            <v>32941.699999999997</v>
          </cell>
          <cell r="AB56" t="str">
            <v/>
          </cell>
          <cell r="AE56">
            <v>128</v>
          </cell>
          <cell r="AF56">
            <v>50</v>
          </cell>
          <cell r="AG56" t="b">
            <v>1</v>
          </cell>
          <cell r="AH56">
            <v>136</v>
          </cell>
          <cell r="AI56" t="str">
            <v/>
          </cell>
          <cell r="AJ56" t="str">
            <v/>
          </cell>
          <cell r="AK56" t="str">
            <v/>
          </cell>
          <cell r="AL56" t="str">
            <v/>
          </cell>
          <cell r="AM56" t="str">
            <v/>
          </cell>
          <cell r="AN56" t="str">
            <v/>
          </cell>
          <cell r="AQ56" t="str">
            <v/>
          </cell>
          <cell r="AV56" t="str">
            <v/>
          </cell>
          <cell r="AW56" t="str">
            <v/>
          </cell>
          <cell r="AX56" t="str">
            <v/>
          </cell>
          <cell r="AY56" t="str">
            <v/>
          </cell>
          <cell r="AZ56" t="str">
            <v/>
          </cell>
          <cell r="BA56" t="str">
            <v/>
          </cell>
          <cell r="BB56" t="str">
            <v/>
          </cell>
          <cell r="BC56" t="str">
            <v/>
          </cell>
          <cell r="BD56" t="str">
            <v/>
          </cell>
          <cell r="BE56" t="str">
            <v/>
          </cell>
          <cell r="BF56" t="str">
            <v/>
          </cell>
          <cell r="BG56" t="str">
            <v/>
          </cell>
          <cell r="BH56" t="str">
            <v/>
          </cell>
          <cell r="BJ56" t="str">
            <v/>
          </cell>
          <cell r="BK56" t="str">
            <v/>
          </cell>
          <cell r="BL56" t="str">
            <v/>
          </cell>
          <cell r="BM56" t="str">
            <v/>
          </cell>
          <cell r="BN56" t="str">
            <v/>
          </cell>
          <cell r="BO56" t="str">
            <v/>
          </cell>
          <cell r="BP56" t="str">
            <v/>
          </cell>
          <cell r="BQ56" t="str">
            <v/>
          </cell>
          <cell r="BR56" t="str">
            <v/>
          </cell>
          <cell r="BS56" t="str">
            <v/>
          </cell>
          <cell r="BT56" t="str">
            <v/>
          </cell>
          <cell r="BU56" t="str">
            <v/>
          </cell>
          <cell r="BV56" t="str">
            <v/>
          </cell>
          <cell r="BW56" t="str">
            <v/>
          </cell>
          <cell r="BX56" t="str">
            <v/>
          </cell>
          <cell r="BY56" t="str">
            <v/>
          </cell>
          <cell r="BZ56" t="str">
            <v/>
          </cell>
          <cell r="CA56" t="str">
            <v/>
          </cell>
          <cell r="CC56" t="str">
            <v/>
          </cell>
          <cell r="CD56" t="str">
            <v/>
          </cell>
          <cell r="CE56" t="str">
            <v/>
          </cell>
          <cell r="CF56" t="str">
            <v/>
          </cell>
        </row>
        <row r="57">
          <cell r="A57">
            <v>79</v>
          </cell>
          <cell r="B57" t="str">
            <v>0079_ニッコースタイル名古屋</v>
          </cell>
          <cell r="C57" t="str">
            <v/>
          </cell>
          <cell r="D57" t="str">
            <v>選手12000</v>
          </cell>
          <cell r="E57" t="str">
            <v/>
          </cell>
          <cell r="F57" t="str">
            <v>選手</v>
          </cell>
          <cell r="G57" t="str">
            <v/>
          </cell>
          <cell r="H57">
            <v>0</v>
          </cell>
          <cell r="I57">
            <v>0</v>
          </cell>
          <cell r="J57" t="b">
            <v>1</v>
          </cell>
          <cell r="K57">
            <v>0</v>
          </cell>
          <cell r="L57">
            <v>0</v>
          </cell>
          <cell r="M57">
            <v>0</v>
          </cell>
          <cell r="N57">
            <v>0</v>
          </cell>
          <cell r="O57">
            <v>0</v>
          </cell>
          <cell r="P57">
            <v>0</v>
          </cell>
          <cell r="Q57">
            <v>0</v>
          </cell>
          <cell r="R57">
            <v>0</v>
          </cell>
          <cell r="S57" t="b">
            <v>1</v>
          </cell>
          <cell r="T57" t="str">
            <v/>
          </cell>
          <cell r="U57">
            <v>0</v>
          </cell>
          <cell r="V57">
            <v>13848126</v>
          </cell>
          <cell r="W57">
            <v>13848126</v>
          </cell>
          <cell r="X57" t="b">
            <v>1</v>
          </cell>
          <cell r="Y57">
            <v>72503.277486911</v>
          </cell>
          <cell r="AB57" t="str">
            <v/>
          </cell>
          <cell r="AC57">
            <v>3400</v>
          </cell>
          <cell r="AE57">
            <v>191</v>
          </cell>
          <cell r="AF57">
            <v>191</v>
          </cell>
          <cell r="AG57" t="b">
            <v>1</v>
          </cell>
          <cell r="AH57">
            <v>292</v>
          </cell>
          <cell r="AI57" t="str">
            <v/>
          </cell>
          <cell r="AJ57" t="str">
            <v/>
          </cell>
          <cell r="AK57" t="str">
            <v/>
          </cell>
          <cell r="AL57">
            <v>191</v>
          </cell>
          <cell r="AM57" t="str">
            <v/>
          </cell>
          <cell r="AN57" t="str">
            <v/>
          </cell>
          <cell r="AQ57">
            <v>0</v>
          </cell>
          <cell r="AV57" t="str">
            <v/>
          </cell>
          <cell r="AW57">
            <v>17</v>
          </cell>
          <cell r="AX57" t="str">
            <v/>
          </cell>
          <cell r="AY57" t="str">
            <v/>
          </cell>
          <cell r="AZ57" t="str">
            <v/>
          </cell>
          <cell r="BA57" t="str">
            <v/>
          </cell>
          <cell r="BB57" t="str">
            <v/>
          </cell>
          <cell r="BC57">
            <v>18</v>
          </cell>
          <cell r="BD57" t="str">
            <v/>
          </cell>
          <cell r="BE57" t="str">
            <v/>
          </cell>
          <cell r="BF57" t="str">
            <v/>
          </cell>
          <cell r="BG57" t="str">
            <v/>
          </cell>
          <cell r="BH57" t="str">
            <v/>
          </cell>
          <cell r="BI57">
            <v>235418142</v>
          </cell>
          <cell r="BJ57" t="str">
            <v/>
          </cell>
          <cell r="BK57" t="str">
            <v/>
          </cell>
          <cell r="BL57" t="str">
            <v/>
          </cell>
          <cell r="BM57" t="str">
            <v/>
          </cell>
          <cell r="BN57" t="str">
            <v/>
          </cell>
          <cell r="BO57" t="str">
            <v/>
          </cell>
          <cell r="BP57">
            <v>249266268.00000003</v>
          </cell>
          <cell r="BQ57">
            <v>249266268.00000003</v>
          </cell>
          <cell r="BR57" t="str">
            <v/>
          </cell>
          <cell r="BS57" t="str">
            <v/>
          </cell>
          <cell r="BT57" t="str">
            <v/>
          </cell>
          <cell r="BU57" t="str">
            <v/>
          </cell>
          <cell r="BV57" t="str">
            <v/>
          </cell>
          <cell r="BW57" t="str">
            <v/>
          </cell>
          <cell r="BX57" t="str">
            <v/>
          </cell>
          <cell r="BY57" t="str">
            <v/>
          </cell>
          <cell r="BZ57" t="str">
            <v/>
          </cell>
          <cell r="CA57" t="str">
            <v/>
          </cell>
          <cell r="CC57" t="str">
            <v/>
          </cell>
          <cell r="CD57" t="str">
            <v/>
          </cell>
          <cell r="CE57" t="str">
            <v/>
          </cell>
          <cell r="CF57" t="str">
            <v/>
          </cell>
        </row>
        <row r="58">
          <cell r="A58">
            <v>80</v>
          </cell>
          <cell r="B58" t="str">
            <v>0080_アパホテル&lt;名古屋駅新幹線口北&gt;</v>
          </cell>
          <cell r="C58" t="str">
            <v>メディア</v>
          </cell>
          <cell r="D58" t="str">
            <v/>
          </cell>
          <cell r="E58" t="str">
            <v/>
          </cell>
          <cell r="F58" t="str">
            <v>メディア</v>
          </cell>
          <cell r="G58" t="str">
            <v/>
          </cell>
          <cell r="H58">
            <v>0</v>
          </cell>
          <cell r="I58">
            <v>0</v>
          </cell>
          <cell r="J58" t="b">
            <v>1</v>
          </cell>
          <cell r="K58" t="str">
            <v/>
          </cell>
          <cell r="L58">
            <v>0</v>
          </cell>
          <cell r="M58">
            <v>0</v>
          </cell>
          <cell r="N58">
            <v>0</v>
          </cell>
          <cell r="O58">
            <v>0</v>
          </cell>
          <cell r="P58">
            <v>0</v>
          </cell>
          <cell r="Q58">
            <v>0</v>
          </cell>
          <cell r="R58">
            <v>0</v>
          </cell>
          <cell r="S58" t="b">
            <v>1</v>
          </cell>
          <cell r="T58" t="str">
            <v/>
          </cell>
          <cell r="U58">
            <v>0</v>
          </cell>
          <cell r="V58">
            <v>3860282</v>
          </cell>
          <cell r="W58">
            <v>3860282</v>
          </cell>
          <cell r="X58" t="b">
            <v>1</v>
          </cell>
          <cell r="Y58">
            <v>27185.084507042255</v>
          </cell>
          <cell r="AB58">
            <v>23806.857847671912</v>
          </cell>
          <cell r="AE58">
            <v>288</v>
          </cell>
          <cell r="AF58">
            <v>142</v>
          </cell>
          <cell r="AG58" t="b">
            <v>1</v>
          </cell>
          <cell r="AH58">
            <v>288</v>
          </cell>
          <cell r="AI58">
            <v>141</v>
          </cell>
          <cell r="AJ58" t="str">
            <v/>
          </cell>
          <cell r="AK58" t="str">
            <v/>
          </cell>
          <cell r="AL58">
            <v>98</v>
          </cell>
          <cell r="AM58" t="str">
            <v/>
          </cell>
          <cell r="AN58">
            <v>-1</v>
          </cell>
          <cell r="AQ58">
            <v>-44</v>
          </cell>
          <cell r="AV58" t="str">
            <v/>
          </cell>
          <cell r="AW58" t="str">
            <v/>
          </cell>
          <cell r="AX58" t="str">
            <v/>
          </cell>
          <cell r="AY58" t="str">
            <v/>
          </cell>
          <cell r="AZ58">
            <v>32</v>
          </cell>
          <cell r="BA58" t="str">
            <v/>
          </cell>
          <cell r="BB58" t="str">
            <v/>
          </cell>
          <cell r="BC58" t="str">
            <v/>
          </cell>
          <cell r="BD58" t="str">
            <v/>
          </cell>
          <cell r="BE58">
            <v>16</v>
          </cell>
          <cell r="BF58" t="str">
            <v/>
          </cell>
          <cell r="BG58" t="str">
            <v/>
          </cell>
          <cell r="BH58" t="str">
            <v/>
          </cell>
          <cell r="BJ58" t="str">
            <v/>
          </cell>
          <cell r="BK58">
            <v>122659101.29577465</v>
          </cell>
          <cell r="BL58" t="str">
            <v/>
          </cell>
          <cell r="BM58" t="str">
            <v/>
          </cell>
          <cell r="BN58" t="str">
            <v/>
          </cell>
          <cell r="BO58" t="str">
            <v/>
          </cell>
          <cell r="BP58" t="str">
            <v/>
          </cell>
          <cell r="BQ58" t="str">
            <v/>
          </cell>
          <cell r="BR58" t="str">
            <v/>
          </cell>
          <cell r="BS58" t="str">
            <v/>
          </cell>
          <cell r="BT58">
            <v>42626212.507042259</v>
          </cell>
          <cell r="BU58" t="str">
            <v/>
          </cell>
          <cell r="BV58" t="str">
            <v/>
          </cell>
          <cell r="BW58" t="str">
            <v/>
          </cell>
          <cell r="BX58" t="str">
            <v/>
          </cell>
          <cell r="BY58" t="str">
            <v/>
          </cell>
          <cell r="BZ58" t="str">
            <v/>
          </cell>
          <cell r="CA58" t="str">
            <v/>
          </cell>
          <cell r="CC58" t="str">
            <v/>
          </cell>
          <cell r="CD58" t="str">
            <v/>
          </cell>
          <cell r="CE58" t="str">
            <v/>
          </cell>
          <cell r="CF58" t="str">
            <v/>
          </cell>
        </row>
        <row r="59">
          <cell r="A59">
            <v>81</v>
          </cell>
          <cell r="B59" t="str">
            <v>0081_イビススタイルズ名古屋</v>
          </cell>
          <cell r="C59" t="str">
            <v>スポンサー</v>
          </cell>
          <cell r="D59" t="str">
            <v>選手12000</v>
          </cell>
          <cell r="E59" t="str">
            <v/>
          </cell>
          <cell r="F59" t="str">
            <v/>
          </cell>
          <cell r="G59" t="str">
            <v/>
          </cell>
          <cell r="H59">
            <v>1</v>
          </cell>
          <cell r="I59">
            <v>1</v>
          </cell>
          <cell r="J59" t="b">
            <v>1</v>
          </cell>
          <cell r="K59" t="str">
            <v/>
          </cell>
          <cell r="L59">
            <v>352942</v>
          </cell>
          <cell r="M59">
            <v>0</v>
          </cell>
          <cell r="N59">
            <v>0</v>
          </cell>
          <cell r="O59">
            <v>0</v>
          </cell>
          <cell r="P59">
            <v>0</v>
          </cell>
          <cell r="Q59">
            <v>388236.2</v>
          </cell>
          <cell r="R59">
            <v>388236</v>
          </cell>
          <cell r="S59" t="b">
            <v>1</v>
          </cell>
          <cell r="T59">
            <v>388236</v>
          </cell>
          <cell r="U59">
            <v>0</v>
          </cell>
          <cell r="V59">
            <v>11026158</v>
          </cell>
          <cell r="W59">
            <v>11026158</v>
          </cell>
          <cell r="X59" t="b">
            <v>1</v>
          </cell>
          <cell r="Y59">
            <v>38824.5</v>
          </cell>
          <cell r="AB59">
            <v>33760.434782608696</v>
          </cell>
          <cell r="AC59">
            <v>2200</v>
          </cell>
          <cell r="AE59">
            <v>284</v>
          </cell>
          <cell r="AF59">
            <v>284</v>
          </cell>
          <cell r="AG59" t="b">
            <v>1</v>
          </cell>
          <cell r="AH59">
            <v>476</v>
          </cell>
          <cell r="AI59">
            <v>284</v>
          </cell>
          <cell r="AJ59" t="str">
            <v/>
          </cell>
          <cell r="AK59" t="str">
            <v/>
          </cell>
          <cell r="AL59" t="str">
            <v/>
          </cell>
          <cell r="AM59" t="str">
            <v/>
          </cell>
          <cell r="AN59">
            <v>0</v>
          </cell>
          <cell r="AQ59" t="str">
            <v/>
          </cell>
          <cell r="AV59" t="str">
            <v/>
          </cell>
          <cell r="AW59">
            <v>24</v>
          </cell>
          <cell r="AX59">
            <v>18</v>
          </cell>
          <cell r="AY59" t="str">
            <v/>
          </cell>
          <cell r="AZ59" t="str">
            <v/>
          </cell>
          <cell r="BA59" t="str">
            <v/>
          </cell>
          <cell r="BB59" t="str">
            <v/>
          </cell>
          <cell r="BC59" t="str">
            <v/>
          </cell>
          <cell r="BD59" t="str">
            <v/>
          </cell>
          <cell r="BE59" t="str">
            <v/>
          </cell>
          <cell r="BF59" t="str">
            <v/>
          </cell>
          <cell r="BG59" t="str">
            <v/>
          </cell>
          <cell r="BH59" t="str">
            <v/>
          </cell>
          <cell r="BI59">
            <v>264627792</v>
          </cell>
          <cell r="BJ59" t="str">
            <v/>
          </cell>
          <cell r="BK59" t="str">
            <v/>
          </cell>
          <cell r="BL59">
            <v>198470844</v>
          </cell>
          <cell r="BM59" t="str">
            <v/>
          </cell>
          <cell r="BN59" t="str">
            <v/>
          </cell>
          <cell r="BO59" t="str">
            <v/>
          </cell>
          <cell r="BP59" t="str">
            <v/>
          </cell>
          <cell r="BQ59" t="str">
            <v/>
          </cell>
          <cell r="BR59" t="str">
            <v/>
          </cell>
          <cell r="BS59" t="str">
            <v/>
          </cell>
          <cell r="BT59" t="str">
            <v/>
          </cell>
          <cell r="BU59" t="str">
            <v/>
          </cell>
          <cell r="BV59" t="str">
            <v/>
          </cell>
          <cell r="BW59" t="str">
            <v/>
          </cell>
          <cell r="BX59" t="str">
            <v/>
          </cell>
          <cell r="BY59">
            <v>9317664</v>
          </cell>
          <cell r="BZ59" t="str">
            <v/>
          </cell>
          <cell r="CA59" t="str">
            <v/>
          </cell>
          <cell r="CC59" t="str">
            <v/>
          </cell>
          <cell r="CD59" t="str">
            <v/>
          </cell>
          <cell r="CE59" t="str">
            <v/>
          </cell>
          <cell r="CF59" t="str">
            <v/>
          </cell>
        </row>
        <row r="60">
          <cell r="A60">
            <v>82</v>
          </cell>
          <cell r="B60" t="str">
            <v>0082_アパホテル&lt;名古屋駅新幹線口南&gt;</v>
          </cell>
          <cell r="C60" t="str">
            <v>メディア</v>
          </cell>
          <cell r="D60" t="str">
            <v/>
          </cell>
          <cell r="E60" t="str">
            <v/>
          </cell>
          <cell r="F60" t="str">
            <v>メディア</v>
          </cell>
          <cell r="G60" t="str">
            <v/>
          </cell>
          <cell r="H60">
            <v>0</v>
          </cell>
          <cell r="I60">
            <v>0</v>
          </cell>
          <cell r="J60" t="b">
            <v>1</v>
          </cell>
          <cell r="K60" t="str">
            <v/>
          </cell>
          <cell r="L60">
            <v>0</v>
          </cell>
          <cell r="M60">
            <v>0</v>
          </cell>
          <cell r="N60">
            <v>0</v>
          </cell>
          <cell r="O60">
            <v>0</v>
          </cell>
          <cell r="P60">
            <v>0</v>
          </cell>
          <cell r="Q60">
            <v>0</v>
          </cell>
          <cell r="R60">
            <v>0</v>
          </cell>
          <cell r="S60" t="b">
            <v>1</v>
          </cell>
          <cell r="T60" t="str">
            <v/>
          </cell>
          <cell r="U60">
            <v>0</v>
          </cell>
          <cell r="V60">
            <v>2372777</v>
          </cell>
          <cell r="W60">
            <v>2372777</v>
          </cell>
          <cell r="X60" t="b">
            <v>1</v>
          </cell>
          <cell r="Y60">
            <v>24976.6</v>
          </cell>
          <cell r="AB60">
            <v>21949.833487511565</v>
          </cell>
          <cell r="AE60">
            <v>191</v>
          </cell>
          <cell r="AF60">
            <v>95</v>
          </cell>
          <cell r="AG60" t="b">
            <v>1</v>
          </cell>
          <cell r="AH60">
            <v>191</v>
          </cell>
          <cell r="AI60">
            <v>94</v>
          </cell>
          <cell r="AJ60" t="str">
            <v/>
          </cell>
          <cell r="AK60" t="str">
            <v/>
          </cell>
          <cell r="AL60">
            <v>66</v>
          </cell>
          <cell r="AM60" t="str">
            <v/>
          </cell>
          <cell r="AN60">
            <v>-1</v>
          </cell>
          <cell r="AQ60">
            <v>-29</v>
          </cell>
          <cell r="AV60" t="str">
            <v/>
          </cell>
          <cell r="AW60" t="str">
            <v/>
          </cell>
          <cell r="AX60" t="str">
            <v/>
          </cell>
          <cell r="AY60" t="str">
            <v/>
          </cell>
          <cell r="AZ60">
            <v>32</v>
          </cell>
          <cell r="BA60" t="str">
            <v/>
          </cell>
          <cell r="BB60" t="str">
            <v/>
          </cell>
          <cell r="BC60" t="str">
            <v/>
          </cell>
          <cell r="BD60" t="str">
            <v/>
          </cell>
          <cell r="BE60">
            <v>16</v>
          </cell>
          <cell r="BF60" t="str">
            <v/>
          </cell>
          <cell r="BG60" t="str">
            <v/>
          </cell>
          <cell r="BH60" t="str">
            <v/>
          </cell>
          <cell r="BJ60" t="str">
            <v/>
          </cell>
          <cell r="BK60">
            <v>75129612.799999997</v>
          </cell>
          <cell r="BL60" t="str">
            <v/>
          </cell>
          <cell r="BM60" t="str">
            <v/>
          </cell>
          <cell r="BN60" t="str">
            <v/>
          </cell>
          <cell r="BO60" t="str">
            <v/>
          </cell>
          <cell r="BP60" t="str">
            <v/>
          </cell>
          <cell r="BQ60" t="str">
            <v/>
          </cell>
          <cell r="BR60" t="str">
            <v/>
          </cell>
          <cell r="BS60" t="str">
            <v/>
          </cell>
          <cell r="BT60">
            <v>26375289.599999998</v>
          </cell>
          <cell r="BU60" t="str">
            <v/>
          </cell>
          <cell r="BV60" t="str">
            <v/>
          </cell>
          <cell r="BW60" t="str">
            <v/>
          </cell>
          <cell r="BX60" t="str">
            <v/>
          </cell>
          <cell r="BY60" t="str">
            <v/>
          </cell>
          <cell r="BZ60" t="str">
            <v/>
          </cell>
          <cell r="CA60" t="str">
            <v/>
          </cell>
          <cell r="CC60" t="str">
            <v/>
          </cell>
          <cell r="CD60" t="str">
            <v/>
          </cell>
          <cell r="CE60" t="str">
            <v/>
          </cell>
          <cell r="CF60" t="str">
            <v/>
          </cell>
        </row>
        <row r="61">
          <cell r="A61">
            <v>83</v>
          </cell>
          <cell r="B61" t="str">
            <v>0083_R&amp;Bホテル名古屋駅前</v>
          </cell>
          <cell r="C61" t="str">
            <v/>
          </cell>
          <cell r="D61" t="str">
            <v/>
          </cell>
          <cell r="E61" t="str">
            <v/>
          </cell>
          <cell r="F61" t="str">
            <v>メディア</v>
          </cell>
          <cell r="G61" t="str">
            <v/>
          </cell>
          <cell r="H61">
            <v>0</v>
          </cell>
          <cell r="I61">
            <v>0</v>
          </cell>
          <cell r="J61" t="b">
            <v>1</v>
          </cell>
          <cell r="K61" t="str">
            <v/>
          </cell>
          <cell r="L61">
            <v>0</v>
          </cell>
          <cell r="M61">
            <v>0</v>
          </cell>
          <cell r="N61">
            <v>0</v>
          </cell>
          <cell r="O61">
            <v>0</v>
          </cell>
          <cell r="P61">
            <v>0</v>
          </cell>
          <cell r="Q61">
            <v>0</v>
          </cell>
          <cell r="R61">
            <v>0</v>
          </cell>
          <cell r="S61" t="b">
            <v>1</v>
          </cell>
          <cell r="T61" t="str">
            <v/>
          </cell>
          <cell r="U61">
            <v>0</v>
          </cell>
          <cell r="V61">
            <v>1980143</v>
          </cell>
          <cell r="W61">
            <v>1980143</v>
          </cell>
          <cell r="X61" t="b">
            <v>1</v>
          </cell>
          <cell r="Y61">
            <v>11647.9</v>
          </cell>
          <cell r="AB61" t="str">
            <v/>
          </cell>
          <cell r="AE61">
            <v>237</v>
          </cell>
          <cell r="AF61">
            <v>170</v>
          </cell>
          <cell r="AG61" t="b">
            <v>1</v>
          </cell>
          <cell r="AH61">
            <v>237</v>
          </cell>
          <cell r="AI61" t="str">
            <v/>
          </cell>
          <cell r="AJ61" t="str">
            <v/>
          </cell>
          <cell r="AK61" t="str">
            <v/>
          </cell>
          <cell r="AL61">
            <v>48</v>
          </cell>
          <cell r="AM61" t="str">
            <v/>
          </cell>
          <cell r="AN61" t="str">
            <v/>
          </cell>
          <cell r="AQ61">
            <v>-122</v>
          </cell>
          <cell r="AV61" t="str">
            <v/>
          </cell>
          <cell r="AW61" t="str">
            <v/>
          </cell>
          <cell r="AX61" t="str">
            <v/>
          </cell>
          <cell r="AY61" t="str">
            <v/>
          </cell>
          <cell r="AZ61" t="str">
            <v/>
          </cell>
          <cell r="BA61" t="str">
            <v/>
          </cell>
          <cell r="BB61" t="str">
            <v/>
          </cell>
          <cell r="BC61" t="str">
            <v/>
          </cell>
          <cell r="BD61" t="str">
            <v/>
          </cell>
          <cell r="BE61">
            <v>16</v>
          </cell>
          <cell r="BF61" t="str">
            <v/>
          </cell>
          <cell r="BG61" t="str">
            <v/>
          </cell>
          <cell r="BH61" t="str">
            <v/>
          </cell>
          <cell r="BJ61" t="str">
            <v/>
          </cell>
          <cell r="BK61" t="str">
            <v/>
          </cell>
          <cell r="BL61" t="str">
            <v/>
          </cell>
          <cell r="BM61" t="str">
            <v/>
          </cell>
          <cell r="BN61" t="str">
            <v/>
          </cell>
          <cell r="BO61" t="str">
            <v/>
          </cell>
          <cell r="BP61" t="str">
            <v/>
          </cell>
          <cell r="BQ61" t="str">
            <v/>
          </cell>
          <cell r="BR61" t="str">
            <v/>
          </cell>
          <cell r="BS61" t="str">
            <v/>
          </cell>
          <cell r="BT61">
            <v>8945587.1999999993</v>
          </cell>
          <cell r="BU61" t="str">
            <v/>
          </cell>
          <cell r="BV61" t="str">
            <v/>
          </cell>
          <cell r="BW61" t="str">
            <v/>
          </cell>
          <cell r="BX61" t="str">
            <v/>
          </cell>
          <cell r="BY61" t="str">
            <v/>
          </cell>
          <cell r="BZ61" t="str">
            <v/>
          </cell>
          <cell r="CA61" t="str">
            <v/>
          </cell>
          <cell r="CC61" t="str">
            <v/>
          </cell>
          <cell r="CD61" t="str">
            <v/>
          </cell>
          <cell r="CE61" t="str">
            <v/>
          </cell>
          <cell r="CF61" t="str">
            <v/>
          </cell>
        </row>
        <row r="62">
          <cell r="A62">
            <v>84</v>
          </cell>
          <cell r="B62" t="str">
            <v>0084_コンフォートホテル名古屋名駅南</v>
          </cell>
          <cell r="C62" t="str">
            <v/>
          </cell>
          <cell r="D62" t="str">
            <v/>
          </cell>
          <cell r="E62" t="str">
            <v/>
          </cell>
          <cell r="F62" t="str">
            <v>メディア</v>
          </cell>
          <cell r="G62" t="str">
            <v/>
          </cell>
          <cell r="H62">
            <v>0</v>
          </cell>
          <cell r="I62">
            <v>0</v>
          </cell>
          <cell r="J62" t="b">
            <v>1</v>
          </cell>
          <cell r="K62" t="str">
            <v/>
          </cell>
          <cell r="L62">
            <v>0</v>
          </cell>
          <cell r="M62">
            <v>0</v>
          </cell>
          <cell r="N62">
            <v>0</v>
          </cell>
          <cell r="O62">
            <v>0</v>
          </cell>
          <cell r="P62">
            <v>0</v>
          </cell>
          <cell r="Q62">
            <v>0</v>
          </cell>
          <cell r="R62">
            <v>0</v>
          </cell>
          <cell r="S62" t="b">
            <v>1</v>
          </cell>
          <cell r="T62" t="str">
            <v/>
          </cell>
          <cell r="U62">
            <v>0</v>
          </cell>
          <cell r="V62">
            <v>4840055</v>
          </cell>
          <cell r="W62">
            <v>4840055</v>
          </cell>
          <cell r="X62" t="b">
            <v>1</v>
          </cell>
          <cell r="Y62">
            <v>32267.033333333333</v>
          </cell>
          <cell r="AB62" t="str">
            <v/>
          </cell>
          <cell r="AE62">
            <v>178</v>
          </cell>
          <cell r="AF62">
            <v>150</v>
          </cell>
          <cell r="AG62" t="b">
            <v>1</v>
          </cell>
          <cell r="AH62">
            <v>230</v>
          </cell>
          <cell r="AI62" t="str">
            <v/>
          </cell>
          <cell r="AJ62" t="str">
            <v/>
          </cell>
          <cell r="AK62" t="str">
            <v/>
          </cell>
          <cell r="AL62">
            <v>34</v>
          </cell>
          <cell r="AM62" t="str">
            <v/>
          </cell>
          <cell r="AN62" t="str">
            <v/>
          </cell>
          <cell r="AQ62">
            <v>-116</v>
          </cell>
          <cell r="AV62" t="str">
            <v/>
          </cell>
          <cell r="AW62" t="str">
            <v/>
          </cell>
          <cell r="AX62" t="str">
            <v/>
          </cell>
          <cell r="AY62" t="str">
            <v/>
          </cell>
          <cell r="AZ62" t="str">
            <v/>
          </cell>
          <cell r="BA62" t="str">
            <v/>
          </cell>
          <cell r="BB62" t="str">
            <v/>
          </cell>
          <cell r="BC62" t="str">
            <v/>
          </cell>
          <cell r="BD62" t="str">
            <v/>
          </cell>
          <cell r="BE62">
            <v>16</v>
          </cell>
          <cell r="BF62" t="str">
            <v/>
          </cell>
          <cell r="BG62" t="str">
            <v/>
          </cell>
          <cell r="BH62" t="str">
            <v/>
          </cell>
          <cell r="BJ62" t="str">
            <v/>
          </cell>
          <cell r="BK62" t="str">
            <v/>
          </cell>
          <cell r="BL62" t="str">
            <v/>
          </cell>
          <cell r="BM62" t="str">
            <v/>
          </cell>
          <cell r="BN62" t="str">
            <v/>
          </cell>
          <cell r="BO62" t="str">
            <v/>
          </cell>
          <cell r="BP62" t="str">
            <v/>
          </cell>
          <cell r="BQ62" t="str">
            <v/>
          </cell>
          <cell r="BR62" t="str">
            <v/>
          </cell>
          <cell r="BS62" t="str">
            <v/>
          </cell>
          <cell r="BT62">
            <v>17553266.133333333</v>
          </cell>
          <cell r="BU62" t="str">
            <v/>
          </cell>
          <cell r="BV62" t="str">
            <v/>
          </cell>
          <cell r="BW62" t="str">
            <v/>
          </cell>
          <cell r="BX62" t="str">
            <v/>
          </cell>
          <cell r="BY62" t="str">
            <v/>
          </cell>
          <cell r="BZ62" t="str">
            <v/>
          </cell>
          <cell r="CA62" t="str">
            <v/>
          </cell>
          <cell r="CC62" t="str">
            <v/>
          </cell>
          <cell r="CD62" t="str">
            <v/>
          </cell>
          <cell r="CE62" t="str">
            <v/>
          </cell>
          <cell r="CF62" t="str">
            <v/>
          </cell>
        </row>
        <row r="63">
          <cell r="A63">
            <v>90</v>
          </cell>
          <cell r="B63" t="str">
            <v>0090_名古屋観光ホテル</v>
          </cell>
          <cell r="C63" t="str">
            <v/>
          </cell>
          <cell r="D63" t="str">
            <v>ファミリー</v>
          </cell>
          <cell r="E63" t="str">
            <v/>
          </cell>
          <cell r="F63" t="str">
            <v>スポンサー</v>
          </cell>
          <cell r="G63" t="str">
            <v/>
          </cell>
          <cell r="H63">
            <v>22</v>
          </cell>
          <cell r="I63">
            <v>16</v>
          </cell>
          <cell r="J63" t="b">
            <v>1</v>
          </cell>
          <cell r="K63">
            <v>6</v>
          </cell>
          <cell r="L63">
            <v>28712948</v>
          </cell>
          <cell r="M63">
            <v>941184</v>
          </cell>
          <cell r="N63">
            <v>0</v>
          </cell>
          <cell r="O63">
            <v>0</v>
          </cell>
          <cell r="P63">
            <v>0</v>
          </cell>
          <cell r="Q63">
            <v>32619545.200000003</v>
          </cell>
          <cell r="R63">
            <v>32619545</v>
          </cell>
          <cell r="S63" t="b">
            <v>1</v>
          </cell>
          <cell r="T63">
            <v>2038721.5625</v>
          </cell>
          <cell r="U63">
            <v>0</v>
          </cell>
          <cell r="V63">
            <v>11968122</v>
          </cell>
          <cell r="W63">
            <v>11968122</v>
          </cell>
          <cell r="X63" t="b">
            <v>1</v>
          </cell>
          <cell r="Y63">
            <v>52035.313043478258</v>
          </cell>
          <cell r="AB63" t="str">
            <v/>
          </cell>
          <cell r="AE63">
            <v>233</v>
          </cell>
          <cell r="AF63">
            <v>230</v>
          </cell>
          <cell r="AG63" t="b">
            <v>1</v>
          </cell>
          <cell r="AH63">
            <v>339</v>
          </cell>
          <cell r="AI63" t="str">
            <v/>
          </cell>
          <cell r="AJ63">
            <v>170</v>
          </cell>
          <cell r="AK63" t="str">
            <v/>
          </cell>
          <cell r="AL63">
            <v>117</v>
          </cell>
          <cell r="AM63" t="str">
            <v/>
          </cell>
          <cell r="AN63" t="str">
            <v/>
          </cell>
          <cell r="AQ63">
            <v>-113</v>
          </cell>
          <cell r="AV63" t="str">
            <v/>
          </cell>
          <cell r="AW63" t="str">
            <v/>
          </cell>
          <cell r="AX63" t="str">
            <v/>
          </cell>
          <cell r="AY63">
            <v>20</v>
          </cell>
          <cell r="AZ63" t="str">
            <v/>
          </cell>
          <cell r="BA63" t="str">
            <v/>
          </cell>
          <cell r="BB63" t="str">
            <v/>
          </cell>
          <cell r="BC63" t="str">
            <v/>
          </cell>
          <cell r="BD63">
            <v>9</v>
          </cell>
          <cell r="BE63" t="str">
            <v/>
          </cell>
          <cell r="BF63" t="str">
            <v/>
          </cell>
          <cell r="BG63" t="str">
            <v/>
          </cell>
          <cell r="BH63" t="str">
            <v/>
          </cell>
          <cell r="BJ63">
            <v>176920064.34782609</v>
          </cell>
          <cell r="BK63" t="str">
            <v/>
          </cell>
          <cell r="BL63" t="str">
            <v/>
          </cell>
          <cell r="BM63" t="str">
            <v/>
          </cell>
          <cell r="BN63" t="str">
            <v/>
          </cell>
          <cell r="BO63" t="str">
            <v/>
          </cell>
          <cell r="BP63" t="str">
            <v/>
          </cell>
          <cell r="BQ63" t="str">
            <v/>
          </cell>
          <cell r="BR63" t="str">
            <v/>
          </cell>
          <cell r="BS63" t="str">
            <v/>
          </cell>
          <cell r="BT63" t="str">
            <v/>
          </cell>
          <cell r="BU63">
            <v>54793184.634782605</v>
          </cell>
          <cell r="BV63" t="str">
            <v/>
          </cell>
          <cell r="BW63" t="str">
            <v/>
          </cell>
          <cell r="BX63" t="str">
            <v/>
          </cell>
          <cell r="BY63" t="str">
            <v/>
          </cell>
          <cell r="BZ63">
            <v>652390900</v>
          </cell>
          <cell r="CA63" t="str">
            <v/>
          </cell>
          <cell r="CC63" t="str">
            <v/>
          </cell>
          <cell r="CD63" t="str">
            <v/>
          </cell>
          <cell r="CE63" t="str">
            <v/>
          </cell>
          <cell r="CF63" t="str">
            <v/>
          </cell>
        </row>
        <row r="64">
          <cell r="A64">
            <v>92</v>
          </cell>
          <cell r="B64" t="str">
            <v>0092_国家公務員共済組合連合会名古屋共済会館</v>
          </cell>
          <cell r="C64" t="str">
            <v/>
          </cell>
          <cell r="D64" t="str">
            <v/>
          </cell>
          <cell r="E64" t="str">
            <v/>
          </cell>
          <cell r="F64" t="str">
            <v>技術役員</v>
          </cell>
          <cell r="G64" t="str">
            <v/>
          </cell>
          <cell r="H64">
            <v>8</v>
          </cell>
          <cell r="I64">
            <v>7</v>
          </cell>
          <cell r="J64" t="b">
            <v>1</v>
          </cell>
          <cell r="K64" t="str">
            <v/>
          </cell>
          <cell r="L64">
            <v>4023531</v>
          </cell>
          <cell r="M64">
            <v>0</v>
          </cell>
          <cell r="N64">
            <v>0</v>
          </cell>
          <cell r="O64">
            <v>0</v>
          </cell>
          <cell r="P64">
            <v>0</v>
          </cell>
          <cell r="Q64">
            <v>4425884.1000000006</v>
          </cell>
          <cell r="R64">
            <v>4425884</v>
          </cell>
          <cell r="S64" t="b">
            <v>1</v>
          </cell>
          <cell r="T64">
            <v>632269.14285714284</v>
          </cell>
          <cell r="U64">
            <v>0</v>
          </cell>
          <cell r="V64">
            <v>1493012</v>
          </cell>
          <cell r="W64">
            <v>1493012</v>
          </cell>
          <cell r="X64" t="b">
            <v>1</v>
          </cell>
          <cell r="Y64">
            <v>14085.018867924528</v>
          </cell>
          <cell r="AB64" t="str">
            <v/>
          </cell>
          <cell r="AE64">
            <v>106</v>
          </cell>
          <cell r="AF64">
            <v>106</v>
          </cell>
          <cell r="AG64" t="b">
            <v>1</v>
          </cell>
          <cell r="AH64">
            <v>146</v>
          </cell>
          <cell r="AI64" t="str">
            <v/>
          </cell>
          <cell r="AJ64" t="str">
            <v/>
          </cell>
          <cell r="AK64" t="str">
            <v/>
          </cell>
          <cell r="AL64">
            <v>104</v>
          </cell>
          <cell r="AM64" t="str">
            <v/>
          </cell>
          <cell r="AN64" t="str">
            <v/>
          </cell>
          <cell r="AQ64">
            <v>-2</v>
          </cell>
          <cell r="AV64" t="str">
            <v/>
          </cell>
          <cell r="AW64" t="str">
            <v/>
          </cell>
          <cell r="AX64" t="str">
            <v/>
          </cell>
          <cell r="AY64" t="str">
            <v/>
          </cell>
          <cell r="AZ64" t="str">
            <v/>
          </cell>
          <cell r="BA64" t="str">
            <v/>
          </cell>
          <cell r="BB64" t="str">
            <v/>
          </cell>
          <cell r="BC64" t="str">
            <v/>
          </cell>
          <cell r="BD64" t="str">
            <v/>
          </cell>
          <cell r="BE64" t="str">
            <v/>
          </cell>
          <cell r="BF64">
            <v>10</v>
          </cell>
          <cell r="BG64" t="str">
            <v/>
          </cell>
          <cell r="BH64" t="str">
            <v/>
          </cell>
          <cell r="BJ64" t="str">
            <v/>
          </cell>
          <cell r="BK64" t="str">
            <v/>
          </cell>
          <cell r="BL64" t="str">
            <v/>
          </cell>
          <cell r="BM64" t="str">
            <v/>
          </cell>
          <cell r="BN64" t="str">
            <v/>
          </cell>
          <cell r="BO64" t="str">
            <v/>
          </cell>
          <cell r="BP64" t="str">
            <v/>
          </cell>
          <cell r="BQ64" t="str">
            <v/>
          </cell>
          <cell r="BR64" t="str">
            <v/>
          </cell>
          <cell r="BS64" t="str">
            <v/>
          </cell>
          <cell r="BT64" t="str">
            <v/>
          </cell>
          <cell r="BU64" t="str">
            <v/>
          </cell>
          <cell r="BV64">
            <v>14648419.622641508</v>
          </cell>
          <cell r="BW64" t="str">
            <v/>
          </cell>
          <cell r="BX64" t="str">
            <v/>
          </cell>
          <cell r="BY64" t="str">
            <v/>
          </cell>
          <cell r="BZ64" t="str">
            <v/>
          </cell>
          <cell r="CA64" t="str">
            <v/>
          </cell>
          <cell r="CC64" t="str">
            <v/>
          </cell>
          <cell r="CD64" t="str">
            <v/>
          </cell>
          <cell r="CE64" t="str">
            <v/>
          </cell>
          <cell r="CF64" t="str">
            <v/>
          </cell>
        </row>
        <row r="65">
          <cell r="A65">
            <v>93</v>
          </cell>
          <cell r="B65" t="str">
            <v>0093_都心の天然温泉名古屋クラウンホテル</v>
          </cell>
          <cell r="C65" t="str">
            <v/>
          </cell>
          <cell r="D65" t="str">
            <v>選手12000</v>
          </cell>
          <cell r="E65" t="str">
            <v/>
          </cell>
          <cell r="F65" t="str">
            <v>技術役員</v>
          </cell>
          <cell r="G65" t="str">
            <v>DCO</v>
          </cell>
          <cell r="H65">
            <v>19</v>
          </cell>
          <cell r="I65">
            <v>5</v>
          </cell>
          <cell r="J65" t="b">
            <v>1</v>
          </cell>
          <cell r="K65" t="str">
            <v/>
          </cell>
          <cell r="L65">
            <v>2819064</v>
          </cell>
          <cell r="M65">
            <v>0</v>
          </cell>
          <cell r="N65">
            <v>0</v>
          </cell>
          <cell r="O65">
            <v>0</v>
          </cell>
          <cell r="P65">
            <v>0</v>
          </cell>
          <cell r="Q65">
            <v>3100970.4000000004</v>
          </cell>
          <cell r="R65">
            <v>2289038</v>
          </cell>
          <cell r="S65" t="b">
            <v>1</v>
          </cell>
          <cell r="T65">
            <v>457807.6</v>
          </cell>
          <cell r="U65">
            <v>-22292</v>
          </cell>
          <cell r="V65">
            <v>7374020</v>
          </cell>
          <cell r="W65">
            <v>7396312</v>
          </cell>
          <cell r="X65" t="b">
            <v>1</v>
          </cell>
          <cell r="Y65">
            <v>20098.67391304348</v>
          </cell>
          <cell r="AB65" t="str">
            <v/>
          </cell>
          <cell r="AC65">
            <v>1100</v>
          </cell>
          <cell r="AE65">
            <v>592</v>
          </cell>
          <cell r="AF65">
            <v>368</v>
          </cell>
          <cell r="AG65" t="b">
            <v>1</v>
          </cell>
          <cell r="AH65">
            <v>693</v>
          </cell>
          <cell r="AI65" t="str">
            <v/>
          </cell>
          <cell r="AJ65" t="str">
            <v/>
          </cell>
          <cell r="AK65" t="str">
            <v/>
          </cell>
          <cell r="AL65">
            <v>153</v>
          </cell>
          <cell r="AM65">
            <v>89</v>
          </cell>
          <cell r="AN65" t="str">
            <v/>
          </cell>
          <cell r="AQ65">
            <v>-215</v>
          </cell>
          <cell r="AV65" t="str">
            <v/>
          </cell>
          <cell r="AW65">
            <v>25</v>
          </cell>
          <cell r="AX65" t="str">
            <v/>
          </cell>
          <cell r="AY65" t="str">
            <v/>
          </cell>
          <cell r="AZ65" t="str">
            <v/>
          </cell>
          <cell r="BA65" t="str">
            <v/>
          </cell>
          <cell r="BB65" t="str">
            <v/>
          </cell>
          <cell r="BC65" t="str">
            <v/>
          </cell>
          <cell r="BD65" t="str">
            <v/>
          </cell>
          <cell r="BE65" t="str">
            <v/>
          </cell>
          <cell r="BF65">
            <v>10</v>
          </cell>
          <cell r="BG65">
            <v>15</v>
          </cell>
          <cell r="BH65" t="str">
            <v/>
          </cell>
          <cell r="BI65">
            <v>184907800</v>
          </cell>
          <cell r="BJ65" t="str">
            <v/>
          </cell>
          <cell r="BK65" t="str">
            <v/>
          </cell>
          <cell r="BL65" t="str">
            <v/>
          </cell>
          <cell r="BM65" t="str">
            <v/>
          </cell>
          <cell r="BN65" t="str">
            <v/>
          </cell>
          <cell r="BO65" t="str">
            <v/>
          </cell>
          <cell r="BP65" t="str">
            <v/>
          </cell>
          <cell r="BQ65" t="str">
            <v/>
          </cell>
          <cell r="BR65" t="str">
            <v/>
          </cell>
          <cell r="BS65" t="str">
            <v/>
          </cell>
          <cell r="BT65" t="str">
            <v/>
          </cell>
          <cell r="BU65" t="str">
            <v/>
          </cell>
          <cell r="BV65">
            <v>30750971.086956523</v>
          </cell>
          <cell r="BW65">
            <v>26831729.673913043</v>
          </cell>
          <cell r="BX65" t="str">
            <v/>
          </cell>
          <cell r="BY65">
            <v>57225950</v>
          </cell>
          <cell r="BZ65" t="str">
            <v/>
          </cell>
          <cell r="CA65" t="str">
            <v/>
          </cell>
          <cell r="CC65" t="str">
            <v/>
          </cell>
          <cell r="CD65" t="str">
            <v/>
          </cell>
          <cell r="CE65" t="str">
            <v/>
          </cell>
          <cell r="CF65" t="str">
            <v/>
          </cell>
        </row>
        <row r="66">
          <cell r="A66">
            <v>94</v>
          </cell>
          <cell r="B66" t="str">
            <v>0094_ヒルトン名古屋</v>
          </cell>
          <cell r="C66" t="str">
            <v/>
          </cell>
          <cell r="D66" t="str">
            <v>ファミリー</v>
          </cell>
          <cell r="E66" t="str">
            <v/>
          </cell>
          <cell r="F66" t="str">
            <v>ファミリー</v>
          </cell>
          <cell r="G66" t="str">
            <v/>
          </cell>
          <cell r="H66">
            <v>16</v>
          </cell>
          <cell r="I66">
            <v>16</v>
          </cell>
          <cell r="J66" t="b">
            <v>1</v>
          </cell>
          <cell r="K66">
            <v>0</v>
          </cell>
          <cell r="L66">
            <v>25294125</v>
          </cell>
          <cell r="M66">
            <v>0</v>
          </cell>
          <cell r="N66">
            <v>0</v>
          </cell>
          <cell r="O66">
            <v>0</v>
          </cell>
          <cell r="P66">
            <v>0</v>
          </cell>
          <cell r="Q66">
            <v>27823537.500000004</v>
          </cell>
          <cell r="R66">
            <v>40470597</v>
          </cell>
          <cell r="S66" t="b">
            <v>1</v>
          </cell>
          <cell r="T66">
            <v>2529412.3125</v>
          </cell>
          <cell r="U66">
            <v>0</v>
          </cell>
          <cell r="V66">
            <v>71600908</v>
          </cell>
          <cell r="W66">
            <v>71600908</v>
          </cell>
          <cell r="X66" t="b">
            <v>1</v>
          </cell>
          <cell r="Y66">
            <v>163100.01822323463</v>
          </cell>
          <cell r="AB66" t="str">
            <v/>
          </cell>
          <cell r="AE66">
            <v>460</v>
          </cell>
          <cell r="AF66">
            <v>439</v>
          </cell>
          <cell r="AG66" t="b">
            <v>1</v>
          </cell>
          <cell r="AH66">
            <v>678</v>
          </cell>
          <cell r="AI66" t="str">
            <v/>
          </cell>
          <cell r="AJ66">
            <v>370</v>
          </cell>
          <cell r="AK66" t="str">
            <v/>
          </cell>
          <cell r="AL66">
            <v>370</v>
          </cell>
          <cell r="AM66" t="str">
            <v/>
          </cell>
          <cell r="AN66" t="str">
            <v/>
          </cell>
          <cell r="AQ66">
            <v>-69</v>
          </cell>
          <cell r="AV66" t="str">
            <v/>
          </cell>
          <cell r="AW66" t="str">
            <v/>
          </cell>
          <cell r="AX66" t="str">
            <v/>
          </cell>
          <cell r="AY66">
            <v>23</v>
          </cell>
          <cell r="AZ66" t="str">
            <v/>
          </cell>
          <cell r="BA66" t="str">
            <v/>
          </cell>
          <cell r="BB66" t="str">
            <v/>
          </cell>
          <cell r="BC66" t="str">
            <v/>
          </cell>
          <cell r="BD66">
            <v>13</v>
          </cell>
          <cell r="BE66" t="str">
            <v/>
          </cell>
          <cell r="BF66" t="str">
            <v/>
          </cell>
          <cell r="BG66" t="str">
            <v/>
          </cell>
          <cell r="BH66" t="str">
            <v/>
          </cell>
          <cell r="BJ66">
            <v>1387981155.0797267</v>
          </cell>
          <cell r="BK66" t="str">
            <v/>
          </cell>
          <cell r="BL66" t="str">
            <v/>
          </cell>
          <cell r="BM66" t="str">
            <v/>
          </cell>
          <cell r="BN66" t="str">
            <v/>
          </cell>
          <cell r="BO66" t="str">
            <v/>
          </cell>
          <cell r="BP66" t="str">
            <v/>
          </cell>
          <cell r="BQ66" t="str">
            <v/>
          </cell>
          <cell r="BR66">
            <v>784511087.65375853</v>
          </cell>
          <cell r="BS66" t="str">
            <v/>
          </cell>
          <cell r="BT66" t="str">
            <v/>
          </cell>
          <cell r="BU66" t="str">
            <v/>
          </cell>
          <cell r="BV66" t="str">
            <v/>
          </cell>
          <cell r="BW66" t="str">
            <v/>
          </cell>
          <cell r="BX66" t="str">
            <v/>
          </cell>
          <cell r="BY66" t="str">
            <v/>
          </cell>
          <cell r="BZ66">
            <v>930823731</v>
          </cell>
          <cell r="CA66" t="str">
            <v/>
          </cell>
          <cell r="CC66" t="str">
            <v/>
          </cell>
          <cell r="CD66" t="str">
            <v/>
          </cell>
          <cell r="CE66">
            <v>526117761</v>
          </cell>
          <cell r="CF66" t="str">
            <v/>
          </cell>
          <cell r="CH66" t="str">
            <v>OCAファミリー本部、APC本部</v>
          </cell>
        </row>
        <row r="67">
          <cell r="A67">
            <v>96</v>
          </cell>
          <cell r="B67" t="str">
            <v>0096_アイリス愛知</v>
          </cell>
          <cell r="C67" t="str">
            <v/>
          </cell>
          <cell r="D67" t="str">
            <v/>
          </cell>
          <cell r="E67" t="str">
            <v/>
          </cell>
          <cell r="F67" t="str">
            <v>技術役員</v>
          </cell>
          <cell r="G67" t="str">
            <v/>
          </cell>
          <cell r="H67">
            <v>17</v>
          </cell>
          <cell r="I67">
            <v>8</v>
          </cell>
          <cell r="J67" t="b">
            <v>0</v>
          </cell>
          <cell r="K67" t="str">
            <v/>
          </cell>
          <cell r="L67">
            <v>2023063</v>
          </cell>
          <cell r="M67">
            <v>0</v>
          </cell>
          <cell r="N67">
            <v>0</v>
          </cell>
          <cell r="O67">
            <v>0</v>
          </cell>
          <cell r="P67">
            <v>0</v>
          </cell>
          <cell r="Q67">
            <v>2225369.3000000003</v>
          </cell>
          <cell r="R67">
            <v>2225369</v>
          </cell>
          <cell r="S67" t="b">
            <v>0</v>
          </cell>
          <cell r="T67">
            <v>278171.125</v>
          </cell>
          <cell r="U67">
            <v>0</v>
          </cell>
          <cell r="V67">
            <v>977498</v>
          </cell>
          <cell r="W67">
            <v>977498</v>
          </cell>
          <cell r="X67" t="b">
            <v>0</v>
          </cell>
          <cell r="Y67">
            <v>13576.361111111111</v>
          </cell>
          <cell r="AB67" t="str">
            <v/>
          </cell>
          <cell r="AE67">
            <v>72</v>
          </cell>
          <cell r="AF67">
            <v>72</v>
          </cell>
          <cell r="AG67" t="b">
            <v>0</v>
          </cell>
          <cell r="AH67">
            <v>72</v>
          </cell>
          <cell r="AI67" t="str">
            <v/>
          </cell>
          <cell r="AJ67" t="str">
            <v/>
          </cell>
          <cell r="AK67" t="str">
            <v/>
          </cell>
          <cell r="AL67">
            <v>31</v>
          </cell>
          <cell r="AM67" t="str">
            <v/>
          </cell>
          <cell r="AN67" t="str">
            <v/>
          </cell>
          <cell r="AQ67">
            <v>-41</v>
          </cell>
          <cell r="AV67" t="str">
            <v/>
          </cell>
          <cell r="AW67" t="str">
            <v/>
          </cell>
          <cell r="AX67" t="str">
            <v/>
          </cell>
          <cell r="AY67" t="str">
            <v/>
          </cell>
          <cell r="AZ67" t="str">
            <v/>
          </cell>
          <cell r="BA67" t="str">
            <v/>
          </cell>
          <cell r="BB67" t="str">
            <v/>
          </cell>
          <cell r="BC67" t="str">
            <v/>
          </cell>
          <cell r="BD67" t="str">
            <v/>
          </cell>
          <cell r="BE67" t="str">
            <v/>
          </cell>
          <cell r="BF67">
            <v>10</v>
          </cell>
          <cell r="BG67" t="str">
            <v/>
          </cell>
          <cell r="BH67" t="str">
            <v/>
          </cell>
          <cell r="BJ67" t="str">
            <v/>
          </cell>
          <cell r="BK67" t="str">
            <v/>
          </cell>
          <cell r="BL67" t="str">
            <v/>
          </cell>
          <cell r="BM67" t="str">
            <v/>
          </cell>
          <cell r="BN67" t="str">
            <v/>
          </cell>
          <cell r="BO67" t="str">
            <v/>
          </cell>
          <cell r="BP67" t="str">
            <v/>
          </cell>
          <cell r="BQ67" t="str">
            <v/>
          </cell>
          <cell r="BR67" t="str">
            <v/>
          </cell>
          <cell r="BS67" t="str">
            <v/>
          </cell>
          <cell r="BT67" t="str">
            <v/>
          </cell>
          <cell r="BU67" t="str">
            <v/>
          </cell>
          <cell r="BV67">
            <v>4208671.944444444</v>
          </cell>
          <cell r="BW67" t="str">
            <v/>
          </cell>
          <cell r="BX67" t="str">
            <v/>
          </cell>
          <cell r="BY67" t="str">
            <v/>
          </cell>
          <cell r="BZ67" t="str">
            <v/>
          </cell>
          <cell r="CA67" t="str">
            <v/>
          </cell>
          <cell r="CC67" t="str">
            <v/>
          </cell>
          <cell r="CD67" t="str">
            <v/>
          </cell>
          <cell r="CE67" t="str">
            <v/>
          </cell>
          <cell r="CF67" t="str">
            <v/>
          </cell>
        </row>
        <row r="68">
          <cell r="A68">
            <v>99</v>
          </cell>
          <cell r="B68" t="str">
            <v>0099_名古屋ガーデンパレス</v>
          </cell>
          <cell r="C68" t="str">
            <v>スポンサー</v>
          </cell>
          <cell r="D68" t="str">
            <v/>
          </cell>
          <cell r="E68" t="str">
            <v/>
          </cell>
          <cell r="F68" t="str">
            <v/>
          </cell>
          <cell r="G68" t="str">
            <v/>
          </cell>
          <cell r="H68">
            <v>10</v>
          </cell>
          <cell r="I68">
            <v>2</v>
          </cell>
          <cell r="J68" t="b">
            <v>0</v>
          </cell>
          <cell r="K68" t="str">
            <v/>
          </cell>
          <cell r="L68">
            <v>3324065</v>
          </cell>
          <cell r="M68">
            <v>0</v>
          </cell>
          <cell r="N68">
            <v>0</v>
          </cell>
          <cell r="O68">
            <v>0</v>
          </cell>
          <cell r="P68">
            <v>0</v>
          </cell>
          <cell r="Q68">
            <v>3656471.5000000005</v>
          </cell>
          <cell r="R68">
            <v>3656471</v>
          </cell>
          <cell r="S68" t="b">
            <v>0</v>
          </cell>
          <cell r="T68">
            <v>1828235.5</v>
          </cell>
          <cell r="U68">
            <v>0</v>
          </cell>
          <cell r="V68">
            <v>1067704</v>
          </cell>
          <cell r="W68">
            <v>1067704</v>
          </cell>
          <cell r="X68" t="b">
            <v>1</v>
          </cell>
          <cell r="Y68">
            <v>19412.8</v>
          </cell>
          <cell r="AB68">
            <v>18568.765217391308</v>
          </cell>
          <cell r="AE68">
            <v>170</v>
          </cell>
          <cell r="AF68">
            <v>55</v>
          </cell>
          <cell r="AG68" t="b">
            <v>1</v>
          </cell>
          <cell r="AH68">
            <v>196</v>
          </cell>
          <cell r="AI68">
            <v>50</v>
          </cell>
          <cell r="AJ68" t="str">
            <v/>
          </cell>
          <cell r="AK68" t="str">
            <v/>
          </cell>
          <cell r="AL68" t="str">
            <v/>
          </cell>
          <cell r="AM68" t="str">
            <v/>
          </cell>
          <cell r="AN68">
            <v>-5</v>
          </cell>
          <cell r="AQ68" t="str">
            <v/>
          </cell>
          <cell r="AV68" t="str">
            <v/>
          </cell>
          <cell r="AW68" t="str">
            <v/>
          </cell>
          <cell r="AX68">
            <v>18</v>
          </cell>
          <cell r="AY68" t="str">
            <v/>
          </cell>
          <cell r="AZ68" t="str">
            <v/>
          </cell>
          <cell r="BA68" t="str">
            <v/>
          </cell>
          <cell r="BB68" t="str">
            <v/>
          </cell>
          <cell r="BC68" t="str">
            <v/>
          </cell>
          <cell r="BD68" t="str">
            <v/>
          </cell>
          <cell r="BE68" t="str">
            <v/>
          </cell>
          <cell r="BF68" t="str">
            <v/>
          </cell>
          <cell r="BG68" t="str">
            <v/>
          </cell>
          <cell r="BH68" t="str">
            <v/>
          </cell>
          <cell r="BJ68" t="str">
            <v/>
          </cell>
          <cell r="BK68" t="str">
            <v/>
          </cell>
          <cell r="BL68">
            <v>17471520</v>
          </cell>
          <cell r="BM68" t="str">
            <v/>
          </cell>
          <cell r="BN68" t="str">
            <v/>
          </cell>
          <cell r="BO68" t="str">
            <v/>
          </cell>
          <cell r="BP68" t="str">
            <v/>
          </cell>
          <cell r="BQ68" t="str">
            <v/>
          </cell>
          <cell r="BR68" t="str">
            <v/>
          </cell>
          <cell r="BS68" t="str">
            <v/>
          </cell>
          <cell r="BT68" t="str">
            <v/>
          </cell>
          <cell r="BU68" t="str">
            <v/>
          </cell>
          <cell r="BV68" t="str">
            <v/>
          </cell>
          <cell r="BW68" t="str">
            <v/>
          </cell>
          <cell r="BX68" t="str">
            <v/>
          </cell>
          <cell r="BY68" t="str">
            <v/>
          </cell>
          <cell r="BZ68" t="str">
            <v/>
          </cell>
          <cell r="CA68" t="str">
            <v/>
          </cell>
          <cell r="CC68" t="str">
            <v/>
          </cell>
          <cell r="CD68" t="str">
            <v/>
          </cell>
          <cell r="CE68" t="str">
            <v/>
          </cell>
          <cell r="CF68" t="str">
            <v/>
          </cell>
        </row>
        <row r="69">
          <cell r="A69">
            <v>101</v>
          </cell>
          <cell r="B69" t="str">
            <v>0101_東京第一ホテル錦</v>
          </cell>
          <cell r="C69" t="str">
            <v>スポンサー</v>
          </cell>
          <cell r="D69" t="str">
            <v/>
          </cell>
          <cell r="E69" t="str">
            <v/>
          </cell>
          <cell r="F69" t="str">
            <v/>
          </cell>
          <cell r="G69" t="str">
            <v/>
          </cell>
          <cell r="H69">
            <v>6</v>
          </cell>
          <cell r="I69">
            <v>5</v>
          </cell>
          <cell r="J69" t="b">
            <v>0</v>
          </cell>
          <cell r="K69" t="str">
            <v/>
          </cell>
          <cell r="L69">
            <v>3234003</v>
          </cell>
          <cell r="M69">
            <v>38826</v>
          </cell>
          <cell r="N69">
            <v>0</v>
          </cell>
          <cell r="O69">
            <v>0</v>
          </cell>
          <cell r="P69">
            <v>0</v>
          </cell>
          <cell r="Q69">
            <v>3600111.9000000004</v>
          </cell>
          <cell r="R69">
            <v>3600111</v>
          </cell>
          <cell r="S69" t="b">
            <v>0</v>
          </cell>
          <cell r="T69">
            <v>720022.2</v>
          </cell>
          <cell r="U69">
            <v>0</v>
          </cell>
          <cell r="V69">
            <v>1659891</v>
          </cell>
          <cell r="W69">
            <v>1659891</v>
          </cell>
          <cell r="X69" t="b">
            <v>1</v>
          </cell>
          <cell r="Y69">
            <v>15513</v>
          </cell>
          <cell r="AB69">
            <v>21543.036988968204</v>
          </cell>
          <cell r="AE69">
            <v>233</v>
          </cell>
          <cell r="AF69">
            <v>107</v>
          </cell>
          <cell r="AG69" t="b">
            <v>1</v>
          </cell>
          <cell r="AH69">
            <v>274</v>
          </cell>
          <cell r="AI69">
            <v>67</v>
          </cell>
          <cell r="AJ69" t="str">
            <v/>
          </cell>
          <cell r="AK69" t="str">
            <v/>
          </cell>
          <cell r="AL69" t="str">
            <v/>
          </cell>
          <cell r="AM69" t="str">
            <v/>
          </cell>
          <cell r="AN69">
            <v>-40</v>
          </cell>
          <cell r="AQ69" t="str">
            <v/>
          </cell>
          <cell r="AV69" t="str">
            <v/>
          </cell>
          <cell r="AW69" t="str">
            <v/>
          </cell>
          <cell r="AX69">
            <v>18</v>
          </cell>
          <cell r="AY69" t="str">
            <v/>
          </cell>
          <cell r="AZ69" t="str">
            <v/>
          </cell>
          <cell r="BA69" t="str">
            <v/>
          </cell>
          <cell r="BB69" t="str">
            <v/>
          </cell>
          <cell r="BC69" t="str">
            <v/>
          </cell>
          <cell r="BD69" t="str">
            <v/>
          </cell>
          <cell r="BE69" t="str">
            <v/>
          </cell>
          <cell r="BF69" t="str">
            <v/>
          </cell>
          <cell r="BG69" t="str">
            <v/>
          </cell>
          <cell r="BH69" t="str">
            <v/>
          </cell>
          <cell r="BJ69" t="str">
            <v/>
          </cell>
          <cell r="BK69" t="str">
            <v/>
          </cell>
          <cell r="BL69">
            <v>18708678</v>
          </cell>
          <cell r="BM69" t="str">
            <v/>
          </cell>
          <cell r="BN69" t="str">
            <v/>
          </cell>
          <cell r="BO69" t="str">
            <v/>
          </cell>
          <cell r="BP69" t="str">
            <v/>
          </cell>
          <cell r="BQ69" t="str">
            <v/>
          </cell>
          <cell r="BR69" t="str">
            <v/>
          </cell>
          <cell r="BS69" t="str">
            <v/>
          </cell>
          <cell r="BT69" t="str">
            <v/>
          </cell>
          <cell r="BU69" t="str">
            <v/>
          </cell>
          <cell r="BV69" t="str">
            <v/>
          </cell>
          <cell r="BW69" t="str">
            <v/>
          </cell>
          <cell r="BX69" t="str">
            <v/>
          </cell>
          <cell r="BY69" t="str">
            <v/>
          </cell>
          <cell r="BZ69" t="str">
            <v/>
          </cell>
          <cell r="CA69" t="str">
            <v/>
          </cell>
          <cell r="CC69" t="str">
            <v/>
          </cell>
          <cell r="CD69" t="str">
            <v/>
          </cell>
          <cell r="CE69" t="str">
            <v/>
          </cell>
          <cell r="CF69" t="str">
            <v/>
          </cell>
        </row>
        <row r="70">
          <cell r="A70">
            <v>105</v>
          </cell>
          <cell r="B70" t="str">
            <v>0105_ANAクラウンプラザホテルグランコート名古屋</v>
          </cell>
          <cell r="C70" t="str">
            <v/>
          </cell>
          <cell r="D70" t="str">
            <v>選手12000</v>
          </cell>
          <cell r="E70" t="str">
            <v/>
          </cell>
          <cell r="F70" t="str">
            <v>選手</v>
          </cell>
          <cell r="G70" t="str">
            <v/>
          </cell>
          <cell r="H70">
            <v>19</v>
          </cell>
          <cell r="I70">
            <v>7</v>
          </cell>
          <cell r="J70" t="b">
            <v>1</v>
          </cell>
          <cell r="K70">
            <v>12</v>
          </cell>
          <cell r="L70">
            <v>6716477</v>
          </cell>
          <cell r="M70">
            <v>1588243</v>
          </cell>
          <cell r="N70">
            <v>0</v>
          </cell>
          <cell r="O70">
            <v>0</v>
          </cell>
          <cell r="P70">
            <v>0</v>
          </cell>
          <cell r="Q70">
            <v>9135192</v>
          </cell>
          <cell r="R70">
            <v>5925775</v>
          </cell>
          <cell r="S70" t="b">
            <v>1</v>
          </cell>
          <cell r="T70">
            <v>846539.28571428568</v>
          </cell>
          <cell r="U70">
            <v>2737069</v>
          </cell>
          <cell r="V70">
            <v>14280708</v>
          </cell>
          <cell r="W70">
            <v>11543639</v>
          </cell>
          <cell r="X70" t="b">
            <v>1</v>
          </cell>
          <cell r="Y70">
            <v>52471.086363636365</v>
          </cell>
          <cell r="AB70" t="str">
            <v/>
          </cell>
          <cell r="AC70">
            <v>2300</v>
          </cell>
          <cell r="AE70">
            <v>245</v>
          </cell>
          <cell r="AF70">
            <v>220</v>
          </cell>
          <cell r="AG70" t="b">
            <v>1</v>
          </cell>
          <cell r="AH70">
            <v>358</v>
          </cell>
          <cell r="AI70" t="str">
            <v/>
          </cell>
          <cell r="AJ70" t="str">
            <v/>
          </cell>
          <cell r="AK70" t="str">
            <v/>
          </cell>
          <cell r="AL70">
            <v>245</v>
          </cell>
          <cell r="AM70" t="str">
            <v/>
          </cell>
          <cell r="AN70" t="str">
            <v/>
          </cell>
          <cell r="AQ70">
            <v>25</v>
          </cell>
          <cell r="AV70" t="str">
            <v/>
          </cell>
          <cell r="AW70">
            <v>25</v>
          </cell>
          <cell r="AX70" t="str">
            <v/>
          </cell>
          <cell r="AY70" t="str">
            <v/>
          </cell>
          <cell r="AZ70" t="str">
            <v/>
          </cell>
          <cell r="BA70" t="str">
            <v/>
          </cell>
          <cell r="BB70" t="str">
            <v/>
          </cell>
          <cell r="BC70">
            <v>18</v>
          </cell>
          <cell r="BD70" t="str">
            <v/>
          </cell>
          <cell r="BE70" t="str">
            <v/>
          </cell>
          <cell r="BF70" t="str">
            <v/>
          </cell>
          <cell r="BG70" t="str">
            <v/>
          </cell>
          <cell r="BH70" t="str">
            <v/>
          </cell>
          <cell r="BI70">
            <v>288590975</v>
          </cell>
          <cell r="BJ70" t="str">
            <v/>
          </cell>
          <cell r="BK70" t="str">
            <v/>
          </cell>
          <cell r="BL70" t="str">
            <v/>
          </cell>
          <cell r="BM70" t="str">
            <v/>
          </cell>
          <cell r="BN70" t="str">
            <v/>
          </cell>
          <cell r="BO70" t="str">
            <v/>
          </cell>
          <cell r="BP70">
            <v>231397490.86363637</v>
          </cell>
          <cell r="BQ70">
            <v>231397490.86363637</v>
          </cell>
          <cell r="BR70" t="str">
            <v/>
          </cell>
          <cell r="BS70" t="str">
            <v/>
          </cell>
          <cell r="BT70" t="str">
            <v/>
          </cell>
          <cell r="BU70" t="str">
            <v/>
          </cell>
          <cell r="BV70" t="str">
            <v/>
          </cell>
          <cell r="BW70" t="str">
            <v/>
          </cell>
          <cell r="BX70" t="str">
            <v/>
          </cell>
          <cell r="BY70">
            <v>148144375</v>
          </cell>
          <cell r="BZ70" t="str">
            <v/>
          </cell>
          <cell r="CA70" t="str">
            <v/>
          </cell>
          <cell r="CC70">
            <v>106663950</v>
          </cell>
          <cell r="CD70">
            <v>106663950</v>
          </cell>
          <cell r="CE70" t="str">
            <v/>
          </cell>
          <cell r="CF70" t="str">
            <v/>
          </cell>
        </row>
        <row r="71">
          <cell r="A71">
            <v>111</v>
          </cell>
          <cell r="B71" t="str">
            <v>0111_アパホテル&lt;名古屋錦&gt; EXCELLENT</v>
          </cell>
          <cell r="C71" t="str">
            <v/>
          </cell>
          <cell r="D71" t="str">
            <v/>
          </cell>
          <cell r="E71" t="str">
            <v/>
          </cell>
          <cell r="F71" t="str">
            <v/>
          </cell>
          <cell r="G71" t="str">
            <v/>
          </cell>
          <cell r="H71">
            <v>4</v>
          </cell>
          <cell r="I71">
            <v>2</v>
          </cell>
          <cell r="J71" t="b">
            <v>1</v>
          </cell>
          <cell r="K71" t="str">
            <v/>
          </cell>
          <cell r="L71">
            <v>460000</v>
          </cell>
          <cell r="M71">
            <v>0</v>
          </cell>
          <cell r="N71">
            <v>0</v>
          </cell>
          <cell r="O71">
            <v>0</v>
          </cell>
          <cell r="P71">
            <v>0</v>
          </cell>
          <cell r="Q71">
            <v>506000.00000000006</v>
          </cell>
          <cell r="R71">
            <v>253000</v>
          </cell>
          <cell r="S71" t="b">
            <v>1</v>
          </cell>
          <cell r="T71">
            <v>126500</v>
          </cell>
          <cell r="U71">
            <v>-349423.79999999981</v>
          </cell>
          <cell r="V71">
            <v>6331982.7999999998</v>
          </cell>
          <cell r="W71">
            <v>6681406.5999999996</v>
          </cell>
          <cell r="X71" t="b">
            <v>1</v>
          </cell>
          <cell r="Y71">
            <v>27382.813934426227</v>
          </cell>
          <cell r="AB71" t="str">
            <v/>
          </cell>
          <cell r="AC71">
            <v>2000</v>
          </cell>
          <cell r="AE71">
            <v>245</v>
          </cell>
          <cell r="AF71">
            <v>244</v>
          </cell>
          <cell r="AG71" t="b">
            <v>1</v>
          </cell>
          <cell r="AH71">
            <v>358</v>
          </cell>
          <cell r="AI71" t="str">
            <v/>
          </cell>
          <cell r="AJ71" t="str">
            <v/>
          </cell>
          <cell r="AK71" t="str">
            <v/>
          </cell>
          <cell r="AL71" t="str">
            <v/>
          </cell>
          <cell r="AM71" t="str">
            <v/>
          </cell>
          <cell r="AN71" t="str">
            <v/>
          </cell>
          <cell r="AQ71" t="str">
            <v/>
          </cell>
          <cell r="AV71" t="str">
            <v/>
          </cell>
          <cell r="AW71" t="str">
            <v/>
          </cell>
          <cell r="AX71" t="str">
            <v/>
          </cell>
          <cell r="AY71" t="str">
            <v/>
          </cell>
          <cell r="AZ71" t="str">
            <v/>
          </cell>
          <cell r="BA71" t="str">
            <v/>
          </cell>
          <cell r="BB71" t="str">
            <v/>
          </cell>
          <cell r="BC71" t="str">
            <v/>
          </cell>
          <cell r="BD71" t="str">
            <v/>
          </cell>
          <cell r="BE71" t="str">
            <v/>
          </cell>
          <cell r="BF71" t="str">
            <v/>
          </cell>
          <cell r="BG71" t="str">
            <v/>
          </cell>
          <cell r="BH71" t="str">
            <v/>
          </cell>
          <cell r="BI71" t="str">
            <v/>
          </cell>
          <cell r="BJ71" t="str">
            <v/>
          </cell>
          <cell r="BK71" t="str">
            <v/>
          </cell>
          <cell r="BL71" t="str">
            <v/>
          </cell>
          <cell r="BM71" t="str">
            <v/>
          </cell>
          <cell r="BN71" t="str">
            <v/>
          </cell>
          <cell r="BO71" t="str">
            <v/>
          </cell>
          <cell r="BP71" t="str">
            <v/>
          </cell>
          <cell r="BQ71" t="str">
            <v/>
          </cell>
          <cell r="BR71" t="str">
            <v/>
          </cell>
          <cell r="BS71" t="str">
            <v/>
          </cell>
          <cell r="BT71" t="str">
            <v/>
          </cell>
          <cell r="BU71" t="str">
            <v/>
          </cell>
          <cell r="BV71" t="str">
            <v/>
          </cell>
          <cell r="BW71" t="str">
            <v/>
          </cell>
          <cell r="BX71" t="str">
            <v/>
          </cell>
          <cell r="BY71" t="str">
            <v/>
          </cell>
          <cell r="BZ71" t="str">
            <v/>
          </cell>
          <cell r="CA71" t="str">
            <v/>
          </cell>
          <cell r="CC71" t="str">
            <v/>
          </cell>
          <cell r="CD71" t="str">
            <v/>
          </cell>
          <cell r="CE71" t="str">
            <v/>
          </cell>
          <cell r="CF71" t="str">
            <v/>
          </cell>
        </row>
        <row r="72">
          <cell r="A72">
            <v>114</v>
          </cell>
          <cell r="B72" t="str">
            <v>0114_リッチモンドホテル名古屋納屋橋</v>
          </cell>
          <cell r="C72" t="str">
            <v>スポンサー</v>
          </cell>
          <cell r="D72" t="str">
            <v/>
          </cell>
          <cell r="E72" t="str">
            <v/>
          </cell>
          <cell r="F72" t="str">
            <v/>
          </cell>
          <cell r="G72" t="str">
            <v/>
          </cell>
          <cell r="H72">
            <v>0</v>
          </cell>
          <cell r="I72">
            <v>0</v>
          </cell>
          <cell r="J72" t="b">
            <v>0</v>
          </cell>
          <cell r="K72" t="str">
            <v/>
          </cell>
          <cell r="L72">
            <v>0</v>
          </cell>
          <cell r="M72">
            <v>0</v>
          </cell>
          <cell r="N72">
            <v>0</v>
          </cell>
          <cell r="O72">
            <v>0</v>
          </cell>
          <cell r="P72">
            <v>0</v>
          </cell>
          <cell r="Q72">
            <v>0</v>
          </cell>
          <cell r="R72">
            <v>0</v>
          </cell>
          <cell r="S72" t="b">
            <v>1</v>
          </cell>
          <cell r="T72" t="str">
            <v/>
          </cell>
          <cell r="U72">
            <v>0</v>
          </cell>
          <cell r="V72">
            <v>6385365</v>
          </cell>
          <cell r="W72">
            <v>6385365</v>
          </cell>
          <cell r="X72" t="b">
            <v>1</v>
          </cell>
          <cell r="Y72">
            <v>26829.264705882353</v>
          </cell>
          <cell r="AB72">
            <v>23329.795396419438</v>
          </cell>
          <cell r="AE72">
            <v>238</v>
          </cell>
          <cell r="AF72">
            <v>238</v>
          </cell>
          <cell r="AG72" t="b">
            <v>1</v>
          </cell>
          <cell r="AH72">
            <v>261</v>
          </cell>
          <cell r="AI72">
            <v>238</v>
          </cell>
          <cell r="AJ72" t="str">
            <v/>
          </cell>
          <cell r="AK72" t="str">
            <v/>
          </cell>
          <cell r="AL72" t="str">
            <v/>
          </cell>
          <cell r="AM72" t="str">
            <v/>
          </cell>
          <cell r="AN72">
            <v>0</v>
          </cell>
          <cell r="AQ72" t="str">
            <v/>
          </cell>
          <cell r="AV72" t="str">
            <v/>
          </cell>
          <cell r="AW72" t="str">
            <v/>
          </cell>
          <cell r="AX72">
            <v>18</v>
          </cell>
          <cell r="AY72" t="str">
            <v/>
          </cell>
          <cell r="AZ72" t="str">
            <v/>
          </cell>
          <cell r="BA72" t="str">
            <v/>
          </cell>
          <cell r="BB72" t="str">
            <v/>
          </cell>
          <cell r="BC72" t="str">
            <v/>
          </cell>
          <cell r="BD72" t="str">
            <v/>
          </cell>
          <cell r="BE72" t="str">
            <v/>
          </cell>
          <cell r="BF72" t="str">
            <v/>
          </cell>
          <cell r="BG72" t="str">
            <v/>
          </cell>
          <cell r="BH72" t="str">
            <v/>
          </cell>
          <cell r="BJ72" t="str">
            <v/>
          </cell>
          <cell r="BK72" t="str">
            <v/>
          </cell>
          <cell r="BL72">
            <v>114936570</v>
          </cell>
          <cell r="BM72" t="str">
            <v/>
          </cell>
          <cell r="BN72" t="str">
            <v/>
          </cell>
          <cell r="BO72" t="str">
            <v/>
          </cell>
          <cell r="BP72" t="str">
            <v/>
          </cell>
          <cell r="BQ72" t="str">
            <v/>
          </cell>
          <cell r="BR72" t="str">
            <v/>
          </cell>
          <cell r="BS72" t="str">
            <v/>
          </cell>
          <cell r="BT72" t="str">
            <v/>
          </cell>
          <cell r="BU72" t="str">
            <v/>
          </cell>
          <cell r="BV72" t="str">
            <v/>
          </cell>
          <cell r="BW72" t="str">
            <v/>
          </cell>
          <cell r="BX72" t="str">
            <v/>
          </cell>
          <cell r="BY72" t="str">
            <v/>
          </cell>
          <cell r="BZ72" t="str">
            <v/>
          </cell>
          <cell r="CA72" t="str">
            <v/>
          </cell>
          <cell r="CC72" t="str">
            <v/>
          </cell>
          <cell r="CD72" t="str">
            <v/>
          </cell>
          <cell r="CE72" t="str">
            <v/>
          </cell>
          <cell r="CF72" t="str">
            <v/>
          </cell>
        </row>
        <row r="73">
          <cell r="A73">
            <v>115</v>
          </cell>
          <cell r="B73" t="str">
            <v>0115_ザ・ビー名古屋</v>
          </cell>
          <cell r="C73" t="str">
            <v/>
          </cell>
          <cell r="D73" t="str">
            <v/>
          </cell>
          <cell r="E73" t="str">
            <v/>
          </cell>
          <cell r="F73" t="str">
            <v/>
          </cell>
          <cell r="G73" t="str">
            <v/>
          </cell>
          <cell r="H73">
            <v>3</v>
          </cell>
          <cell r="I73">
            <v>3</v>
          </cell>
          <cell r="J73" t="b">
            <v>0</v>
          </cell>
          <cell r="K73" t="str">
            <v/>
          </cell>
          <cell r="L73">
            <v>341060</v>
          </cell>
          <cell r="M73">
            <v>0</v>
          </cell>
          <cell r="N73">
            <v>0</v>
          </cell>
          <cell r="O73">
            <v>0</v>
          </cell>
          <cell r="P73">
            <v>0</v>
          </cell>
          <cell r="Q73">
            <v>375166.00000000006</v>
          </cell>
          <cell r="R73">
            <v>375166</v>
          </cell>
          <cell r="S73" t="b">
            <v>0</v>
          </cell>
          <cell r="T73">
            <v>125055.33333333333</v>
          </cell>
          <cell r="U73">
            <v>0</v>
          </cell>
          <cell r="V73">
            <v>3254823</v>
          </cell>
          <cell r="W73">
            <v>3254823</v>
          </cell>
          <cell r="X73" t="b">
            <v>1</v>
          </cell>
          <cell r="Y73">
            <v>14862.205479452055</v>
          </cell>
          <cell r="AB73" t="str">
            <v/>
          </cell>
          <cell r="AE73">
            <v>219</v>
          </cell>
          <cell r="AF73">
            <v>219</v>
          </cell>
          <cell r="AG73" t="b">
            <v>1</v>
          </cell>
          <cell r="AH73">
            <v>219</v>
          </cell>
          <cell r="AI73" t="str">
            <v/>
          </cell>
          <cell r="AJ73" t="str">
            <v/>
          </cell>
          <cell r="AK73" t="str">
            <v/>
          </cell>
          <cell r="AL73" t="str">
            <v/>
          </cell>
          <cell r="AM73" t="str">
            <v/>
          </cell>
          <cell r="AN73" t="str">
            <v/>
          </cell>
          <cell r="AQ73" t="str">
            <v/>
          </cell>
          <cell r="AV73" t="str">
            <v/>
          </cell>
          <cell r="AW73" t="str">
            <v/>
          </cell>
          <cell r="AX73" t="str">
            <v/>
          </cell>
          <cell r="AY73" t="str">
            <v/>
          </cell>
          <cell r="AZ73" t="str">
            <v/>
          </cell>
          <cell r="BA73" t="str">
            <v/>
          </cell>
          <cell r="BB73" t="str">
            <v/>
          </cell>
          <cell r="BC73" t="str">
            <v/>
          </cell>
          <cell r="BD73" t="str">
            <v/>
          </cell>
          <cell r="BE73" t="str">
            <v/>
          </cell>
          <cell r="BF73" t="str">
            <v/>
          </cell>
          <cell r="BG73" t="str">
            <v/>
          </cell>
          <cell r="BH73" t="str">
            <v/>
          </cell>
          <cell r="BJ73" t="str">
            <v/>
          </cell>
          <cell r="BK73" t="str">
            <v/>
          </cell>
          <cell r="BL73" t="str">
            <v/>
          </cell>
          <cell r="BM73" t="str">
            <v/>
          </cell>
          <cell r="BN73" t="str">
            <v/>
          </cell>
          <cell r="BO73" t="str">
            <v/>
          </cell>
          <cell r="BP73" t="str">
            <v/>
          </cell>
          <cell r="BQ73" t="str">
            <v/>
          </cell>
          <cell r="BR73" t="str">
            <v/>
          </cell>
          <cell r="BS73" t="str">
            <v/>
          </cell>
          <cell r="BT73" t="str">
            <v/>
          </cell>
          <cell r="BU73" t="str">
            <v/>
          </cell>
          <cell r="BV73" t="str">
            <v/>
          </cell>
          <cell r="BW73" t="str">
            <v/>
          </cell>
          <cell r="BX73" t="str">
            <v/>
          </cell>
          <cell r="BY73" t="str">
            <v/>
          </cell>
          <cell r="BZ73" t="str">
            <v/>
          </cell>
          <cell r="CA73" t="str">
            <v/>
          </cell>
          <cell r="CC73" t="str">
            <v/>
          </cell>
          <cell r="CD73" t="str">
            <v/>
          </cell>
          <cell r="CE73" t="str">
            <v/>
          </cell>
          <cell r="CF73" t="str">
            <v/>
          </cell>
        </row>
        <row r="74">
          <cell r="A74">
            <v>117</v>
          </cell>
          <cell r="B74" t="str">
            <v>0117_ホテルウィングインターナショナル名古屋</v>
          </cell>
          <cell r="C74" t="str">
            <v/>
          </cell>
          <cell r="D74" t="str">
            <v/>
          </cell>
          <cell r="E74" t="str">
            <v/>
          </cell>
          <cell r="F74" t="str">
            <v/>
          </cell>
          <cell r="G74" t="str">
            <v/>
          </cell>
          <cell r="H74">
            <v>4</v>
          </cell>
          <cell r="I74">
            <v>2</v>
          </cell>
          <cell r="J74" t="b">
            <v>0</v>
          </cell>
          <cell r="K74" t="str">
            <v/>
          </cell>
          <cell r="L74">
            <v>310589</v>
          </cell>
          <cell r="M74">
            <v>0</v>
          </cell>
          <cell r="N74">
            <v>0</v>
          </cell>
          <cell r="O74">
            <v>0</v>
          </cell>
          <cell r="P74">
            <v>0</v>
          </cell>
          <cell r="Q74">
            <v>341647.9</v>
          </cell>
          <cell r="R74">
            <v>341647</v>
          </cell>
          <cell r="S74" t="b">
            <v>0</v>
          </cell>
          <cell r="T74">
            <v>170823.5</v>
          </cell>
          <cell r="U74">
            <v>0</v>
          </cell>
          <cell r="V74">
            <v>2897543</v>
          </cell>
          <cell r="W74">
            <v>2897543</v>
          </cell>
          <cell r="X74" t="b">
            <v>1</v>
          </cell>
          <cell r="Y74">
            <v>29268.111111111109</v>
          </cell>
          <cell r="AB74" t="str">
            <v/>
          </cell>
          <cell r="AE74">
            <v>224</v>
          </cell>
          <cell r="AF74">
            <v>99</v>
          </cell>
          <cell r="AG74" t="b">
            <v>1</v>
          </cell>
          <cell r="AH74">
            <v>231</v>
          </cell>
          <cell r="AI74" t="str">
            <v/>
          </cell>
          <cell r="AJ74" t="str">
            <v/>
          </cell>
          <cell r="AK74" t="str">
            <v/>
          </cell>
          <cell r="AL74" t="str">
            <v/>
          </cell>
          <cell r="AM74" t="str">
            <v/>
          </cell>
          <cell r="AN74" t="str">
            <v/>
          </cell>
          <cell r="AQ74" t="str">
            <v/>
          </cell>
          <cell r="AV74" t="str">
            <v/>
          </cell>
          <cell r="AW74" t="str">
            <v/>
          </cell>
          <cell r="AX74" t="str">
            <v/>
          </cell>
          <cell r="AY74" t="str">
            <v/>
          </cell>
          <cell r="AZ74" t="str">
            <v/>
          </cell>
          <cell r="BA74" t="str">
            <v/>
          </cell>
          <cell r="BB74" t="str">
            <v/>
          </cell>
          <cell r="BC74" t="str">
            <v/>
          </cell>
          <cell r="BD74" t="str">
            <v/>
          </cell>
          <cell r="BE74" t="str">
            <v/>
          </cell>
          <cell r="BF74" t="str">
            <v/>
          </cell>
          <cell r="BG74" t="str">
            <v/>
          </cell>
          <cell r="BH74" t="str">
            <v/>
          </cell>
          <cell r="BJ74" t="str">
            <v/>
          </cell>
          <cell r="BK74" t="str">
            <v/>
          </cell>
          <cell r="BL74" t="str">
            <v/>
          </cell>
          <cell r="BM74" t="str">
            <v/>
          </cell>
          <cell r="BN74" t="str">
            <v/>
          </cell>
          <cell r="BO74" t="str">
            <v/>
          </cell>
          <cell r="BP74" t="str">
            <v/>
          </cell>
          <cell r="BQ74" t="str">
            <v/>
          </cell>
          <cell r="BR74" t="str">
            <v/>
          </cell>
          <cell r="BS74" t="str">
            <v/>
          </cell>
          <cell r="BT74" t="str">
            <v/>
          </cell>
          <cell r="BU74" t="str">
            <v/>
          </cell>
          <cell r="BV74" t="str">
            <v/>
          </cell>
          <cell r="BW74" t="str">
            <v/>
          </cell>
          <cell r="BX74" t="str">
            <v/>
          </cell>
          <cell r="BY74" t="str">
            <v/>
          </cell>
          <cell r="BZ74" t="str">
            <v/>
          </cell>
          <cell r="CA74" t="str">
            <v/>
          </cell>
          <cell r="CC74" t="str">
            <v/>
          </cell>
          <cell r="CD74" t="str">
            <v/>
          </cell>
          <cell r="CE74" t="str">
            <v/>
          </cell>
          <cell r="CF74" t="str">
            <v/>
          </cell>
        </row>
        <row r="75">
          <cell r="A75">
            <v>121</v>
          </cell>
          <cell r="B75" t="str">
            <v>0121_名古屋東急ホテル</v>
          </cell>
          <cell r="C75" t="str">
            <v/>
          </cell>
          <cell r="D75" t="str">
            <v>選手12000</v>
          </cell>
          <cell r="E75" t="str">
            <v/>
          </cell>
          <cell r="F75" t="str">
            <v>選手</v>
          </cell>
          <cell r="G75" t="str">
            <v/>
          </cell>
          <cell r="H75">
            <v>15</v>
          </cell>
          <cell r="I75">
            <v>7</v>
          </cell>
          <cell r="J75" t="b">
            <v>1</v>
          </cell>
          <cell r="K75">
            <v>8</v>
          </cell>
          <cell r="L75">
            <v>3856475</v>
          </cell>
          <cell r="M75">
            <v>388245</v>
          </cell>
          <cell r="N75">
            <v>104736</v>
          </cell>
          <cell r="O75">
            <v>0</v>
          </cell>
          <cell r="P75">
            <v>0</v>
          </cell>
          <cell r="Q75">
            <v>4784401.6000000006</v>
          </cell>
          <cell r="R75">
            <v>3860396</v>
          </cell>
          <cell r="S75" t="b">
            <v>1</v>
          </cell>
          <cell r="T75">
            <v>551485.14285714284</v>
          </cell>
          <cell r="U75">
            <v>-2948031</v>
          </cell>
          <cell r="V75">
            <v>16971798</v>
          </cell>
          <cell r="W75">
            <v>19919829</v>
          </cell>
          <cell r="X75" t="b">
            <v>1</v>
          </cell>
          <cell r="Y75">
            <v>43116.512987012989</v>
          </cell>
          <cell r="AB75" t="str">
            <v/>
          </cell>
          <cell r="AC75">
            <v>3000</v>
          </cell>
          <cell r="AE75">
            <v>565</v>
          </cell>
          <cell r="AF75">
            <v>462</v>
          </cell>
          <cell r="AG75" t="b">
            <v>1</v>
          </cell>
          <cell r="AH75">
            <v>776</v>
          </cell>
          <cell r="AI75" t="str">
            <v/>
          </cell>
          <cell r="AJ75" t="str">
            <v/>
          </cell>
          <cell r="AK75" t="str">
            <v/>
          </cell>
          <cell r="AL75">
            <v>565</v>
          </cell>
          <cell r="AM75" t="str">
            <v/>
          </cell>
          <cell r="AN75" t="str">
            <v/>
          </cell>
          <cell r="AQ75">
            <v>103</v>
          </cell>
          <cell r="AV75" t="str">
            <v/>
          </cell>
          <cell r="AW75">
            <v>31</v>
          </cell>
          <cell r="AX75" t="str">
            <v/>
          </cell>
          <cell r="AY75" t="str">
            <v/>
          </cell>
          <cell r="AZ75" t="str">
            <v/>
          </cell>
          <cell r="BA75" t="str">
            <v/>
          </cell>
          <cell r="BB75" t="str">
            <v/>
          </cell>
          <cell r="BC75">
            <v>18</v>
          </cell>
          <cell r="BD75" t="str">
            <v/>
          </cell>
          <cell r="BE75" t="str">
            <v/>
          </cell>
          <cell r="BF75" t="str">
            <v/>
          </cell>
          <cell r="BG75" t="str">
            <v/>
          </cell>
          <cell r="BH75" t="str">
            <v/>
          </cell>
          <cell r="BI75">
            <v>617514699</v>
          </cell>
          <cell r="BJ75" t="str">
            <v/>
          </cell>
          <cell r="BK75" t="str">
            <v/>
          </cell>
          <cell r="BL75" t="str">
            <v/>
          </cell>
          <cell r="BM75" t="str">
            <v/>
          </cell>
          <cell r="BN75" t="str">
            <v/>
          </cell>
          <cell r="BO75" t="str">
            <v/>
          </cell>
          <cell r="BP75">
            <v>438494937.07792211</v>
          </cell>
          <cell r="BQ75">
            <v>438494937.07792211</v>
          </cell>
          <cell r="BR75" t="str">
            <v/>
          </cell>
          <cell r="BS75" t="str">
            <v/>
          </cell>
          <cell r="BT75" t="str">
            <v/>
          </cell>
          <cell r="BU75" t="str">
            <v/>
          </cell>
          <cell r="BV75" t="str">
            <v/>
          </cell>
          <cell r="BW75" t="str">
            <v/>
          </cell>
          <cell r="BX75" t="str">
            <v/>
          </cell>
          <cell r="BY75">
            <v>119672276</v>
          </cell>
          <cell r="BZ75" t="str">
            <v/>
          </cell>
          <cell r="CA75" t="str">
            <v/>
          </cell>
          <cell r="CC75">
            <v>69487128</v>
          </cell>
          <cell r="CD75">
            <v>69487128</v>
          </cell>
          <cell r="CE75" t="str">
            <v/>
          </cell>
          <cell r="CF75" t="str">
            <v/>
          </cell>
        </row>
        <row r="76">
          <cell r="A76">
            <v>127</v>
          </cell>
          <cell r="B76" t="str">
            <v>0127_名古屋クレストンホテル</v>
          </cell>
          <cell r="C76" t="str">
            <v>スポンサー</v>
          </cell>
          <cell r="D76" t="str">
            <v/>
          </cell>
          <cell r="E76" t="str">
            <v/>
          </cell>
          <cell r="F76" t="str">
            <v>スポンサー</v>
          </cell>
          <cell r="G76" t="str">
            <v/>
          </cell>
          <cell r="H76">
            <v>6</v>
          </cell>
          <cell r="I76">
            <v>0</v>
          </cell>
          <cell r="J76" t="b">
            <v>0</v>
          </cell>
          <cell r="K76" t="str">
            <v/>
          </cell>
          <cell r="L76">
            <v>0</v>
          </cell>
          <cell r="M76">
            <v>0</v>
          </cell>
          <cell r="N76">
            <v>0</v>
          </cell>
          <cell r="O76">
            <v>0</v>
          </cell>
          <cell r="P76">
            <v>0</v>
          </cell>
          <cell r="Q76">
            <v>0</v>
          </cell>
          <cell r="R76">
            <v>0</v>
          </cell>
          <cell r="S76" t="b">
            <v>1</v>
          </cell>
          <cell r="T76" t="str">
            <v/>
          </cell>
          <cell r="U76">
            <v>0</v>
          </cell>
          <cell r="V76">
            <v>1294910</v>
          </cell>
          <cell r="W76">
            <v>1294910</v>
          </cell>
          <cell r="X76" t="b">
            <v>1</v>
          </cell>
          <cell r="Y76">
            <v>20554.126984126986</v>
          </cell>
          <cell r="AB76">
            <v>18459.158945117608</v>
          </cell>
          <cell r="AE76">
            <v>63</v>
          </cell>
          <cell r="AF76">
            <v>63</v>
          </cell>
          <cell r="AG76" t="b">
            <v>1</v>
          </cell>
          <cell r="AH76">
            <v>76</v>
          </cell>
          <cell r="AI76">
            <v>61</v>
          </cell>
          <cell r="AJ76" t="str">
            <v/>
          </cell>
          <cell r="AK76" t="str">
            <v/>
          </cell>
          <cell r="AL76">
            <v>120</v>
          </cell>
          <cell r="AM76" t="str">
            <v/>
          </cell>
          <cell r="AN76">
            <v>-2</v>
          </cell>
          <cell r="AQ76">
            <v>57</v>
          </cell>
          <cell r="AV76" t="str">
            <v/>
          </cell>
          <cell r="AW76" t="str">
            <v/>
          </cell>
          <cell r="AX76">
            <v>18</v>
          </cell>
          <cell r="AY76" t="str">
            <v/>
          </cell>
          <cell r="AZ76" t="str">
            <v/>
          </cell>
          <cell r="BA76" t="str">
            <v/>
          </cell>
          <cell r="BB76" t="str">
            <v/>
          </cell>
          <cell r="BC76" t="str">
            <v/>
          </cell>
          <cell r="BD76">
            <v>9</v>
          </cell>
          <cell r="BE76" t="str">
            <v/>
          </cell>
          <cell r="BF76" t="str">
            <v/>
          </cell>
          <cell r="BG76" t="str">
            <v/>
          </cell>
          <cell r="BH76" t="str">
            <v/>
          </cell>
          <cell r="BJ76" t="str">
            <v/>
          </cell>
          <cell r="BK76" t="str">
            <v/>
          </cell>
          <cell r="BL76">
            <v>22568431.428571429</v>
          </cell>
          <cell r="BM76" t="str">
            <v/>
          </cell>
          <cell r="BN76" t="str">
            <v/>
          </cell>
          <cell r="BO76" t="str">
            <v/>
          </cell>
          <cell r="BP76" t="str">
            <v/>
          </cell>
          <cell r="BQ76" t="str">
            <v/>
          </cell>
          <cell r="BR76" t="str">
            <v/>
          </cell>
          <cell r="BS76" t="str">
            <v/>
          </cell>
          <cell r="BT76" t="str">
            <v/>
          </cell>
          <cell r="BU76">
            <v>22198457.142857146</v>
          </cell>
          <cell r="BV76" t="str">
            <v/>
          </cell>
          <cell r="BW76" t="str">
            <v/>
          </cell>
          <cell r="BX76" t="str">
            <v/>
          </cell>
          <cell r="BY76" t="str">
            <v/>
          </cell>
          <cell r="BZ76" t="str">
            <v/>
          </cell>
          <cell r="CA76" t="str">
            <v/>
          </cell>
          <cell r="CC76" t="str">
            <v/>
          </cell>
          <cell r="CD76" t="str">
            <v/>
          </cell>
          <cell r="CE76" t="str">
            <v/>
          </cell>
          <cell r="CF76" t="str">
            <v/>
          </cell>
        </row>
        <row r="77">
          <cell r="A77">
            <v>130</v>
          </cell>
          <cell r="B77" t="str">
            <v>0130_ホテル シルク・トゥリー名古屋</v>
          </cell>
          <cell r="C77" t="str">
            <v/>
          </cell>
          <cell r="D77" t="str">
            <v/>
          </cell>
          <cell r="E77" t="str">
            <v/>
          </cell>
          <cell r="F77" t="str">
            <v/>
          </cell>
          <cell r="G77" t="str">
            <v/>
          </cell>
          <cell r="H77">
            <v>2</v>
          </cell>
          <cell r="I77">
            <v>2</v>
          </cell>
          <cell r="J77" t="b">
            <v>0</v>
          </cell>
          <cell r="K77" t="str">
            <v/>
          </cell>
          <cell r="L77">
            <v>101178</v>
          </cell>
          <cell r="M77">
            <v>0</v>
          </cell>
          <cell r="N77">
            <v>0</v>
          </cell>
          <cell r="O77">
            <v>0</v>
          </cell>
          <cell r="P77">
            <v>0</v>
          </cell>
          <cell r="Q77">
            <v>111295.8</v>
          </cell>
          <cell r="R77">
            <v>111295</v>
          </cell>
          <cell r="S77" t="b">
            <v>0</v>
          </cell>
          <cell r="T77">
            <v>55647.5</v>
          </cell>
          <cell r="U77">
            <v>0</v>
          </cell>
          <cell r="V77">
            <v>1475331</v>
          </cell>
          <cell r="W77">
            <v>1475331</v>
          </cell>
          <cell r="X77" t="b">
            <v>1</v>
          </cell>
          <cell r="Y77">
            <v>14753.31</v>
          </cell>
          <cell r="AB77" t="str">
            <v/>
          </cell>
          <cell r="AE77">
            <v>208</v>
          </cell>
          <cell r="AF77">
            <v>100</v>
          </cell>
          <cell r="AG77" t="b">
            <v>1</v>
          </cell>
          <cell r="AH77">
            <v>211</v>
          </cell>
          <cell r="AI77" t="str">
            <v/>
          </cell>
          <cell r="AJ77" t="str">
            <v/>
          </cell>
          <cell r="AK77" t="str">
            <v/>
          </cell>
          <cell r="AL77" t="str">
            <v/>
          </cell>
          <cell r="AM77" t="str">
            <v/>
          </cell>
          <cell r="AN77" t="str">
            <v/>
          </cell>
          <cell r="AQ77" t="str">
            <v/>
          </cell>
          <cell r="AV77" t="str">
            <v/>
          </cell>
          <cell r="AW77" t="str">
            <v/>
          </cell>
          <cell r="AX77" t="str">
            <v/>
          </cell>
          <cell r="AY77" t="str">
            <v/>
          </cell>
          <cell r="AZ77" t="str">
            <v/>
          </cell>
          <cell r="BA77" t="str">
            <v/>
          </cell>
          <cell r="BB77" t="str">
            <v/>
          </cell>
          <cell r="BC77" t="str">
            <v/>
          </cell>
          <cell r="BD77" t="str">
            <v/>
          </cell>
          <cell r="BE77" t="str">
            <v/>
          </cell>
          <cell r="BF77" t="str">
            <v/>
          </cell>
          <cell r="BG77" t="str">
            <v/>
          </cell>
          <cell r="BH77" t="str">
            <v/>
          </cell>
          <cell r="BJ77" t="str">
            <v/>
          </cell>
          <cell r="BK77" t="str">
            <v/>
          </cell>
          <cell r="BL77" t="str">
            <v/>
          </cell>
          <cell r="BM77" t="str">
            <v/>
          </cell>
          <cell r="BN77" t="str">
            <v/>
          </cell>
          <cell r="BO77" t="str">
            <v/>
          </cell>
          <cell r="BP77" t="str">
            <v/>
          </cell>
          <cell r="BQ77" t="str">
            <v/>
          </cell>
          <cell r="BR77" t="str">
            <v/>
          </cell>
          <cell r="BS77" t="str">
            <v/>
          </cell>
          <cell r="BT77" t="str">
            <v/>
          </cell>
          <cell r="BU77" t="str">
            <v/>
          </cell>
          <cell r="BV77" t="str">
            <v/>
          </cell>
          <cell r="BW77" t="str">
            <v/>
          </cell>
          <cell r="BX77" t="str">
            <v/>
          </cell>
          <cell r="BY77" t="str">
            <v/>
          </cell>
          <cell r="BZ77" t="str">
            <v/>
          </cell>
          <cell r="CA77" t="str">
            <v/>
          </cell>
          <cell r="CC77" t="str">
            <v/>
          </cell>
          <cell r="CD77" t="str">
            <v/>
          </cell>
          <cell r="CE77" t="str">
            <v/>
          </cell>
          <cell r="CF77" t="str">
            <v/>
          </cell>
        </row>
        <row r="78">
          <cell r="A78">
            <v>133</v>
          </cell>
          <cell r="B78" t="str">
            <v>0133_アパホテル＜名古屋栄＞</v>
          </cell>
          <cell r="C78" t="str">
            <v/>
          </cell>
          <cell r="D78" t="str">
            <v/>
          </cell>
          <cell r="E78" t="str">
            <v/>
          </cell>
          <cell r="F78" t="str">
            <v/>
          </cell>
          <cell r="G78" t="str">
            <v/>
          </cell>
          <cell r="H78">
            <v>0</v>
          </cell>
          <cell r="I78">
            <v>0</v>
          </cell>
          <cell r="J78" t="b">
            <v>0</v>
          </cell>
          <cell r="K78" t="str">
            <v/>
          </cell>
          <cell r="L78">
            <v>0</v>
          </cell>
          <cell r="M78">
            <v>0</v>
          </cell>
          <cell r="N78">
            <v>0</v>
          </cell>
          <cell r="O78">
            <v>0</v>
          </cell>
          <cell r="P78">
            <v>0</v>
          </cell>
          <cell r="Q78">
            <v>0</v>
          </cell>
          <cell r="R78">
            <v>0</v>
          </cell>
          <cell r="S78" t="b">
            <v>1</v>
          </cell>
          <cell r="T78" t="str">
            <v/>
          </cell>
          <cell r="U78">
            <v>0</v>
          </cell>
          <cell r="V78">
            <v>10948390</v>
          </cell>
          <cell r="W78">
            <v>10948390</v>
          </cell>
          <cell r="X78" t="b">
            <v>1</v>
          </cell>
          <cell r="Y78">
            <v>27370.974999999999</v>
          </cell>
          <cell r="AB78" t="str">
            <v/>
          </cell>
          <cell r="AE78">
            <v>400</v>
          </cell>
          <cell r="AF78">
            <v>400</v>
          </cell>
          <cell r="AG78" t="b">
            <v>1</v>
          </cell>
          <cell r="AH78">
            <v>401</v>
          </cell>
          <cell r="AI78" t="str">
            <v/>
          </cell>
          <cell r="AJ78" t="str">
            <v/>
          </cell>
          <cell r="AK78" t="str">
            <v/>
          </cell>
          <cell r="AL78" t="str">
            <v/>
          </cell>
          <cell r="AM78" t="str">
            <v/>
          </cell>
          <cell r="AN78" t="str">
            <v/>
          </cell>
          <cell r="AQ78" t="str">
            <v/>
          </cell>
          <cell r="AV78" t="str">
            <v/>
          </cell>
          <cell r="AW78" t="str">
            <v/>
          </cell>
          <cell r="AX78" t="str">
            <v/>
          </cell>
          <cell r="AY78" t="str">
            <v/>
          </cell>
          <cell r="AZ78" t="str">
            <v/>
          </cell>
          <cell r="BA78" t="str">
            <v/>
          </cell>
          <cell r="BB78" t="str">
            <v/>
          </cell>
          <cell r="BC78" t="str">
            <v/>
          </cell>
          <cell r="BD78" t="str">
            <v/>
          </cell>
          <cell r="BE78" t="str">
            <v/>
          </cell>
          <cell r="BF78" t="str">
            <v/>
          </cell>
          <cell r="BG78" t="str">
            <v/>
          </cell>
          <cell r="BH78" t="str">
            <v/>
          </cell>
          <cell r="BJ78" t="str">
            <v/>
          </cell>
          <cell r="BK78" t="str">
            <v/>
          </cell>
          <cell r="BL78" t="str">
            <v/>
          </cell>
          <cell r="BM78" t="str">
            <v/>
          </cell>
          <cell r="BN78" t="str">
            <v/>
          </cell>
          <cell r="BO78" t="str">
            <v/>
          </cell>
          <cell r="BP78" t="str">
            <v/>
          </cell>
          <cell r="BQ78" t="str">
            <v/>
          </cell>
          <cell r="BR78" t="str">
            <v/>
          </cell>
          <cell r="BS78" t="str">
            <v/>
          </cell>
          <cell r="BT78" t="str">
            <v/>
          </cell>
          <cell r="BU78" t="str">
            <v/>
          </cell>
          <cell r="BV78" t="str">
            <v/>
          </cell>
          <cell r="BW78" t="str">
            <v/>
          </cell>
          <cell r="BX78" t="str">
            <v/>
          </cell>
          <cell r="BY78" t="str">
            <v/>
          </cell>
          <cell r="BZ78" t="str">
            <v/>
          </cell>
          <cell r="CA78" t="str">
            <v/>
          </cell>
          <cell r="CC78" t="str">
            <v/>
          </cell>
          <cell r="CD78" t="str">
            <v/>
          </cell>
          <cell r="CE78" t="str">
            <v/>
          </cell>
          <cell r="CF78" t="str">
            <v/>
          </cell>
        </row>
        <row r="79">
          <cell r="A79">
            <v>139</v>
          </cell>
          <cell r="B79" t="str">
            <v>0139_ドーミーインPREMIUM名古屋栄</v>
          </cell>
          <cell r="C79" t="str">
            <v/>
          </cell>
          <cell r="D79" t="str">
            <v/>
          </cell>
          <cell r="E79" t="str">
            <v/>
          </cell>
          <cell r="F79" t="str">
            <v/>
          </cell>
          <cell r="G79" t="str">
            <v/>
          </cell>
          <cell r="H79">
            <v>0</v>
          </cell>
          <cell r="I79">
            <v>1</v>
          </cell>
          <cell r="J79" t="b">
            <v>0</v>
          </cell>
          <cell r="K79" t="str">
            <v/>
          </cell>
          <cell r="L79">
            <v>35295</v>
          </cell>
          <cell r="M79">
            <v>0</v>
          </cell>
          <cell r="N79">
            <v>0</v>
          </cell>
          <cell r="O79">
            <v>0</v>
          </cell>
          <cell r="P79">
            <v>0</v>
          </cell>
          <cell r="Q79">
            <v>38824.5</v>
          </cell>
          <cell r="R79">
            <v>38824</v>
          </cell>
          <cell r="S79" t="b">
            <v>0</v>
          </cell>
          <cell r="T79">
            <v>38824</v>
          </cell>
          <cell r="U79">
            <v>0</v>
          </cell>
          <cell r="V79">
            <v>12317498</v>
          </cell>
          <cell r="W79">
            <v>12317498</v>
          </cell>
          <cell r="X79" t="b">
            <v>1</v>
          </cell>
          <cell r="Y79">
            <v>58101.405660377357</v>
          </cell>
          <cell r="AB79" t="str">
            <v/>
          </cell>
          <cell r="AE79">
            <v>218</v>
          </cell>
          <cell r="AF79">
            <v>212</v>
          </cell>
          <cell r="AG79" t="b">
            <v>1</v>
          </cell>
          <cell r="AH79">
            <v>246</v>
          </cell>
          <cell r="AI79" t="str">
            <v/>
          </cell>
          <cell r="AJ79" t="str">
            <v/>
          </cell>
          <cell r="AK79" t="str">
            <v/>
          </cell>
          <cell r="AL79" t="str">
            <v/>
          </cell>
          <cell r="AM79" t="str">
            <v/>
          </cell>
          <cell r="AN79" t="str">
            <v/>
          </cell>
          <cell r="AQ79" t="str">
            <v/>
          </cell>
          <cell r="AV79" t="str">
            <v/>
          </cell>
          <cell r="AW79" t="str">
            <v/>
          </cell>
          <cell r="AX79" t="str">
            <v/>
          </cell>
          <cell r="AY79" t="str">
            <v/>
          </cell>
          <cell r="AZ79" t="str">
            <v/>
          </cell>
          <cell r="BA79" t="str">
            <v/>
          </cell>
          <cell r="BB79" t="str">
            <v/>
          </cell>
          <cell r="BC79" t="str">
            <v/>
          </cell>
          <cell r="BD79" t="str">
            <v/>
          </cell>
          <cell r="BE79" t="str">
            <v/>
          </cell>
          <cell r="BF79" t="str">
            <v/>
          </cell>
          <cell r="BG79" t="str">
            <v/>
          </cell>
          <cell r="BH79" t="str">
            <v/>
          </cell>
          <cell r="BJ79" t="str">
            <v/>
          </cell>
          <cell r="BK79" t="str">
            <v/>
          </cell>
          <cell r="BL79" t="str">
            <v/>
          </cell>
          <cell r="BM79" t="str">
            <v/>
          </cell>
          <cell r="BN79" t="str">
            <v/>
          </cell>
          <cell r="BO79" t="str">
            <v/>
          </cell>
          <cell r="BP79" t="str">
            <v/>
          </cell>
          <cell r="BQ79" t="str">
            <v/>
          </cell>
          <cell r="BR79" t="str">
            <v/>
          </cell>
          <cell r="BS79" t="str">
            <v/>
          </cell>
          <cell r="BT79" t="str">
            <v/>
          </cell>
          <cell r="BU79" t="str">
            <v/>
          </cell>
          <cell r="BV79" t="str">
            <v/>
          </cell>
          <cell r="BW79" t="str">
            <v/>
          </cell>
          <cell r="BX79" t="str">
            <v/>
          </cell>
          <cell r="BY79" t="str">
            <v/>
          </cell>
          <cell r="BZ79" t="str">
            <v/>
          </cell>
          <cell r="CA79" t="str">
            <v/>
          </cell>
          <cell r="CC79" t="str">
            <v/>
          </cell>
          <cell r="CD79" t="str">
            <v/>
          </cell>
          <cell r="CE79" t="str">
            <v/>
          </cell>
          <cell r="CF79" t="str">
            <v/>
          </cell>
        </row>
        <row r="80">
          <cell r="A80">
            <v>140</v>
          </cell>
          <cell r="B80" t="str">
            <v>0140_名古屋金山ホテル</v>
          </cell>
          <cell r="C80" t="str">
            <v>スポンサー</v>
          </cell>
          <cell r="D80" t="str">
            <v/>
          </cell>
          <cell r="E80" t="str">
            <v/>
          </cell>
          <cell r="F80" t="str">
            <v/>
          </cell>
          <cell r="G80" t="str">
            <v/>
          </cell>
          <cell r="H80">
            <v>7</v>
          </cell>
          <cell r="I80">
            <v>2</v>
          </cell>
          <cell r="J80" t="b">
            <v>0</v>
          </cell>
          <cell r="K80" t="str">
            <v/>
          </cell>
          <cell r="L80">
            <v>776472</v>
          </cell>
          <cell r="R80">
            <v>854119</v>
          </cell>
          <cell r="S80" t="b">
            <v>0</v>
          </cell>
          <cell r="T80">
            <v>427059.5</v>
          </cell>
          <cell r="U80">
            <v>0</v>
          </cell>
          <cell r="V80">
            <v>1373454</v>
          </cell>
          <cell r="W80">
            <v>1373454</v>
          </cell>
          <cell r="X80" t="b">
            <v>1</v>
          </cell>
          <cell r="Y80">
            <v>14159.319587628866</v>
          </cell>
          <cell r="AB80">
            <v>12312.451815329448</v>
          </cell>
          <cell r="AE80" t="str">
            <v>Not Found</v>
          </cell>
          <cell r="AF80">
            <v>97</v>
          </cell>
          <cell r="AG80" t="b">
            <v>1</v>
          </cell>
          <cell r="AH80" t="str">
            <v>Not Found</v>
          </cell>
          <cell r="AI80">
            <v>97</v>
          </cell>
          <cell r="AJ80" t="str">
            <v/>
          </cell>
          <cell r="AK80" t="str">
            <v/>
          </cell>
          <cell r="AL80" t="str">
            <v/>
          </cell>
          <cell r="AM80" t="str">
            <v/>
          </cell>
          <cell r="AN80">
            <v>0</v>
          </cell>
          <cell r="AV80" t="str">
            <v/>
          </cell>
          <cell r="AW80" t="str">
            <v/>
          </cell>
          <cell r="AX80">
            <v>18</v>
          </cell>
          <cell r="AY80" t="str">
            <v/>
          </cell>
          <cell r="AZ80" t="str">
            <v/>
          </cell>
          <cell r="BA80" t="str">
            <v/>
          </cell>
          <cell r="BB80" t="str">
            <v/>
          </cell>
          <cell r="BC80" t="str">
            <v/>
          </cell>
          <cell r="BD80" t="str">
            <v/>
          </cell>
          <cell r="BE80" t="str">
            <v/>
          </cell>
          <cell r="BF80" t="str">
            <v/>
          </cell>
          <cell r="BG80" t="str">
            <v/>
          </cell>
          <cell r="BH80" t="str">
            <v/>
          </cell>
          <cell r="BJ80" t="str">
            <v/>
          </cell>
          <cell r="BK80" t="str">
            <v/>
          </cell>
          <cell r="BL80">
            <v>24722172</v>
          </cell>
          <cell r="BM80" t="str">
            <v/>
          </cell>
          <cell r="BN80" t="str">
            <v/>
          </cell>
          <cell r="BO80" t="str">
            <v/>
          </cell>
          <cell r="BP80" t="str">
            <v/>
          </cell>
          <cell r="BQ80" t="str">
            <v/>
          </cell>
          <cell r="BR80" t="str">
            <v/>
          </cell>
          <cell r="BS80" t="str">
            <v/>
          </cell>
          <cell r="BT80" t="str">
            <v/>
          </cell>
          <cell r="BU80" t="str">
            <v/>
          </cell>
          <cell r="BV80" t="str">
            <v/>
          </cell>
          <cell r="BW80" t="str">
            <v/>
          </cell>
          <cell r="BX80" t="str">
            <v/>
          </cell>
          <cell r="BY80" t="str">
            <v/>
          </cell>
          <cell r="BZ80" t="str">
            <v/>
          </cell>
          <cell r="CA80" t="str">
            <v/>
          </cell>
          <cell r="CC80" t="str">
            <v/>
          </cell>
          <cell r="CD80" t="str">
            <v/>
          </cell>
          <cell r="CE80" t="str">
            <v/>
          </cell>
          <cell r="CF80" t="str">
            <v/>
          </cell>
        </row>
        <row r="81">
          <cell r="A81">
            <v>141</v>
          </cell>
          <cell r="B81" t="str">
            <v>0141_プリンセスガーデンホテル</v>
          </cell>
          <cell r="C81" t="str">
            <v/>
          </cell>
          <cell r="D81" t="str">
            <v/>
          </cell>
          <cell r="E81" t="str">
            <v/>
          </cell>
          <cell r="F81" t="str">
            <v/>
          </cell>
          <cell r="G81" t="str">
            <v/>
          </cell>
          <cell r="H81">
            <v>6</v>
          </cell>
          <cell r="I81">
            <v>3</v>
          </cell>
          <cell r="J81" t="b">
            <v>0</v>
          </cell>
          <cell r="K81" t="str">
            <v/>
          </cell>
          <cell r="L81">
            <v>329414</v>
          </cell>
          <cell r="M81">
            <v>0</v>
          </cell>
          <cell r="N81">
            <v>0</v>
          </cell>
          <cell r="O81">
            <v>0</v>
          </cell>
          <cell r="P81">
            <v>0</v>
          </cell>
          <cell r="Q81">
            <v>362355.4</v>
          </cell>
          <cell r="R81">
            <v>362355</v>
          </cell>
          <cell r="S81" t="b">
            <v>0</v>
          </cell>
          <cell r="T81">
            <v>120785</v>
          </cell>
          <cell r="U81">
            <v>0</v>
          </cell>
          <cell r="V81">
            <v>2705243</v>
          </cell>
          <cell r="W81">
            <v>2705243</v>
          </cell>
          <cell r="X81" t="b">
            <v>1</v>
          </cell>
          <cell r="Y81">
            <v>27325.686868686869</v>
          </cell>
          <cell r="AB81" t="str">
            <v/>
          </cell>
          <cell r="AE81" t="str">
            <v>Not Found</v>
          </cell>
          <cell r="AF81">
            <v>99</v>
          </cell>
          <cell r="AG81" t="b">
            <v>1</v>
          </cell>
          <cell r="AH81" t="str">
            <v>Not Found</v>
          </cell>
          <cell r="AI81" t="str">
            <v/>
          </cell>
          <cell r="AJ81" t="str">
            <v/>
          </cell>
          <cell r="AK81" t="str">
            <v/>
          </cell>
          <cell r="AL81" t="str">
            <v/>
          </cell>
          <cell r="AM81" t="str">
            <v/>
          </cell>
          <cell r="AN81" t="str">
            <v/>
          </cell>
          <cell r="AQ81" t="str">
            <v/>
          </cell>
          <cell r="AV81" t="str">
            <v/>
          </cell>
          <cell r="AW81" t="str">
            <v/>
          </cell>
          <cell r="AX81" t="str">
            <v/>
          </cell>
          <cell r="AY81" t="str">
            <v/>
          </cell>
          <cell r="AZ81" t="str">
            <v/>
          </cell>
          <cell r="BA81" t="str">
            <v/>
          </cell>
          <cell r="BB81" t="str">
            <v/>
          </cell>
          <cell r="BC81" t="str">
            <v/>
          </cell>
          <cell r="BD81" t="str">
            <v/>
          </cell>
          <cell r="BE81" t="str">
            <v/>
          </cell>
          <cell r="BF81" t="str">
            <v/>
          </cell>
          <cell r="BG81" t="str">
            <v/>
          </cell>
          <cell r="BH81" t="str">
            <v/>
          </cell>
          <cell r="BJ81" t="str">
            <v/>
          </cell>
          <cell r="BK81" t="str">
            <v/>
          </cell>
          <cell r="BL81" t="str">
            <v/>
          </cell>
          <cell r="BM81" t="str">
            <v/>
          </cell>
          <cell r="BN81" t="str">
            <v/>
          </cell>
          <cell r="BO81" t="str">
            <v/>
          </cell>
          <cell r="BP81" t="str">
            <v/>
          </cell>
          <cell r="BQ81" t="str">
            <v/>
          </cell>
          <cell r="BR81" t="str">
            <v/>
          </cell>
          <cell r="BS81" t="str">
            <v/>
          </cell>
          <cell r="BT81" t="str">
            <v/>
          </cell>
          <cell r="BU81" t="str">
            <v/>
          </cell>
          <cell r="BV81" t="str">
            <v/>
          </cell>
          <cell r="BW81" t="str">
            <v/>
          </cell>
          <cell r="BX81" t="str">
            <v/>
          </cell>
          <cell r="BY81" t="str">
            <v/>
          </cell>
          <cell r="BZ81" t="str">
            <v/>
          </cell>
          <cell r="CA81" t="str">
            <v/>
          </cell>
          <cell r="CC81" t="str">
            <v/>
          </cell>
          <cell r="CD81" t="str">
            <v/>
          </cell>
          <cell r="CE81" t="str">
            <v/>
          </cell>
          <cell r="CF81" t="str">
            <v/>
          </cell>
        </row>
        <row r="82">
          <cell r="A82">
            <v>146</v>
          </cell>
          <cell r="B82" t="str">
            <v xml:space="preserve">0146_ホテルビスタ名古屋〔錦〕 </v>
          </cell>
          <cell r="C82" t="str">
            <v/>
          </cell>
          <cell r="D82" t="str">
            <v/>
          </cell>
          <cell r="E82" t="str">
            <v/>
          </cell>
          <cell r="F82" t="str">
            <v/>
          </cell>
          <cell r="G82" t="str">
            <v/>
          </cell>
          <cell r="H82">
            <v>0</v>
          </cell>
          <cell r="I82">
            <v>0</v>
          </cell>
          <cell r="J82" t="b">
            <v>1</v>
          </cell>
          <cell r="K82" t="str">
            <v/>
          </cell>
          <cell r="L82">
            <v>0</v>
          </cell>
          <cell r="M82">
            <v>0</v>
          </cell>
          <cell r="N82">
            <v>0</v>
          </cell>
          <cell r="O82">
            <v>0</v>
          </cell>
          <cell r="P82">
            <v>0</v>
          </cell>
          <cell r="Q82">
            <v>0</v>
          </cell>
          <cell r="R82">
            <v>0</v>
          </cell>
          <cell r="S82" t="b">
            <v>1</v>
          </cell>
          <cell r="T82" t="str">
            <v/>
          </cell>
          <cell r="U82">
            <v>0</v>
          </cell>
          <cell r="V82">
            <v>1801162</v>
          </cell>
          <cell r="W82">
            <v>1801162</v>
          </cell>
          <cell r="X82" t="b">
            <v>1</v>
          </cell>
          <cell r="Y82">
            <v>30019.366666666665</v>
          </cell>
          <cell r="AB82" t="str">
            <v/>
          </cell>
          <cell r="AE82">
            <v>143</v>
          </cell>
          <cell r="AF82">
            <v>60</v>
          </cell>
          <cell r="AG82" t="b">
            <v>1</v>
          </cell>
          <cell r="AH82">
            <v>175</v>
          </cell>
          <cell r="AI82" t="str">
            <v/>
          </cell>
          <cell r="AJ82" t="str">
            <v/>
          </cell>
          <cell r="AK82" t="str">
            <v/>
          </cell>
          <cell r="AL82" t="str">
            <v/>
          </cell>
          <cell r="AM82" t="str">
            <v/>
          </cell>
          <cell r="AN82" t="str">
            <v/>
          </cell>
          <cell r="AQ82" t="str">
            <v/>
          </cell>
          <cell r="AV82" t="str">
            <v/>
          </cell>
          <cell r="AW82" t="str">
            <v/>
          </cell>
          <cell r="AX82" t="str">
            <v/>
          </cell>
          <cell r="AY82" t="str">
            <v/>
          </cell>
          <cell r="AZ82" t="str">
            <v/>
          </cell>
          <cell r="BA82" t="str">
            <v/>
          </cell>
          <cell r="BB82" t="str">
            <v/>
          </cell>
          <cell r="BC82" t="str">
            <v/>
          </cell>
          <cell r="BD82" t="str">
            <v/>
          </cell>
          <cell r="BE82" t="str">
            <v/>
          </cell>
          <cell r="BF82" t="str">
            <v/>
          </cell>
          <cell r="BG82" t="str">
            <v/>
          </cell>
          <cell r="BH82" t="str">
            <v/>
          </cell>
          <cell r="BJ82" t="str">
            <v/>
          </cell>
          <cell r="BK82" t="str">
            <v/>
          </cell>
          <cell r="BL82" t="str">
            <v/>
          </cell>
          <cell r="BM82" t="str">
            <v/>
          </cell>
          <cell r="BN82" t="str">
            <v/>
          </cell>
          <cell r="BO82" t="str">
            <v/>
          </cell>
          <cell r="BP82" t="str">
            <v/>
          </cell>
          <cell r="BQ82" t="str">
            <v/>
          </cell>
          <cell r="BR82" t="str">
            <v/>
          </cell>
          <cell r="BS82" t="str">
            <v/>
          </cell>
          <cell r="BT82" t="str">
            <v/>
          </cell>
          <cell r="BU82" t="str">
            <v/>
          </cell>
          <cell r="BV82" t="str">
            <v/>
          </cell>
          <cell r="BW82" t="str">
            <v/>
          </cell>
          <cell r="BX82" t="str">
            <v/>
          </cell>
          <cell r="BY82" t="str">
            <v/>
          </cell>
          <cell r="BZ82" t="str">
            <v/>
          </cell>
          <cell r="CA82" t="str">
            <v/>
          </cell>
          <cell r="CC82" t="str">
            <v/>
          </cell>
          <cell r="CD82" t="str">
            <v/>
          </cell>
          <cell r="CE82" t="str">
            <v/>
          </cell>
          <cell r="CF82" t="str">
            <v/>
          </cell>
        </row>
        <row r="83">
          <cell r="A83">
            <v>154</v>
          </cell>
          <cell r="B83" t="str">
            <v>0154_ダイワロイネットホテル名古屋納屋橋</v>
          </cell>
          <cell r="C83" t="str">
            <v/>
          </cell>
          <cell r="D83" t="str">
            <v/>
          </cell>
          <cell r="E83" t="str">
            <v/>
          </cell>
          <cell r="F83" t="str">
            <v/>
          </cell>
          <cell r="G83" t="str">
            <v/>
          </cell>
          <cell r="H83">
            <v>0</v>
          </cell>
          <cell r="I83">
            <v>0</v>
          </cell>
          <cell r="J83" t="b">
            <v>0</v>
          </cell>
          <cell r="K83" t="str">
            <v/>
          </cell>
          <cell r="L83">
            <v>0</v>
          </cell>
          <cell r="M83">
            <v>0</v>
          </cell>
          <cell r="N83">
            <v>0</v>
          </cell>
          <cell r="O83">
            <v>0</v>
          </cell>
          <cell r="P83">
            <v>0</v>
          </cell>
          <cell r="Q83">
            <v>0</v>
          </cell>
          <cell r="R83">
            <v>0</v>
          </cell>
          <cell r="S83" t="b">
            <v>1</v>
          </cell>
          <cell r="T83" t="str">
            <v/>
          </cell>
          <cell r="U83">
            <v>0</v>
          </cell>
          <cell r="V83">
            <v>2788236</v>
          </cell>
          <cell r="W83">
            <v>2788236</v>
          </cell>
          <cell r="X83" t="b">
            <v>1</v>
          </cell>
          <cell r="Y83">
            <v>34852.949999999997</v>
          </cell>
          <cell r="AB83" t="str">
            <v/>
          </cell>
          <cell r="AE83">
            <v>246</v>
          </cell>
          <cell r="AF83">
            <v>80</v>
          </cell>
          <cell r="AG83" t="b">
            <v>1</v>
          </cell>
          <cell r="AH83">
            <v>342</v>
          </cell>
          <cell r="AI83" t="str">
            <v/>
          </cell>
          <cell r="AJ83" t="str">
            <v/>
          </cell>
          <cell r="AK83" t="str">
            <v/>
          </cell>
          <cell r="AL83" t="str">
            <v/>
          </cell>
          <cell r="AM83" t="str">
            <v/>
          </cell>
          <cell r="AN83" t="str">
            <v/>
          </cell>
          <cell r="AQ83" t="str">
            <v/>
          </cell>
          <cell r="AV83" t="str">
            <v/>
          </cell>
          <cell r="AW83" t="str">
            <v/>
          </cell>
          <cell r="AX83" t="str">
            <v/>
          </cell>
          <cell r="AY83" t="str">
            <v/>
          </cell>
          <cell r="AZ83" t="str">
            <v/>
          </cell>
          <cell r="BA83" t="str">
            <v/>
          </cell>
          <cell r="BB83" t="str">
            <v/>
          </cell>
          <cell r="BC83" t="str">
            <v/>
          </cell>
          <cell r="BD83" t="str">
            <v/>
          </cell>
          <cell r="BE83" t="str">
            <v/>
          </cell>
          <cell r="BF83" t="str">
            <v/>
          </cell>
          <cell r="BG83" t="str">
            <v/>
          </cell>
          <cell r="BH83" t="str">
            <v/>
          </cell>
          <cell r="BJ83" t="str">
            <v/>
          </cell>
          <cell r="BK83" t="str">
            <v/>
          </cell>
          <cell r="BL83" t="str">
            <v/>
          </cell>
          <cell r="BM83" t="str">
            <v/>
          </cell>
          <cell r="BN83" t="str">
            <v/>
          </cell>
          <cell r="BO83" t="str">
            <v/>
          </cell>
          <cell r="BP83" t="str">
            <v/>
          </cell>
          <cell r="BQ83" t="str">
            <v/>
          </cell>
          <cell r="BR83" t="str">
            <v/>
          </cell>
          <cell r="BS83" t="str">
            <v/>
          </cell>
          <cell r="BT83" t="str">
            <v/>
          </cell>
          <cell r="BU83" t="str">
            <v/>
          </cell>
          <cell r="BV83" t="str">
            <v/>
          </cell>
          <cell r="BW83" t="str">
            <v/>
          </cell>
          <cell r="BX83" t="str">
            <v/>
          </cell>
          <cell r="BY83" t="str">
            <v/>
          </cell>
          <cell r="BZ83" t="str">
            <v/>
          </cell>
          <cell r="CA83" t="str">
            <v/>
          </cell>
          <cell r="CC83" t="str">
            <v/>
          </cell>
          <cell r="CD83" t="str">
            <v/>
          </cell>
          <cell r="CE83" t="str">
            <v/>
          </cell>
          <cell r="CF83" t="str">
            <v/>
          </cell>
        </row>
        <row r="84">
          <cell r="A84">
            <v>158</v>
          </cell>
          <cell r="B84" t="str">
            <v>0158_ベッセルイン栄駅前</v>
          </cell>
          <cell r="C84" t="str">
            <v>スポンサー</v>
          </cell>
          <cell r="D84" t="str">
            <v/>
          </cell>
          <cell r="E84" t="str">
            <v/>
          </cell>
          <cell r="F84" t="str">
            <v/>
          </cell>
          <cell r="G84" t="str">
            <v/>
          </cell>
          <cell r="H84">
            <v>0</v>
          </cell>
          <cell r="I84">
            <v>0</v>
          </cell>
          <cell r="J84" t="b">
            <v>0</v>
          </cell>
          <cell r="K84" t="str">
            <v/>
          </cell>
          <cell r="L84">
            <v>0</v>
          </cell>
          <cell r="M84">
            <v>0</v>
          </cell>
          <cell r="N84">
            <v>0</v>
          </cell>
          <cell r="O84">
            <v>0</v>
          </cell>
          <cell r="P84">
            <v>0</v>
          </cell>
          <cell r="Q84">
            <v>0</v>
          </cell>
          <cell r="R84">
            <v>0</v>
          </cell>
          <cell r="S84" t="b">
            <v>1</v>
          </cell>
          <cell r="T84" t="str">
            <v/>
          </cell>
          <cell r="U84">
            <v>0</v>
          </cell>
          <cell r="V84">
            <v>2929250</v>
          </cell>
          <cell r="W84">
            <v>2929250</v>
          </cell>
          <cell r="X84" t="b">
            <v>1</v>
          </cell>
          <cell r="Y84">
            <v>13018.888888888889</v>
          </cell>
          <cell r="AB84">
            <v>11320.772946859903</v>
          </cell>
          <cell r="AE84">
            <v>225</v>
          </cell>
          <cell r="AF84">
            <v>225</v>
          </cell>
          <cell r="AG84" t="b">
            <v>1</v>
          </cell>
          <cell r="AH84">
            <v>237</v>
          </cell>
          <cell r="AI84">
            <v>225</v>
          </cell>
          <cell r="AJ84" t="str">
            <v/>
          </cell>
          <cell r="AK84" t="str">
            <v/>
          </cell>
          <cell r="AL84" t="str">
            <v/>
          </cell>
          <cell r="AM84" t="str">
            <v/>
          </cell>
          <cell r="AN84">
            <v>0</v>
          </cell>
          <cell r="AQ84" t="str">
            <v/>
          </cell>
          <cell r="AV84" t="str">
            <v/>
          </cell>
          <cell r="AW84" t="str">
            <v/>
          </cell>
          <cell r="AX84">
            <v>18</v>
          </cell>
          <cell r="AY84" t="str">
            <v/>
          </cell>
          <cell r="AZ84" t="str">
            <v/>
          </cell>
          <cell r="BA84" t="str">
            <v/>
          </cell>
          <cell r="BB84" t="str">
            <v/>
          </cell>
          <cell r="BC84" t="str">
            <v/>
          </cell>
          <cell r="BD84" t="str">
            <v/>
          </cell>
          <cell r="BE84" t="str">
            <v/>
          </cell>
          <cell r="BF84" t="str">
            <v/>
          </cell>
          <cell r="BG84" t="str">
            <v/>
          </cell>
          <cell r="BH84" t="str">
            <v/>
          </cell>
          <cell r="BJ84" t="str">
            <v/>
          </cell>
          <cell r="BK84" t="str">
            <v/>
          </cell>
          <cell r="BL84">
            <v>52726500</v>
          </cell>
          <cell r="BM84" t="str">
            <v/>
          </cell>
          <cell r="BN84" t="str">
            <v/>
          </cell>
          <cell r="BO84" t="str">
            <v/>
          </cell>
          <cell r="BP84" t="str">
            <v/>
          </cell>
          <cell r="BQ84" t="str">
            <v/>
          </cell>
          <cell r="BR84" t="str">
            <v/>
          </cell>
          <cell r="BS84" t="str">
            <v/>
          </cell>
          <cell r="BT84" t="str">
            <v/>
          </cell>
          <cell r="BU84" t="str">
            <v/>
          </cell>
          <cell r="BV84" t="str">
            <v/>
          </cell>
          <cell r="BW84" t="str">
            <v/>
          </cell>
          <cell r="BX84" t="str">
            <v/>
          </cell>
          <cell r="BY84" t="str">
            <v/>
          </cell>
          <cell r="BZ84" t="str">
            <v/>
          </cell>
          <cell r="CA84" t="str">
            <v/>
          </cell>
          <cell r="CC84" t="str">
            <v/>
          </cell>
          <cell r="CD84" t="str">
            <v/>
          </cell>
          <cell r="CE84" t="str">
            <v/>
          </cell>
          <cell r="CF84" t="str">
            <v/>
          </cell>
        </row>
        <row r="85">
          <cell r="A85">
            <v>159</v>
          </cell>
          <cell r="B85" t="str">
            <v>0159_ホテルJALシティ名古屋 錦</v>
          </cell>
          <cell r="C85" t="str">
            <v/>
          </cell>
          <cell r="D85" t="str">
            <v/>
          </cell>
          <cell r="E85" t="str">
            <v/>
          </cell>
          <cell r="F85" t="str">
            <v>選手</v>
          </cell>
          <cell r="G85" t="str">
            <v/>
          </cell>
          <cell r="H85">
            <v>8</v>
          </cell>
          <cell r="I85">
            <v>0</v>
          </cell>
          <cell r="J85" t="b">
            <v>0</v>
          </cell>
          <cell r="K85">
            <v>8</v>
          </cell>
          <cell r="L85">
            <v>0</v>
          </cell>
          <cell r="M85">
            <v>0</v>
          </cell>
          <cell r="N85">
            <v>0</v>
          </cell>
          <cell r="O85">
            <v>0</v>
          </cell>
          <cell r="P85">
            <v>0</v>
          </cell>
          <cell r="Q85">
            <v>0</v>
          </cell>
          <cell r="R85">
            <v>0</v>
          </cell>
          <cell r="S85" t="b">
            <v>1</v>
          </cell>
          <cell r="T85" t="str">
            <v/>
          </cell>
          <cell r="U85">
            <v>0</v>
          </cell>
          <cell r="V85">
            <v>10029767</v>
          </cell>
          <cell r="W85">
            <v>10029767</v>
          </cell>
          <cell r="X85" t="b">
            <v>1</v>
          </cell>
          <cell r="Y85">
            <v>46434.106481481482</v>
          </cell>
          <cell r="AB85" t="str">
            <v/>
          </cell>
          <cell r="AE85">
            <v>216</v>
          </cell>
          <cell r="AF85">
            <v>216</v>
          </cell>
          <cell r="AG85" t="b">
            <v>1</v>
          </cell>
          <cell r="AH85">
            <v>333</v>
          </cell>
          <cell r="AI85" t="str">
            <v/>
          </cell>
          <cell r="AJ85" t="str">
            <v/>
          </cell>
          <cell r="AK85" t="str">
            <v/>
          </cell>
          <cell r="AL85">
            <v>216</v>
          </cell>
          <cell r="AM85" t="str">
            <v/>
          </cell>
          <cell r="AN85" t="str">
            <v/>
          </cell>
          <cell r="AQ85">
            <v>0</v>
          </cell>
          <cell r="AV85" t="str">
            <v/>
          </cell>
          <cell r="AW85" t="str">
            <v/>
          </cell>
          <cell r="AX85" t="str">
            <v/>
          </cell>
          <cell r="AY85" t="str">
            <v/>
          </cell>
          <cell r="AZ85" t="str">
            <v/>
          </cell>
          <cell r="BA85" t="str">
            <v/>
          </cell>
          <cell r="BB85" t="str">
            <v/>
          </cell>
          <cell r="BC85">
            <v>18</v>
          </cell>
          <cell r="BD85" t="str">
            <v/>
          </cell>
          <cell r="BE85" t="str">
            <v/>
          </cell>
          <cell r="BF85" t="str">
            <v/>
          </cell>
          <cell r="BG85" t="str">
            <v/>
          </cell>
          <cell r="BH85" t="str">
            <v/>
          </cell>
          <cell r="BJ85" t="str">
            <v/>
          </cell>
          <cell r="BK85" t="str">
            <v/>
          </cell>
          <cell r="BL85" t="str">
            <v/>
          </cell>
          <cell r="BM85" t="str">
            <v/>
          </cell>
          <cell r="BN85" t="str">
            <v/>
          </cell>
          <cell r="BO85" t="str">
            <v/>
          </cell>
          <cell r="BP85">
            <v>180535806</v>
          </cell>
          <cell r="BQ85">
            <v>180535806</v>
          </cell>
          <cell r="BR85" t="str">
            <v/>
          </cell>
          <cell r="BS85" t="str">
            <v/>
          </cell>
          <cell r="BT85" t="str">
            <v/>
          </cell>
          <cell r="BU85" t="str">
            <v/>
          </cell>
          <cell r="BV85" t="str">
            <v/>
          </cell>
          <cell r="BW85" t="str">
            <v/>
          </cell>
          <cell r="BX85" t="str">
            <v/>
          </cell>
          <cell r="BY85" t="str">
            <v/>
          </cell>
          <cell r="BZ85" t="str">
            <v/>
          </cell>
          <cell r="CA85" t="str">
            <v/>
          </cell>
          <cell r="CC85" t="str">
            <v/>
          </cell>
          <cell r="CD85" t="str">
            <v/>
          </cell>
          <cell r="CE85" t="str">
            <v/>
          </cell>
          <cell r="CF85" t="str">
            <v/>
          </cell>
        </row>
        <row r="86">
          <cell r="A86">
            <v>160</v>
          </cell>
          <cell r="B86" t="str">
            <v>0160_西鉄ホテルクルーム名古屋</v>
          </cell>
          <cell r="C86" t="str">
            <v/>
          </cell>
          <cell r="D86" t="str">
            <v>選手12000</v>
          </cell>
          <cell r="E86" t="str">
            <v/>
          </cell>
          <cell r="F86" t="str">
            <v/>
          </cell>
          <cell r="G86" t="str">
            <v/>
          </cell>
          <cell r="H86">
            <v>0</v>
          </cell>
          <cell r="I86">
            <v>0</v>
          </cell>
          <cell r="J86" t="b">
            <v>1</v>
          </cell>
          <cell r="K86" t="str">
            <v/>
          </cell>
          <cell r="L86">
            <v>0</v>
          </cell>
          <cell r="M86">
            <v>0</v>
          </cell>
          <cell r="N86">
            <v>0</v>
          </cell>
          <cell r="O86">
            <v>0</v>
          </cell>
          <cell r="P86">
            <v>0</v>
          </cell>
          <cell r="Q86">
            <v>0</v>
          </cell>
          <cell r="R86">
            <v>0</v>
          </cell>
          <cell r="S86" t="b">
            <v>1</v>
          </cell>
          <cell r="T86" t="str">
            <v/>
          </cell>
          <cell r="U86">
            <v>0</v>
          </cell>
          <cell r="V86">
            <v>9987678</v>
          </cell>
          <cell r="W86">
            <v>9987678</v>
          </cell>
          <cell r="X86" t="b">
            <v>1</v>
          </cell>
          <cell r="Y86">
            <v>41271.396694214876</v>
          </cell>
          <cell r="AB86" t="str">
            <v/>
          </cell>
          <cell r="AC86">
            <v>1800</v>
          </cell>
          <cell r="AE86">
            <v>242</v>
          </cell>
          <cell r="AF86">
            <v>242</v>
          </cell>
          <cell r="AG86" t="b">
            <v>1</v>
          </cell>
          <cell r="AH86">
            <v>286</v>
          </cell>
          <cell r="AI86" t="str">
            <v/>
          </cell>
          <cell r="AJ86" t="str">
            <v/>
          </cell>
          <cell r="AK86" t="str">
            <v/>
          </cell>
          <cell r="AL86" t="str">
            <v/>
          </cell>
          <cell r="AM86" t="str">
            <v/>
          </cell>
          <cell r="AN86" t="str">
            <v/>
          </cell>
          <cell r="AQ86" t="str">
            <v/>
          </cell>
          <cell r="AV86" t="str">
            <v/>
          </cell>
          <cell r="AW86">
            <v>24</v>
          </cell>
          <cell r="AX86" t="str">
            <v/>
          </cell>
          <cell r="AY86" t="str">
            <v/>
          </cell>
          <cell r="AZ86" t="str">
            <v/>
          </cell>
          <cell r="BA86" t="str">
            <v/>
          </cell>
          <cell r="BB86" t="str">
            <v/>
          </cell>
          <cell r="BC86" t="str">
            <v/>
          </cell>
          <cell r="BD86" t="str">
            <v/>
          </cell>
          <cell r="BE86" t="str">
            <v/>
          </cell>
          <cell r="BF86" t="str">
            <v/>
          </cell>
          <cell r="BG86" t="str">
            <v/>
          </cell>
          <cell r="BH86" t="str">
            <v/>
          </cell>
          <cell r="BI86">
            <v>239704272</v>
          </cell>
          <cell r="BJ86" t="str">
            <v/>
          </cell>
          <cell r="BK86" t="str">
            <v/>
          </cell>
          <cell r="BL86" t="str">
            <v/>
          </cell>
          <cell r="BM86" t="str">
            <v/>
          </cell>
          <cell r="BN86" t="str">
            <v/>
          </cell>
          <cell r="BO86" t="str">
            <v/>
          </cell>
          <cell r="BP86" t="str">
            <v/>
          </cell>
          <cell r="BQ86" t="str">
            <v/>
          </cell>
          <cell r="BR86" t="str">
            <v/>
          </cell>
          <cell r="BS86" t="str">
            <v/>
          </cell>
          <cell r="BT86" t="str">
            <v/>
          </cell>
          <cell r="BU86" t="str">
            <v/>
          </cell>
          <cell r="BV86" t="str">
            <v/>
          </cell>
          <cell r="BW86" t="str">
            <v/>
          </cell>
          <cell r="BX86" t="str">
            <v/>
          </cell>
          <cell r="BY86" t="str">
            <v/>
          </cell>
          <cell r="BZ86" t="str">
            <v/>
          </cell>
          <cell r="CA86" t="str">
            <v/>
          </cell>
          <cell r="CC86" t="str">
            <v/>
          </cell>
          <cell r="CD86" t="str">
            <v/>
          </cell>
          <cell r="CE86" t="str">
            <v/>
          </cell>
          <cell r="CF86" t="str">
            <v/>
          </cell>
        </row>
        <row r="87">
          <cell r="A87">
            <v>161</v>
          </cell>
          <cell r="B87" t="str">
            <v>0161_ダイワロイネットホテル名古屋伏見</v>
          </cell>
          <cell r="C87" t="str">
            <v/>
          </cell>
          <cell r="D87" t="str">
            <v/>
          </cell>
          <cell r="E87" t="str">
            <v/>
          </cell>
          <cell r="F87" t="str">
            <v/>
          </cell>
          <cell r="G87" t="str">
            <v/>
          </cell>
          <cell r="H87">
            <v>0</v>
          </cell>
          <cell r="I87">
            <v>0</v>
          </cell>
          <cell r="J87" t="b">
            <v>1</v>
          </cell>
          <cell r="K87" t="str">
            <v/>
          </cell>
          <cell r="L87">
            <v>0</v>
          </cell>
          <cell r="M87">
            <v>0</v>
          </cell>
          <cell r="N87">
            <v>0</v>
          </cell>
          <cell r="O87">
            <v>0</v>
          </cell>
          <cell r="P87">
            <v>0</v>
          </cell>
          <cell r="Q87">
            <v>0</v>
          </cell>
          <cell r="R87">
            <v>0</v>
          </cell>
          <cell r="S87" t="b">
            <v>1</v>
          </cell>
          <cell r="T87" t="str">
            <v/>
          </cell>
          <cell r="U87">
            <v>0</v>
          </cell>
          <cell r="V87">
            <v>2150874</v>
          </cell>
          <cell r="W87">
            <v>2150874</v>
          </cell>
          <cell r="X87" t="b">
            <v>1</v>
          </cell>
          <cell r="Y87">
            <v>33090.369230769233</v>
          </cell>
          <cell r="AB87" t="str">
            <v/>
          </cell>
          <cell r="AE87">
            <v>233</v>
          </cell>
          <cell r="AF87">
            <v>65</v>
          </cell>
          <cell r="AG87" t="b">
            <v>1</v>
          </cell>
          <cell r="AH87">
            <v>303</v>
          </cell>
          <cell r="AI87" t="str">
            <v/>
          </cell>
          <cell r="AJ87" t="str">
            <v/>
          </cell>
          <cell r="AK87" t="str">
            <v/>
          </cell>
          <cell r="AL87" t="str">
            <v/>
          </cell>
          <cell r="AM87" t="str">
            <v/>
          </cell>
          <cell r="AN87" t="str">
            <v/>
          </cell>
          <cell r="AQ87" t="str">
            <v/>
          </cell>
          <cell r="AV87" t="str">
            <v/>
          </cell>
          <cell r="AW87" t="str">
            <v/>
          </cell>
          <cell r="AX87" t="str">
            <v/>
          </cell>
          <cell r="AY87" t="str">
            <v/>
          </cell>
          <cell r="AZ87" t="str">
            <v/>
          </cell>
          <cell r="BA87" t="str">
            <v/>
          </cell>
          <cell r="BB87" t="str">
            <v/>
          </cell>
          <cell r="BC87" t="str">
            <v/>
          </cell>
          <cell r="BD87" t="str">
            <v/>
          </cell>
          <cell r="BE87" t="str">
            <v/>
          </cell>
          <cell r="BF87" t="str">
            <v/>
          </cell>
          <cell r="BG87" t="str">
            <v/>
          </cell>
          <cell r="BH87" t="str">
            <v/>
          </cell>
          <cell r="BJ87" t="str">
            <v/>
          </cell>
          <cell r="BK87" t="str">
            <v/>
          </cell>
          <cell r="BL87" t="str">
            <v/>
          </cell>
          <cell r="BM87" t="str">
            <v/>
          </cell>
          <cell r="BN87" t="str">
            <v/>
          </cell>
          <cell r="BO87" t="str">
            <v/>
          </cell>
          <cell r="BP87" t="str">
            <v/>
          </cell>
          <cell r="BQ87" t="str">
            <v/>
          </cell>
          <cell r="BR87" t="str">
            <v/>
          </cell>
          <cell r="BS87" t="str">
            <v/>
          </cell>
          <cell r="BT87" t="str">
            <v/>
          </cell>
          <cell r="BU87" t="str">
            <v/>
          </cell>
          <cell r="BV87" t="str">
            <v/>
          </cell>
          <cell r="BW87" t="str">
            <v/>
          </cell>
          <cell r="BX87" t="str">
            <v/>
          </cell>
          <cell r="BY87" t="str">
            <v/>
          </cell>
          <cell r="BZ87" t="str">
            <v/>
          </cell>
          <cell r="CA87" t="str">
            <v/>
          </cell>
          <cell r="CC87" t="str">
            <v/>
          </cell>
          <cell r="CD87" t="str">
            <v/>
          </cell>
          <cell r="CE87" t="str">
            <v/>
          </cell>
          <cell r="CF87" t="str">
            <v/>
          </cell>
        </row>
        <row r="88">
          <cell r="A88">
            <v>167</v>
          </cell>
          <cell r="B88" t="str">
            <v>0167_グリーンリッチホテル名古屋錦</v>
          </cell>
          <cell r="C88" t="str">
            <v/>
          </cell>
          <cell r="D88" t="str">
            <v/>
          </cell>
          <cell r="E88" t="str">
            <v/>
          </cell>
          <cell r="F88" t="str">
            <v/>
          </cell>
          <cell r="G88" t="str">
            <v/>
          </cell>
          <cell r="H88">
            <v>0</v>
          </cell>
          <cell r="I88">
            <v>0</v>
          </cell>
          <cell r="J88" t="b">
            <v>1</v>
          </cell>
          <cell r="K88" t="str">
            <v/>
          </cell>
          <cell r="L88">
            <v>0</v>
          </cell>
          <cell r="M88">
            <v>0</v>
          </cell>
          <cell r="N88">
            <v>0</v>
          </cell>
          <cell r="O88">
            <v>0</v>
          </cell>
          <cell r="P88">
            <v>0</v>
          </cell>
          <cell r="Q88">
            <v>0</v>
          </cell>
          <cell r="R88">
            <v>0</v>
          </cell>
          <cell r="S88" t="b">
            <v>1</v>
          </cell>
          <cell r="T88" t="str">
            <v/>
          </cell>
          <cell r="U88">
            <v>0</v>
          </cell>
          <cell r="V88">
            <v>2143112</v>
          </cell>
          <cell r="W88">
            <v>2143112</v>
          </cell>
          <cell r="X88" t="b">
            <v>0</v>
          </cell>
          <cell r="Y88">
            <v>15874.903703703703</v>
          </cell>
          <cell r="AB88" t="str">
            <v/>
          </cell>
          <cell r="AE88">
            <v>135</v>
          </cell>
          <cell r="AF88">
            <v>135</v>
          </cell>
          <cell r="AG88" t="b">
            <v>0</v>
          </cell>
          <cell r="AH88">
            <v>153</v>
          </cell>
          <cell r="AI88" t="str">
            <v/>
          </cell>
          <cell r="AJ88" t="str">
            <v/>
          </cell>
          <cell r="AK88" t="str">
            <v/>
          </cell>
          <cell r="AL88" t="str">
            <v/>
          </cell>
          <cell r="AM88" t="str">
            <v/>
          </cell>
          <cell r="AN88" t="str">
            <v/>
          </cell>
          <cell r="AQ88" t="str">
            <v/>
          </cell>
          <cell r="AV88" t="str">
            <v/>
          </cell>
          <cell r="AW88" t="str">
            <v/>
          </cell>
          <cell r="AX88" t="str">
            <v/>
          </cell>
          <cell r="AY88" t="str">
            <v/>
          </cell>
          <cell r="AZ88" t="str">
            <v/>
          </cell>
          <cell r="BA88" t="str">
            <v/>
          </cell>
          <cell r="BB88" t="str">
            <v/>
          </cell>
          <cell r="BC88" t="str">
            <v/>
          </cell>
          <cell r="BD88" t="str">
            <v/>
          </cell>
          <cell r="BE88" t="str">
            <v/>
          </cell>
          <cell r="BF88" t="str">
            <v/>
          </cell>
          <cell r="BG88" t="str">
            <v/>
          </cell>
          <cell r="BH88" t="str">
            <v/>
          </cell>
          <cell r="BJ88" t="str">
            <v/>
          </cell>
          <cell r="BK88" t="str">
            <v/>
          </cell>
          <cell r="BL88" t="str">
            <v/>
          </cell>
          <cell r="BM88" t="str">
            <v/>
          </cell>
          <cell r="BN88" t="str">
            <v/>
          </cell>
          <cell r="BO88" t="str">
            <v/>
          </cell>
          <cell r="BP88" t="str">
            <v/>
          </cell>
          <cell r="BQ88" t="str">
            <v/>
          </cell>
          <cell r="BR88" t="str">
            <v/>
          </cell>
          <cell r="BS88" t="str">
            <v/>
          </cell>
          <cell r="BT88" t="str">
            <v/>
          </cell>
          <cell r="BU88" t="str">
            <v/>
          </cell>
          <cell r="BV88" t="str">
            <v/>
          </cell>
          <cell r="BW88" t="str">
            <v/>
          </cell>
          <cell r="BX88" t="str">
            <v/>
          </cell>
          <cell r="BY88" t="str">
            <v/>
          </cell>
          <cell r="BZ88" t="str">
            <v/>
          </cell>
          <cell r="CA88" t="str">
            <v/>
          </cell>
          <cell r="CC88" t="str">
            <v/>
          </cell>
          <cell r="CD88" t="str">
            <v/>
          </cell>
          <cell r="CE88" t="str">
            <v/>
          </cell>
          <cell r="CF88" t="str">
            <v/>
          </cell>
        </row>
        <row r="89">
          <cell r="A89">
            <v>168</v>
          </cell>
          <cell r="B89" t="str">
            <v>0168_ホテルフォルツァ栄</v>
          </cell>
          <cell r="C89" t="str">
            <v>スポンサー</v>
          </cell>
          <cell r="D89" t="str">
            <v/>
          </cell>
          <cell r="E89" t="str">
            <v/>
          </cell>
          <cell r="F89" t="str">
            <v/>
          </cell>
          <cell r="G89" t="str">
            <v/>
          </cell>
          <cell r="H89">
            <v>0</v>
          </cell>
          <cell r="I89">
            <v>0</v>
          </cell>
          <cell r="J89" t="b">
            <v>1</v>
          </cell>
          <cell r="K89" t="str">
            <v/>
          </cell>
          <cell r="L89">
            <v>0</v>
          </cell>
          <cell r="R89">
            <v>0</v>
          </cell>
          <cell r="S89" t="b">
            <v>1</v>
          </cell>
          <cell r="T89" t="str">
            <v/>
          </cell>
          <cell r="U89">
            <v>0</v>
          </cell>
          <cell r="V89">
            <v>577830</v>
          </cell>
          <cell r="W89">
            <v>577830</v>
          </cell>
          <cell r="X89" t="b">
            <v>1</v>
          </cell>
          <cell r="Y89">
            <v>38522</v>
          </cell>
          <cell r="AB89">
            <v>35890.06211180125</v>
          </cell>
          <cell r="AE89" t="str">
            <v>Not Found</v>
          </cell>
          <cell r="AF89">
            <v>15</v>
          </cell>
          <cell r="AG89" t="b">
            <v>1</v>
          </cell>
          <cell r="AH89" t="str">
            <v>Not Found</v>
          </cell>
          <cell r="AI89">
            <v>14</v>
          </cell>
          <cell r="AJ89" t="str">
            <v/>
          </cell>
          <cell r="AK89" t="str">
            <v/>
          </cell>
          <cell r="AL89" t="str">
            <v/>
          </cell>
          <cell r="AM89" t="str">
            <v/>
          </cell>
          <cell r="AN89">
            <v>-1</v>
          </cell>
          <cell r="AV89" t="str">
            <v/>
          </cell>
          <cell r="AW89" t="str">
            <v/>
          </cell>
          <cell r="AX89">
            <v>18</v>
          </cell>
          <cell r="AY89" t="str">
            <v/>
          </cell>
          <cell r="AZ89" t="str">
            <v/>
          </cell>
          <cell r="BA89" t="str">
            <v/>
          </cell>
          <cell r="BB89" t="str">
            <v/>
          </cell>
          <cell r="BC89" t="str">
            <v/>
          </cell>
          <cell r="BD89" t="str">
            <v/>
          </cell>
          <cell r="BE89" t="str">
            <v/>
          </cell>
          <cell r="BF89" t="str">
            <v/>
          </cell>
          <cell r="BG89" t="str">
            <v/>
          </cell>
          <cell r="BH89" t="str">
            <v/>
          </cell>
          <cell r="BJ89" t="str">
            <v/>
          </cell>
          <cell r="BK89" t="str">
            <v/>
          </cell>
          <cell r="BL89">
            <v>9707544</v>
          </cell>
          <cell r="BM89" t="str">
            <v/>
          </cell>
          <cell r="BN89" t="str">
            <v/>
          </cell>
          <cell r="BO89" t="str">
            <v/>
          </cell>
          <cell r="BP89" t="str">
            <v/>
          </cell>
          <cell r="BQ89" t="str">
            <v/>
          </cell>
          <cell r="BR89" t="str">
            <v/>
          </cell>
          <cell r="BS89" t="str">
            <v/>
          </cell>
          <cell r="BT89" t="str">
            <v/>
          </cell>
          <cell r="BU89" t="str">
            <v/>
          </cell>
          <cell r="BV89" t="str">
            <v/>
          </cell>
          <cell r="BW89" t="str">
            <v/>
          </cell>
          <cell r="BX89" t="str">
            <v/>
          </cell>
          <cell r="BY89" t="str">
            <v/>
          </cell>
          <cell r="BZ89" t="str">
            <v/>
          </cell>
          <cell r="CA89" t="str">
            <v/>
          </cell>
          <cell r="CC89" t="str">
            <v/>
          </cell>
          <cell r="CD89" t="str">
            <v/>
          </cell>
          <cell r="CE89" t="str">
            <v/>
          </cell>
          <cell r="CF89" t="str">
            <v/>
          </cell>
        </row>
        <row r="90">
          <cell r="A90">
            <v>172</v>
          </cell>
          <cell r="B90" t="str">
            <v>0172_サイプレスガーデンホテル</v>
          </cell>
          <cell r="C90" t="str">
            <v/>
          </cell>
          <cell r="D90" t="str">
            <v>技術役員</v>
          </cell>
          <cell r="E90" t="str">
            <v/>
          </cell>
          <cell r="F90" t="str">
            <v/>
          </cell>
          <cell r="G90" t="str">
            <v/>
          </cell>
          <cell r="H90">
            <v>5</v>
          </cell>
          <cell r="I90">
            <v>4</v>
          </cell>
          <cell r="J90" t="b">
            <v>0</v>
          </cell>
          <cell r="K90" t="str">
            <v/>
          </cell>
          <cell r="L90">
            <v>588237</v>
          </cell>
          <cell r="M90">
            <v>0</v>
          </cell>
          <cell r="N90">
            <v>0</v>
          </cell>
          <cell r="O90">
            <v>0</v>
          </cell>
          <cell r="P90">
            <v>0</v>
          </cell>
          <cell r="Q90">
            <v>647060.70000000007</v>
          </cell>
          <cell r="R90">
            <v>647060</v>
          </cell>
          <cell r="S90" t="b">
            <v>0</v>
          </cell>
          <cell r="T90">
            <v>161765</v>
          </cell>
          <cell r="U90">
            <v>-1824236</v>
          </cell>
          <cell r="V90">
            <v>2597712</v>
          </cell>
          <cell r="W90">
            <v>4421948</v>
          </cell>
          <cell r="X90" t="b">
            <v>1</v>
          </cell>
          <cell r="Y90">
            <v>21676.215686274511</v>
          </cell>
          <cell r="AB90" t="str">
            <v/>
          </cell>
          <cell r="AC90">
            <v>1800</v>
          </cell>
          <cell r="AE90">
            <v>204</v>
          </cell>
          <cell r="AF90">
            <v>204</v>
          </cell>
          <cell r="AG90" t="b">
            <v>1</v>
          </cell>
          <cell r="AH90">
            <v>251</v>
          </cell>
          <cell r="AI90" t="str">
            <v/>
          </cell>
          <cell r="AJ90">
            <v>219</v>
          </cell>
          <cell r="AK90" t="str">
            <v/>
          </cell>
          <cell r="AL90" t="str">
            <v/>
          </cell>
          <cell r="AM90" t="str">
            <v/>
          </cell>
          <cell r="AN90" t="str">
            <v/>
          </cell>
          <cell r="AQ90" t="str">
            <v/>
          </cell>
          <cell r="AV90" t="str">
            <v/>
          </cell>
          <cell r="AW90" t="str">
            <v/>
          </cell>
          <cell r="AX90" t="str">
            <v/>
          </cell>
          <cell r="AY90" t="str">
            <v/>
          </cell>
          <cell r="AZ90" t="str">
            <v/>
          </cell>
          <cell r="BA90">
            <v>11</v>
          </cell>
          <cell r="BB90" t="str">
            <v/>
          </cell>
          <cell r="BC90" t="str">
            <v/>
          </cell>
          <cell r="BD90" t="str">
            <v/>
          </cell>
          <cell r="BE90" t="str">
            <v/>
          </cell>
          <cell r="BF90" t="str">
            <v/>
          </cell>
          <cell r="BG90" t="str">
            <v/>
          </cell>
          <cell r="BH90" t="str">
            <v/>
          </cell>
          <cell r="BI90" t="str">
            <v/>
          </cell>
          <cell r="BJ90" t="str">
            <v/>
          </cell>
          <cell r="BK90" t="str">
            <v/>
          </cell>
          <cell r="BL90" t="str">
            <v/>
          </cell>
          <cell r="BM90" t="str">
            <v/>
          </cell>
          <cell r="BN90">
            <v>52218003.588235296</v>
          </cell>
          <cell r="BO90" t="str">
            <v/>
          </cell>
          <cell r="BP90" t="str">
            <v/>
          </cell>
          <cell r="BQ90" t="str">
            <v/>
          </cell>
          <cell r="BR90" t="str">
            <v/>
          </cell>
          <cell r="BS90" t="str">
            <v/>
          </cell>
          <cell r="BT90" t="str">
            <v/>
          </cell>
          <cell r="BU90" t="str">
            <v/>
          </cell>
          <cell r="BV90" t="str">
            <v/>
          </cell>
          <cell r="BW90" t="str">
            <v/>
          </cell>
          <cell r="BX90" t="str">
            <v/>
          </cell>
          <cell r="BY90" t="str">
            <v/>
          </cell>
          <cell r="BZ90" t="str">
            <v/>
          </cell>
          <cell r="CA90" t="str">
            <v/>
          </cell>
          <cell r="CC90" t="str">
            <v/>
          </cell>
          <cell r="CD90" t="str">
            <v/>
          </cell>
          <cell r="CE90" t="str">
            <v/>
          </cell>
          <cell r="CF90" t="str">
            <v/>
          </cell>
        </row>
        <row r="91">
          <cell r="A91">
            <v>177</v>
          </cell>
          <cell r="B91" t="str">
            <v>0177_邦和セミナープラザ</v>
          </cell>
          <cell r="C91" t="str">
            <v/>
          </cell>
          <cell r="D91" t="str">
            <v>技術役員</v>
          </cell>
          <cell r="E91" t="str">
            <v/>
          </cell>
          <cell r="F91" t="str">
            <v/>
          </cell>
          <cell r="G91" t="str">
            <v/>
          </cell>
          <cell r="H91">
            <v>17</v>
          </cell>
          <cell r="I91">
            <v>10</v>
          </cell>
          <cell r="J91" t="b">
            <v>0</v>
          </cell>
          <cell r="K91" t="str">
            <v/>
          </cell>
          <cell r="L91">
            <v>744712</v>
          </cell>
          <cell r="M91">
            <v>0</v>
          </cell>
          <cell r="N91">
            <v>0</v>
          </cell>
          <cell r="O91">
            <v>0</v>
          </cell>
          <cell r="P91">
            <v>0</v>
          </cell>
          <cell r="Q91">
            <v>819183.20000000007</v>
          </cell>
          <cell r="R91">
            <v>819183</v>
          </cell>
          <cell r="S91" t="b">
            <v>0</v>
          </cell>
          <cell r="T91">
            <v>81918.3</v>
          </cell>
          <cell r="U91">
            <v>0</v>
          </cell>
          <cell r="V91">
            <v>874399</v>
          </cell>
          <cell r="W91">
            <v>874399</v>
          </cell>
          <cell r="X91" t="b">
            <v>0</v>
          </cell>
          <cell r="Y91">
            <v>11978.068493150686</v>
          </cell>
          <cell r="AB91" t="str">
            <v/>
          </cell>
          <cell r="AE91">
            <v>73</v>
          </cell>
          <cell r="AF91">
            <v>73</v>
          </cell>
          <cell r="AG91" t="b">
            <v>0</v>
          </cell>
          <cell r="AH91">
            <v>99</v>
          </cell>
          <cell r="AI91" t="str">
            <v/>
          </cell>
          <cell r="AJ91">
            <v>81</v>
          </cell>
          <cell r="AK91" t="str">
            <v/>
          </cell>
          <cell r="AL91" t="str">
            <v/>
          </cell>
          <cell r="AM91" t="str">
            <v/>
          </cell>
          <cell r="AN91" t="str">
            <v/>
          </cell>
          <cell r="AQ91" t="str">
            <v/>
          </cell>
          <cell r="AV91" t="str">
            <v/>
          </cell>
          <cell r="AW91" t="str">
            <v/>
          </cell>
          <cell r="AX91" t="str">
            <v/>
          </cell>
          <cell r="AY91" t="str">
            <v/>
          </cell>
          <cell r="AZ91" t="str">
            <v/>
          </cell>
          <cell r="BA91">
            <v>11</v>
          </cell>
          <cell r="BB91" t="str">
            <v/>
          </cell>
          <cell r="BC91" t="str">
            <v/>
          </cell>
          <cell r="BD91" t="str">
            <v/>
          </cell>
          <cell r="BE91" t="str">
            <v/>
          </cell>
          <cell r="BF91" t="str">
            <v/>
          </cell>
          <cell r="BG91" t="str">
            <v/>
          </cell>
          <cell r="BH91" t="str">
            <v/>
          </cell>
          <cell r="BJ91" t="str">
            <v/>
          </cell>
          <cell r="BK91" t="str">
            <v/>
          </cell>
          <cell r="BL91" t="str">
            <v/>
          </cell>
          <cell r="BM91" t="str">
            <v/>
          </cell>
          <cell r="BN91">
            <v>10672459.027397262</v>
          </cell>
          <cell r="BO91" t="str">
            <v/>
          </cell>
          <cell r="BP91" t="str">
            <v/>
          </cell>
          <cell r="BQ91" t="str">
            <v/>
          </cell>
          <cell r="BR91" t="str">
            <v/>
          </cell>
          <cell r="BS91" t="str">
            <v/>
          </cell>
          <cell r="BT91" t="str">
            <v/>
          </cell>
          <cell r="BU91" t="str">
            <v/>
          </cell>
          <cell r="BV91" t="str">
            <v/>
          </cell>
          <cell r="BW91" t="str">
            <v/>
          </cell>
          <cell r="BX91" t="str">
            <v/>
          </cell>
          <cell r="BY91" t="str">
            <v/>
          </cell>
          <cell r="BZ91" t="str">
            <v/>
          </cell>
          <cell r="CA91" t="str">
            <v/>
          </cell>
          <cell r="CC91" t="str">
            <v/>
          </cell>
          <cell r="CD91" t="str">
            <v/>
          </cell>
          <cell r="CE91" t="str">
            <v/>
          </cell>
          <cell r="CF91" t="str">
            <v/>
          </cell>
        </row>
        <row r="92">
          <cell r="A92">
            <v>179</v>
          </cell>
          <cell r="B92" t="str">
            <v>179_LEGOLAND Japan Hotel</v>
          </cell>
          <cell r="C92" t="str">
            <v>メディア</v>
          </cell>
          <cell r="D92" t="str">
            <v/>
          </cell>
          <cell r="E92" t="str">
            <v/>
          </cell>
          <cell r="F92" t="str">
            <v>スポンサー</v>
          </cell>
          <cell r="G92" t="str">
            <v/>
          </cell>
          <cell r="H92">
            <v>0</v>
          </cell>
          <cell r="I92">
            <v>0</v>
          </cell>
          <cell r="J92" t="b">
            <v>0</v>
          </cell>
          <cell r="K92" t="str">
            <v/>
          </cell>
          <cell r="L92">
            <v>0</v>
          </cell>
          <cell r="M92">
            <v>0</v>
          </cell>
          <cell r="N92">
            <v>0</v>
          </cell>
          <cell r="O92">
            <v>0</v>
          </cell>
          <cell r="P92">
            <v>0</v>
          </cell>
          <cell r="Q92">
            <v>0</v>
          </cell>
          <cell r="R92">
            <v>0</v>
          </cell>
          <cell r="S92" t="b">
            <v>1</v>
          </cell>
          <cell r="T92" t="str">
            <v/>
          </cell>
          <cell r="U92">
            <v>15120390</v>
          </cell>
          <cell r="V92">
            <v>18298771</v>
          </cell>
          <cell r="W92">
            <v>3178381</v>
          </cell>
          <cell r="X92" t="b">
            <v>0</v>
          </cell>
          <cell r="Y92">
            <v>70630.688888888893</v>
          </cell>
          <cell r="AB92">
            <v>64274.641051567247</v>
          </cell>
          <cell r="AE92">
            <v>252</v>
          </cell>
          <cell r="AF92">
            <v>45</v>
          </cell>
          <cell r="AG92" t="b">
            <v>1</v>
          </cell>
          <cell r="AH92">
            <v>193</v>
          </cell>
          <cell r="AI92">
            <v>43</v>
          </cell>
          <cell r="AJ92" t="str">
            <v/>
          </cell>
          <cell r="AK92" t="str">
            <v/>
          </cell>
          <cell r="AL92">
            <v>41</v>
          </cell>
          <cell r="AM92" t="str">
            <v/>
          </cell>
          <cell r="AN92">
            <v>-2</v>
          </cell>
          <cell r="AQ92">
            <v>-4</v>
          </cell>
          <cell r="AV92" t="str">
            <v/>
          </cell>
          <cell r="AW92" t="str">
            <v/>
          </cell>
          <cell r="AX92" t="str">
            <v/>
          </cell>
          <cell r="AY92" t="str">
            <v/>
          </cell>
          <cell r="AZ92">
            <v>32</v>
          </cell>
          <cell r="BA92" t="str">
            <v/>
          </cell>
          <cell r="BB92" t="str">
            <v/>
          </cell>
          <cell r="BC92" t="str">
            <v/>
          </cell>
          <cell r="BD92">
            <v>9</v>
          </cell>
          <cell r="BE92" t="str">
            <v/>
          </cell>
          <cell r="BF92" t="str">
            <v/>
          </cell>
          <cell r="BG92" t="str">
            <v/>
          </cell>
          <cell r="BH92" t="str">
            <v/>
          </cell>
          <cell r="BJ92" t="str">
            <v/>
          </cell>
          <cell r="BK92">
            <v>97187827.911111116</v>
          </cell>
          <cell r="BL92" t="str">
            <v/>
          </cell>
          <cell r="BM92" t="str">
            <v/>
          </cell>
          <cell r="BN92" t="str">
            <v/>
          </cell>
          <cell r="BO92" t="str">
            <v/>
          </cell>
          <cell r="BP92" t="str">
            <v/>
          </cell>
          <cell r="BQ92" t="str">
            <v/>
          </cell>
          <cell r="BR92" t="str">
            <v/>
          </cell>
          <cell r="BS92" t="str">
            <v/>
          </cell>
          <cell r="BT92" t="str">
            <v/>
          </cell>
          <cell r="BU92">
            <v>26062724.200000003</v>
          </cell>
          <cell r="BV92" t="str">
            <v/>
          </cell>
          <cell r="BW92" t="str">
            <v/>
          </cell>
          <cell r="BX92" t="str">
            <v/>
          </cell>
          <cell r="BY92" t="str">
            <v/>
          </cell>
          <cell r="BZ92" t="str">
            <v/>
          </cell>
          <cell r="CA92" t="str">
            <v/>
          </cell>
          <cell r="CC92" t="str">
            <v/>
          </cell>
          <cell r="CD92" t="str">
            <v/>
          </cell>
          <cell r="CE92" t="str">
            <v/>
          </cell>
          <cell r="CF92" t="str">
            <v/>
          </cell>
        </row>
        <row r="93">
          <cell r="A93">
            <v>180</v>
          </cell>
          <cell r="B93" t="str">
            <v>180_名古屋笠寺ホテル</v>
          </cell>
          <cell r="C93" t="str">
            <v/>
          </cell>
          <cell r="D93" t="str">
            <v>技術役員</v>
          </cell>
          <cell r="E93" t="str">
            <v/>
          </cell>
          <cell r="F93" t="str">
            <v>技術役員</v>
          </cell>
          <cell r="G93" t="str">
            <v/>
          </cell>
          <cell r="H93">
            <v>2</v>
          </cell>
          <cell r="I93">
            <v>2</v>
          </cell>
          <cell r="J93" t="b">
            <v>0</v>
          </cell>
          <cell r="K93" t="str">
            <v/>
          </cell>
          <cell r="L93">
            <v>705883</v>
          </cell>
          <cell r="M93">
            <v>0</v>
          </cell>
          <cell r="N93">
            <v>0</v>
          </cell>
          <cell r="O93">
            <v>0</v>
          </cell>
          <cell r="P93">
            <v>0</v>
          </cell>
          <cell r="Q93">
            <v>776471.3</v>
          </cell>
          <cell r="R93">
            <v>776471</v>
          </cell>
          <cell r="S93" t="b">
            <v>0</v>
          </cell>
          <cell r="T93">
            <v>388235.5</v>
          </cell>
          <cell r="U93">
            <v>0</v>
          </cell>
          <cell r="V93">
            <v>3063249</v>
          </cell>
          <cell r="W93">
            <v>3063249</v>
          </cell>
          <cell r="X93" t="b">
            <v>1</v>
          </cell>
          <cell r="Y93">
            <v>17113.122905027933</v>
          </cell>
          <cell r="AB93" t="str">
            <v/>
          </cell>
          <cell r="AE93">
            <v>179</v>
          </cell>
          <cell r="AF93">
            <v>179</v>
          </cell>
          <cell r="AG93" t="b">
            <v>1</v>
          </cell>
          <cell r="AH93">
            <v>193</v>
          </cell>
          <cell r="AI93" t="str">
            <v/>
          </cell>
          <cell r="AJ93">
            <v>180</v>
          </cell>
          <cell r="AK93" t="str">
            <v/>
          </cell>
          <cell r="AL93">
            <v>87</v>
          </cell>
          <cell r="AM93" t="str">
            <v/>
          </cell>
          <cell r="AN93" t="str">
            <v/>
          </cell>
          <cell r="AQ93">
            <v>-92</v>
          </cell>
          <cell r="AV93" t="str">
            <v/>
          </cell>
          <cell r="AW93" t="str">
            <v/>
          </cell>
          <cell r="AX93" t="str">
            <v/>
          </cell>
          <cell r="AY93" t="str">
            <v/>
          </cell>
          <cell r="AZ93" t="str">
            <v/>
          </cell>
          <cell r="BA93">
            <v>11</v>
          </cell>
          <cell r="BB93" t="str">
            <v/>
          </cell>
          <cell r="BC93" t="str">
            <v/>
          </cell>
          <cell r="BD93" t="str">
            <v/>
          </cell>
          <cell r="BE93" t="str">
            <v/>
          </cell>
          <cell r="BF93">
            <v>10</v>
          </cell>
          <cell r="BG93" t="str">
            <v/>
          </cell>
          <cell r="BH93" t="str">
            <v/>
          </cell>
          <cell r="BJ93" t="str">
            <v/>
          </cell>
          <cell r="BK93" t="str">
            <v/>
          </cell>
          <cell r="BL93" t="str">
            <v/>
          </cell>
          <cell r="BM93" t="str">
            <v/>
          </cell>
          <cell r="BN93">
            <v>33883983.35195531</v>
          </cell>
          <cell r="BO93" t="str">
            <v/>
          </cell>
          <cell r="BP93" t="str">
            <v/>
          </cell>
          <cell r="BQ93" t="str">
            <v/>
          </cell>
          <cell r="BR93" t="str">
            <v/>
          </cell>
          <cell r="BS93" t="str">
            <v/>
          </cell>
          <cell r="BT93" t="str">
            <v/>
          </cell>
          <cell r="BU93" t="str">
            <v/>
          </cell>
          <cell r="BV93">
            <v>14888416.927374301</v>
          </cell>
          <cell r="BW93" t="str">
            <v/>
          </cell>
          <cell r="BX93" t="str">
            <v/>
          </cell>
          <cell r="BY93" t="str">
            <v/>
          </cell>
          <cell r="BZ93" t="str">
            <v/>
          </cell>
          <cell r="CA93" t="str">
            <v/>
          </cell>
          <cell r="CC93" t="str">
            <v/>
          </cell>
          <cell r="CD93" t="str">
            <v/>
          </cell>
          <cell r="CE93" t="str">
            <v/>
          </cell>
          <cell r="CF93" t="str">
            <v/>
          </cell>
        </row>
        <row r="94">
          <cell r="A94">
            <v>184</v>
          </cell>
          <cell r="B94" t="str">
            <v>0184_犬山セントラルホテル</v>
          </cell>
          <cell r="C94" t="str">
            <v/>
          </cell>
          <cell r="D94" t="str">
            <v/>
          </cell>
          <cell r="E94" t="str">
            <v/>
          </cell>
          <cell r="F94" t="str">
            <v/>
          </cell>
          <cell r="G94" t="str">
            <v/>
          </cell>
          <cell r="H94">
            <v>1</v>
          </cell>
          <cell r="I94">
            <v>0</v>
          </cell>
          <cell r="J94" t="b">
            <v>0</v>
          </cell>
          <cell r="K94" t="str">
            <v/>
          </cell>
          <cell r="L94">
            <v>0</v>
          </cell>
          <cell r="M94">
            <v>0</v>
          </cell>
          <cell r="N94">
            <v>0</v>
          </cell>
          <cell r="O94">
            <v>0</v>
          </cell>
          <cell r="P94">
            <v>0</v>
          </cell>
          <cell r="Q94">
            <v>0</v>
          </cell>
          <cell r="R94">
            <v>0</v>
          </cell>
          <cell r="S94" t="b">
            <v>1</v>
          </cell>
          <cell r="T94" t="str">
            <v/>
          </cell>
          <cell r="U94">
            <v>0</v>
          </cell>
          <cell r="V94">
            <v>793288</v>
          </cell>
          <cell r="W94">
            <v>793288</v>
          </cell>
          <cell r="X94" t="b">
            <v>1</v>
          </cell>
          <cell r="Y94">
            <v>10577.173333333334</v>
          </cell>
          <cell r="AB94" t="str">
            <v/>
          </cell>
          <cell r="AE94">
            <v>113</v>
          </cell>
          <cell r="AF94">
            <v>75</v>
          </cell>
          <cell r="AG94" t="b">
            <v>1</v>
          </cell>
          <cell r="AH94">
            <v>113</v>
          </cell>
          <cell r="AI94" t="str">
            <v/>
          </cell>
          <cell r="AJ94" t="str">
            <v/>
          </cell>
          <cell r="AK94" t="str">
            <v/>
          </cell>
          <cell r="AL94" t="str">
            <v/>
          </cell>
          <cell r="AM94" t="str">
            <v/>
          </cell>
          <cell r="AN94" t="str">
            <v/>
          </cell>
          <cell r="AQ94" t="str">
            <v/>
          </cell>
          <cell r="AV94" t="str">
            <v/>
          </cell>
          <cell r="AW94" t="str">
            <v/>
          </cell>
          <cell r="AX94" t="str">
            <v/>
          </cell>
          <cell r="AY94" t="str">
            <v/>
          </cell>
          <cell r="AZ94" t="str">
            <v/>
          </cell>
          <cell r="BA94" t="str">
            <v/>
          </cell>
          <cell r="BB94" t="str">
            <v/>
          </cell>
          <cell r="BC94" t="str">
            <v/>
          </cell>
          <cell r="BD94" t="str">
            <v/>
          </cell>
          <cell r="BE94" t="str">
            <v/>
          </cell>
          <cell r="BF94" t="str">
            <v/>
          </cell>
          <cell r="BG94" t="str">
            <v/>
          </cell>
          <cell r="BH94" t="str">
            <v/>
          </cell>
          <cell r="BJ94" t="str">
            <v/>
          </cell>
          <cell r="BK94" t="str">
            <v/>
          </cell>
          <cell r="BL94" t="str">
            <v/>
          </cell>
          <cell r="BM94" t="str">
            <v/>
          </cell>
          <cell r="BN94" t="str">
            <v/>
          </cell>
          <cell r="BO94" t="str">
            <v/>
          </cell>
          <cell r="BP94" t="str">
            <v/>
          </cell>
          <cell r="BQ94" t="str">
            <v/>
          </cell>
          <cell r="BR94" t="str">
            <v/>
          </cell>
          <cell r="BS94" t="str">
            <v/>
          </cell>
          <cell r="BT94" t="str">
            <v/>
          </cell>
          <cell r="BU94" t="str">
            <v/>
          </cell>
          <cell r="BV94" t="str">
            <v/>
          </cell>
          <cell r="BW94" t="str">
            <v/>
          </cell>
          <cell r="BX94" t="str">
            <v/>
          </cell>
          <cell r="BY94" t="str">
            <v/>
          </cell>
          <cell r="BZ94" t="str">
            <v/>
          </cell>
          <cell r="CA94" t="str">
            <v/>
          </cell>
          <cell r="CC94" t="str">
            <v/>
          </cell>
          <cell r="CD94" t="str">
            <v/>
          </cell>
          <cell r="CE94" t="str">
            <v/>
          </cell>
          <cell r="CF94" t="str">
            <v/>
          </cell>
        </row>
        <row r="95">
          <cell r="A95">
            <v>186</v>
          </cell>
          <cell r="B95" t="str">
            <v>0186_ホテルユニゾ名古屋駅前</v>
          </cell>
          <cell r="C95" t="str">
            <v/>
          </cell>
          <cell r="D95" t="str">
            <v/>
          </cell>
          <cell r="E95" t="str">
            <v/>
          </cell>
          <cell r="F95" t="str">
            <v/>
          </cell>
          <cell r="G95" t="str">
            <v/>
          </cell>
          <cell r="H95">
            <v>0</v>
          </cell>
          <cell r="I95">
            <v>0</v>
          </cell>
          <cell r="J95" t="b">
            <v>0</v>
          </cell>
          <cell r="K95" t="str">
            <v/>
          </cell>
          <cell r="L95">
            <v>0</v>
          </cell>
          <cell r="M95">
            <v>0</v>
          </cell>
          <cell r="N95">
            <v>0</v>
          </cell>
          <cell r="O95">
            <v>0</v>
          </cell>
          <cell r="P95">
            <v>0</v>
          </cell>
          <cell r="Q95">
            <v>0</v>
          </cell>
          <cell r="R95">
            <v>0</v>
          </cell>
          <cell r="S95" t="b">
            <v>1</v>
          </cell>
          <cell r="T95" t="str">
            <v/>
          </cell>
          <cell r="U95">
            <v>0</v>
          </cell>
          <cell r="V95">
            <v>5351189</v>
          </cell>
          <cell r="W95">
            <v>5351189</v>
          </cell>
          <cell r="X95" t="b">
            <v>1</v>
          </cell>
          <cell r="Y95">
            <v>26103.360975609758</v>
          </cell>
          <cell r="AB95" t="str">
            <v/>
          </cell>
          <cell r="AE95">
            <v>205</v>
          </cell>
          <cell r="AF95">
            <v>205</v>
          </cell>
          <cell r="AG95" t="b">
            <v>1</v>
          </cell>
          <cell r="AH95">
            <v>205</v>
          </cell>
          <cell r="AI95" t="str">
            <v/>
          </cell>
          <cell r="AJ95" t="str">
            <v/>
          </cell>
          <cell r="AK95" t="str">
            <v/>
          </cell>
          <cell r="AL95" t="str">
            <v/>
          </cell>
          <cell r="AM95" t="str">
            <v/>
          </cell>
          <cell r="AN95" t="str">
            <v/>
          </cell>
          <cell r="AQ95" t="str">
            <v/>
          </cell>
          <cell r="AV95" t="str">
            <v/>
          </cell>
          <cell r="AW95" t="str">
            <v/>
          </cell>
          <cell r="AX95" t="str">
            <v/>
          </cell>
          <cell r="AY95" t="str">
            <v/>
          </cell>
          <cell r="AZ95" t="str">
            <v/>
          </cell>
          <cell r="BA95" t="str">
            <v/>
          </cell>
          <cell r="BB95" t="str">
            <v/>
          </cell>
          <cell r="BC95" t="str">
            <v/>
          </cell>
          <cell r="BD95" t="str">
            <v/>
          </cell>
          <cell r="BE95" t="str">
            <v/>
          </cell>
          <cell r="BF95" t="str">
            <v/>
          </cell>
          <cell r="BG95" t="str">
            <v/>
          </cell>
          <cell r="BH95" t="str">
            <v/>
          </cell>
          <cell r="BJ95" t="str">
            <v/>
          </cell>
          <cell r="BK95" t="str">
            <v/>
          </cell>
          <cell r="BL95" t="str">
            <v/>
          </cell>
          <cell r="BM95" t="str">
            <v/>
          </cell>
          <cell r="BN95" t="str">
            <v/>
          </cell>
          <cell r="BO95" t="str">
            <v/>
          </cell>
          <cell r="BP95" t="str">
            <v/>
          </cell>
          <cell r="BQ95" t="str">
            <v/>
          </cell>
          <cell r="BR95" t="str">
            <v/>
          </cell>
          <cell r="BS95" t="str">
            <v/>
          </cell>
          <cell r="BT95" t="str">
            <v/>
          </cell>
          <cell r="BU95" t="str">
            <v/>
          </cell>
          <cell r="BV95" t="str">
            <v/>
          </cell>
          <cell r="BW95" t="str">
            <v/>
          </cell>
          <cell r="BX95" t="str">
            <v/>
          </cell>
          <cell r="BY95" t="str">
            <v/>
          </cell>
          <cell r="BZ95" t="str">
            <v/>
          </cell>
          <cell r="CA95" t="str">
            <v/>
          </cell>
          <cell r="CC95" t="str">
            <v/>
          </cell>
          <cell r="CD95" t="str">
            <v/>
          </cell>
          <cell r="CE95" t="str">
            <v/>
          </cell>
          <cell r="CF95" t="str">
            <v/>
          </cell>
        </row>
        <row r="96">
          <cell r="A96">
            <v>188</v>
          </cell>
          <cell r="B96" t="str">
            <v>188_名鉄イン刈谷</v>
          </cell>
          <cell r="C96" t="str">
            <v/>
          </cell>
          <cell r="D96" t="str">
            <v>技術役員</v>
          </cell>
          <cell r="E96" t="str">
            <v/>
          </cell>
          <cell r="F96" t="str">
            <v/>
          </cell>
          <cell r="G96" t="str">
            <v/>
          </cell>
          <cell r="H96">
            <v>0</v>
          </cell>
          <cell r="I96">
            <v>0</v>
          </cell>
          <cell r="J96" t="b">
            <v>0</v>
          </cell>
          <cell r="K96" t="str">
            <v/>
          </cell>
          <cell r="L96">
            <v>0</v>
          </cell>
          <cell r="M96">
            <v>0</v>
          </cell>
          <cell r="N96">
            <v>0</v>
          </cell>
          <cell r="O96">
            <v>0</v>
          </cell>
          <cell r="P96">
            <v>0</v>
          </cell>
          <cell r="Q96">
            <v>0</v>
          </cell>
          <cell r="R96">
            <v>0</v>
          </cell>
          <cell r="S96" t="b">
            <v>1</v>
          </cell>
          <cell r="T96" t="str">
            <v/>
          </cell>
          <cell r="U96">
            <v>0</v>
          </cell>
          <cell r="V96">
            <v>2556250</v>
          </cell>
          <cell r="W96">
            <v>2556250</v>
          </cell>
          <cell r="X96" t="b">
            <v>1</v>
          </cell>
          <cell r="Y96">
            <v>12408.980582524271</v>
          </cell>
          <cell r="AB96" t="str">
            <v/>
          </cell>
          <cell r="AE96">
            <v>206</v>
          </cell>
          <cell r="AF96">
            <v>206</v>
          </cell>
          <cell r="AG96" t="b">
            <v>1</v>
          </cell>
          <cell r="AH96">
            <v>210</v>
          </cell>
          <cell r="AI96" t="str">
            <v/>
          </cell>
          <cell r="AJ96">
            <v>60</v>
          </cell>
          <cell r="AK96" t="str">
            <v/>
          </cell>
          <cell r="AL96" t="str">
            <v/>
          </cell>
          <cell r="AM96" t="str">
            <v/>
          </cell>
          <cell r="AN96" t="str">
            <v/>
          </cell>
          <cell r="AQ96" t="str">
            <v/>
          </cell>
          <cell r="AV96" t="str">
            <v/>
          </cell>
          <cell r="AW96" t="str">
            <v/>
          </cell>
          <cell r="AX96" t="str">
            <v/>
          </cell>
          <cell r="AY96" t="str">
            <v/>
          </cell>
          <cell r="AZ96" t="str">
            <v/>
          </cell>
          <cell r="BA96">
            <v>11</v>
          </cell>
          <cell r="BB96" t="str">
            <v/>
          </cell>
          <cell r="BC96" t="str">
            <v/>
          </cell>
          <cell r="BD96" t="str">
            <v/>
          </cell>
          <cell r="BE96" t="str">
            <v/>
          </cell>
          <cell r="BF96" t="str">
            <v/>
          </cell>
          <cell r="BG96" t="str">
            <v/>
          </cell>
          <cell r="BH96" t="str">
            <v/>
          </cell>
          <cell r="BJ96" t="str">
            <v/>
          </cell>
          <cell r="BK96" t="str">
            <v/>
          </cell>
          <cell r="BL96" t="str">
            <v/>
          </cell>
          <cell r="BM96" t="str">
            <v/>
          </cell>
          <cell r="BN96">
            <v>8189927.1844660193</v>
          </cell>
          <cell r="BO96" t="str">
            <v/>
          </cell>
          <cell r="BP96" t="str">
            <v/>
          </cell>
          <cell r="BQ96" t="str">
            <v/>
          </cell>
          <cell r="BR96" t="str">
            <v/>
          </cell>
          <cell r="BS96" t="str">
            <v/>
          </cell>
          <cell r="BT96" t="str">
            <v/>
          </cell>
          <cell r="BU96" t="str">
            <v/>
          </cell>
          <cell r="BV96" t="str">
            <v/>
          </cell>
          <cell r="BW96" t="str">
            <v/>
          </cell>
          <cell r="BX96" t="str">
            <v/>
          </cell>
          <cell r="BY96" t="str">
            <v/>
          </cell>
          <cell r="BZ96" t="str">
            <v/>
          </cell>
          <cell r="CA96" t="str">
            <v/>
          </cell>
          <cell r="CC96" t="str">
            <v/>
          </cell>
          <cell r="CD96" t="str">
            <v/>
          </cell>
          <cell r="CE96" t="str">
            <v/>
          </cell>
          <cell r="CF96" t="str">
            <v/>
          </cell>
        </row>
        <row r="97">
          <cell r="A97">
            <v>188</v>
          </cell>
          <cell r="B97" t="str">
            <v>189_コンフォートホテル刈谷</v>
          </cell>
          <cell r="C97" t="str">
            <v/>
          </cell>
          <cell r="D97" t="str">
            <v>技術役員</v>
          </cell>
          <cell r="E97" t="str">
            <v/>
          </cell>
          <cell r="F97" t="str">
            <v/>
          </cell>
          <cell r="G97" t="str">
            <v/>
          </cell>
          <cell r="H97">
            <v>0</v>
          </cell>
          <cell r="I97">
            <v>0</v>
          </cell>
          <cell r="J97" t="b">
            <v>0</v>
          </cell>
          <cell r="K97" t="str">
            <v/>
          </cell>
          <cell r="L97">
            <v>0</v>
          </cell>
          <cell r="M97">
            <v>0</v>
          </cell>
          <cell r="N97">
            <v>0</v>
          </cell>
          <cell r="O97">
            <v>0</v>
          </cell>
          <cell r="P97">
            <v>0</v>
          </cell>
          <cell r="Q97">
            <v>0</v>
          </cell>
          <cell r="R97">
            <v>0</v>
          </cell>
          <cell r="S97" t="b">
            <v>1</v>
          </cell>
          <cell r="T97" t="str">
            <v/>
          </cell>
          <cell r="U97">
            <v>0</v>
          </cell>
          <cell r="V97">
            <v>2960812</v>
          </cell>
          <cell r="W97">
            <v>2960812</v>
          </cell>
          <cell r="X97" t="b">
            <v>1</v>
          </cell>
          <cell r="Y97">
            <v>21931.940740740742</v>
          </cell>
          <cell r="AB97" t="str">
            <v/>
          </cell>
          <cell r="AE97">
            <v>206</v>
          </cell>
          <cell r="AF97">
            <v>135</v>
          </cell>
          <cell r="AG97" t="b">
            <v>1</v>
          </cell>
          <cell r="AH97">
            <v>210</v>
          </cell>
          <cell r="AI97" t="str">
            <v/>
          </cell>
          <cell r="AJ97">
            <v>60</v>
          </cell>
          <cell r="AK97" t="str">
            <v/>
          </cell>
          <cell r="AL97" t="str">
            <v/>
          </cell>
          <cell r="AM97" t="str">
            <v/>
          </cell>
          <cell r="AN97" t="str">
            <v/>
          </cell>
          <cell r="AQ97" t="str">
            <v/>
          </cell>
          <cell r="AV97" t="str">
            <v/>
          </cell>
          <cell r="AW97" t="str">
            <v/>
          </cell>
          <cell r="AX97" t="str">
            <v/>
          </cell>
          <cell r="AY97" t="str">
            <v/>
          </cell>
          <cell r="AZ97" t="str">
            <v/>
          </cell>
          <cell r="BA97">
            <v>11</v>
          </cell>
          <cell r="BB97" t="str">
            <v/>
          </cell>
          <cell r="BC97" t="str">
            <v/>
          </cell>
          <cell r="BD97" t="str">
            <v/>
          </cell>
          <cell r="BE97" t="str">
            <v/>
          </cell>
          <cell r="BF97" t="str">
            <v/>
          </cell>
          <cell r="BG97" t="str">
            <v/>
          </cell>
          <cell r="BH97" t="str">
            <v/>
          </cell>
          <cell r="BJ97" t="str">
            <v/>
          </cell>
          <cell r="BK97" t="str">
            <v/>
          </cell>
          <cell r="BL97" t="str">
            <v/>
          </cell>
          <cell r="BM97" t="str">
            <v/>
          </cell>
          <cell r="BN97">
            <v>14475080.88888889</v>
          </cell>
          <cell r="BO97" t="str">
            <v/>
          </cell>
          <cell r="BP97" t="str">
            <v/>
          </cell>
          <cell r="BQ97" t="str">
            <v/>
          </cell>
          <cell r="BR97" t="str">
            <v/>
          </cell>
          <cell r="BS97" t="str">
            <v/>
          </cell>
          <cell r="BT97" t="str">
            <v/>
          </cell>
          <cell r="BU97" t="str">
            <v/>
          </cell>
          <cell r="BV97" t="str">
            <v/>
          </cell>
          <cell r="BW97" t="str">
            <v/>
          </cell>
          <cell r="BX97" t="str">
            <v/>
          </cell>
          <cell r="BY97" t="str">
            <v/>
          </cell>
          <cell r="BZ97" t="str">
            <v/>
          </cell>
          <cell r="CA97" t="str">
            <v/>
          </cell>
          <cell r="CC97" t="str">
            <v/>
          </cell>
          <cell r="CD97" t="str">
            <v/>
          </cell>
          <cell r="CE97" t="str">
            <v/>
          </cell>
          <cell r="CF97" t="str">
            <v/>
          </cell>
        </row>
        <row r="98">
          <cell r="A98">
            <v>192</v>
          </cell>
          <cell r="B98" t="str">
            <v>0192_パークホテル刈谷</v>
          </cell>
          <cell r="C98" t="str">
            <v/>
          </cell>
          <cell r="D98" t="str">
            <v/>
          </cell>
          <cell r="E98" t="str">
            <v/>
          </cell>
          <cell r="F98" t="str">
            <v/>
          </cell>
          <cell r="G98" t="str">
            <v/>
          </cell>
          <cell r="H98">
            <v>0</v>
          </cell>
          <cell r="I98">
            <v>0</v>
          </cell>
          <cell r="J98" t="b">
            <v>0</v>
          </cell>
          <cell r="K98" t="str">
            <v/>
          </cell>
          <cell r="L98">
            <v>0</v>
          </cell>
          <cell r="M98">
            <v>0</v>
          </cell>
          <cell r="N98">
            <v>0</v>
          </cell>
          <cell r="O98">
            <v>0</v>
          </cell>
          <cell r="P98">
            <v>0</v>
          </cell>
          <cell r="Q98">
            <v>0</v>
          </cell>
          <cell r="R98">
            <v>0</v>
          </cell>
          <cell r="S98" t="b">
            <v>1</v>
          </cell>
          <cell r="T98" t="str">
            <v/>
          </cell>
          <cell r="U98">
            <v>0</v>
          </cell>
          <cell r="V98">
            <v>600512</v>
          </cell>
          <cell r="W98">
            <v>600512</v>
          </cell>
          <cell r="X98" t="b">
            <v>1</v>
          </cell>
          <cell r="Y98">
            <v>7506.4</v>
          </cell>
          <cell r="AB98" t="str">
            <v/>
          </cell>
          <cell r="AE98">
            <v>80</v>
          </cell>
          <cell r="AF98">
            <v>80</v>
          </cell>
          <cell r="AG98" t="b">
            <v>1</v>
          </cell>
          <cell r="AH98">
            <v>80</v>
          </cell>
          <cell r="AI98" t="str">
            <v/>
          </cell>
          <cell r="AJ98" t="str">
            <v/>
          </cell>
          <cell r="AK98" t="str">
            <v/>
          </cell>
          <cell r="AL98" t="str">
            <v/>
          </cell>
          <cell r="AM98" t="str">
            <v/>
          </cell>
          <cell r="AN98" t="str">
            <v/>
          </cell>
          <cell r="AQ98" t="str">
            <v/>
          </cell>
          <cell r="AV98" t="str">
            <v/>
          </cell>
          <cell r="AW98" t="str">
            <v/>
          </cell>
          <cell r="AX98" t="str">
            <v/>
          </cell>
          <cell r="AY98" t="str">
            <v/>
          </cell>
          <cell r="AZ98" t="str">
            <v/>
          </cell>
          <cell r="BA98" t="str">
            <v/>
          </cell>
          <cell r="BB98" t="str">
            <v/>
          </cell>
          <cell r="BC98" t="str">
            <v/>
          </cell>
          <cell r="BD98" t="str">
            <v/>
          </cell>
          <cell r="BE98" t="str">
            <v/>
          </cell>
          <cell r="BF98" t="str">
            <v/>
          </cell>
          <cell r="BG98" t="str">
            <v/>
          </cell>
          <cell r="BH98" t="str">
            <v/>
          </cell>
          <cell r="BJ98" t="str">
            <v/>
          </cell>
          <cell r="BK98" t="str">
            <v/>
          </cell>
          <cell r="BL98" t="str">
            <v/>
          </cell>
          <cell r="BM98" t="str">
            <v/>
          </cell>
          <cell r="BN98" t="str">
            <v/>
          </cell>
          <cell r="BO98" t="str">
            <v/>
          </cell>
          <cell r="BP98" t="str">
            <v/>
          </cell>
          <cell r="BQ98" t="str">
            <v/>
          </cell>
          <cell r="BR98" t="str">
            <v/>
          </cell>
          <cell r="BS98" t="str">
            <v/>
          </cell>
          <cell r="BT98" t="str">
            <v/>
          </cell>
          <cell r="BU98" t="str">
            <v/>
          </cell>
          <cell r="BV98" t="str">
            <v/>
          </cell>
          <cell r="BW98" t="str">
            <v/>
          </cell>
          <cell r="BX98" t="str">
            <v/>
          </cell>
          <cell r="BY98" t="str">
            <v/>
          </cell>
          <cell r="BZ98" t="str">
            <v/>
          </cell>
          <cell r="CA98" t="str">
            <v/>
          </cell>
          <cell r="CC98" t="str">
            <v/>
          </cell>
          <cell r="CD98" t="str">
            <v/>
          </cell>
          <cell r="CE98" t="str">
            <v/>
          </cell>
          <cell r="CF98" t="str">
            <v/>
          </cell>
        </row>
        <row r="99">
          <cell r="A99">
            <v>193</v>
          </cell>
          <cell r="B99" t="str">
            <v>0193_アクセスイン刈谷</v>
          </cell>
          <cell r="C99" t="str">
            <v/>
          </cell>
          <cell r="D99" t="str">
            <v/>
          </cell>
          <cell r="E99" t="str">
            <v/>
          </cell>
          <cell r="F99" t="str">
            <v/>
          </cell>
          <cell r="G99" t="str">
            <v/>
          </cell>
          <cell r="H99">
            <v>0</v>
          </cell>
          <cell r="I99">
            <v>0</v>
          </cell>
          <cell r="J99" t="b">
            <v>0</v>
          </cell>
          <cell r="K99" t="str">
            <v/>
          </cell>
          <cell r="L99">
            <v>0</v>
          </cell>
          <cell r="M99">
            <v>0</v>
          </cell>
          <cell r="N99">
            <v>0</v>
          </cell>
          <cell r="O99">
            <v>0</v>
          </cell>
          <cell r="P99">
            <v>0</v>
          </cell>
          <cell r="Q99">
            <v>0</v>
          </cell>
          <cell r="R99">
            <v>0</v>
          </cell>
          <cell r="S99" t="b">
            <v>1</v>
          </cell>
          <cell r="T99" t="str">
            <v/>
          </cell>
          <cell r="U99">
            <v>0</v>
          </cell>
          <cell r="V99">
            <v>717505</v>
          </cell>
          <cell r="W99">
            <v>717505</v>
          </cell>
          <cell r="X99" t="b">
            <v>1</v>
          </cell>
          <cell r="Y99">
            <v>10871.287878787878</v>
          </cell>
          <cell r="AB99" t="str">
            <v/>
          </cell>
          <cell r="AE99">
            <v>119</v>
          </cell>
          <cell r="AF99">
            <v>66</v>
          </cell>
          <cell r="AG99" t="b">
            <v>1</v>
          </cell>
          <cell r="AH99">
            <v>122</v>
          </cell>
          <cell r="AI99" t="str">
            <v/>
          </cell>
          <cell r="AJ99" t="str">
            <v/>
          </cell>
          <cell r="AK99" t="str">
            <v/>
          </cell>
          <cell r="AL99" t="str">
            <v/>
          </cell>
          <cell r="AM99" t="str">
            <v/>
          </cell>
          <cell r="AN99" t="str">
            <v/>
          </cell>
          <cell r="AQ99" t="str">
            <v/>
          </cell>
          <cell r="AV99" t="str">
            <v/>
          </cell>
          <cell r="AW99" t="str">
            <v/>
          </cell>
          <cell r="AX99" t="str">
            <v/>
          </cell>
          <cell r="AY99" t="str">
            <v/>
          </cell>
          <cell r="AZ99" t="str">
            <v/>
          </cell>
          <cell r="BA99" t="str">
            <v/>
          </cell>
          <cell r="BB99" t="str">
            <v/>
          </cell>
          <cell r="BC99" t="str">
            <v/>
          </cell>
          <cell r="BD99" t="str">
            <v/>
          </cell>
          <cell r="BE99" t="str">
            <v/>
          </cell>
          <cell r="BF99" t="str">
            <v/>
          </cell>
          <cell r="BG99" t="str">
            <v/>
          </cell>
          <cell r="BH99" t="str">
            <v/>
          </cell>
          <cell r="BJ99" t="str">
            <v/>
          </cell>
          <cell r="BK99" t="str">
            <v/>
          </cell>
          <cell r="BL99" t="str">
            <v/>
          </cell>
          <cell r="BM99" t="str">
            <v/>
          </cell>
          <cell r="BN99" t="str">
            <v/>
          </cell>
          <cell r="BO99" t="str">
            <v/>
          </cell>
          <cell r="BP99" t="str">
            <v/>
          </cell>
          <cell r="BQ99" t="str">
            <v/>
          </cell>
          <cell r="BR99" t="str">
            <v/>
          </cell>
          <cell r="BS99" t="str">
            <v/>
          </cell>
          <cell r="BT99" t="str">
            <v/>
          </cell>
          <cell r="BU99" t="str">
            <v/>
          </cell>
          <cell r="BV99" t="str">
            <v/>
          </cell>
          <cell r="BW99" t="str">
            <v/>
          </cell>
          <cell r="BX99" t="str">
            <v/>
          </cell>
          <cell r="BY99" t="str">
            <v/>
          </cell>
          <cell r="BZ99" t="str">
            <v/>
          </cell>
          <cell r="CA99" t="str">
            <v/>
          </cell>
          <cell r="CC99" t="str">
            <v/>
          </cell>
          <cell r="CD99" t="str">
            <v/>
          </cell>
          <cell r="CE99" t="str">
            <v/>
          </cell>
          <cell r="CF99" t="str">
            <v/>
          </cell>
        </row>
        <row r="100">
          <cell r="A100">
            <v>195</v>
          </cell>
          <cell r="B100" t="str">
            <v>0195_ロイヤルホテルうお八</v>
          </cell>
          <cell r="C100" t="str">
            <v>選手（修正案）</v>
          </cell>
          <cell r="D100" t="str">
            <v/>
          </cell>
          <cell r="E100" t="str">
            <v/>
          </cell>
          <cell r="F100" t="str">
            <v/>
          </cell>
          <cell r="G100" t="str">
            <v/>
          </cell>
          <cell r="H100">
            <v>1</v>
          </cell>
          <cell r="I100">
            <v>1</v>
          </cell>
          <cell r="J100" t="b">
            <v>0</v>
          </cell>
          <cell r="K100" t="str">
            <v/>
          </cell>
          <cell r="L100">
            <v>0</v>
          </cell>
          <cell r="M100">
            <v>0</v>
          </cell>
          <cell r="N100">
            <v>0</v>
          </cell>
          <cell r="O100">
            <v>0</v>
          </cell>
          <cell r="P100">
            <v>0</v>
          </cell>
          <cell r="Q100">
            <v>0</v>
          </cell>
          <cell r="R100">
            <v>116471</v>
          </cell>
          <cell r="S100" t="b">
            <v>1</v>
          </cell>
          <cell r="T100">
            <v>116471</v>
          </cell>
          <cell r="U100">
            <v>-2232134</v>
          </cell>
          <cell r="V100">
            <v>0</v>
          </cell>
          <cell r="W100">
            <v>2232134</v>
          </cell>
          <cell r="X100" t="b">
            <v>1</v>
          </cell>
          <cell r="Y100">
            <v>18601.116666666665</v>
          </cell>
          <cell r="Z100">
            <v>11412</v>
          </cell>
          <cell r="AA100">
            <v>29412</v>
          </cell>
          <cell r="AB100">
            <v>16732.638680659675</v>
          </cell>
          <cell r="AE100">
            <v>159</v>
          </cell>
          <cell r="AF100">
            <v>120</v>
          </cell>
          <cell r="AG100" t="b">
            <v>1</v>
          </cell>
          <cell r="AI100">
            <v>116</v>
          </cell>
          <cell r="AJ100" t="str">
            <v/>
          </cell>
          <cell r="AK100" t="str">
            <v/>
          </cell>
          <cell r="AL100" t="str">
            <v/>
          </cell>
          <cell r="AM100" t="str">
            <v/>
          </cell>
          <cell r="AN100">
            <v>-4</v>
          </cell>
          <cell r="AQ100" t="str">
            <v/>
          </cell>
          <cell r="AV100">
            <v>19</v>
          </cell>
          <cell r="AW100" t="str">
            <v/>
          </cell>
          <cell r="AX100" t="str">
            <v/>
          </cell>
          <cell r="AY100" t="str">
            <v/>
          </cell>
          <cell r="AZ100" t="str">
            <v/>
          </cell>
          <cell r="BA100" t="str">
            <v/>
          </cell>
          <cell r="BB100" t="str">
            <v/>
          </cell>
          <cell r="BC100" t="str">
            <v/>
          </cell>
          <cell r="BD100" t="str">
            <v/>
          </cell>
          <cell r="BE100" t="str">
            <v/>
          </cell>
          <cell r="BF100" t="str">
            <v/>
          </cell>
          <cell r="BG100" t="str">
            <v/>
          </cell>
          <cell r="BH100">
            <v>42410546</v>
          </cell>
          <cell r="BJ100" t="str">
            <v/>
          </cell>
          <cell r="BK100" t="str">
            <v/>
          </cell>
          <cell r="BL100" t="str">
            <v/>
          </cell>
          <cell r="BM100" t="str">
            <v/>
          </cell>
          <cell r="BN100" t="str">
            <v/>
          </cell>
          <cell r="BO100" t="str">
            <v/>
          </cell>
          <cell r="BP100" t="str">
            <v/>
          </cell>
          <cell r="BQ100" t="str">
            <v/>
          </cell>
          <cell r="BR100" t="str">
            <v/>
          </cell>
          <cell r="BS100" t="str">
            <v/>
          </cell>
          <cell r="BT100" t="str">
            <v/>
          </cell>
          <cell r="BU100" t="str">
            <v/>
          </cell>
          <cell r="BV100" t="str">
            <v/>
          </cell>
          <cell r="BW100" t="str">
            <v/>
          </cell>
          <cell r="BX100">
            <v>2212949</v>
          </cell>
          <cell r="BY100" t="str">
            <v/>
          </cell>
          <cell r="BZ100" t="str">
            <v/>
          </cell>
          <cell r="CA100" t="str">
            <v/>
          </cell>
          <cell r="CC100" t="str">
            <v/>
          </cell>
          <cell r="CD100" t="str">
            <v/>
          </cell>
          <cell r="CE100" t="str">
            <v/>
          </cell>
          <cell r="CF100" t="str">
            <v/>
          </cell>
        </row>
        <row r="101">
          <cell r="A101">
            <v>200</v>
          </cell>
          <cell r="B101" t="str">
            <v>0200_アットインホテル豊田市駅</v>
          </cell>
          <cell r="C101" t="str">
            <v/>
          </cell>
          <cell r="D101" t="str">
            <v>技術役員</v>
          </cell>
          <cell r="E101" t="str">
            <v/>
          </cell>
          <cell r="F101" t="str">
            <v/>
          </cell>
          <cell r="G101" t="str">
            <v/>
          </cell>
          <cell r="H101">
            <v>0</v>
          </cell>
          <cell r="I101">
            <v>0</v>
          </cell>
          <cell r="J101" t="b">
            <v>0</v>
          </cell>
          <cell r="K101" t="str">
            <v/>
          </cell>
          <cell r="L101">
            <v>0</v>
          </cell>
          <cell r="M101">
            <v>0</v>
          </cell>
          <cell r="N101">
            <v>0</v>
          </cell>
          <cell r="O101">
            <v>0</v>
          </cell>
          <cell r="P101">
            <v>0</v>
          </cell>
          <cell r="Q101">
            <v>0</v>
          </cell>
          <cell r="R101">
            <v>0</v>
          </cell>
          <cell r="S101" t="b">
            <v>1</v>
          </cell>
          <cell r="T101" t="str">
            <v/>
          </cell>
          <cell r="U101">
            <v>0</v>
          </cell>
          <cell r="V101">
            <v>1920525</v>
          </cell>
          <cell r="W101">
            <v>1920525</v>
          </cell>
          <cell r="X101" t="b">
            <v>1</v>
          </cell>
          <cell r="Y101">
            <v>15742.008196721312</v>
          </cell>
          <cell r="AB101" t="str">
            <v/>
          </cell>
          <cell r="AE101">
            <v>122</v>
          </cell>
          <cell r="AF101">
            <v>122</v>
          </cell>
          <cell r="AG101" t="b">
            <v>1</v>
          </cell>
          <cell r="AH101">
            <v>126</v>
          </cell>
          <cell r="AI101" t="str">
            <v/>
          </cell>
          <cell r="AJ101">
            <v>46</v>
          </cell>
          <cell r="AK101" t="str">
            <v/>
          </cell>
          <cell r="AL101" t="str">
            <v/>
          </cell>
          <cell r="AM101" t="str">
            <v/>
          </cell>
          <cell r="AN101" t="str">
            <v/>
          </cell>
          <cell r="AQ101" t="str">
            <v/>
          </cell>
          <cell r="AV101" t="str">
            <v/>
          </cell>
          <cell r="AW101" t="str">
            <v/>
          </cell>
          <cell r="AX101" t="str">
            <v/>
          </cell>
          <cell r="AY101" t="str">
            <v/>
          </cell>
          <cell r="AZ101" t="str">
            <v/>
          </cell>
          <cell r="BA101">
            <v>11</v>
          </cell>
          <cell r="BB101" t="str">
            <v/>
          </cell>
          <cell r="BC101" t="str">
            <v/>
          </cell>
          <cell r="BD101" t="str">
            <v/>
          </cell>
          <cell r="BE101" t="str">
            <v/>
          </cell>
          <cell r="BF101" t="str">
            <v/>
          </cell>
          <cell r="BG101" t="str">
            <v/>
          </cell>
          <cell r="BH101" t="str">
            <v/>
          </cell>
          <cell r="BJ101" t="str">
            <v/>
          </cell>
          <cell r="BK101" t="str">
            <v/>
          </cell>
          <cell r="BL101" t="str">
            <v/>
          </cell>
          <cell r="BM101" t="str">
            <v/>
          </cell>
          <cell r="BN101">
            <v>7965456.1475409837</v>
          </cell>
          <cell r="BO101" t="str">
            <v/>
          </cell>
          <cell r="BP101" t="str">
            <v/>
          </cell>
          <cell r="BQ101" t="str">
            <v/>
          </cell>
          <cell r="BR101" t="str">
            <v/>
          </cell>
          <cell r="BS101" t="str">
            <v/>
          </cell>
          <cell r="BT101" t="str">
            <v/>
          </cell>
          <cell r="BU101" t="str">
            <v/>
          </cell>
          <cell r="BV101" t="str">
            <v/>
          </cell>
          <cell r="BW101" t="str">
            <v/>
          </cell>
          <cell r="BX101" t="str">
            <v/>
          </cell>
          <cell r="BY101" t="str">
            <v/>
          </cell>
          <cell r="BZ101" t="str">
            <v/>
          </cell>
          <cell r="CA101" t="str">
            <v/>
          </cell>
          <cell r="CC101" t="str">
            <v/>
          </cell>
          <cell r="CD101" t="str">
            <v/>
          </cell>
          <cell r="CE101" t="str">
            <v/>
          </cell>
          <cell r="CF101" t="str">
            <v/>
          </cell>
        </row>
        <row r="102">
          <cell r="A102">
            <v>201</v>
          </cell>
          <cell r="B102" t="str">
            <v>0201_全トヨタ労連研修センター つどいの丘</v>
          </cell>
          <cell r="C102" t="str">
            <v>選手（修正案）</v>
          </cell>
          <cell r="D102" t="str">
            <v>選手12000</v>
          </cell>
          <cell r="E102" t="str">
            <v/>
          </cell>
          <cell r="F102" t="str">
            <v>技術役員</v>
          </cell>
          <cell r="G102" t="str">
            <v/>
          </cell>
          <cell r="H102">
            <v>19</v>
          </cell>
          <cell r="I102">
            <v>5</v>
          </cell>
          <cell r="J102" t="b">
            <v>1</v>
          </cell>
          <cell r="K102" t="str">
            <v/>
          </cell>
          <cell r="L102">
            <v>111689</v>
          </cell>
          <cell r="M102">
            <v>0</v>
          </cell>
          <cell r="N102">
            <v>0</v>
          </cell>
          <cell r="O102">
            <v>0</v>
          </cell>
          <cell r="P102">
            <v>0</v>
          </cell>
          <cell r="Q102">
            <v>122857.90000000001</v>
          </cell>
          <cell r="R102">
            <v>84704</v>
          </cell>
          <cell r="S102" t="b">
            <v>1</v>
          </cell>
          <cell r="T102">
            <v>16940.8</v>
          </cell>
          <cell r="U102">
            <v>0</v>
          </cell>
          <cell r="V102">
            <v>402908</v>
          </cell>
          <cell r="W102">
            <v>402908</v>
          </cell>
          <cell r="X102" t="b">
            <v>1</v>
          </cell>
          <cell r="Y102">
            <v>7325.6</v>
          </cell>
          <cell r="Z102">
            <v>6342</v>
          </cell>
          <cell r="AA102">
            <v>10095</v>
          </cell>
          <cell r="AB102">
            <v>6256.335403726709</v>
          </cell>
          <cell r="AC102">
            <v>1060</v>
          </cell>
          <cell r="AE102">
            <v>69</v>
          </cell>
          <cell r="AF102">
            <v>55</v>
          </cell>
          <cell r="AG102" t="b">
            <v>1</v>
          </cell>
          <cell r="AH102">
            <v>106</v>
          </cell>
          <cell r="AI102">
            <v>56</v>
          </cell>
          <cell r="AJ102" t="str">
            <v/>
          </cell>
          <cell r="AK102" t="str">
            <v/>
          </cell>
          <cell r="AL102">
            <v>36</v>
          </cell>
          <cell r="AM102" t="str">
            <v/>
          </cell>
          <cell r="AN102">
            <v>1</v>
          </cell>
          <cell r="AQ102">
            <v>-19</v>
          </cell>
          <cell r="AV102">
            <v>17</v>
          </cell>
          <cell r="AW102">
            <v>15</v>
          </cell>
          <cell r="AX102" t="str">
            <v/>
          </cell>
          <cell r="AY102" t="str">
            <v/>
          </cell>
          <cell r="AZ102" t="str">
            <v/>
          </cell>
          <cell r="BA102" t="str">
            <v/>
          </cell>
          <cell r="BB102" t="str">
            <v/>
          </cell>
          <cell r="BC102" t="str">
            <v/>
          </cell>
          <cell r="BD102" t="str">
            <v/>
          </cell>
          <cell r="BE102" t="str">
            <v/>
          </cell>
          <cell r="BF102">
            <v>10</v>
          </cell>
          <cell r="BG102" t="str">
            <v/>
          </cell>
          <cell r="BH102">
            <v>6849436</v>
          </cell>
          <cell r="BI102">
            <v>6043620</v>
          </cell>
          <cell r="BJ102" t="str">
            <v/>
          </cell>
          <cell r="BK102" t="str">
            <v/>
          </cell>
          <cell r="BL102" t="str">
            <v/>
          </cell>
          <cell r="BM102" t="str">
            <v/>
          </cell>
          <cell r="BN102" t="str">
            <v/>
          </cell>
          <cell r="BO102" t="str">
            <v/>
          </cell>
          <cell r="BP102" t="str">
            <v/>
          </cell>
          <cell r="BQ102" t="str">
            <v/>
          </cell>
          <cell r="BR102" t="str">
            <v/>
          </cell>
          <cell r="BS102" t="str">
            <v/>
          </cell>
          <cell r="BT102" t="str">
            <v/>
          </cell>
          <cell r="BU102" t="str">
            <v/>
          </cell>
          <cell r="BV102">
            <v>2637216.0000000005</v>
          </cell>
          <cell r="BW102" t="str">
            <v/>
          </cell>
          <cell r="BX102">
            <v>1439968</v>
          </cell>
          <cell r="BY102">
            <v>1270560</v>
          </cell>
          <cell r="BZ102" t="str">
            <v/>
          </cell>
          <cell r="CA102" t="str">
            <v/>
          </cell>
          <cell r="CC102" t="str">
            <v/>
          </cell>
          <cell r="CD102" t="str">
            <v/>
          </cell>
          <cell r="CE102" t="str">
            <v/>
          </cell>
          <cell r="CF102" t="str">
            <v/>
          </cell>
        </row>
        <row r="103">
          <cell r="A103">
            <v>206</v>
          </cell>
          <cell r="B103" t="str">
            <v>0206_トヨタキャッスルホテル</v>
          </cell>
          <cell r="C103" t="str">
            <v>選手（修正案）</v>
          </cell>
          <cell r="D103" t="str">
            <v>選手12000</v>
          </cell>
          <cell r="E103" t="str">
            <v/>
          </cell>
          <cell r="F103" t="str">
            <v>選手</v>
          </cell>
          <cell r="G103" t="str">
            <v/>
          </cell>
          <cell r="H103">
            <v>6</v>
          </cell>
          <cell r="I103">
            <v>1</v>
          </cell>
          <cell r="J103" t="b">
            <v>1</v>
          </cell>
          <cell r="K103">
            <v>5</v>
          </cell>
          <cell r="L103">
            <v>3670335</v>
          </cell>
          <cell r="M103">
            <v>0</v>
          </cell>
          <cell r="N103">
            <v>0</v>
          </cell>
          <cell r="O103">
            <v>0</v>
          </cell>
          <cell r="P103">
            <v>0</v>
          </cell>
          <cell r="Q103">
            <v>4037368.5000000005</v>
          </cell>
          <cell r="R103">
            <v>1542200</v>
          </cell>
          <cell r="S103" t="b">
            <v>1</v>
          </cell>
          <cell r="T103">
            <v>1542200</v>
          </cell>
          <cell r="U103">
            <v>-922538</v>
          </cell>
          <cell r="V103">
            <v>2932641</v>
          </cell>
          <cell r="W103">
            <v>3855179</v>
          </cell>
          <cell r="X103" t="b">
            <v>1</v>
          </cell>
          <cell r="Y103">
            <v>26772.076388888891</v>
          </cell>
          <cell r="Z103">
            <v>17942</v>
          </cell>
          <cell r="AA103">
            <v>35648</v>
          </cell>
          <cell r="AB103">
            <v>23945.211180124224</v>
          </cell>
          <cell r="AC103">
            <v>1700</v>
          </cell>
          <cell r="AE103">
            <v>151</v>
          </cell>
          <cell r="AF103">
            <v>144</v>
          </cell>
          <cell r="AG103" t="b">
            <v>1</v>
          </cell>
          <cell r="AH103">
            <v>191</v>
          </cell>
          <cell r="AI103">
            <v>140</v>
          </cell>
          <cell r="AJ103" t="str">
            <v/>
          </cell>
          <cell r="AK103" t="str">
            <v/>
          </cell>
          <cell r="AL103">
            <v>151</v>
          </cell>
          <cell r="AM103" t="str">
            <v/>
          </cell>
          <cell r="AN103">
            <v>-4</v>
          </cell>
          <cell r="AQ103">
            <v>7</v>
          </cell>
          <cell r="AV103">
            <v>25</v>
          </cell>
          <cell r="AW103">
            <v>25</v>
          </cell>
          <cell r="AX103" t="str">
            <v/>
          </cell>
          <cell r="AY103" t="str">
            <v/>
          </cell>
          <cell r="AZ103" t="str">
            <v/>
          </cell>
          <cell r="BA103" t="str">
            <v/>
          </cell>
          <cell r="BB103" t="str">
            <v/>
          </cell>
          <cell r="BC103">
            <v>18</v>
          </cell>
          <cell r="BD103" t="str">
            <v/>
          </cell>
          <cell r="BE103" t="str">
            <v/>
          </cell>
          <cell r="BF103" t="str">
            <v/>
          </cell>
          <cell r="BG103" t="str">
            <v/>
          </cell>
          <cell r="BH103">
            <v>96379475</v>
          </cell>
          <cell r="BI103">
            <v>96379475</v>
          </cell>
          <cell r="BJ103" t="str">
            <v/>
          </cell>
          <cell r="BK103" t="str">
            <v/>
          </cell>
          <cell r="BL103" t="str">
            <v/>
          </cell>
          <cell r="BM103" t="str">
            <v/>
          </cell>
          <cell r="BN103" t="str">
            <v/>
          </cell>
          <cell r="BO103" t="str">
            <v/>
          </cell>
          <cell r="BP103">
            <v>72766503.625</v>
          </cell>
          <cell r="BQ103">
            <v>72766503.625</v>
          </cell>
          <cell r="BR103" t="str">
            <v/>
          </cell>
          <cell r="BS103" t="str">
            <v/>
          </cell>
          <cell r="BT103" t="str">
            <v/>
          </cell>
          <cell r="BU103" t="str">
            <v/>
          </cell>
          <cell r="BV103" t="str">
            <v/>
          </cell>
          <cell r="BW103" t="str">
            <v/>
          </cell>
          <cell r="BX103">
            <v>38555000</v>
          </cell>
          <cell r="BY103">
            <v>38555000</v>
          </cell>
          <cell r="BZ103" t="str">
            <v/>
          </cell>
          <cell r="CA103" t="str">
            <v/>
          </cell>
          <cell r="CC103">
            <v>27759600</v>
          </cell>
          <cell r="CD103">
            <v>27759600</v>
          </cell>
          <cell r="CE103" t="str">
            <v/>
          </cell>
          <cell r="CF103" t="str">
            <v/>
          </cell>
        </row>
        <row r="104">
          <cell r="A104">
            <v>207</v>
          </cell>
          <cell r="B104" t="str">
            <v>0207_豊田プレステージホテル</v>
          </cell>
          <cell r="C104" t="str">
            <v/>
          </cell>
          <cell r="D104" t="str">
            <v/>
          </cell>
          <cell r="E104" t="str">
            <v/>
          </cell>
          <cell r="F104" t="str">
            <v/>
          </cell>
          <cell r="G104" t="str">
            <v/>
          </cell>
          <cell r="H104">
            <v>2</v>
          </cell>
          <cell r="I104">
            <v>2</v>
          </cell>
          <cell r="J104" t="b">
            <v>0</v>
          </cell>
          <cell r="K104" t="str">
            <v/>
          </cell>
          <cell r="L104">
            <v>198825</v>
          </cell>
          <cell r="M104">
            <v>0</v>
          </cell>
          <cell r="N104">
            <v>0</v>
          </cell>
          <cell r="O104">
            <v>0</v>
          </cell>
          <cell r="P104">
            <v>0</v>
          </cell>
          <cell r="Q104">
            <v>218707.50000000003</v>
          </cell>
          <cell r="R104">
            <v>218707</v>
          </cell>
          <cell r="S104" t="b">
            <v>0</v>
          </cell>
          <cell r="T104">
            <v>109353.5</v>
          </cell>
          <cell r="U104">
            <v>0</v>
          </cell>
          <cell r="V104">
            <v>1414498</v>
          </cell>
          <cell r="W104">
            <v>1414498</v>
          </cell>
          <cell r="X104" t="b">
            <v>0</v>
          </cell>
          <cell r="Y104">
            <v>12299.982608695653</v>
          </cell>
          <cell r="AB104" t="str">
            <v/>
          </cell>
          <cell r="AE104">
            <v>115</v>
          </cell>
          <cell r="AF104">
            <v>115</v>
          </cell>
          <cell r="AG104" t="b">
            <v>0</v>
          </cell>
          <cell r="AH104">
            <v>119</v>
          </cell>
          <cell r="AI104" t="str">
            <v/>
          </cell>
          <cell r="AJ104" t="str">
            <v/>
          </cell>
          <cell r="AK104" t="str">
            <v/>
          </cell>
          <cell r="AL104" t="str">
            <v/>
          </cell>
          <cell r="AM104" t="str">
            <v/>
          </cell>
          <cell r="AN104" t="str">
            <v/>
          </cell>
          <cell r="AQ104" t="str">
            <v/>
          </cell>
          <cell r="AV104" t="str">
            <v/>
          </cell>
          <cell r="AW104" t="str">
            <v/>
          </cell>
          <cell r="AX104" t="str">
            <v/>
          </cell>
          <cell r="AY104" t="str">
            <v/>
          </cell>
          <cell r="AZ104" t="str">
            <v/>
          </cell>
          <cell r="BA104" t="str">
            <v/>
          </cell>
          <cell r="BB104" t="str">
            <v/>
          </cell>
          <cell r="BC104" t="str">
            <v/>
          </cell>
          <cell r="BD104" t="str">
            <v/>
          </cell>
          <cell r="BE104" t="str">
            <v/>
          </cell>
          <cell r="BF104" t="str">
            <v/>
          </cell>
          <cell r="BG104" t="str">
            <v/>
          </cell>
          <cell r="BH104" t="str">
            <v/>
          </cell>
          <cell r="BJ104" t="str">
            <v/>
          </cell>
          <cell r="BK104" t="str">
            <v/>
          </cell>
          <cell r="BL104" t="str">
            <v/>
          </cell>
          <cell r="BM104" t="str">
            <v/>
          </cell>
          <cell r="BN104" t="str">
            <v/>
          </cell>
          <cell r="BO104" t="str">
            <v/>
          </cell>
          <cell r="BP104" t="str">
            <v/>
          </cell>
          <cell r="BQ104" t="str">
            <v/>
          </cell>
          <cell r="BR104" t="str">
            <v/>
          </cell>
          <cell r="BS104" t="str">
            <v/>
          </cell>
          <cell r="BT104" t="str">
            <v/>
          </cell>
          <cell r="BU104" t="str">
            <v/>
          </cell>
          <cell r="BV104" t="str">
            <v/>
          </cell>
          <cell r="BW104" t="str">
            <v/>
          </cell>
          <cell r="BX104" t="str">
            <v/>
          </cell>
          <cell r="BY104" t="str">
            <v/>
          </cell>
          <cell r="BZ104" t="str">
            <v/>
          </cell>
          <cell r="CA104" t="str">
            <v/>
          </cell>
          <cell r="CC104" t="str">
            <v/>
          </cell>
          <cell r="CD104" t="str">
            <v/>
          </cell>
          <cell r="CE104" t="str">
            <v/>
          </cell>
          <cell r="CF104" t="str">
            <v/>
          </cell>
        </row>
        <row r="105">
          <cell r="A105">
            <v>208</v>
          </cell>
          <cell r="B105" t="str">
            <v>0208_東横INN豊田駅前</v>
          </cell>
          <cell r="C105" t="str">
            <v/>
          </cell>
          <cell r="D105" t="str">
            <v/>
          </cell>
          <cell r="E105" t="str">
            <v/>
          </cell>
          <cell r="F105" t="str">
            <v/>
          </cell>
          <cell r="G105" t="str">
            <v/>
          </cell>
          <cell r="H105">
            <v>0</v>
          </cell>
          <cell r="I105">
            <v>0</v>
          </cell>
          <cell r="J105" t="b">
            <v>0</v>
          </cell>
          <cell r="K105" t="str">
            <v/>
          </cell>
          <cell r="L105">
            <v>0</v>
          </cell>
          <cell r="M105">
            <v>0</v>
          </cell>
          <cell r="N105">
            <v>0</v>
          </cell>
          <cell r="O105">
            <v>0</v>
          </cell>
          <cell r="P105">
            <v>0</v>
          </cell>
          <cell r="Q105">
            <v>0</v>
          </cell>
          <cell r="R105">
            <v>0</v>
          </cell>
          <cell r="S105" t="b">
            <v>1</v>
          </cell>
          <cell r="T105" t="str">
            <v/>
          </cell>
          <cell r="U105">
            <v>0</v>
          </cell>
          <cell r="V105">
            <v>1441105</v>
          </cell>
          <cell r="W105">
            <v>1441105</v>
          </cell>
          <cell r="X105" t="b">
            <v>0</v>
          </cell>
          <cell r="Y105">
            <v>9297.4516129032254</v>
          </cell>
          <cell r="AB105" t="str">
            <v/>
          </cell>
          <cell r="AE105">
            <v>155</v>
          </cell>
          <cell r="AF105">
            <v>155</v>
          </cell>
          <cell r="AG105" t="b">
            <v>0</v>
          </cell>
          <cell r="AH105">
            <v>156</v>
          </cell>
          <cell r="AI105" t="str">
            <v/>
          </cell>
          <cell r="AJ105" t="str">
            <v/>
          </cell>
          <cell r="AK105" t="str">
            <v/>
          </cell>
          <cell r="AL105" t="str">
            <v/>
          </cell>
          <cell r="AM105" t="str">
            <v/>
          </cell>
          <cell r="AN105" t="str">
            <v/>
          </cell>
          <cell r="AQ105" t="str">
            <v/>
          </cell>
          <cell r="AV105" t="str">
            <v/>
          </cell>
          <cell r="AW105" t="str">
            <v/>
          </cell>
          <cell r="AX105" t="str">
            <v/>
          </cell>
          <cell r="AY105" t="str">
            <v/>
          </cell>
          <cell r="AZ105" t="str">
            <v/>
          </cell>
          <cell r="BA105" t="str">
            <v/>
          </cell>
          <cell r="BB105" t="str">
            <v/>
          </cell>
          <cell r="BC105" t="str">
            <v/>
          </cell>
          <cell r="BD105" t="str">
            <v/>
          </cell>
          <cell r="BE105" t="str">
            <v/>
          </cell>
          <cell r="BF105" t="str">
            <v/>
          </cell>
          <cell r="BG105" t="str">
            <v/>
          </cell>
          <cell r="BH105" t="str">
            <v/>
          </cell>
          <cell r="BJ105" t="str">
            <v/>
          </cell>
          <cell r="BK105" t="str">
            <v/>
          </cell>
          <cell r="BL105" t="str">
            <v/>
          </cell>
          <cell r="BM105" t="str">
            <v/>
          </cell>
          <cell r="BN105" t="str">
            <v/>
          </cell>
          <cell r="BO105" t="str">
            <v/>
          </cell>
          <cell r="BP105" t="str">
            <v/>
          </cell>
          <cell r="BQ105" t="str">
            <v/>
          </cell>
          <cell r="BR105" t="str">
            <v/>
          </cell>
          <cell r="BS105" t="str">
            <v/>
          </cell>
          <cell r="BT105" t="str">
            <v/>
          </cell>
          <cell r="BU105" t="str">
            <v/>
          </cell>
          <cell r="BV105" t="str">
            <v/>
          </cell>
          <cell r="BW105" t="str">
            <v/>
          </cell>
          <cell r="BX105" t="str">
            <v/>
          </cell>
          <cell r="BY105" t="str">
            <v/>
          </cell>
          <cell r="BZ105" t="str">
            <v/>
          </cell>
          <cell r="CA105" t="str">
            <v/>
          </cell>
          <cell r="CC105" t="str">
            <v/>
          </cell>
          <cell r="CD105" t="str">
            <v/>
          </cell>
          <cell r="CE105" t="str">
            <v/>
          </cell>
          <cell r="CF105" t="str">
            <v/>
          </cell>
        </row>
        <row r="106">
          <cell r="A106">
            <v>210</v>
          </cell>
          <cell r="B106" t="str">
            <v>0210_名鉄トヨタホテル</v>
          </cell>
          <cell r="C106" t="str">
            <v>選手（修正案）</v>
          </cell>
          <cell r="D106" t="str">
            <v>選手12000</v>
          </cell>
          <cell r="E106" t="str">
            <v/>
          </cell>
          <cell r="F106" t="str">
            <v>選手</v>
          </cell>
          <cell r="G106" t="str">
            <v/>
          </cell>
          <cell r="H106">
            <v>6</v>
          </cell>
          <cell r="I106">
            <v>4</v>
          </cell>
          <cell r="J106" t="b">
            <v>1</v>
          </cell>
          <cell r="K106">
            <v>2</v>
          </cell>
          <cell r="L106">
            <v>5617648</v>
          </cell>
          <cell r="M106">
            <v>0</v>
          </cell>
          <cell r="N106">
            <v>0</v>
          </cell>
          <cell r="O106">
            <v>0</v>
          </cell>
          <cell r="P106">
            <v>0</v>
          </cell>
          <cell r="Q106">
            <v>6179412.8000000007</v>
          </cell>
          <cell r="R106">
            <v>5170000</v>
          </cell>
          <cell r="S106" t="b">
            <v>1</v>
          </cell>
          <cell r="T106">
            <v>1292500</v>
          </cell>
          <cell r="U106">
            <v>0</v>
          </cell>
          <cell r="V106">
            <v>4398277</v>
          </cell>
          <cell r="W106">
            <v>4398277</v>
          </cell>
          <cell r="X106" t="b">
            <v>1</v>
          </cell>
          <cell r="Y106">
            <v>44427.040404040403</v>
          </cell>
          <cell r="Z106">
            <v>32942</v>
          </cell>
          <cell r="AA106">
            <v>58824</v>
          </cell>
          <cell r="AB106">
            <v>32970.592203898057</v>
          </cell>
          <cell r="AC106">
            <v>2200</v>
          </cell>
          <cell r="AE106">
            <v>99</v>
          </cell>
          <cell r="AF106">
            <v>99</v>
          </cell>
          <cell r="AG106" t="b">
            <v>1</v>
          </cell>
          <cell r="AH106">
            <v>128</v>
          </cell>
          <cell r="AI106">
            <v>116</v>
          </cell>
          <cell r="AJ106" t="str">
            <v/>
          </cell>
          <cell r="AK106" t="str">
            <v/>
          </cell>
          <cell r="AL106">
            <v>99</v>
          </cell>
          <cell r="AM106" t="str">
            <v/>
          </cell>
          <cell r="AN106">
            <v>17</v>
          </cell>
          <cell r="AQ106">
            <v>0</v>
          </cell>
          <cell r="AV106">
            <v>19</v>
          </cell>
          <cell r="AW106">
            <v>21</v>
          </cell>
          <cell r="AX106" t="str">
            <v/>
          </cell>
          <cell r="AY106" t="str">
            <v/>
          </cell>
          <cell r="AZ106" t="str">
            <v/>
          </cell>
          <cell r="BA106" t="str">
            <v/>
          </cell>
          <cell r="BB106" t="str">
            <v/>
          </cell>
          <cell r="BC106">
            <v>18</v>
          </cell>
          <cell r="BD106" t="str">
            <v/>
          </cell>
          <cell r="BE106" t="str">
            <v/>
          </cell>
          <cell r="BF106" t="str">
            <v/>
          </cell>
          <cell r="BG106" t="str">
            <v/>
          </cell>
          <cell r="BH106">
            <v>83567263</v>
          </cell>
          <cell r="BI106">
            <v>92363817</v>
          </cell>
          <cell r="BJ106" t="str">
            <v/>
          </cell>
          <cell r="BK106" t="str">
            <v/>
          </cell>
          <cell r="BL106" t="str">
            <v/>
          </cell>
          <cell r="BM106" t="str">
            <v/>
          </cell>
          <cell r="BN106" t="str">
            <v/>
          </cell>
          <cell r="BO106" t="str">
            <v/>
          </cell>
          <cell r="BP106">
            <v>79168986</v>
          </cell>
          <cell r="BQ106">
            <v>79168986</v>
          </cell>
          <cell r="BR106" t="str">
            <v/>
          </cell>
          <cell r="BS106" t="str">
            <v/>
          </cell>
          <cell r="BT106" t="str">
            <v/>
          </cell>
          <cell r="BU106" t="str">
            <v/>
          </cell>
          <cell r="BV106" t="str">
            <v/>
          </cell>
          <cell r="BW106" t="str">
            <v/>
          </cell>
          <cell r="BX106">
            <v>98230000</v>
          </cell>
          <cell r="BY106">
            <v>108570000</v>
          </cell>
          <cell r="BZ106" t="str">
            <v/>
          </cell>
          <cell r="CA106" t="str">
            <v/>
          </cell>
          <cell r="CC106">
            <v>93060000</v>
          </cell>
          <cell r="CD106">
            <v>93060000</v>
          </cell>
          <cell r="CE106" t="str">
            <v/>
          </cell>
          <cell r="CF106" t="str">
            <v/>
          </cell>
        </row>
        <row r="107">
          <cell r="A107">
            <v>211</v>
          </cell>
          <cell r="B107" t="str">
            <v>0211_ホテル松風</v>
          </cell>
          <cell r="C107" t="str">
            <v/>
          </cell>
          <cell r="D107" t="str">
            <v/>
          </cell>
          <cell r="E107" t="str">
            <v/>
          </cell>
          <cell r="F107" t="str">
            <v/>
          </cell>
          <cell r="G107" t="str">
            <v/>
          </cell>
          <cell r="H107">
            <v>4</v>
          </cell>
          <cell r="I107">
            <v>7</v>
          </cell>
          <cell r="J107" t="b">
            <v>0</v>
          </cell>
          <cell r="K107" t="str">
            <v/>
          </cell>
          <cell r="L107">
            <v>2271180</v>
          </cell>
          <cell r="M107">
            <v>0</v>
          </cell>
          <cell r="N107">
            <v>0</v>
          </cell>
          <cell r="O107">
            <v>0</v>
          </cell>
          <cell r="P107">
            <v>0</v>
          </cell>
          <cell r="Q107">
            <v>2498298</v>
          </cell>
          <cell r="R107">
            <v>2498298</v>
          </cell>
          <cell r="S107" t="b">
            <v>0</v>
          </cell>
          <cell r="T107">
            <v>356899.71428571426</v>
          </cell>
          <cell r="U107">
            <v>0</v>
          </cell>
          <cell r="V107">
            <v>2704706</v>
          </cell>
          <cell r="W107">
            <v>2704706</v>
          </cell>
          <cell r="X107" t="b">
            <v>1</v>
          </cell>
          <cell r="Y107">
            <v>40368.746268656716</v>
          </cell>
          <cell r="AB107" t="str">
            <v/>
          </cell>
          <cell r="AC107" t="str">
            <v>記載なし</v>
          </cell>
          <cell r="AE107">
            <v>68</v>
          </cell>
          <cell r="AF107">
            <v>67</v>
          </cell>
          <cell r="AG107" t="b">
            <v>1</v>
          </cell>
          <cell r="AH107">
            <v>59</v>
          </cell>
          <cell r="AI107" t="str">
            <v/>
          </cell>
          <cell r="AJ107" t="str">
            <v/>
          </cell>
          <cell r="AK107" t="str">
            <v/>
          </cell>
          <cell r="AL107" t="str">
            <v/>
          </cell>
          <cell r="AM107" t="str">
            <v/>
          </cell>
          <cell r="AN107" t="str">
            <v/>
          </cell>
          <cell r="AQ107" t="str">
            <v/>
          </cell>
          <cell r="AV107" t="str">
            <v/>
          </cell>
          <cell r="AW107" t="str">
            <v/>
          </cell>
          <cell r="AX107" t="str">
            <v/>
          </cell>
          <cell r="AY107" t="str">
            <v/>
          </cell>
          <cell r="AZ107" t="str">
            <v/>
          </cell>
          <cell r="BA107" t="str">
            <v/>
          </cell>
          <cell r="BB107" t="str">
            <v/>
          </cell>
          <cell r="BC107" t="str">
            <v/>
          </cell>
          <cell r="BD107" t="str">
            <v/>
          </cell>
          <cell r="BE107" t="str">
            <v/>
          </cell>
          <cell r="BF107" t="str">
            <v/>
          </cell>
          <cell r="BG107" t="str">
            <v/>
          </cell>
          <cell r="BH107" t="str">
            <v/>
          </cell>
          <cell r="BJ107" t="str">
            <v/>
          </cell>
          <cell r="BK107" t="str">
            <v/>
          </cell>
          <cell r="BL107" t="str">
            <v/>
          </cell>
          <cell r="BM107" t="str">
            <v/>
          </cell>
          <cell r="BN107" t="str">
            <v/>
          </cell>
          <cell r="BO107" t="str">
            <v/>
          </cell>
          <cell r="BP107" t="str">
            <v/>
          </cell>
          <cell r="BQ107" t="str">
            <v/>
          </cell>
          <cell r="BR107" t="str">
            <v/>
          </cell>
          <cell r="BS107" t="str">
            <v/>
          </cell>
          <cell r="BT107" t="str">
            <v/>
          </cell>
          <cell r="BU107" t="str">
            <v/>
          </cell>
          <cell r="BV107" t="str">
            <v/>
          </cell>
          <cell r="BW107" t="str">
            <v/>
          </cell>
          <cell r="BX107" t="str">
            <v/>
          </cell>
          <cell r="BY107" t="str">
            <v/>
          </cell>
          <cell r="BZ107" t="str">
            <v/>
          </cell>
          <cell r="CA107" t="str">
            <v/>
          </cell>
          <cell r="CC107" t="str">
            <v/>
          </cell>
          <cell r="CD107" t="str">
            <v/>
          </cell>
          <cell r="CE107" t="str">
            <v/>
          </cell>
          <cell r="CF107" t="str">
            <v/>
          </cell>
        </row>
        <row r="108">
          <cell r="A108">
            <v>212</v>
          </cell>
          <cell r="B108" t="str">
            <v>0212_ホテルルートイン豊田陣中</v>
          </cell>
          <cell r="C108" t="str">
            <v/>
          </cell>
          <cell r="D108" t="str">
            <v>技術役員</v>
          </cell>
          <cell r="E108" t="str">
            <v/>
          </cell>
          <cell r="F108" t="str">
            <v/>
          </cell>
          <cell r="G108" t="str">
            <v/>
          </cell>
          <cell r="H108">
            <v>0</v>
          </cell>
          <cell r="I108">
            <v>0</v>
          </cell>
          <cell r="J108" t="b">
            <v>0</v>
          </cell>
          <cell r="K108" t="str">
            <v/>
          </cell>
          <cell r="L108">
            <v>0</v>
          </cell>
          <cell r="M108">
            <v>0</v>
          </cell>
          <cell r="N108">
            <v>0</v>
          </cell>
          <cell r="O108">
            <v>0</v>
          </cell>
          <cell r="P108">
            <v>0</v>
          </cell>
          <cell r="Q108">
            <v>0</v>
          </cell>
          <cell r="R108">
            <v>0</v>
          </cell>
          <cell r="S108" t="b">
            <v>1</v>
          </cell>
          <cell r="T108" t="str">
            <v/>
          </cell>
          <cell r="U108">
            <v>0</v>
          </cell>
          <cell r="V108">
            <v>2588675</v>
          </cell>
          <cell r="W108">
            <v>2588675</v>
          </cell>
          <cell r="X108" t="b">
            <v>1</v>
          </cell>
          <cell r="Y108">
            <v>17143.543046357616</v>
          </cell>
          <cell r="AB108" t="str">
            <v/>
          </cell>
          <cell r="AE108">
            <v>151</v>
          </cell>
          <cell r="AF108">
            <v>151</v>
          </cell>
          <cell r="AG108" t="b">
            <v>1</v>
          </cell>
          <cell r="AH108">
            <v>151</v>
          </cell>
          <cell r="AI108" t="str">
            <v/>
          </cell>
          <cell r="AJ108">
            <v>95</v>
          </cell>
          <cell r="AK108" t="str">
            <v/>
          </cell>
          <cell r="AL108" t="str">
            <v/>
          </cell>
          <cell r="AM108" t="str">
            <v/>
          </cell>
          <cell r="AN108" t="str">
            <v/>
          </cell>
          <cell r="AQ108" t="str">
            <v/>
          </cell>
          <cell r="AV108" t="str">
            <v/>
          </cell>
          <cell r="AW108" t="str">
            <v/>
          </cell>
          <cell r="AX108" t="str">
            <v/>
          </cell>
          <cell r="AY108" t="str">
            <v/>
          </cell>
          <cell r="AZ108" t="str">
            <v/>
          </cell>
          <cell r="BA108">
            <v>11</v>
          </cell>
          <cell r="BB108" t="str">
            <v/>
          </cell>
          <cell r="BC108" t="str">
            <v/>
          </cell>
          <cell r="BD108" t="str">
            <v/>
          </cell>
          <cell r="BE108" t="str">
            <v/>
          </cell>
          <cell r="BF108" t="str">
            <v/>
          </cell>
          <cell r="BG108" t="str">
            <v/>
          </cell>
          <cell r="BH108" t="str">
            <v/>
          </cell>
          <cell r="BJ108" t="str">
            <v/>
          </cell>
          <cell r="BK108" t="str">
            <v/>
          </cell>
          <cell r="BL108" t="str">
            <v/>
          </cell>
          <cell r="BM108" t="str">
            <v/>
          </cell>
          <cell r="BN108">
            <v>17915002.483443707</v>
          </cell>
          <cell r="BO108" t="str">
            <v/>
          </cell>
          <cell r="BP108" t="str">
            <v/>
          </cell>
          <cell r="BQ108" t="str">
            <v/>
          </cell>
          <cell r="BR108" t="str">
            <v/>
          </cell>
          <cell r="BS108" t="str">
            <v/>
          </cell>
          <cell r="BT108" t="str">
            <v/>
          </cell>
          <cell r="BU108" t="str">
            <v/>
          </cell>
          <cell r="BV108" t="str">
            <v/>
          </cell>
          <cell r="BW108" t="str">
            <v/>
          </cell>
          <cell r="BX108" t="str">
            <v/>
          </cell>
          <cell r="BY108" t="str">
            <v/>
          </cell>
          <cell r="BZ108" t="str">
            <v/>
          </cell>
          <cell r="CA108" t="str">
            <v/>
          </cell>
          <cell r="CC108" t="str">
            <v/>
          </cell>
          <cell r="CD108" t="str">
            <v/>
          </cell>
          <cell r="CE108" t="str">
            <v/>
          </cell>
          <cell r="CF108" t="str">
            <v/>
          </cell>
        </row>
        <row r="109">
          <cell r="A109">
            <v>213</v>
          </cell>
          <cell r="B109" t="str">
            <v>0213_ホテルルートイン豊田元町</v>
          </cell>
          <cell r="C109" t="str">
            <v/>
          </cell>
          <cell r="D109" t="str">
            <v>技術役員</v>
          </cell>
          <cell r="E109" t="str">
            <v/>
          </cell>
          <cell r="F109" t="str">
            <v/>
          </cell>
          <cell r="G109" t="str">
            <v/>
          </cell>
          <cell r="H109">
            <v>0</v>
          </cell>
          <cell r="I109">
            <v>0</v>
          </cell>
          <cell r="J109" t="b">
            <v>0</v>
          </cell>
          <cell r="K109" t="str">
            <v/>
          </cell>
          <cell r="L109">
            <v>0</v>
          </cell>
          <cell r="M109">
            <v>0</v>
          </cell>
          <cell r="N109">
            <v>0</v>
          </cell>
          <cell r="O109">
            <v>0</v>
          </cell>
          <cell r="P109">
            <v>0</v>
          </cell>
          <cell r="Q109">
            <v>0</v>
          </cell>
          <cell r="R109">
            <v>0</v>
          </cell>
          <cell r="S109" t="b">
            <v>1</v>
          </cell>
          <cell r="T109" t="str">
            <v/>
          </cell>
          <cell r="U109">
            <v>0</v>
          </cell>
          <cell r="V109">
            <v>3323359</v>
          </cell>
          <cell r="W109">
            <v>3323359</v>
          </cell>
          <cell r="X109" t="b">
            <v>1</v>
          </cell>
          <cell r="Y109">
            <v>16452.272277227723</v>
          </cell>
          <cell r="AB109" t="str">
            <v/>
          </cell>
          <cell r="AE109">
            <v>201</v>
          </cell>
          <cell r="AF109">
            <v>202</v>
          </cell>
          <cell r="AG109" t="b">
            <v>1</v>
          </cell>
          <cell r="AH109">
            <v>201</v>
          </cell>
          <cell r="AI109" t="str">
            <v/>
          </cell>
          <cell r="AJ109">
            <v>118</v>
          </cell>
          <cell r="AK109" t="str">
            <v/>
          </cell>
          <cell r="AL109" t="str">
            <v/>
          </cell>
          <cell r="AM109" t="str">
            <v/>
          </cell>
          <cell r="AN109" t="str">
            <v/>
          </cell>
          <cell r="AQ109" t="str">
            <v/>
          </cell>
          <cell r="AV109" t="str">
            <v/>
          </cell>
          <cell r="AW109" t="str">
            <v/>
          </cell>
          <cell r="AX109" t="str">
            <v/>
          </cell>
          <cell r="AY109" t="str">
            <v/>
          </cell>
          <cell r="AZ109" t="str">
            <v/>
          </cell>
          <cell r="BA109">
            <v>11</v>
          </cell>
          <cell r="BB109" t="str">
            <v/>
          </cell>
          <cell r="BC109" t="str">
            <v/>
          </cell>
          <cell r="BD109" t="str">
            <v/>
          </cell>
          <cell r="BE109" t="str">
            <v/>
          </cell>
          <cell r="BF109" t="str">
            <v/>
          </cell>
          <cell r="BG109" t="str">
            <v/>
          </cell>
          <cell r="BH109" t="str">
            <v/>
          </cell>
          <cell r="BJ109" t="str">
            <v/>
          </cell>
          <cell r="BK109" t="str">
            <v/>
          </cell>
          <cell r="BL109" t="str">
            <v/>
          </cell>
          <cell r="BM109" t="str">
            <v/>
          </cell>
          <cell r="BN109">
            <v>21355049.415841583</v>
          </cell>
          <cell r="BO109" t="str">
            <v/>
          </cell>
          <cell r="BP109" t="str">
            <v/>
          </cell>
          <cell r="BQ109" t="str">
            <v/>
          </cell>
          <cell r="BR109" t="str">
            <v/>
          </cell>
          <cell r="BS109" t="str">
            <v/>
          </cell>
          <cell r="BT109" t="str">
            <v/>
          </cell>
          <cell r="BU109" t="str">
            <v/>
          </cell>
          <cell r="BV109" t="str">
            <v/>
          </cell>
          <cell r="BW109" t="str">
            <v/>
          </cell>
          <cell r="BX109" t="str">
            <v/>
          </cell>
          <cell r="BY109" t="str">
            <v/>
          </cell>
          <cell r="BZ109" t="str">
            <v/>
          </cell>
          <cell r="CA109" t="str">
            <v/>
          </cell>
          <cell r="CC109" t="str">
            <v/>
          </cell>
          <cell r="CD109" t="str">
            <v/>
          </cell>
          <cell r="CE109" t="str">
            <v/>
          </cell>
          <cell r="CF109" t="str">
            <v/>
          </cell>
        </row>
        <row r="110">
          <cell r="A110">
            <v>214</v>
          </cell>
          <cell r="B110" t="str">
            <v>0214_HOTEL LiVEMAX愛知豊田駅前</v>
          </cell>
          <cell r="C110" t="str">
            <v/>
          </cell>
          <cell r="D110" t="str">
            <v/>
          </cell>
          <cell r="E110" t="str">
            <v/>
          </cell>
          <cell r="F110" t="str">
            <v/>
          </cell>
          <cell r="G110" t="str">
            <v/>
          </cell>
          <cell r="H110">
            <v>0</v>
          </cell>
          <cell r="I110">
            <v>0</v>
          </cell>
          <cell r="J110" t="b">
            <v>0</v>
          </cell>
          <cell r="K110" t="str">
            <v/>
          </cell>
          <cell r="L110">
            <v>0</v>
          </cell>
          <cell r="M110">
            <v>0</v>
          </cell>
          <cell r="N110">
            <v>0</v>
          </cell>
          <cell r="O110">
            <v>0</v>
          </cell>
          <cell r="P110">
            <v>0</v>
          </cell>
          <cell r="Q110">
            <v>0</v>
          </cell>
          <cell r="R110">
            <v>0</v>
          </cell>
          <cell r="S110" t="b">
            <v>1</v>
          </cell>
          <cell r="T110" t="str">
            <v/>
          </cell>
          <cell r="U110">
            <v>0</v>
          </cell>
          <cell r="V110">
            <v>1760088</v>
          </cell>
          <cell r="W110">
            <v>1760088</v>
          </cell>
          <cell r="X110" t="b">
            <v>1</v>
          </cell>
          <cell r="Y110">
            <v>20001</v>
          </cell>
          <cell r="AB110" t="str">
            <v/>
          </cell>
          <cell r="AE110">
            <v>88</v>
          </cell>
          <cell r="AF110">
            <v>88</v>
          </cell>
          <cell r="AG110" t="b">
            <v>1</v>
          </cell>
          <cell r="AH110">
            <v>92</v>
          </cell>
          <cell r="AI110" t="str">
            <v/>
          </cell>
          <cell r="AJ110" t="str">
            <v/>
          </cell>
          <cell r="AK110" t="str">
            <v/>
          </cell>
          <cell r="AL110" t="str">
            <v/>
          </cell>
          <cell r="AM110" t="str">
            <v/>
          </cell>
          <cell r="AN110" t="str">
            <v/>
          </cell>
          <cell r="AQ110" t="str">
            <v/>
          </cell>
          <cell r="AV110" t="str">
            <v/>
          </cell>
          <cell r="AW110" t="str">
            <v/>
          </cell>
          <cell r="AX110" t="str">
            <v/>
          </cell>
          <cell r="AY110" t="str">
            <v/>
          </cell>
          <cell r="AZ110" t="str">
            <v/>
          </cell>
          <cell r="BA110" t="str">
            <v/>
          </cell>
          <cell r="BB110" t="str">
            <v/>
          </cell>
          <cell r="BC110" t="str">
            <v/>
          </cell>
          <cell r="BD110" t="str">
            <v/>
          </cell>
          <cell r="BE110" t="str">
            <v/>
          </cell>
          <cell r="BF110" t="str">
            <v/>
          </cell>
          <cell r="BG110" t="str">
            <v/>
          </cell>
          <cell r="BH110" t="str">
            <v/>
          </cell>
          <cell r="BJ110" t="str">
            <v/>
          </cell>
          <cell r="BK110" t="str">
            <v/>
          </cell>
          <cell r="BL110" t="str">
            <v/>
          </cell>
          <cell r="BM110" t="str">
            <v/>
          </cell>
          <cell r="BN110" t="str">
            <v/>
          </cell>
          <cell r="BO110" t="str">
            <v/>
          </cell>
          <cell r="BP110" t="str">
            <v/>
          </cell>
          <cell r="BQ110" t="str">
            <v/>
          </cell>
          <cell r="BR110" t="str">
            <v/>
          </cell>
          <cell r="BS110" t="str">
            <v/>
          </cell>
          <cell r="BT110" t="str">
            <v/>
          </cell>
          <cell r="BU110" t="str">
            <v/>
          </cell>
          <cell r="BV110" t="str">
            <v/>
          </cell>
          <cell r="BW110" t="str">
            <v/>
          </cell>
          <cell r="BX110" t="str">
            <v/>
          </cell>
          <cell r="BY110" t="str">
            <v/>
          </cell>
          <cell r="BZ110" t="str">
            <v/>
          </cell>
          <cell r="CA110" t="str">
            <v/>
          </cell>
          <cell r="CC110" t="str">
            <v/>
          </cell>
          <cell r="CD110" t="str">
            <v/>
          </cell>
          <cell r="CE110" t="str">
            <v/>
          </cell>
          <cell r="CF110" t="str">
            <v/>
          </cell>
        </row>
        <row r="111">
          <cell r="A111">
            <v>219</v>
          </cell>
          <cell r="B111" t="str">
            <v>0219_東横INN三河安城駅新幹線南口2</v>
          </cell>
          <cell r="C111" t="str">
            <v>選手（修正案）</v>
          </cell>
          <cell r="D111" t="str">
            <v>選手12000</v>
          </cell>
          <cell r="E111" t="str">
            <v/>
          </cell>
          <cell r="F111" t="str">
            <v/>
          </cell>
          <cell r="G111" t="str">
            <v/>
          </cell>
          <cell r="H111">
            <v>0</v>
          </cell>
          <cell r="I111">
            <v>0</v>
          </cell>
          <cell r="J111" t="b">
            <v>1</v>
          </cell>
          <cell r="K111" t="str">
            <v/>
          </cell>
          <cell r="L111">
            <v>0</v>
          </cell>
          <cell r="M111">
            <v>0</v>
          </cell>
          <cell r="N111">
            <v>0</v>
          </cell>
          <cell r="O111">
            <v>0</v>
          </cell>
          <cell r="P111">
            <v>0</v>
          </cell>
          <cell r="Q111">
            <v>0</v>
          </cell>
          <cell r="R111">
            <v>0</v>
          </cell>
          <cell r="S111" t="b">
            <v>1</v>
          </cell>
          <cell r="T111" t="str">
            <v/>
          </cell>
          <cell r="U111">
            <v>0</v>
          </cell>
          <cell r="V111">
            <v>2097343</v>
          </cell>
          <cell r="W111">
            <v>2097343</v>
          </cell>
          <cell r="X111" t="b">
            <v>1</v>
          </cell>
          <cell r="Y111">
            <v>8525.7845528455291</v>
          </cell>
          <cell r="Z111">
            <v>6824</v>
          </cell>
          <cell r="AA111">
            <v>10000</v>
          </cell>
          <cell r="AB111">
            <v>8482.681496461073</v>
          </cell>
          <cell r="AC111">
            <v>0</v>
          </cell>
          <cell r="AE111">
            <v>246</v>
          </cell>
          <cell r="AF111">
            <v>246</v>
          </cell>
          <cell r="AG111" t="b">
            <v>1</v>
          </cell>
          <cell r="AH111">
            <v>247</v>
          </cell>
          <cell r="AI111">
            <v>215</v>
          </cell>
          <cell r="AJ111" t="str">
            <v/>
          </cell>
          <cell r="AK111" t="str">
            <v/>
          </cell>
          <cell r="AL111" t="str">
            <v/>
          </cell>
          <cell r="AM111" t="str">
            <v/>
          </cell>
          <cell r="AN111">
            <v>-31</v>
          </cell>
          <cell r="AQ111" t="str">
            <v/>
          </cell>
          <cell r="AV111">
            <v>17</v>
          </cell>
          <cell r="AW111">
            <v>23</v>
          </cell>
          <cell r="AX111" t="str">
            <v/>
          </cell>
          <cell r="AY111" t="str">
            <v/>
          </cell>
          <cell r="AZ111" t="str">
            <v/>
          </cell>
          <cell r="BA111" t="str">
            <v/>
          </cell>
          <cell r="BB111" t="str">
            <v/>
          </cell>
          <cell r="BC111" t="str">
            <v/>
          </cell>
          <cell r="BD111" t="str">
            <v/>
          </cell>
          <cell r="BE111" t="str">
            <v/>
          </cell>
          <cell r="BF111" t="str">
            <v/>
          </cell>
          <cell r="BG111" t="str">
            <v/>
          </cell>
          <cell r="BH111">
            <v>35654831</v>
          </cell>
          <cell r="BI111">
            <v>48238889</v>
          </cell>
          <cell r="BJ111" t="str">
            <v/>
          </cell>
          <cell r="BK111" t="str">
            <v/>
          </cell>
          <cell r="BL111" t="str">
            <v/>
          </cell>
          <cell r="BM111" t="str">
            <v/>
          </cell>
          <cell r="BN111" t="str">
            <v/>
          </cell>
          <cell r="BO111" t="str">
            <v/>
          </cell>
          <cell r="BP111" t="str">
            <v/>
          </cell>
          <cell r="BQ111" t="str">
            <v/>
          </cell>
          <cell r="BR111" t="str">
            <v/>
          </cell>
          <cell r="BS111" t="str">
            <v/>
          </cell>
          <cell r="BT111" t="str">
            <v/>
          </cell>
          <cell r="BU111" t="str">
            <v/>
          </cell>
          <cell r="BV111" t="str">
            <v/>
          </cell>
          <cell r="BW111" t="str">
            <v/>
          </cell>
          <cell r="BX111" t="str">
            <v/>
          </cell>
          <cell r="BY111" t="str">
            <v/>
          </cell>
          <cell r="BZ111" t="str">
            <v/>
          </cell>
          <cell r="CA111" t="str">
            <v/>
          </cell>
          <cell r="CC111" t="str">
            <v/>
          </cell>
          <cell r="CD111" t="str">
            <v/>
          </cell>
          <cell r="CE111" t="str">
            <v/>
          </cell>
          <cell r="CF111" t="str">
            <v/>
          </cell>
        </row>
        <row r="112">
          <cell r="A112">
            <v>220</v>
          </cell>
          <cell r="B112" t="str">
            <v>0220_東横INN三河安城駅新幹線南口1</v>
          </cell>
          <cell r="C112" t="str">
            <v>選手（修正案）</v>
          </cell>
          <cell r="D112" t="str">
            <v>選手12000</v>
          </cell>
          <cell r="E112" t="str">
            <v/>
          </cell>
          <cell r="F112" t="str">
            <v/>
          </cell>
          <cell r="G112" t="str">
            <v/>
          </cell>
          <cell r="H112">
            <v>0</v>
          </cell>
          <cell r="I112">
            <v>0</v>
          </cell>
          <cell r="J112" t="b">
            <v>1</v>
          </cell>
          <cell r="K112" t="str">
            <v/>
          </cell>
          <cell r="L112">
            <v>0</v>
          </cell>
          <cell r="M112">
            <v>0</v>
          </cell>
          <cell r="N112">
            <v>0</v>
          </cell>
          <cell r="O112">
            <v>0</v>
          </cell>
          <cell r="P112">
            <v>0</v>
          </cell>
          <cell r="Q112">
            <v>0</v>
          </cell>
          <cell r="R112">
            <v>0</v>
          </cell>
          <cell r="S112" t="b">
            <v>1</v>
          </cell>
          <cell r="T112" t="str">
            <v/>
          </cell>
          <cell r="U112">
            <v>-322775</v>
          </cell>
          <cell r="V112">
            <v>853403</v>
          </cell>
          <cell r="W112">
            <v>1176178</v>
          </cell>
          <cell r="X112" t="b">
            <v>1</v>
          </cell>
          <cell r="Y112">
            <v>8225.0209790209792</v>
          </cell>
          <cell r="Z112">
            <v>6824</v>
          </cell>
          <cell r="AA112">
            <v>9883</v>
          </cell>
          <cell r="AB112">
            <v>11364.038647342997</v>
          </cell>
          <cell r="AC112">
            <v>0</v>
          </cell>
          <cell r="AE112">
            <v>143</v>
          </cell>
          <cell r="AF112">
            <v>143</v>
          </cell>
          <cell r="AG112" t="b">
            <v>1</v>
          </cell>
          <cell r="AH112">
            <v>144</v>
          </cell>
          <cell r="AI112">
            <v>90</v>
          </cell>
          <cell r="AJ112" t="str">
            <v/>
          </cell>
          <cell r="AK112" t="str">
            <v/>
          </cell>
          <cell r="AL112" t="str">
            <v/>
          </cell>
          <cell r="AM112" t="str">
            <v/>
          </cell>
          <cell r="AN112">
            <v>-53</v>
          </cell>
          <cell r="AQ112" t="str">
            <v/>
          </cell>
          <cell r="AV112">
            <v>17</v>
          </cell>
          <cell r="AW112">
            <v>23</v>
          </cell>
          <cell r="AX112" t="str">
            <v/>
          </cell>
          <cell r="AY112" t="str">
            <v/>
          </cell>
          <cell r="AZ112" t="str">
            <v/>
          </cell>
          <cell r="BA112" t="str">
            <v/>
          </cell>
          <cell r="BB112" t="str">
            <v/>
          </cell>
          <cell r="BC112" t="str">
            <v/>
          </cell>
          <cell r="BD112" t="str">
            <v/>
          </cell>
          <cell r="BE112" t="str">
            <v/>
          </cell>
          <cell r="BF112" t="str">
            <v/>
          </cell>
          <cell r="BG112" t="str">
            <v/>
          </cell>
          <cell r="BH112">
            <v>19995026</v>
          </cell>
          <cell r="BI112">
            <v>27052094</v>
          </cell>
          <cell r="BJ112" t="str">
            <v/>
          </cell>
          <cell r="BK112" t="str">
            <v/>
          </cell>
          <cell r="BL112" t="str">
            <v/>
          </cell>
          <cell r="BM112" t="str">
            <v/>
          </cell>
          <cell r="BN112" t="str">
            <v/>
          </cell>
          <cell r="BO112" t="str">
            <v/>
          </cell>
          <cell r="BP112" t="str">
            <v/>
          </cell>
          <cell r="BQ112" t="str">
            <v/>
          </cell>
          <cell r="BR112" t="str">
            <v/>
          </cell>
          <cell r="BS112" t="str">
            <v/>
          </cell>
          <cell r="BT112" t="str">
            <v/>
          </cell>
          <cell r="BU112" t="str">
            <v/>
          </cell>
          <cell r="BV112" t="str">
            <v/>
          </cell>
          <cell r="BW112" t="str">
            <v/>
          </cell>
          <cell r="BX112" t="str">
            <v/>
          </cell>
          <cell r="BY112" t="str">
            <v/>
          </cell>
          <cell r="BZ112" t="str">
            <v/>
          </cell>
          <cell r="CA112" t="str">
            <v/>
          </cell>
          <cell r="CC112" t="str">
            <v/>
          </cell>
          <cell r="CD112" t="str">
            <v/>
          </cell>
          <cell r="CE112" t="str">
            <v/>
          </cell>
          <cell r="CF112" t="str">
            <v/>
          </cell>
        </row>
        <row r="113">
          <cell r="A113">
            <v>221</v>
          </cell>
          <cell r="B113" t="str">
            <v>0221_ホテルグランドティアラ南名古屋</v>
          </cell>
          <cell r="C113" t="str">
            <v>選手（修正案）</v>
          </cell>
          <cell r="D113" t="str">
            <v>選手12000</v>
          </cell>
          <cell r="E113" t="str">
            <v/>
          </cell>
          <cell r="F113" t="str">
            <v>選手</v>
          </cell>
          <cell r="G113" t="str">
            <v/>
          </cell>
          <cell r="H113">
            <v>7</v>
          </cell>
          <cell r="I113">
            <v>7</v>
          </cell>
          <cell r="J113" t="b">
            <v>1</v>
          </cell>
          <cell r="K113">
            <v>0</v>
          </cell>
          <cell r="L113">
            <v>3234224</v>
          </cell>
          <cell r="M113">
            <v>0</v>
          </cell>
          <cell r="N113">
            <v>0</v>
          </cell>
          <cell r="O113">
            <v>0</v>
          </cell>
          <cell r="P113">
            <v>0</v>
          </cell>
          <cell r="Q113">
            <v>3557646.4000000004</v>
          </cell>
          <cell r="R113">
            <v>3550588</v>
          </cell>
          <cell r="S113" t="b">
            <v>1</v>
          </cell>
          <cell r="T113">
            <v>507226.85714285716</v>
          </cell>
          <cell r="U113">
            <v>-1708212</v>
          </cell>
          <cell r="V113">
            <v>4071898</v>
          </cell>
          <cell r="W113">
            <v>5780110</v>
          </cell>
          <cell r="X113" t="b">
            <v>1</v>
          </cell>
          <cell r="Y113">
            <v>53519.537037037036</v>
          </cell>
          <cell r="Z113">
            <v>17342</v>
          </cell>
          <cell r="AA113">
            <v>82566</v>
          </cell>
          <cell r="AB113">
            <v>35901.304347826088</v>
          </cell>
          <cell r="AC113">
            <v>2300</v>
          </cell>
          <cell r="AE113">
            <v>108</v>
          </cell>
          <cell r="AF113">
            <v>108</v>
          </cell>
          <cell r="AG113" t="b">
            <v>1</v>
          </cell>
          <cell r="AH113">
            <v>91</v>
          </cell>
          <cell r="AI113">
            <v>140</v>
          </cell>
          <cell r="AJ113" t="str">
            <v/>
          </cell>
          <cell r="AK113" t="str">
            <v/>
          </cell>
          <cell r="AL113">
            <v>108</v>
          </cell>
          <cell r="AM113" t="str">
            <v/>
          </cell>
          <cell r="AN113">
            <v>32</v>
          </cell>
          <cell r="AQ113">
            <v>0</v>
          </cell>
          <cell r="AV113">
            <v>17</v>
          </cell>
          <cell r="AW113">
            <v>23</v>
          </cell>
          <cell r="AX113" t="str">
            <v/>
          </cell>
          <cell r="AY113" t="str">
            <v/>
          </cell>
          <cell r="AZ113" t="str">
            <v/>
          </cell>
          <cell r="BA113" t="str">
            <v/>
          </cell>
          <cell r="BB113" t="str">
            <v/>
          </cell>
          <cell r="BC113">
            <v>18</v>
          </cell>
          <cell r="BD113" t="str">
            <v/>
          </cell>
          <cell r="BE113" t="str">
            <v/>
          </cell>
          <cell r="BF113" t="str">
            <v/>
          </cell>
          <cell r="BG113" t="str">
            <v/>
          </cell>
          <cell r="BH113">
            <v>98261870</v>
          </cell>
          <cell r="BI113">
            <v>132942530</v>
          </cell>
          <cell r="BJ113" t="str">
            <v/>
          </cell>
          <cell r="BK113" t="str">
            <v/>
          </cell>
          <cell r="BL113" t="str">
            <v/>
          </cell>
          <cell r="BM113" t="str">
            <v/>
          </cell>
          <cell r="BN113" t="str">
            <v/>
          </cell>
          <cell r="BO113" t="str">
            <v/>
          </cell>
          <cell r="BP113">
            <v>104041980</v>
          </cell>
          <cell r="BQ113">
            <v>104041980</v>
          </cell>
          <cell r="BR113" t="str">
            <v/>
          </cell>
          <cell r="BS113" t="str">
            <v/>
          </cell>
          <cell r="BT113" t="str">
            <v/>
          </cell>
          <cell r="BU113" t="str">
            <v/>
          </cell>
          <cell r="BV113" t="str">
            <v/>
          </cell>
          <cell r="BW113" t="str">
            <v/>
          </cell>
          <cell r="BX113">
            <v>60359996</v>
          </cell>
          <cell r="BY113">
            <v>81663524</v>
          </cell>
          <cell r="BZ113" t="str">
            <v/>
          </cell>
          <cell r="CA113" t="str">
            <v/>
          </cell>
          <cell r="CC113">
            <v>63910584</v>
          </cell>
          <cell r="CD113">
            <v>63910584</v>
          </cell>
          <cell r="CE113" t="str">
            <v/>
          </cell>
          <cell r="CF113" t="str">
            <v/>
          </cell>
        </row>
        <row r="114">
          <cell r="A114">
            <v>222</v>
          </cell>
          <cell r="B114" t="str">
            <v>0222_HOTEL LiVEMAX三河安城駅前</v>
          </cell>
          <cell r="C114" t="str">
            <v>選手（修正案）</v>
          </cell>
          <cell r="D114" t="str">
            <v>選手12000</v>
          </cell>
          <cell r="E114" t="str">
            <v/>
          </cell>
          <cell r="F114" t="str">
            <v/>
          </cell>
          <cell r="G114" t="str">
            <v/>
          </cell>
          <cell r="H114">
            <v>0</v>
          </cell>
          <cell r="I114">
            <v>0</v>
          </cell>
          <cell r="J114" t="b">
            <v>0</v>
          </cell>
          <cell r="K114" t="str">
            <v/>
          </cell>
          <cell r="L114">
            <v>0</v>
          </cell>
          <cell r="M114">
            <v>0</v>
          </cell>
          <cell r="N114">
            <v>0</v>
          </cell>
          <cell r="O114">
            <v>0</v>
          </cell>
          <cell r="P114">
            <v>0</v>
          </cell>
          <cell r="Q114">
            <v>0</v>
          </cell>
          <cell r="R114">
            <v>0</v>
          </cell>
          <cell r="S114" t="b">
            <v>1</v>
          </cell>
          <cell r="T114" t="str">
            <v/>
          </cell>
          <cell r="U114">
            <v>0</v>
          </cell>
          <cell r="V114">
            <v>1501244</v>
          </cell>
          <cell r="W114">
            <v>1501244</v>
          </cell>
          <cell r="X114" t="b">
            <v>1</v>
          </cell>
          <cell r="Y114">
            <v>20850.611111111109</v>
          </cell>
          <cell r="Z114">
            <v>17648</v>
          </cell>
          <cell r="AA114">
            <v>29412</v>
          </cell>
          <cell r="AB114">
            <v>21055.315568022441</v>
          </cell>
          <cell r="AE114">
            <v>72</v>
          </cell>
          <cell r="AF114">
            <v>72</v>
          </cell>
          <cell r="AG114" t="b">
            <v>1</v>
          </cell>
          <cell r="AH114">
            <v>72</v>
          </cell>
          <cell r="AI114">
            <v>62</v>
          </cell>
          <cell r="AJ114" t="str">
            <v/>
          </cell>
          <cell r="AK114" t="str">
            <v/>
          </cell>
          <cell r="AL114" t="str">
            <v/>
          </cell>
          <cell r="AM114" t="str">
            <v/>
          </cell>
          <cell r="AN114">
            <v>-10</v>
          </cell>
          <cell r="AQ114" t="str">
            <v/>
          </cell>
          <cell r="AV114">
            <v>17</v>
          </cell>
          <cell r="AW114">
            <v>23</v>
          </cell>
          <cell r="AX114" t="str">
            <v/>
          </cell>
          <cell r="AY114" t="str">
            <v/>
          </cell>
          <cell r="AZ114" t="str">
            <v/>
          </cell>
          <cell r="BA114" t="str">
            <v/>
          </cell>
          <cell r="BB114" t="str">
            <v/>
          </cell>
          <cell r="BC114" t="str">
            <v/>
          </cell>
          <cell r="BD114" t="str">
            <v/>
          </cell>
          <cell r="BE114" t="str">
            <v/>
          </cell>
          <cell r="BF114" t="str">
            <v/>
          </cell>
          <cell r="BG114" t="str">
            <v/>
          </cell>
          <cell r="BH114">
            <v>25521148</v>
          </cell>
          <cell r="BJ114" t="str">
            <v/>
          </cell>
          <cell r="BK114" t="str">
            <v/>
          </cell>
          <cell r="BL114" t="str">
            <v/>
          </cell>
          <cell r="BM114" t="str">
            <v/>
          </cell>
          <cell r="BN114" t="str">
            <v/>
          </cell>
          <cell r="BO114" t="str">
            <v/>
          </cell>
          <cell r="BP114" t="str">
            <v/>
          </cell>
          <cell r="BQ114" t="str">
            <v/>
          </cell>
          <cell r="BR114" t="str">
            <v/>
          </cell>
          <cell r="BS114" t="str">
            <v/>
          </cell>
          <cell r="BT114" t="str">
            <v/>
          </cell>
          <cell r="BU114" t="str">
            <v/>
          </cell>
          <cell r="BV114" t="str">
            <v/>
          </cell>
          <cell r="BW114" t="str">
            <v/>
          </cell>
          <cell r="BX114" t="str">
            <v/>
          </cell>
          <cell r="BY114" t="str">
            <v/>
          </cell>
          <cell r="BZ114" t="str">
            <v/>
          </cell>
          <cell r="CA114" t="str">
            <v/>
          </cell>
          <cell r="CC114" t="str">
            <v/>
          </cell>
          <cell r="CD114" t="str">
            <v/>
          </cell>
          <cell r="CE114" t="str">
            <v/>
          </cell>
          <cell r="CF114" t="str">
            <v/>
          </cell>
        </row>
        <row r="115">
          <cell r="A115">
            <v>223</v>
          </cell>
          <cell r="B115" t="str">
            <v>0223_天然温泉三州の湯ドーミーインEXPRESS三河安城</v>
          </cell>
          <cell r="C115" t="str">
            <v/>
          </cell>
          <cell r="D115" t="str">
            <v/>
          </cell>
          <cell r="E115" t="str">
            <v/>
          </cell>
          <cell r="F115" t="str">
            <v/>
          </cell>
          <cell r="G115" t="str">
            <v/>
          </cell>
          <cell r="H115">
            <v>1</v>
          </cell>
          <cell r="I115">
            <v>1</v>
          </cell>
          <cell r="J115" t="b">
            <v>1</v>
          </cell>
          <cell r="K115" t="str">
            <v/>
          </cell>
          <cell r="L115">
            <v>30000</v>
          </cell>
          <cell r="M115">
            <v>0</v>
          </cell>
          <cell r="N115">
            <v>0</v>
          </cell>
          <cell r="O115">
            <v>0</v>
          </cell>
          <cell r="P115">
            <v>0</v>
          </cell>
          <cell r="Q115">
            <v>33000</v>
          </cell>
          <cell r="R115">
            <v>165000</v>
          </cell>
          <cell r="S115" t="b">
            <v>1</v>
          </cell>
          <cell r="T115">
            <v>165000</v>
          </cell>
          <cell r="U115">
            <v>0</v>
          </cell>
          <cell r="V115">
            <v>5703225</v>
          </cell>
          <cell r="W115">
            <v>5703225</v>
          </cell>
          <cell r="X115" t="b">
            <v>1</v>
          </cell>
          <cell r="Y115">
            <v>44556.4453125</v>
          </cell>
          <cell r="AB115" t="str">
            <v/>
          </cell>
          <cell r="AC115">
            <v>1800</v>
          </cell>
          <cell r="AE115">
            <v>128</v>
          </cell>
          <cell r="AF115">
            <v>128</v>
          </cell>
          <cell r="AG115" t="b">
            <v>1</v>
          </cell>
          <cell r="AH115">
            <v>142</v>
          </cell>
          <cell r="AI115" t="str">
            <v/>
          </cell>
          <cell r="AJ115" t="str">
            <v/>
          </cell>
          <cell r="AK115" t="str">
            <v/>
          </cell>
          <cell r="AL115" t="str">
            <v/>
          </cell>
          <cell r="AM115" t="str">
            <v/>
          </cell>
          <cell r="AN115" t="str">
            <v/>
          </cell>
          <cell r="AQ115" t="str">
            <v/>
          </cell>
          <cell r="AV115" t="str">
            <v/>
          </cell>
          <cell r="AW115" t="str">
            <v/>
          </cell>
          <cell r="AX115" t="str">
            <v/>
          </cell>
          <cell r="AY115" t="str">
            <v/>
          </cell>
          <cell r="AZ115" t="str">
            <v/>
          </cell>
          <cell r="BA115" t="str">
            <v/>
          </cell>
          <cell r="BB115" t="str">
            <v/>
          </cell>
          <cell r="BC115" t="str">
            <v/>
          </cell>
          <cell r="BD115" t="str">
            <v/>
          </cell>
          <cell r="BE115" t="str">
            <v/>
          </cell>
          <cell r="BF115" t="str">
            <v/>
          </cell>
          <cell r="BG115" t="str">
            <v/>
          </cell>
          <cell r="BH115" t="str">
            <v/>
          </cell>
          <cell r="BI115" t="str">
            <v/>
          </cell>
          <cell r="BJ115" t="str">
            <v/>
          </cell>
          <cell r="BK115" t="str">
            <v/>
          </cell>
          <cell r="BL115" t="str">
            <v/>
          </cell>
          <cell r="BM115" t="str">
            <v/>
          </cell>
          <cell r="BN115" t="str">
            <v/>
          </cell>
          <cell r="BO115" t="str">
            <v/>
          </cell>
          <cell r="BP115" t="str">
            <v/>
          </cell>
          <cell r="BQ115" t="str">
            <v/>
          </cell>
          <cell r="BR115" t="str">
            <v/>
          </cell>
          <cell r="BS115" t="str">
            <v/>
          </cell>
          <cell r="BT115" t="str">
            <v/>
          </cell>
          <cell r="BU115" t="str">
            <v/>
          </cell>
          <cell r="BV115" t="str">
            <v/>
          </cell>
          <cell r="BW115" t="str">
            <v/>
          </cell>
          <cell r="BX115" t="str">
            <v/>
          </cell>
          <cell r="BY115" t="str">
            <v/>
          </cell>
          <cell r="BZ115" t="str">
            <v/>
          </cell>
          <cell r="CA115" t="str">
            <v/>
          </cell>
          <cell r="CC115" t="str">
            <v/>
          </cell>
          <cell r="CD115" t="str">
            <v/>
          </cell>
          <cell r="CE115" t="str">
            <v/>
          </cell>
          <cell r="CF115" t="str">
            <v/>
          </cell>
        </row>
        <row r="116">
          <cell r="A116">
            <v>227</v>
          </cell>
          <cell r="B116" t="str">
            <v>0227_ホテルクラウンパレス知立</v>
          </cell>
          <cell r="C116" t="str">
            <v/>
          </cell>
          <cell r="D116" t="str">
            <v/>
          </cell>
          <cell r="E116" t="str">
            <v/>
          </cell>
          <cell r="F116" t="str">
            <v>技術役員</v>
          </cell>
          <cell r="G116" t="str">
            <v/>
          </cell>
          <cell r="H116">
            <v>9</v>
          </cell>
          <cell r="I116">
            <v>4</v>
          </cell>
          <cell r="J116" t="b">
            <v>1</v>
          </cell>
          <cell r="K116" t="str">
            <v/>
          </cell>
          <cell r="L116">
            <v>5152943</v>
          </cell>
          <cell r="M116">
            <v>0</v>
          </cell>
          <cell r="N116">
            <v>0</v>
          </cell>
          <cell r="O116">
            <v>0</v>
          </cell>
          <cell r="P116">
            <v>0</v>
          </cell>
          <cell r="Q116">
            <v>5668237.3000000007</v>
          </cell>
          <cell r="R116">
            <v>4115295</v>
          </cell>
          <cell r="S116" t="b">
            <v>1</v>
          </cell>
          <cell r="T116">
            <v>1028823.75</v>
          </cell>
          <cell r="U116">
            <v>0</v>
          </cell>
          <cell r="V116">
            <v>1400275</v>
          </cell>
          <cell r="W116">
            <v>1400275</v>
          </cell>
          <cell r="X116" t="b">
            <v>1</v>
          </cell>
          <cell r="Y116">
            <v>17503.4375</v>
          </cell>
          <cell r="AB116" t="str">
            <v/>
          </cell>
          <cell r="AE116">
            <v>105</v>
          </cell>
          <cell r="AF116">
            <v>80</v>
          </cell>
          <cell r="AG116" t="b">
            <v>1</v>
          </cell>
          <cell r="AH116">
            <v>126</v>
          </cell>
          <cell r="AI116" t="str">
            <v/>
          </cell>
          <cell r="AJ116" t="str">
            <v/>
          </cell>
          <cell r="AK116" t="str">
            <v/>
          </cell>
          <cell r="AL116">
            <v>71</v>
          </cell>
          <cell r="AM116" t="str">
            <v/>
          </cell>
          <cell r="AN116" t="str">
            <v/>
          </cell>
          <cell r="AQ116">
            <v>-9</v>
          </cell>
          <cell r="AV116" t="str">
            <v/>
          </cell>
          <cell r="AW116" t="str">
            <v/>
          </cell>
          <cell r="AX116" t="str">
            <v/>
          </cell>
          <cell r="AY116" t="str">
            <v/>
          </cell>
          <cell r="AZ116" t="str">
            <v/>
          </cell>
          <cell r="BA116" t="str">
            <v/>
          </cell>
          <cell r="BB116" t="str">
            <v/>
          </cell>
          <cell r="BC116" t="str">
            <v/>
          </cell>
          <cell r="BD116" t="str">
            <v/>
          </cell>
          <cell r="BE116" t="str">
            <v/>
          </cell>
          <cell r="BF116">
            <v>10</v>
          </cell>
          <cell r="BG116" t="str">
            <v/>
          </cell>
          <cell r="BH116" t="str">
            <v/>
          </cell>
          <cell r="BJ116" t="str">
            <v/>
          </cell>
          <cell r="BK116" t="str">
            <v/>
          </cell>
          <cell r="BL116" t="str">
            <v/>
          </cell>
          <cell r="BM116" t="str">
            <v/>
          </cell>
          <cell r="BN116" t="str">
            <v/>
          </cell>
          <cell r="BO116" t="str">
            <v/>
          </cell>
          <cell r="BP116" t="str">
            <v/>
          </cell>
          <cell r="BQ116" t="str">
            <v/>
          </cell>
          <cell r="BR116" t="str">
            <v/>
          </cell>
          <cell r="BS116" t="str">
            <v/>
          </cell>
          <cell r="BT116" t="str">
            <v/>
          </cell>
          <cell r="BU116" t="str">
            <v/>
          </cell>
          <cell r="BV116">
            <v>12427440.625</v>
          </cell>
          <cell r="BW116" t="str">
            <v/>
          </cell>
          <cell r="BX116" t="str">
            <v/>
          </cell>
          <cell r="BY116" t="str">
            <v/>
          </cell>
          <cell r="BZ116" t="str">
            <v/>
          </cell>
          <cell r="CA116" t="str">
            <v/>
          </cell>
          <cell r="CC116" t="str">
            <v/>
          </cell>
          <cell r="CD116" t="str">
            <v/>
          </cell>
          <cell r="CE116" t="str">
            <v/>
          </cell>
          <cell r="CF116" t="str">
            <v/>
          </cell>
        </row>
        <row r="117">
          <cell r="A117">
            <v>228</v>
          </cell>
          <cell r="B117" t="str">
            <v>0228_東横INN名鉄知立駅前</v>
          </cell>
          <cell r="C117" t="str">
            <v/>
          </cell>
          <cell r="D117" t="str">
            <v/>
          </cell>
          <cell r="E117" t="str">
            <v/>
          </cell>
          <cell r="F117" t="str">
            <v/>
          </cell>
          <cell r="G117" t="str">
            <v/>
          </cell>
          <cell r="H117">
            <v>0</v>
          </cell>
          <cell r="I117">
            <v>0</v>
          </cell>
          <cell r="J117" t="b">
            <v>0</v>
          </cell>
          <cell r="K117" t="str">
            <v/>
          </cell>
          <cell r="L117">
            <v>0</v>
          </cell>
          <cell r="M117">
            <v>0</v>
          </cell>
          <cell r="N117">
            <v>0</v>
          </cell>
          <cell r="O117">
            <v>0</v>
          </cell>
          <cell r="P117">
            <v>0</v>
          </cell>
          <cell r="Q117">
            <v>0</v>
          </cell>
          <cell r="R117">
            <v>0</v>
          </cell>
          <cell r="S117" t="b">
            <v>1</v>
          </cell>
          <cell r="T117" t="str">
            <v/>
          </cell>
          <cell r="U117">
            <v>0</v>
          </cell>
          <cell r="V117">
            <v>1413130</v>
          </cell>
          <cell r="W117">
            <v>1413130</v>
          </cell>
          <cell r="X117" t="b">
            <v>1</v>
          </cell>
          <cell r="Y117">
            <v>7597.4731182795695</v>
          </cell>
          <cell r="AB117" t="str">
            <v/>
          </cell>
          <cell r="AE117">
            <v>186</v>
          </cell>
          <cell r="AF117">
            <v>186</v>
          </cell>
          <cell r="AG117" t="b">
            <v>1</v>
          </cell>
          <cell r="AH117">
            <v>187</v>
          </cell>
          <cell r="AI117" t="str">
            <v/>
          </cell>
          <cell r="AJ117" t="str">
            <v/>
          </cell>
          <cell r="AK117" t="str">
            <v/>
          </cell>
          <cell r="AL117" t="str">
            <v/>
          </cell>
          <cell r="AM117" t="str">
            <v/>
          </cell>
          <cell r="AN117" t="str">
            <v/>
          </cell>
          <cell r="AQ117" t="str">
            <v/>
          </cell>
          <cell r="AV117" t="str">
            <v/>
          </cell>
          <cell r="AW117" t="str">
            <v/>
          </cell>
          <cell r="AX117" t="str">
            <v/>
          </cell>
          <cell r="AY117" t="str">
            <v/>
          </cell>
          <cell r="AZ117" t="str">
            <v/>
          </cell>
          <cell r="BA117" t="str">
            <v/>
          </cell>
          <cell r="BB117" t="str">
            <v/>
          </cell>
          <cell r="BC117" t="str">
            <v/>
          </cell>
          <cell r="BD117" t="str">
            <v/>
          </cell>
          <cell r="BE117" t="str">
            <v/>
          </cell>
          <cell r="BF117" t="str">
            <v/>
          </cell>
          <cell r="BG117" t="str">
            <v/>
          </cell>
          <cell r="BH117" t="str">
            <v/>
          </cell>
          <cell r="BJ117" t="str">
            <v/>
          </cell>
          <cell r="BK117" t="str">
            <v/>
          </cell>
          <cell r="BL117" t="str">
            <v/>
          </cell>
          <cell r="BM117" t="str">
            <v/>
          </cell>
          <cell r="BN117" t="str">
            <v/>
          </cell>
          <cell r="BO117" t="str">
            <v/>
          </cell>
          <cell r="BP117" t="str">
            <v/>
          </cell>
          <cell r="BQ117" t="str">
            <v/>
          </cell>
          <cell r="BR117" t="str">
            <v/>
          </cell>
          <cell r="BS117" t="str">
            <v/>
          </cell>
          <cell r="BT117" t="str">
            <v/>
          </cell>
          <cell r="BU117" t="str">
            <v/>
          </cell>
          <cell r="BV117" t="str">
            <v/>
          </cell>
          <cell r="BW117" t="str">
            <v/>
          </cell>
          <cell r="BX117" t="str">
            <v/>
          </cell>
          <cell r="BY117" t="str">
            <v/>
          </cell>
          <cell r="BZ117" t="str">
            <v/>
          </cell>
          <cell r="CA117" t="str">
            <v/>
          </cell>
          <cell r="CC117" t="str">
            <v/>
          </cell>
          <cell r="CD117" t="str">
            <v/>
          </cell>
          <cell r="CE117" t="str">
            <v/>
          </cell>
          <cell r="CF117" t="str">
            <v/>
          </cell>
        </row>
        <row r="118">
          <cell r="A118">
            <v>229</v>
          </cell>
          <cell r="B118" t="str">
            <v>0229_岡崎オーワホテル</v>
          </cell>
          <cell r="C118" t="str">
            <v/>
          </cell>
          <cell r="D118" t="str">
            <v>選手12000</v>
          </cell>
          <cell r="E118" t="str">
            <v/>
          </cell>
          <cell r="F118" t="str">
            <v/>
          </cell>
          <cell r="G118" t="str">
            <v/>
          </cell>
          <cell r="H118">
            <v>2</v>
          </cell>
          <cell r="I118">
            <v>1</v>
          </cell>
          <cell r="J118" t="b">
            <v>1</v>
          </cell>
          <cell r="K118" t="str">
            <v/>
          </cell>
          <cell r="L118">
            <v>258824</v>
          </cell>
          <cell r="M118">
            <v>0</v>
          </cell>
          <cell r="N118">
            <v>0</v>
          </cell>
          <cell r="O118">
            <v>0</v>
          </cell>
          <cell r="P118">
            <v>0</v>
          </cell>
          <cell r="Q118">
            <v>284706.40000000002</v>
          </cell>
          <cell r="R118">
            <v>155294</v>
          </cell>
          <cell r="S118" t="b">
            <v>1</v>
          </cell>
          <cell r="T118">
            <v>155294</v>
          </cell>
          <cell r="U118">
            <v>0</v>
          </cell>
          <cell r="V118">
            <v>1123852</v>
          </cell>
          <cell r="W118">
            <v>1123852</v>
          </cell>
          <cell r="X118" t="b">
            <v>1</v>
          </cell>
          <cell r="Y118">
            <v>10503.289719626167</v>
          </cell>
          <cell r="AB118" t="str">
            <v/>
          </cell>
          <cell r="AC118">
            <v>0</v>
          </cell>
          <cell r="AE118">
            <v>107</v>
          </cell>
          <cell r="AF118">
            <v>107</v>
          </cell>
          <cell r="AG118" t="b">
            <v>1</v>
          </cell>
          <cell r="AH118">
            <v>119</v>
          </cell>
          <cell r="AI118" t="str">
            <v/>
          </cell>
          <cell r="AJ118" t="str">
            <v/>
          </cell>
          <cell r="AK118" t="str">
            <v/>
          </cell>
          <cell r="AL118" t="str">
            <v/>
          </cell>
          <cell r="AM118" t="str">
            <v/>
          </cell>
          <cell r="AN118" t="str">
            <v/>
          </cell>
          <cell r="AQ118" t="str">
            <v/>
          </cell>
          <cell r="AV118" t="str">
            <v/>
          </cell>
          <cell r="AW118">
            <v>22</v>
          </cell>
          <cell r="AX118" t="str">
            <v/>
          </cell>
          <cell r="AY118" t="str">
            <v/>
          </cell>
          <cell r="AZ118" t="str">
            <v/>
          </cell>
          <cell r="BA118" t="str">
            <v/>
          </cell>
          <cell r="BB118" t="str">
            <v/>
          </cell>
          <cell r="BC118" t="str">
            <v/>
          </cell>
          <cell r="BD118" t="str">
            <v/>
          </cell>
          <cell r="BE118" t="str">
            <v/>
          </cell>
          <cell r="BF118" t="str">
            <v/>
          </cell>
          <cell r="BG118" t="str">
            <v/>
          </cell>
          <cell r="BH118" t="str">
            <v/>
          </cell>
          <cell r="BI118">
            <v>24724744</v>
          </cell>
          <cell r="BJ118" t="str">
            <v/>
          </cell>
          <cell r="BK118" t="str">
            <v/>
          </cell>
          <cell r="BL118" t="str">
            <v/>
          </cell>
          <cell r="BM118" t="str">
            <v/>
          </cell>
          <cell r="BN118" t="str">
            <v/>
          </cell>
          <cell r="BO118" t="str">
            <v/>
          </cell>
          <cell r="BP118" t="str">
            <v/>
          </cell>
          <cell r="BQ118" t="str">
            <v/>
          </cell>
          <cell r="BR118" t="str">
            <v/>
          </cell>
          <cell r="BS118" t="str">
            <v/>
          </cell>
          <cell r="BT118" t="str">
            <v/>
          </cell>
          <cell r="BU118" t="str">
            <v/>
          </cell>
          <cell r="BV118" t="str">
            <v/>
          </cell>
          <cell r="BW118" t="str">
            <v/>
          </cell>
          <cell r="BX118" t="str">
            <v/>
          </cell>
          <cell r="BY118">
            <v>3416468</v>
          </cell>
          <cell r="BZ118" t="str">
            <v/>
          </cell>
          <cell r="CA118" t="str">
            <v/>
          </cell>
          <cell r="CC118" t="str">
            <v/>
          </cell>
          <cell r="CD118" t="str">
            <v/>
          </cell>
          <cell r="CE118" t="str">
            <v/>
          </cell>
          <cell r="CF118" t="str">
            <v/>
          </cell>
        </row>
        <row r="119">
          <cell r="A119">
            <v>231</v>
          </cell>
          <cell r="B119" t="str">
            <v>0231_グランドイン東岡崎</v>
          </cell>
          <cell r="C119" t="str">
            <v/>
          </cell>
          <cell r="D119" t="str">
            <v>技術役員</v>
          </cell>
          <cell r="E119" t="str">
            <v/>
          </cell>
          <cell r="F119" t="str">
            <v/>
          </cell>
          <cell r="G119" t="str">
            <v/>
          </cell>
          <cell r="H119">
            <v>1</v>
          </cell>
          <cell r="I119">
            <v>1</v>
          </cell>
          <cell r="J119" t="b">
            <v>0</v>
          </cell>
          <cell r="K119" t="str">
            <v/>
          </cell>
          <cell r="L119">
            <v>38824</v>
          </cell>
          <cell r="M119">
            <v>0</v>
          </cell>
          <cell r="N119">
            <v>0</v>
          </cell>
          <cell r="O119">
            <v>0</v>
          </cell>
          <cell r="P119">
            <v>0</v>
          </cell>
          <cell r="Q119">
            <v>42706.400000000001</v>
          </cell>
          <cell r="R119">
            <v>42706</v>
          </cell>
          <cell r="S119" t="b">
            <v>0</v>
          </cell>
          <cell r="T119">
            <v>42706</v>
          </cell>
          <cell r="U119">
            <v>-102883</v>
          </cell>
          <cell r="V119">
            <v>874579</v>
          </cell>
          <cell r="W119">
            <v>977462</v>
          </cell>
          <cell r="X119" t="b">
            <v>1</v>
          </cell>
          <cell r="Y119">
            <v>14588.985074626866</v>
          </cell>
          <cell r="AB119" t="str">
            <v/>
          </cell>
          <cell r="AE119">
            <v>102</v>
          </cell>
          <cell r="AF119">
            <v>67</v>
          </cell>
          <cell r="AG119" t="b">
            <v>1</v>
          </cell>
          <cell r="AH119">
            <v>125</v>
          </cell>
          <cell r="AI119" t="str">
            <v/>
          </cell>
          <cell r="AJ119">
            <v>67</v>
          </cell>
          <cell r="AK119" t="str">
            <v/>
          </cell>
          <cell r="AL119" t="str">
            <v/>
          </cell>
          <cell r="AM119" t="str">
            <v/>
          </cell>
          <cell r="AN119" t="str">
            <v/>
          </cell>
          <cell r="AQ119" t="str">
            <v/>
          </cell>
          <cell r="AV119" t="str">
            <v/>
          </cell>
          <cell r="AW119" t="str">
            <v/>
          </cell>
          <cell r="AX119" t="str">
            <v/>
          </cell>
          <cell r="AY119" t="str">
            <v/>
          </cell>
          <cell r="AZ119" t="str">
            <v/>
          </cell>
          <cell r="BA119">
            <v>11</v>
          </cell>
          <cell r="BB119" t="str">
            <v/>
          </cell>
          <cell r="BC119" t="str">
            <v/>
          </cell>
          <cell r="BD119" t="str">
            <v/>
          </cell>
          <cell r="BE119" t="str">
            <v/>
          </cell>
          <cell r="BF119" t="str">
            <v/>
          </cell>
          <cell r="BG119" t="str">
            <v/>
          </cell>
          <cell r="BH119" t="str">
            <v/>
          </cell>
          <cell r="BJ119" t="str">
            <v/>
          </cell>
          <cell r="BK119" t="str">
            <v/>
          </cell>
          <cell r="BL119" t="str">
            <v/>
          </cell>
          <cell r="BM119" t="str">
            <v/>
          </cell>
          <cell r="BN119">
            <v>10752082</v>
          </cell>
          <cell r="BO119" t="str">
            <v/>
          </cell>
          <cell r="BP119" t="str">
            <v/>
          </cell>
          <cell r="BQ119" t="str">
            <v/>
          </cell>
          <cell r="BR119" t="str">
            <v/>
          </cell>
          <cell r="BS119" t="str">
            <v/>
          </cell>
          <cell r="BT119" t="str">
            <v/>
          </cell>
          <cell r="BU119" t="str">
            <v/>
          </cell>
          <cell r="BV119" t="str">
            <v/>
          </cell>
          <cell r="BW119" t="str">
            <v/>
          </cell>
          <cell r="BX119" t="str">
            <v/>
          </cell>
          <cell r="BY119" t="str">
            <v/>
          </cell>
          <cell r="BZ119" t="str">
            <v/>
          </cell>
          <cell r="CA119" t="str">
            <v/>
          </cell>
          <cell r="CC119" t="str">
            <v/>
          </cell>
          <cell r="CD119" t="str">
            <v/>
          </cell>
          <cell r="CE119" t="str">
            <v/>
          </cell>
          <cell r="CF119" t="str">
            <v/>
          </cell>
        </row>
        <row r="120">
          <cell r="A120">
            <v>232</v>
          </cell>
          <cell r="B120" t="str">
            <v>0232_HOTEL LiVEＭAX岡崎</v>
          </cell>
          <cell r="C120" t="str">
            <v/>
          </cell>
          <cell r="D120" t="str">
            <v>技術役員</v>
          </cell>
          <cell r="E120" t="str">
            <v/>
          </cell>
          <cell r="F120" t="str">
            <v/>
          </cell>
          <cell r="G120" t="str">
            <v/>
          </cell>
          <cell r="H120">
            <v>0</v>
          </cell>
          <cell r="I120">
            <v>0</v>
          </cell>
          <cell r="J120" t="b">
            <v>0</v>
          </cell>
          <cell r="K120" t="str">
            <v/>
          </cell>
          <cell r="L120">
            <v>0</v>
          </cell>
          <cell r="M120">
            <v>0</v>
          </cell>
          <cell r="N120">
            <v>0</v>
          </cell>
          <cell r="O120">
            <v>0</v>
          </cell>
          <cell r="P120">
            <v>0</v>
          </cell>
          <cell r="Q120">
            <v>0</v>
          </cell>
          <cell r="R120">
            <v>0</v>
          </cell>
          <cell r="S120" t="b">
            <v>1</v>
          </cell>
          <cell r="T120" t="str">
            <v/>
          </cell>
          <cell r="U120">
            <v>0</v>
          </cell>
          <cell r="V120">
            <v>1934794</v>
          </cell>
          <cell r="W120">
            <v>1934794</v>
          </cell>
          <cell r="X120" t="b">
            <v>0</v>
          </cell>
          <cell r="Y120">
            <v>20804.236559139787</v>
          </cell>
          <cell r="AB120" t="str">
            <v/>
          </cell>
          <cell r="AE120">
            <v>93</v>
          </cell>
          <cell r="AF120">
            <v>93</v>
          </cell>
          <cell r="AG120" t="b">
            <v>0</v>
          </cell>
          <cell r="AH120">
            <v>93</v>
          </cell>
          <cell r="AI120" t="str">
            <v/>
          </cell>
          <cell r="AJ120">
            <v>153</v>
          </cell>
          <cell r="AK120" t="str">
            <v/>
          </cell>
          <cell r="AL120" t="str">
            <v/>
          </cell>
          <cell r="AM120" t="str">
            <v/>
          </cell>
          <cell r="AN120" t="str">
            <v/>
          </cell>
          <cell r="AQ120" t="str">
            <v/>
          </cell>
          <cell r="AV120" t="str">
            <v/>
          </cell>
          <cell r="AW120" t="str">
            <v/>
          </cell>
          <cell r="AX120" t="str">
            <v/>
          </cell>
          <cell r="AY120" t="str">
            <v/>
          </cell>
          <cell r="AZ120" t="str">
            <v/>
          </cell>
          <cell r="BA120">
            <v>11</v>
          </cell>
          <cell r="BB120" t="str">
            <v/>
          </cell>
          <cell r="BC120" t="str">
            <v/>
          </cell>
          <cell r="BD120" t="str">
            <v/>
          </cell>
          <cell r="BE120" t="str">
            <v/>
          </cell>
          <cell r="BF120" t="str">
            <v/>
          </cell>
          <cell r="BG120" t="str">
            <v/>
          </cell>
          <cell r="BH120" t="str">
            <v/>
          </cell>
          <cell r="BJ120" t="str">
            <v/>
          </cell>
          <cell r="BK120" t="str">
            <v/>
          </cell>
          <cell r="BL120" t="str">
            <v/>
          </cell>
          <cell r="BM120" t="str">
            <v/>
          </cell>
          <cell r="BN120">
            <v>35013530.129032262</v>
          </cell>
          <cell r="BO120" t="str">
            <v/>
          </cell>
          <cell r="BP120" t="str">
            <v/>
          </cell>
          <cell r="BQ120" t="str">
            <v/>
          </cell>
          <cell r="BR120" t="str">
            <v/>
          </cell>
          <cell r="BS120" t="str">
            <v/>
          </cell>
          <cell r="BT120" t="str">
            <v/>
          </cell>
          <cell r="BU120" t="str">
            <v/>
          </cell>
          <cell r="BV120" t="str">
            <v/>
          </cell>
          <cell r="BW120" t="str">
            <v/>
          </cell>
          <cell r="BX120" t="str">
            <v/>
          </cell>
          <cell r="BY120" t="str">
            <v/>
          </cell>
          <cell r="BZ120" t="str">
            <v/>
          </cell>
          <cell r="CA120" t="str">
            <v/>
          </cell>
          <cell r="CC120" t="str">
            <v/>
          </cell>
          <cell r="CD120" t="str">
            <v/>
          </cell>
          <cell r="CE120" t="str">
            <v/>
          </cell>
          <cell r="CF120" t="str">
            <v/>
          </cell>
        </row>
        <row r="121">
          <cell r="A121">
            <v>234</v>
          </cell>
          <cell r="B121" t="str">
            <v>0234_MyHotelOkazaKi</v>
          </cell>
          <cell r="C121" t="str">
            <v/>
          </cell>
          <cell r="D121" t="str">
            <v/>
          </cell>
          <cell r="E121" t="str">
            <v/>
          </cell>
          <cell r="F121" t="str">
            <v/>
          </cell>
          <cell r="G121" t="str">
            <v/>
          </cell>
          <cell r="H121">
            <v>0</v>
          </cell>
          <cell r="I121">
            <v>0</v>
          </cell>
          <cell r="J121" t="b">
            <v>0</v>
          </cell>
          <cell r="K121" t="str">
            <v/>
          </cell>
          <cell r="L121">
            <v>0</v>
          </cell>
          <cell r="M121">
            <v>0</v>
          </cell>
          <cell r="N121">
            <v>0</v>
          </cell>
          <cell r="O121">
            <v>0</v>
          </cell>
          <cell r="P121">
            <v>0</v>
          </cell>
          <cell r="Q121">
            <v>0</v>
          </cell>
          <cell r="R121">
            <v>0</v>
          </cell>
          <cell r="S121" t="b">
            <v>1</v>
          </cell>
          <cell r="T121" t="str">
            <v/>
          </cell>
          <cell r="U121">
            <v>0</v>
          </cell>
          <cell r="V121">
            <v>455540</v>
          </cell>
          <cell r="W121">
            <v>455540</v>
          </cell>
          <cell r="X121" t="b">
            <v>1</v>
          </cell>
          <cell r="Y121">
            <v>10353.181818181818</v>
          </cell>
          <cell r="AB121" t="str">
            <v/>
          </cell>
          <cell r="AE121">
            <v>105</v>
          </cell>
          <cell r="AF121">
            <v>44</v>
          </cell>
          <cell r="AG121" t="b">
            <v>1</v>
          </cell>
          <cell r="AH121">
            <v>105</v>
          </cell>
          <cell r="AI121" t="str">
            <v/>
          </cell>
          <cell r="AJ121" t="str">
            <v/>
          </cell>
          <cell r="AK121" t="str">
            <v/>
          </cell>
          <cell r="AL121" t="str">
            <v/>
          </cell>
          <cell r="AM121" t="str">
            <v/>
          </cell>
          <cell r="AN121" t="str">
            <v/>
          </cell>
          <cell r="AQ121" t="str">
            <v/>
          </cell>
          <cell r="AV121" t="str">
            <v/>
          </cell>
          <cell r="AW121" t="str">
            <v/>
          </cell>
          <cell r="AX121" t="str">
            <v/>
          </cell>
          <cell r="AY121" t="str">
            <v/>
          </cell>
          <cell r="AZ121" t="str">
            <v/>
          </cell>
          <cell r="BA121" t="str">
            <v/>
          </cell>
          <cell r="BB121" t="str">
            <v/>
          </cell>
          <cell r="BC121" t="str">
            <v/>
          </cell>
          <cell r="BD121" t="str">
            <v/>
          </cell>
          <cell r="BE121" t="str">
            <v/>
          </cell>
          <cell r="BF121" t="str">
            <v/>
          </cell>
          <cell r="BG121" t="str">
            <v/>
          </cell>
          <cell r="BH121" t="str">
            <v/>
          </cell>
          <cell r="BJ121" t="str">
            <v/>
          </cell>
          <cell r="BK121" t="str">
            <v/>
          </cell>
          <cell r="BL121" t="str">
            <v/>
          </cell>
          <cell r="BM121" t="str">
            <v/>
          </cell>
          <cell r="BN121" t="str">
            <v/>
          </cell>
          <cell r="BO121" t="str">
            <v/>
          </cell>
          <cell r="BP121" t="str">
            <v/>
          </cell>
          <cell r="BQ121" t="str">
            <v/>
          </cell>
          <cell r="BR121" t="str">
            <v/>
          </cell>
          <cell r="BS121" t="str">
            <v/>
          </cell>
          <cell r="BT121" t="str">
            <v/>
          </cell>
          <cell r="BU121" t="str">
            <v/>
          </cell>
          <cell r="BV121" t="str">
            <v/>
          </cell>
          <cell r="BW121" t="str">
            <v/>
          </cell>
          <cell r="BX121" t="str">
            <v/>
          </cell>
          <cell r="BY121" t="str">
            <v/>
          </cell>
          <cell r="BZ121" t="str">
            <v/>
          </cell>
          <cell r="CA121" t="str">
            <v/>
          </cell>
          <cell r="CC121" t="str">
            <v/>
          </cell>
          <cell r="CD121" t="str">
            <v/>
          </cell>
          <cell r="CE121" t="str">
            <v/>
          </cell>
          <cell r="CF121" t="str">
            <v/>
          </cell>
        </row>
        <row r="122">
          <cell r="A122">
            <v>238</v>
          </cell>
          <cell r="B122" t="str">
            <v>0238_岡崎ニューグランドホテル</v>
          </cell>
          <cell r="C122" t="str">
            <v/>
          </cell>
          <cell r="D122" t="str">
            <v>技術役員</v>
          </cell>
          <cell r="E122" t="str">
            <v/>
          </cell>
          <cell r="F122" t="str">
            <v>技術役員</v>
          </cell>
          <cell r="G122" t="str">
            <v/>
          </cell>
          <cell r="H122">
            <v>12</v>
          </cell>
          <cell r="I122">
            <v>5</v>
          </cell>
          <cell r="J122" t="b">
            <v>0</v>
          </cell>
          <cell r="K122" t="str">
            <v/>
          </cell>
          <cell r="L122">
            <v>1443969</v>
          </cell>
          <cell r="M122">
            <v>35295</v>
          </cell>
          <cell r="N122">
            <v>0</v>
          </cell>
          <cell r="O122">
            <v>0</v>
          </cell>
          <cell r="P122">
            <v>0</v>
          </cell>
          <cell r="Q122">
            <v>1627190.4000000001</v>
          </cell>
          <cell r="R122">
            <v>1627190</v>
          </cell>
          <cell r="S122" t="b">
            <v>0</v>
          </cell>
          <cell r="T122">
            <v>325438</v>
          </cell>
          <cell r="U122">
            <v>-550475</v>
          </cell>
          <cell r="V122">
            <v>950431</v>
          </cell>
          <cell r="W122">
            <v>1500906</v>
          </cell>
          <cell r="X122" t="b">
            <v>1</v>
          </cell>
          <cell r="Y122">
            <v>15967.08510638298</v>
          </cell>
          <cell r="AB122" t="str">
            <v/>
          </cell>
          <cell r="AC122">
            <v>1800</v>
          </cell>
          <cell r="AE122">
            <v>90</v>
          </cell>
          <cell r="AF122">
            <v>94</v>
          </cell>
          <cell r="AG122" t="b">
            <v>1</v>
          </cell>
          <cell r="AH122">
            <v>92</v>
          </cell>
          <cell r="AI122" t="str">
            <v/>
          </cell>
          <cell r="AJ122">
            <v>25</v>
          </cell>
          <cell r="AK122" t="str">
            <v/>
          </cell>
          <cell r="AL122">
            <v>85</v>
          </cell>
          <cell r="AM122" t="str">
            <v/>
          </cell>
          <cell r="AN122" t="str">
            <v/>
          </cell>
          <cell r="AO122">
            <v>-69</v>
          </cell>
          <cell r="AQ122">
            <v>-9</v>
          </cell>
          <cell r="AV122" t="str">
            <v/>
          </cell>
          <cell r="AW122" t="str">
            <v/>
          </cell>
          <cell r="AX122" t="str">
            <v/>
          </cell>
          <cell r="AY122" t="str">
            <v/>
          </cell>
          <cell r="AZ122" t="str">
            <v/>
          </cell>
          <cell r="BA122">
            <v>11</v>
          </cell>
          <cell r="BB122" t="str">
            <v/>
          </cell>
          <cell r="BC122" t="str">
            <v/>
          </cell>
          <cell r="BD122" t="str">
            <v/>
          </cell>
          <cell r="BE122" t="str">
            <v/>
          </cell>
          <cell r="BF122">
            <v>10</v>
          </cell>
          <cell r="BG122" t="str">
            <v/>
          </cell>
          <cell r="BH122" t="str">
            <v/>
          </cell>
          <cell r="BI122" t="str">
            <v/>
          </cell>
          <cell r="BJ122" t="str">
            <v/>
          </cell>
          <cell r="BK122" t="str">
            <v/>
          </cell>
          <cell r="BL122" t="str">
            <v/>
          </cell>
          <cell r="BM122" t="str">
            <v/>
          </cell>
          <cell r="BN122">
            <v>4390948.4042553194</v>
          </cell>
          <cell r="BO122" t="str">
            <v/>
          </cell>
          <cell r="BP122" t="str">
            <v/>
          </cell>
          <cell r="BQ122" t="str">
            <v/>
          </cell>
          <cell r="BR122" t="str">
            <v/>
          </cell>
          <cell r="BS122" t="str">
            <v/>
          </cell>
          <cell r="BT122" t="str">
            <v/>
          </cell>
          <cell r="BU122" t="str">
            <v/>
          </cell>
          <cell r="BV122">
            <v>13572022.340425532</v>
          </cell>
          <cell r="BW122" t="str">
            <v/>
          </cell>
          <cell r="BX122" t="str">
            <v/>
          </cell>
          <cell r="BY122" t="str">
            <v/>
          </cell>
          <cell r="BZ122" t="str">
            <v/>
          </cell>
          <cell r="CA122" t="str">
            <v/>
          </cell>
          <cell r="CC122" t="str">
            <v/>
          </cell>
          <cell r="CD122" t="str">
            <v/>
          </cell>
          <cell r="CE122" t="str">
            <v/>
          </cell>
          <cell r="CF122" t="str">
            <v/>
          </cell>
        </row>
        <row r="123">
          <cell r="A123">
            <v>239</v>
          </cell>
          <cell r="B123" t="str">
            <v>0239_アクセスイン西尾</v>
          </cell>
          <cell r="C123" t="str">
            <v/>
          </cell>
          <cell r="D123" t="str">
            <v/>
          </cell>
          <cell r="E123" t="str">
            <v/>
          </cell>
          <cell r="F123" t="str">
            <v/>
          </cell>
          <cell r="G123" t="str">
            <v/>
          </cell>
          <cell r="H123">
            <v>0</v>
          </cell>
          <cell r="I123">
            <v>0</v>
          </cell>
          <cell r="J123" t="b">
            <v>0</v>
          </cell>
          <cell r="K123" t="str">
            <v/>
          </cell>
          <cell r="L123">
            <v>0</v>
          </cell>
          <cell r="M123">
            <v>0</v>
          </cell>
          <cell r="N123">
            <v>0</v>
          </cell>
          <cell r="O123">
            <v>0</v>
          </cell>
          <cell r="P123">
            <v>0</v>
          </cell>
          <cell r="Q123">
            <v>0</v>
          </cell>
          <cell r="R123">
            <v>0</v>
          </cell>
          <cell r="S123" t="b">
            <v>1</v>
          </cell>
          <cell r="T123" t="str">
            <v/>
          </cell>
          <cell r="U123">
            <v>0</v>
          </cell>
          <cell r="V123">
            <v>1215964</v>
          </cell>
          <cell r="W123">
            <v>1215964</v>
          </cell>
          <cell r="X123" t="b">
            <v>0</v>
          </cell>
          <cell r="Y123">
            <v>13976.597701149425</v>
          </cell>
          <cell r="AB123" t="str">
            <v/>
          </cell>
          <cell r="AE123">
            <v>87</v>
          </cell>
          <cell r="AF123">
            <v>87</v>
          </cell>
          <cell r="AG123" t="b">
            <v>0</v>
          </cell>
          <cell r="AH123">
            <v>87</v>
          </cell>
          <cell r="AI123" t="str">
            <v/>
          </cell>
          <cell r="AJ123" t="str">
            <v/>
          </cell>
          <cell r="AK123" t="str">
            <v/>
          </cell>
          <cell r="AL123" t="str">
            <v/>
          </cell>
          <cell r="AM123" t="str">
            <v/>
          </cell>
          <cell r="AN123" t="str">
            <v/>
          </cell>
          <cell r="AQ123" t="str">
            <v/>
          </cell>
          <cell r="AV123" t="str">
            <v/>
          </cell>
          <cell r="AW123" t="str">
            <v/>
          </cell>
          <cell r="AX123" t="str">
            <v/>
          </cell>
          <cell r="AY123" t="str">
            <v/>
          </cell>
          <cell r="AZ123" t="str">
            <v/>
          </cell>
          <cell r="BA123" t="str">
            <v/>
          </cell>
          <cell r="BB123" t="str">
            <v/>
          </cell>
          <cell r="BC123" t="str">
            <v/>
          </cell>
          <cell r="BD123" t="str">
            <v/>
          </cell>
          <cell r="BE123" t="str">
            <v/>
          </cell>
          <cell r="BF123" t="str">
            <v/>
          </cell>
          <cell r="BG123" t="str">
            <v/>
          </cell>
          <cell r="BH123" t="str">
            <v/>
          </cell>
          <cell r="BJ123" t="str">
            <v/>
          </cell>
          <cell r="BK123" t="str">
            <v/>
          </cell>
          <cell r="BL123" t="str">
            <v/>
          </cell>
          <cell r="BM123" t="str">
            <v/>
          </cell>
          <cell r="BN123" t="str">
            <v/>
          </cell>
          <cell r="BO123" t="str">
            <v/>
          </cell>
          <cell r="BP123" t="str">
            <v/>
          </cell>
          <cell r="BQ123" t="str">
            <v/>
          </cell>
          <cell r="BR123" t="str">
            <v/>
          </cell>
          <cell r="BS123" t="str">
            <v/>
          </cell>
          <cell r="BT123" t="str">
            <v/>
          </cell>
          <cell r="BU123" t="str">
            <v/>
          </cell>
          <cell r="BV123" t="str">
            <v/>
          </cell>
          <cell r="BW123" t="str">
            <v/>
          </cell>
          <cell r="BX123" t="str">
            <v/>
          </cell>
          <cell r="BY123" t="str">
            <v/>
          </cell>
          <cell r="BZ123" t="str">
            <v/>
          </cell>
          <cell r="CA123" t="str">
            <v/>
          </cell>
          <cell r="CC123" t="str">
            <v/>
          </cell>
          <cell r="CD123" t="str">
            <v/>
          </cell>
          <cell r="CE123" t="str">
            <v/>
          </cell>
          <cell r="CF123" t="str">
            <v/>
          </cell>
        </row>
        <row r="124">
          <cell r="A124">
            <v>240</v>
          </cell>
          <cell r="B124" t="str">
            <v>0240_株式会社竜宮ホテル</v>
          </cell>
          <cell r="C124" t="str">
            <v/>
          </cell>
          <cell r="D124" t="str">
            <v/>
          </cell>
          <cell r="E124" t="str">
            <v/>
          </cell>
          <cell r="F124" t="str">
            <v/>
          </cell>
          <cell r="G124" t="str">
            <v/>
          </cell>
          <cell r="H124">
            <v>5</v>
          </cell>
          <cell r="I124">
            <v>4</v>
          </cell>
          <cell r="J124" t="b">
            <v>0</v>
          </cell>
          <cell r="K124" t="str">
            <v/>
          </cell>
          <cell r="L124">
            <v>423531</v>
          </cell>
          <cell r="M124">
            <v>0</v>
          </cell>
          <cell r="N124">
            <v>0</v>
          </cell>
          <cell r="O124">
            <v>7800</v>
          </cell>
          <cell r="P124">
            <v>0</v>
          </cell>
          <cell r="Q124">
            <v>473684.10000000003</v>
          </cell>
          <cell r="R124">
            <v>478034</v>
          </cell>
          <cell r="S124" t="b">
            <v>0</v>
          </cell>
          <cell r="T124">
            <v>119508.5</v>
          </cell>
          <cell r="U124">
            <v>0</v>
          </cell>
          <cell r="V124">
            <v>1608619</v>
          </cell>
          <cell r="W124">
            <v>1608619</v>
          </cell>
          <cell r="X124" t="b">
            <v>0</v>
          </cell>
          <cell r="Y124">
            <v>33512.895833333336</v>
          </cell>
          <cell r="AB124" t="str">
            <v/>
          </cell>
          <cell r="AE124">
            <v>48</v>
          </cell>
          <cell r="AF124">
            <v>48</v>
          </cell>
          <cell r="AG124" t="b">
            <v>0</v>
          </cell>
          <cell r="AH124">
            <v>66</v>
          </cell>
          <cell r="AI124" t="str">
            <v/>
          </cell>
          <cell r="AJ124" t="str">
            <v/>
          </cell>
          <cell r="AK124" t="str">
            <v/>
          </cell>
          <cell r="AL124" t="str">
            <v/>
          </cell>
          <cell r="AM124" t="str">
            <v/>
          </cell>
          <cell r="AN124" t="str">
            <v/>
          </cell>
          <cell r="AQ124" t="str">
            <v/>
          </cell>
          <cell r="AV124" t="str">
            <v/>
          </cell>
          <cell r="AW124" t="str">
            <v/>
          </cell>
          <cell r="AX124" t="str">
            <v/>
          </cell>
          <cell r="AY124" t="str">
            <v/>
          </cell>
          <cell r="AZ124" t="str">
            <v/>
          </cell>
          <cell r="BA124" t="str">
            <v/>
          </cell>
          <cell r="BB124" t="str">
            <v/>
          </cell>
          <cell r="BC124" t="str">
            <v/>
          </cell>
          <cell r="BD124" t="str">
            <v/>
          </cell>
          <cell r="BE124" t="str">
            <v/>
          </cell>
          <cell r="BF124" t="str">
            <v/>
          </cell>
          <cell r="BG124" t="str">
            <v/>
          </cell>
          <cell r="BH124" t="str">
            <v/>
          </cell>
          <cell r="BJ124" t="str">
            <v/>
          </cell>
          <cell r="BK124" t="str">
            <v/>
          </cell>
          <cell r="BL124" t="str">
            <v/>
          </cell>
          <cell r="BM124" t="str">
            <v/>
          </cell>
          <cell r="BN124" t="str">
            <v/>
          </cell>
          <cell r="BO124" t="str">
            <v/>
          </cell>
          <cell r="BP124" t="str">
            <v/>
          </cell>
          <cell r="BQ124" t="str">
            <v/>
          </cell>
          <cell r="BR124" t="str">
            <v/>
          </cell>
          <cell r="BS124" t="str">
            <v/>
          </cell>
          <cell r="BT124" t="str">
            <v/>
          </cell>
          <cell r="BU124" t="str">
            <v/>
          </cell>
          <cell r="BV124" t="str">
            <v/>
          </cell>
          <cell r="BW124" t="str">
            <v/>
          </cell>
          <cell r="BX124" t="str">
            <v/>
          </cell>
          <cell r="BY124" t="str">
            <v/>
          </cell>
          <cell r="BZ124" t="str">
            <v/>
          </cell>
          <cell r="CA124" t="str">
            <v/>
          </cell>
          <cell r="CC124" t="str">
            <v/>
          </cell>
          <cell r="CD124" t="str">
            <v/>
          </cell>
          <cell r="CE124" t="str">
            <v/>
          </cell>
          <cell r="CF124" t="str">
            <v/>
          </cell>
        </row>
        <row r="125">
          <cell r="A125">
            <v>241</v>
          </cell>
          <cell r="B125" t="str">
            <v>0241_株式会社三河湾リゾート・リンクス</v>
          </cell>
          <cell r="C125" t="str">
            <v/>
          </cell>
          <cell r="D125" t="str">
            <v>選手12000</v>
          </cell>
          <cell r="E125" t="str">
            <v/>
          </cell>
          <cell r="F125" t="str">
            <v/>
          </cell>
          <cell r="G125" t="str">
            <v/>
          </cell>
          <cell r="H125">
            <v>10</v>
          </cell>
          <cell r="I125">
            <v>6</v>
          </cell>
          <cell r="J125" t="b">
            <v>0</v>
          </cell>
          <cell r="K125" t="str">
            <v/>
          </cell>
          <cell r="L125">
            <v>847062</v>
          </cell>
          <cell r="M125">
            <v>0</v>
          </cell>
          <cell r="N125">
            <v>0</v>
          </cell>
          <cell r="O125">
            <v>21450</v>
          </cell>
          <cell r="P125">
            <v>0</v>
          </cell>
          <cell r="Q125">
            <v>953218.20000000007</v>
          </cell>
          <cell r="R125">
            <v>954568</v>
          </cell>
          <cell r="S125" t="b">
            <v>0</v>
          </cell>
          <cell r="T125">
            <v>159094.66666666666</v>
          </cell>
          <cell r="U125">
            <v>-529295</v>
          </cell>
          <cell r="V125">
            <v>1999532</v>
          </cell>
          <cell r="W125">
            <v>2528827</v>
          </cell>
          <cell r="X125" t="b">
            <v>1</v>
          </cell>
          <cell r="Y125">
            <v>16637.019736842107</v>
          </cell>
          <cell r="AB125" t="str">
            <v/>
          </cell>
          <cell r="AC125">
            <v>2200</v>
          </cell>
          <cell r="AE125">
            <v>152</v>
          </cell>
          <cell r="AF125">
            <v>152</v>
          </cell>
          <cell r="AG125" t="b">
            <v>1</v>
          </cell>
          <cell r="AH125">
            <v>362</v>
          </cell>
          <cell r="AI125" t="str">
            <v/>
          </cell>
          <cell r="AJ125" t="str">
            <v/>
          </cell>
          <cell r="AK125" t="str">
            <v/>
          </cell>
          <cell r="AL125" t="str">
            <v/>
          </cell>
          <cell r="AM125" t="str">
            <v/>
          </cell>
          <cell r="AN125" t="str">
            <v/>
          </cell>
          <cell r="AQ125" t="str">
            <v/>
          </cell>
          <cell r="AV125" t="str">
            <v/>
          </cell>
          <cell r="AW125">
            <v>22</v>
          </cell>
          <cell r="AX125" t="str">
            <v/>
          </cell>
          <cell r="AY125" t="str">
            <v/>
          </cell>
          <cell r="AZ125" t="str">
            <v/>
          </cell>
          <cell r="BA125" t="str">
            <v/>
          </cell>
          <cell r="BB125" t="str">
            <v/>
          </cell>
          <cell r="BC125" t="str">
            <v/>
          </cell>
          <cell r="BD125" t="str">
            <v/>
          </cell>
          <cell r="BE125" t="str">
            <v/>
          </cell>
          <cell r="BF125" t="str">
            <v/>
          </cell>
          <cell r="BG125" t="str">
            <v/>
          </cell>
          <cell r="BH125" t="str">
            <v/>
          </cell>
          <cell r="BI125">
            <v>55634194</v>
          </cell>
          <cell r="BJ125" t="str">
            <v/>
          </cell>
          <cell r="BK125" t="str">
            <v/>
          </cell>
          <cell r="BL125" t="str">
            <v/>
          </cell>
          <cell r="BM125" t="str">
            <v/>
          </cell>
          <cell r="BN125" t="str">
            <v/>
          </cell>
          <cell r="BO125" t="str">
            <v/>
          </cell>
          <cell r="BP125" t="str">
            <v/>
          </cell>
          <cell r="BQ125" t="str">
            <v/>
          </cell>
          <cell r="BR125" t="str">
            <v/>
          </cell>
          <cell r="BS125" t="str">
            <v/>
          </cell>
          <cell r="BT125" t="str">
            <v/>
          </cell>
          <cell r="BU125" t="str">
            <v/>
          </cell>
          <cell r="BV125" t="str">
            <v/>
          </cell>
          <cell r="BW125" t="str">
            <v/>
          </cell>
          <cell r="BX125" t="str">
            <v/>
          </cell>
          <cell r="BY125">
            <v>21000496</v>
          </cell>
          <cell r="BZ125" t="str">
            <v/>
          </cell>
          <cell r="CA125" t="str">
            <v/>
          </cell>
          <cell r="CC125" t="str">
            <v/>
          </cell>
          <cell r="CD125" t="str">
            <v/>
          </cell>
          <cell r="CE125" t="str">
            <v/>
          </cell>
          <cell r="CF125" t="str">
            <v/>
          </cell>
        </row>
        <row r="126">
          <cell r="A126">
            <v>242</v>
          </cell>
          <cell r="B126" t="str">
            <v>0242_吉良かん</v>
          </cell>
          <cell r="C126" t="str">
            <v/>
          </cell>
          <cell r="D126" t="str">
            <v/>
          </cell>
          <cell r="E126" t="str">
            <v/>
          </cell>
          <cell r="F126" t="str">
            <v/>
          </cell>
          <cell r="G126" t="str">
            <v/>
          </cell>
          <cell r="H126">
            <v>3</v>
          </cell>
          <cell r="I126">
            <v>1</v>
          </cell>
          <cell r="J126" t="b">
            <v>0</v>
          </cell>
          <cell r="K126" t="str">
            <v/>
          </cell>
          <cell r="L126">
            <v>58824</v>
          </cell>
          <cell r="M126">
            <v>0</v>
          </cell>
          <cell r="N126">
            <v>0</v>
          </cell>
          <cell r="O126">
            <v>9750</v>
          </cell>
          <cell r="P126">
            <v>0</v>
          </cell>
          <cell r="Q126">
            <v>74456.400000000009</v>
          </cell>
          <cell r="R126">
            <v>81056</v>
          </cell>
          <cell r="S126" t="b">
            <v>0</v>
          </cell>
          <cell r="T126">
            <v>81056</v>
          </cell>
          <cell r="U126">
            <v>0</v>
          </cell>
          <cell r="V126">
            <v>750627</v>
          </cell>
          <cell r="W126">
            <v>750627</v>
          </cell>
          <cell r="X126" t="b">
            <v>0</v>
          </cell>
          <cell r="Y126">
            <v>18307.975609756097</v>
          </cell>
          <cell r="AB126" t="str">
            <v/>
          </cell>
          <cell r="AE126">
            <v>41</v>
          </cell>
          <cell r="AF126">
            <v>41</v>
          </cell>
          <cell r="AG126" t="b">
            <v>0</v>
          </cell>
          <cell r="AH126">
            <v>76</v>
          </cell>
          <cell r="AI126" t="str">
            <v/>
          </cell>
          <cell r="AJ126" t="str">
            <v/>
          </cell>
          <cell r="AK126" t="str">
            <v/>
          </cell>
          <cell r="AL126" t="str">
            <v/>
          </cell>
          <cell r="AM126" t="str">
            <v/>
          </cell>
          <cell r="AN126" t="str">
            <v/>
          </cell>
          <cell r="AQ126" t="str">
            <v/>
          </cell>
          <cell r="AV126" t="str">
            <v/>
          </cell>
          <cell r="AW126" t="str">
            <v/>
          </cell>
          <cell r="AX126" t="str">
            <v/>
          </cell>
          <cell r="AY126" t="str">
            <v/>
          </cell>
          <cell r="AZ126" t="str">
            <v/>
          </cell>
          <cell r="BA126" t="str">
            <v/>
          </cell>
          <cell r="BB126" t="str">
            <v/>
          </cell>
          <cell r="BC126" t="str">
            <v/>
          </cell>
          <cell r="BD126" t="str">
            <v/>
          </cell>
          <cell r="BE126" t="str">
            <v/>
          </cell>
          <cell r="BF126" t="str">
            <v/>
          </cell>
          <cell r="BG126" t="str">
            <v/>
          </cell>
          <cell r="BH126" t="str">
            <v/>
          </cell>
          <cell r="BJ126" t="str">
            <v/>
          </cell>
          <cell r="BK126" t="str">
            <v/>
          </cell>
          <cell r="BL126" t="str">
            <v/>
          </cell>
          <cell r="BM126" t="str">
            <v/>
          </cell>
          <cell r="BN126" t="str">
            <v/>
          </cell>
          <cell r="BO126" t="str">
            <v/>
          </cell>
          <cell r="BP126" t="str">
            <v/>
          </cell>
          <cell r="BQ126" t="str">
            <v/>
          </cell>
          <cell r="BR126" t="str">
            <v/>
          </cell>
          <cell r="BS126" t="str">
            <v/>
          </cell>
          <cell r="BT126" t="str">
            <v/>
          </cell>
          <cell r="BU126" t="str">
            <v/>
          </cell>
          <cell r="BV126" t="str">
            <v/>
          </cell>
          <cell r="BW126" t="str">
            <v/>
          </cell>
          <cell r="BX126" t="str">
            <v/>
          </cell>
          <cell r="BY126" t="str">
            <v/>
          </cell>
          <cell r="BZ126" t="str">
            <v/>
          </cell>
          <cell r="CA126" t="str">
            <v/>
          </cell>
          <cell r="CC126" t="str">
            <v/>
          </cell>
          <cell r="CD126" t="str">
            <v/>
          </cell>
          <cell r="CE126" t="str">
            <v/>
          </cell>
          <cell r="CF126" t="str">
            <v/>
          </cell>
        </row>
        <row r="127">
          <cell r="A127">
            <v>243</v>
          </cell>
          <cell r="B127" t="str">
            <v>0243_三河湾ヒルズ・ホテル</v>
          </cell>
          <cell r="C127" t="str">
            <v/>
          </cell>
          <cell r="D127" t="str">
            <v/>
          </cell>
          <cell r="E127" t="str">
            <v/>
          </cell>
          <cell r="F127" t="str">
            <v/>
          </cell>
          <cell r="G127" t="str">
            <v/>
          </cell>
          <cell r="H127">
            <v>9</v>
          </cell>
          <cell r="I127">
            <v>5</v>
          </cell>
          <cell r="J127" t="b">
            <v>0</v>
          </cell>
          <cell r="K127" t="str">
            <v/>
          </cell>
          <cell r="L127">
            <v>294120</v>
          </cell>
          <cell r="M127">
            <v>0</v>
          </cell>
          <cell r="N127">
            <v>0</v>
          </cell>
          <cell r="O127">
            <v>11700</v>
          </cell>
          <cell r="P127">
            <v>0</v>
          </cell>
          <cell r="Q127">
            <v>335232</v>
          </cell>
          <cell r="R127">
            <v>335232</v>
          </cell>
          <cell r="S127" t="b">
            <v>0</v>
          </cell>
          <cell r="T127">
            <v>67046.399999999994</v>
          </cell>
          <cell r="U127">
            <v>0</v>
          </cell>
          <cell r="V127">
            <v>4155456</v>
          </cell>
          <cell r="W127">
            <v>4155456</v>
          </cell>
          <cell r="X127" t="b">
            <v>1</v>
          </cell>
          <cell r="Y127">
            <v>68122.229508196717</v>
          </cell>
          <cell r="AB127" t="str">
            <v/>
          </cell>
          <cell r="AE127">
            <v>61</v>
          </cell>
          <cell r="AF127">
            <v>61</v>
          </cell>
          <cell r="AG127" t="b">
            <v>1</v>
          </cell>
          <cell r="AH127">
            <v>89</v>
          </cell>
          <cell r="AI127" t="str">
            <v/>
          </cell>
          <cell r="AJ127" t="str">
            <v/>
          </cell>
          <cell r="AK127" t="str">
            <v/>
          </cell>
          <cell r="AL127" t="str">
            <v/>
          </cell>
          <cell r="AM127" t="str">
            <v/>
          </cell>
          <cell r="AN127" t="str">
            <v/>
          </cell>
          <cell r="AQ127" t="str">
            <v/>
          </cell>
          <cell r="AV127" t="str">
            <v/>
          </cell>
          <cell r="AW127" t="str">
            <v/>
          </cell>
          <cell r="AX127" t="str">
            <v/>
          </cell>
          <cell r="AY127" t="str">
            <v/>
          </cell>
          <cell r="AZ127" t="str">
            <v/>
          </cell>
          <cell r="BA127" t="str">
            <v/>
          </cell>
          <cell r="BB127" t="str">
            <v/>
          </cell>
          <cell r="BC127" t="str">
            <v/>
          </cell>
          <cell r="BD127" t="str">
            <v/>
          </cell>
          <cell r="BE127" t="str">
            <v/>
          </cell>
          <cell r="BF127" t="str">
            <v/>
          </cell>
          <cell r="BG127" t="str">
            <v/>
          </cell>
          <cell r="BH127" t="str">
            <v/>
          </cell>
          <cell r="BJ127" t="str">
            <v/>
          </cell>
          <cell r="BK127" t="str">
            <v/>
          </cell>
          <cell r="BL127" t="str">
            <v/>
          </cell>
          <cell r="BM127" t="str">
            <v/>
          </cell>
          <cell r="BN127" t="str">
            <v/>
          </cell>
          <cell r="BO127" t="str">
            <v/>
          </cell>
          <cell r="BP127" t="str">
            <v/>
          </cell>
          <cell r="BQ127" t="str">
            <v/>
          </cell>
          <cell r="BR127" t="str">
            <v/>
          </cell>
          <cell r="BS127" t="str">
            <v/>
          </cell>
          <cell r="BT127" t="str">
            <v/>
          </cell>
          <cell r="BU127" t="str">
            <v/>
          </cell>
          <cell r="BV127" t="str">
            <v/>
          </cell>
          <cell r="BW127" t="str">
            <v/>
          </cell>
          <cell r="BX127" t="str">
            <v/>
          </cell>
          <cell r="BY127" t="str">
            <v/>
          </cell>
          <cell r="BZ127" t="str">
            <v/>
          </cell>
          <cell r="CA127" t="str">
            <v/>
          </cell>
          <cell r="CC127" t="str">
            <v/>
          </cell>
          <cell r="CD127" t="str">
            <v/>
          </cell>
          <cell r="CE127" t="str">
            <v/>
          </cell>
          <cell r="CF127" t="str">
            <v/>
          </cell>
        </row>
        <row r="128">
          <cell r="A128">
            <v>245</v>
          </cell>
          <cell r="B128" t="str">
            <v>0245_変なホテルラグーナテンボス</v>
          </cell>
          <cell r="C128" t="str">
            <v>選手（修正案）</v>
          </cell>
          <cell r="D128" t="str">
            <v>選手12000</v>
          </cell>
          <cell r="E128" t="str">
            <v/>
          </cell>
          <cell r="F128" t="str">
            <v>選手</v>
          </cell>
          <cell r="G128" t="str">
            <v/>
          </cell>
          <cell r="H128">
            <v>0</v>
          </cell>
          <cell r="I128">
            <v>0</v>
          </cell>
          <cell r="J128" t="b">
            <v>1</v>
          </cell>
          <cell r="K128">
            <v>0</v>
          </cell>
          <cell r="L128">
            <v>0</v>
          </cell>
          <cell r="M128">
            <v>0</v>
          </cell>
          <cell r="N128">
            <v>0</v>
          </cell>
          <cell r="O128">
            <v>0</v>
          </cell>
          <cell r="P128">
            <v>0</v>
          </cell>
          <cell r="Q128">
            <v>0</v>
          </cell>
          <cell r="R128">
            <v>0</v>
          </cell>
          <cell r="S128" t="b">
            <v>1</v>
          </cell>
          <cell r="T128" t="str">
            <v/>
          </cell>
          <cell r="U128">
            <v>0</v>
          </cell>
          <cell r="V128">
            <v>7337668</v>
          </cell>
          <cell r="W128">
            <v>7337668</v>
          </cell>
          <cell r="X128" t="b">
            <v>1</v>
          </cell>
          <cell r="Y128">
            <v>73376.679999999993</v>
          </cell>
          <cell r="Z128">
            <v>64706</v>
          </cell>
          <cell r="AA128">
            <v>76471</v>
          </cell>
          <cell r="AB128">
            <v>34120.753313182984</v>
          </cell>
          <cell r="AC128">
            <v>1900</v>
          </cell>
          <cell r="AE128">
            <v>100</v>
          </cell>
          <cell r="AF128">
            <v>100</v>
          </cell>
          <cell r="AG128" t="b">
            <v>1</v>
          </cell>
          <cell r="AH128">
            <v>200</v>
          </cell>
          <cell r="AI128">
            <v>187</v>
          </cell>
          <cell r="AJ128" t="str">
            <v/>
          </cell>
          <cell r="AK128" t="str">
            <v/>
          </cell>
          <cell r="AL128">
            <v>100</v>
          </cell>
          <cell r="AM128" t="str">
            <v/>
          </cell>
          <cell r="AN128">
            <v>87</v>
          </cell>
          <cell r="AQ128">
            <v>0</v>
          </cell>
          <cell r="AV128">
            <v>14</v>
          </cell>
          <cell r="AW128">
            <v>18</v>
          </cell>
          <cell r="AX128" t="str">
            <v/>
          </cell>
          <cell r="AY128" t="str">
            <v/>
          </cell>
          <cell r="AZ128" t="str">
            <v/>
          </cell>
          <cell r="BA128" t="str">
            <v/>
          </cell>
          <cell r="BB128" t="str">
            <v/>
          </cell>
          <cell r="BC128">
            <v>18</v>
          </cell>
          <cell r="BD128" t="str">
            <v/>
          </cell>
          <cell r="BE128" t="str">
            <v/>
          </cell>
          <cell r="BF128" t="str">
            <v/>
          </cell>
          <cell r="BG128" t="str">
            <v/>
          </cell>
          <cell r="BH128">
            <v>102727352</v>
          </cell>
          <cell r="BI128">
            <v>132078024</v>
          </cell>
          <cell r="BJ128" t="str">
            <v/>
          </cell>
          <cell r="BK128" t="str">
            <v/>
          </cell>
          <cell r="BL128" t="str">
            <v/>
          </cell>
          <cell r="BM128" t="str">
            <v/>
          </cell>
          <cell r="BN128" t="str">
            <v/>
          </cell>
          <cell r="BO128" t="str">
            <v/>
          </cell>
          <cell r="BP128">
            <v>132078023.99999999</v>
          </cell>
          <cell r="BQ128">
            <v>132078023.99999999</v>
          </cell>
          <cell r="BR128" t="str">
            <v/>
          </cell>
          <cell r="BS128" t="str">
            <v/>
          </cell>
          <cell r="BT128" t="str">
            <v/>
          </cell>
          <cell r="BU128" t="str">
            <v/>
          </cell>
          <cell r="BV128" t="str">
            <v/>
          </cell>
          <cell r="BW128" t="str">
            <v/>
          </cell>
          <cell r="BX128" t="str">
            <v/>
          </cell>
          <cell r="BY128" t="str">
            <v/>
          </cell>
          <cell r="BZ128" t="str">
            <v/>
          </cell>
          <cell r="CA128" t="str">
            <v/>
          </cell>
          <cell r="CC128" t="str">
            <v/>
          </cell>
          <cell r="CD128" t="str">
            <v/>
          </cell>
          <cell r="CE128" t="str">
            <v/>
          </cell>
          <cell r="CF128" t="str">
            <v/>
          </cell>
        </row>
        <row r="129">
          <cell r="A129">
            <v>247</v>
          </cell>
          <cell r="B129" t="str">
            <v>0247_株式会社鈴岡</v>
          </cell>
          <cell r="C129" t="str">
            <v/>
          </cell>
          <cell r="D129" t="str">
            <v>技術役員</v>
          </cell>
          <cell r="E129" t="str">
            <v/>
          </cell>
          <cell r="F129" t="str">
            <v/>
          </cell>
          <cell r="G129" t="str">
            <v/>
          </cell>
          <cell r="H129">
            <v>14</v>
          </cell>
          <cell r="I129">
            <v>5</v>
          </cell>
          <cell r="J129" t="b">
            <v>1</v>
          </cell>
          <cell r="K129" t="str">
            <v/>
          </cell>
          <cell r="L129">
            <v>294120</v>
          </cell>
          <cell r="M129">
            <v>0</v>
          </cell>
          <cell r="N129">
            <v>0</v>
          </cell>
          <cell r="O129">
            <v>9750</v>
          </cell>
          <cell r="P129">
            <v>0</v>
          </cell>
          <cell r="Q129">
            <v>333282</v>
          </cell>
          <cell r="R129">
            <v>333282</v>
          </cell>
          <cell r="S129" t="b">
            <v>1</v>
          </cell>
          <cell r="T129">
            <v>66656.399999999994</v>
          </cell>
          <cell r="U129">
            <v>0</v>
          </cell>
          <cell r="V129">
            <v>1107791</v>
          </cell>
          <cell r="W129">
            <v>1107791</v>
          </cell>
          <cell r="X129" t="b">
            <v>1</v>
          </cell>
          <cell r="Y129">
            <v>22155.82</v>
          </cell>
          <cell r="AB129" t="str">
            <v/>
          </cell>
          <cell r="AE129">
            <v>50</v>
          </cell>
          <cell r="AF129">
            <v>50</v>
          </cell>
          <cell r="AG129" t="b">
            <v>1</v>
          </cell>
          <cell r="AH129">
            <v>81</v>
          </cell>
          <cell r="AI129" t="str">
            <v/>
          </cell>
          <cell r="AJ129">
            <v>39</v>
          </cell>
          <cell r="AK129" t="str">
            <v/>
          </cell>
          <cell r="AL129" t="str">
            <v/>
          </cell>
          <cell r="AM129" t="str">
            <v/>
          </cell>
          <cell r="AN129" t="str">
            <v/>
          </cell>
          <cell r="AQ129" t="str">
            <v/>
          </cell>
          <cell r="AV129" t="str">
            <v/>
          </cell>
          <cell r="AW129" t="str">
            <v/>
          </cell>
          <cell r="AX129" t="str">
            <v/>
          </cell>
          <cell r="AY129" t="str">
            <v/>
          </cell>
          <cell r="AZ129" t="str">
            <v/>
          </cell>
          <cell r="BA129">
            <v>11</v>
          </cell>
          <cell r="BB129" t="str">
            <v/>
          </cell>
          <cell r="BC129" t="str">
            <v/>
          </cell>
          <cell r="BD129" t="str">
            <v/>
          </cell>
          <cell r="BE129" t="str">
            <v/>
          </cell>
          <cell r="BF129" t="str">
            <v/>
          </cell>
          <cell r="BG129" t="str">
            <v/>
          </cell>
          <cell r="BH129" t="str">
            <v/>
          </cell>
          <cell r="BJ129" t="str">
            <v/>
          </cell>
          <cell r="BK129" t="str">
            <v/>
          </cell>
          <cell r="BL129" t="str">
            <v/>
          </cell>
          <cell r="BM129" t="str">
            <v/>
          </cell>
          <cell r="BN129">
            <v>9504846.7799999993</v>
          </cell>
          <cell r="BO129" t="str">
            <v/>
          </cell>
          <cell r="BP129" t="str">
            <v/>
          </cell>
          <cell r="BQ129" t="str">
            <v/>
          </cell>
          <cell r="BR129" t="str">
            <v/>
          </cell>
          <cell r="BS129" t="str">
            <v/>
          </cell>
          <cell r="BT129" t="str">
            <v/>
          </cell>
          <cell r="BU129" t="str">
            <v/>
          </cell>
          <cell r="BV129" t="str">
            <v/>
          </cell>
          <cell r="BW129" t="str">
            <v/>
          </cell>
          <cell r="BX129" t="str">
            <v/>
          </cell>
          <cell r="BY129" t="str">
            <v/>
          </cell>
          <cell r="BZ129" t="str">
            <v/>
          </cell>
          <cell r="CA129" t="str">
            <v/>
          </cell>
          <cell r="CC129" t="str">
            <v/>
          </cell>
          <cell r="CD129" t="str">
            <v/>
          </cell>
          <cell r="CE129" t="str">
            <v/>
          </cell>
          <cell r="CF129" t="str">
            <v/>
          </cell>
        </row>
        <row r="130">
          <cell r="A130">
            <v>249</v>
          </cell>
          <cell r="B130" t="str">
            <v>0249_ホテル明山荘</v>
          </cell>
          <cell r="C130" t="str">
            <v/>
          </cell>
          <cell r="D130" t="str">
            <v>選手12000</v>
          </cell>
          <cell r="E130" t="str">
            <v/>
          </cell>
          <cell r="F130" t="str">
            <v/>
          </cell>
          <cell r="G130" t="str">
            <v/>
          </cell>
          <cell r="H130">
            <v>20</v>
          </cell>
          <cell r="I130">
            <v>5</v>
          </cell>
          <cell r="J130" t="b">
            <v>1</v>
          </cell>
          <cell r="K130" t="str">
            <v/>
          </cell>
          <cell r="L130">
            <v>1035445</v>
          </cell>
          <cell r="M130">
            <v>0</v>
          </cell>
          <cell r="N130">
            <v>0</v>
          </cell>
          <cell r="O130">
            <v>13500</v>
          </cell>
          <cell r="P130">
            <v>0</v>
          </cell>
          <cell r="Q130">
            <v>1152489.5</v>
          </cell>
          <cell r="R130">
            <v>634679</v>
          </cell>
          <cell r="S130" t="b">
            <v>1</v>
          </cell>
          <cell r="T130">
            <v>126935.8</v>
          </cell>
          <cell r="U130">
            <v>0</v>
          </cell>
          <cell r="V130">
            <v>1298047</v>
          </cell>
          <cell r="W130">
            <v>1298047</v>
          </cell>
          <cell r="X130" t="b">
            <v>1</v>
          </cell>
          <cell r="Y130">
            <v>15829.841463414634</v>
          </cell>
          <cell r="AB130" t="str">
            <v/>
          </cell>
          <cell r="AC130">
            <v>2200</v>
          </cell>
          <cell r="AE130">
            <v>101</v>
          </cell>
          <cell r="AF130">
            <v>82</v>
          </cell>
          <cell r="AG130" t="b">
            <v>1</v>
          </cell>
          <cell r="AH130">
            <v>136</v>
          </cell>
          <cell r="AI130" t="str">
            <v/>
          </cell>
          <cell r="AJ130" t="str">
            <v/>
          </cell>
          <cell r="AK130" t="str">
            <v/>
          </cell>
          <cell r="AL130" t="str">
            <v/>
          </cell>
          <cell r="AM130" t="str">
            <v/>
          </cell>
          <cell r="AN130" t="str">
            <v/>
          </cell>
          <cell r="AQ130" t="str">
            <v/>
          </cell>
          <cell r="AV130" t="str">
            <v/>
          </cell>
          <cell r="AW130">
            <v>18</v>
          </cell>
          <cell r="AX130" t="str">
            <v/>
          </cell>
          <cell r="AY130" t="str">
            <v/>
          </cell>
          <cell r="AZ130" t="str">
            <v/>
          </cell>
          <cell r="BA130" t="str">
            <v/>
          </cell>
          <cell r="BB130" t="str">
            <v/>
          </cell>
          <cell r="BC130" t="str">
            <v/>
          </cell>
          <cell r="BD130" t="str">
            <v/>
          </cell>
          <cell r="BE130" t="str">
            <v/>
          </cell>
          <cell r="BF130" t="str">
            <v/>
          </cell>
          <cell r="BG130" t="str">
            <v/>
          </cell>
          <cell r="BH130" t="str">
            <v/>
          </cell>
          <cell r="BI130">
            <v>23364846</v>
          </cell>
          <cell r="BJ130" t="str">
            <v/>
          </cell>
          <cell r="BK130" t="str">
            <v/>
          </cell>
          <cell r="BL130" t="str">
            <v/>
          </cell>
          <cell r="BM130" t="str">
            <v/>
          </cell>
          <cell r="BN130" t="str">
            <v/>
          </cell>
          <cell r="BO130" t="str">
            <v/>
          </cell>
          <cell r="BP130" t="str">
            <v/>
          </cell>
          <cell r="BQ130" t="str">
            <v/>
          </cell>
          <cell r="BR130" t="str">
            <v/>
          </cell>
          <cell r="BS130" t="str">
            <v/>
          </cell>
          <cell r="BT130" t="str">
            <v/>
          </cell>
          <cell r="BU130" t="str">
            <v/>
          </cell>
          <cell r="BV130" t="str">
            <v/>
          </cell>
          <cell r="BW130" t="str">
            <v/>
          </cell>
          <cell r="BX130" t="str">
            <v/>
          </cell>
          <cell r="BY130">
            <v>11424222</v>
          </cell>
          <cell r="BZ130" t="str">
            <v/>
          </cell>
          <cell r="CA130" t="str">
            <v/>
          </cell>
          <cell r="CC130" t="str">
            <v/>
          </cell>
          <cell r="CD130" t="str">
            <v/>
          </cell>
          <cell r="CE130" t="str">
            <v/>
          </cell>
          <cell r="CF130" t="str">
            <v/>
          </cell>
        </row>
        <row r="131">
          <cell r="A131">
            <v>250</v>
          </cell>
          <cell r="B131" t="str">
            <v>0250_松風園</v>
          </cell>
          <cell r="C131" t="str">
            <v/>
          </cell>
          <cell r="D131" t="str">
            <v>選手12000</v>
          </cell>
          <cell r="E131" t="str">
            <v/>
          </cell>
          <cell r="F131" t="str">
            <v/>
          </cell>
          <cell r="G131" t="str">
            <v/>
          </cell>
          <cell r="H131">
            <v>16</v>
          </cell>
          <cell r="I131">
            <v>7</v>
          </cell>
          <cell r="J131" t="b">
            <v>0</v>
          </cell>
          <cell r="K131" t="str">
            <v/>
          </cell>
          <cell r="L131">
            <v>2329416</v>
          </cell>
          <cell r="M131">
            <v>0</v>
          </cell>
          <cell r="N131">
            <v>0</v>
          </cell>
          <cell r="O131">
            <v>9450</v>
          </cell>
          <cell r="P131">
            <v>0</v>
          </cell>
          <cell r="Q131">
            <v>2571807.6</v>
          </cell>
          <cell r="R131">
            <v>2571807</v>
          </cell>
          <cell r="S131" t="b">
            <v>0</v>
          </cell>
          <cell r="T131">
            <v>367401</v>
          </cell>
          <cell r="U131">
            <v>0</v>
          </cell>
          <cell r="V131">
            <v>2704706</v>
          </cell>
          <cell r="W131">
            <v>2704706</v>
          </cell>
          <cell r="X131" t="b">
            <v>1</v>
          </cell>
          <cell r="Y131">
            <v>47450.982456140351</v>
          </cell>
          <cell r="AB131" t="str">
            <v/>
          </cell>
          <cell r="AC131">
            <v>2200</v>
          </cell>
          <cell r="AE131">
            <v>103</v>
          </cell>
          <cell r="AF131">
            <v>57</v>
          </cell>
          <cell r="AG131" t="b">
            <v>1</v>
          </cell>
          <cell r="AH131">
            <v>137</v>
          </cell>
          <cell r="AI131" t="str">
            <v/>
          </cell>
          <cell r="AJ131" t="str">
            <v/>
          </cell>
          <cell r="AK131" t="str">
            <v/>
          </cell>
          <cell r="AL131" t="str">
            <v/>
          </cell>
          <cell r="AM131" t="str">
            <v/>
          </cell>
          <cell r="AN131" t="str">
            <v/>
          </cell>
          <cell r="AQ131" t="str">
            <v/>
          </cell>
          <cell r="AV131" t="str">
            <v/>
          </cell>
          <cell r="AW131">
            <v>18</v>
          </cell>
          <cell r="AX131" t="str">
            <v/>
          </cell>
          <cell r="AY131" t="str">
            <v/>
          </cell>
          <cell r="AZ131" t="str">
            <v/>
          </cell>
          <cell r="BA131" t="str">
            <v/>
          </cell>
          <cell r="BB131" t="str">
            <v/>
          </cell>
          <cell r="BC131" t="str">
            <v/>
          </cell>
          <cell r="BD131" t="str">
            <v/>
          </cell>
          <cell r="BE131" t="str">
            <v/>
          </cell>
          <cell r="BF131" t="str">
            <v/>
          </cell>
          <cell r="BG131" t="str">
            <v/>
          </cell>
          <cell r="BH131" t="str">
            <v/>
          </cell>
          <cell r="BI131">
            <v>48684708</v>
          </cell>
          <cell r="BJ131" t="str">
            <v/>
          </cell>
          <cell r="BK131" t="str">
            <v/>
          </cell>
          <cell r="BL131" t="str">
            <v/>
          </cell>
          <cell r="BM131" t="str">
            <v/>
          </cell>
          <cell r="BN131" t="str">
            <v/>
          </cell>
          <cell r="BO131" t="str">
            <v/>
          </cell>
          <cell r="BP131" t="str">
            <v/>
          </cell>
          <cell r="BQ131" t="str">
            <v/>
          </cell>
          <cell r="BR131" t="str">
            <v/>
          </cell>
          <cell r="BS131" t="str">
            <v/>
          </cell>
          <cell r="BT131" t="str">
            <v/>
          </cell>
          <cell r="BU131" t="str">
            <v/>
          </cell>
          <cell r="BV131" t="str">
            <v/>
          </cell>
          <cell r="BW131" t="str">
            <v/>
          </cell>
          <cell r="BX131" t="str">
            <v/>
          </cell>
          <cell r="BY131">
            <v>46292526</v>
          </cell>
          <cell r="BZ131" t="str">
            <v/>
          </cell>
          <cell r="CA131" t="str">
            <v/>
          </cell>
          <cell r="CC131" t="str">
            <v/>
          </cell>
          <cell r="CD131" t="str">
            <v/>
          </cell>
          <cell r="CE131" t="str">
            <v/>
          </cell>
          <cell r="CF131" t="str">
            <v/>
          </cell>
        </row>
        <row r="132">
          <cell r="A132">
            <v>251</v>
          </cell>
          <cell r="B132" t="str">
            <v>0251_株式会社三谷温泉ひがきホテル</v>
          </cell>
          <cell r="C132" t="str">
            <v/>
          </cell>
          <cell r="D132" t="str">
            <v/>
          </cell>
          <cell r="E132" t="str">
            <v/>
          </cell>
          <cell r="F132" t="str">
            <v/>
          </cell>
          <cell r="G132" t="str">
            <v/>
          </cell>
          <cell r="H132">
            <v>13</v>
          </cell>
          <cell r="I132">
            <v>6</v>
          </cell>
          <cell r="J132" t="b">
            <v>0</v>
          </cell>
          <cell r="K132" t="str">
            <v/>
          </cell>
          <cell r="L132">
            <v>1941180</v>
          </cell>
          <cell r="M132">
            <v>0</v>
          </cell>
          <cell r="N132">
            <v>0</v>
          </cell>
          <cell r="O132">
            <v>12150</v>
          </cell>
          <cell r="P132">
            <v>0</v>
          </cell>
          <cell r="Q132">
            <v>2147448</v>
          </cell>
          <cell r="R132">
            <v>2147448</v>
          </cell>
          <cell r="S132" t="b">
            <v>0</v>
          </cell>
          <cell r="T132">
            <v>357908</v>
          </cell>
          <cell r="U132">
            <v>0</v>
          </cell>
          <cell r="V132">
            <v>3015294</v>
          </cell>
          <cell r="W132">
            <v>3015294</v>
          </cell>
          <cell r="X132" t="b">
            <v>1</v>
          </cell>
          <cell r="Y132">
            <v>48633.774193548386</v>
          </cell>
          <cell r="AB132" t="str">
            <v/>
          </cell>
          <cell r="AC132">
            <v>1100</v>
          </cell>
          <cell r="AE132">
            <v>62</v>
          </cell>
          <cell r="AF132">
            <v>62</v>
          </cell>
          <cell r="AG132" t="b">
            <v>1</v>
          </cell>
          <cell r="AH132">
            <v>92</v>
          </cell>
          <cell r="AI132" t="str">
            <v/>
          </cell>
          <cell r="AJ132" t="str">
            <v/>
          </cell>
          <cell r="AK132" t="str">
            <v/>
          </cell>
          <cell r="AL132" t="str">
            <v/>
          </cell>
          <cell r="AM132" t="str">
            <v/>
          </cell>
          <cell r="AN132" t="str">
            <v/>
          </cell>
          <cell r="AQ132" t="str">
            <v/>
          </cell>
          <cell r="AV132" t="str">
            <v/>
          </cell>
          <cell r="AW132" t="str">
            <v/>
          </cell>
          <cell r="AX132" t="str">
            <v/>
          </cell>
          <cell r="AY132" t="str">
            <v/>
          </cell>
          <cell r="AZ132" t="str">
            <v/>
          </cell>
          <cell r="BA132" t="str">
            <v/>
          </cell>
          <cell r="BB132" t="str">
            <v/>
          </cell>
          <cell r="BC132" t="str">
            <v/>
          </cell>
          <cell r="BD132" t="str">
            <v/>
          </cell>
          <cell r="BE132" t="str">
            <v/>
          </cell>
          <cell r="BF132" t="str">
            <v/>
          </cell>
          <cell r="BG132" t="str">
            <v/>
          </cell>
          <cell r="BH132" t="str">
            <v/>
          </cell>
          <cell r="BI132" t="str">
            <v/>
          </cell>
          <cell r="BJ132" t="str">
            <v/>
          </cell>
          <cell r="BK132" t="str">
            <v/>
          </cell>
          <cell r="BL132" t="str">
            <v/>
          </cell>
          <cell r="BM132" t="str">
            <v/>
          </cell>
          <cell r="BN132" t="str">
            <v/>
          </cell>
          <cell r="BO132" t="str">
            <v/>
          </cell>
          <cell r="BP132" t="str">
            <v/>
          </cell>
          <cell r="BQ132" t="str">
            <v/>
          </cell>
          <cell r="BR132" t="str">
            <v/>
          </cell>
          <cell r="BS132" t="str">
            <v/>
          </cell>
          <cell r="BT132" t="str">
            <v/>
          </cell>
          <cell r="BU132" t="str">
            <v/>
          </cell>
          <cell r="BV132" t="str">
            <v/>
          </cell>
          <cell r="BW132" t="str">
            <v/>
          </cell>
          <cell r="BX132" t="str">
            <v/>
          </cell>
          <cell r="BY132" t="str">
            <v/>
          </cell>
          <cell r="BZ132" t="str">
            <v/>
          </cell>
          <cell r="CA132" t="str">
            <v/>
          </cell>
          <cell r="CC132" t="str">
            <v/>
          </cell>
          <cell r="CD132" t="str">
            <v/>
          </cell>
          <cell r="CE132" t="str">
            <v/>
          </cell>
          <cell r="CF132" t="str">
            <v/>
          </cell>
        </row>
        <row r="133">
          <cell r="A133">
            <v>252</v>
          </cell>
          <cell r="B133" t="str">
            <v>0252_株式会社平野屋</v>
          </cell>
          <cell r="C133" t="str">
            <v>選手（修正案）</v>
          </cell>
          <cell r="D133" t="str">
            <v>選手12000</v>
          </cell>
          <cell r="E133" t="str">
            <v/>
          </cell>
          <cell r="F133" t="str">
            <v/>
          </cell>
          <cell r="G133" t="str">
            <v/>
          </cell>
          <cell r="H133">
            <v>14</v>
          </cell>
          <cell r="I133">
            <v>9</v>
          </cell>
          <cell r="J133" t="b">
            <v>1</v>
          </cell>
          <cell r="K133" t="str">
            <v/>
          </cell>
          <cell r="L133">
            <v>3494124</v>
          </cell>
          <cell r="M133">
            <v>0</v>
          </cell>
          <cell r="N133">
            <v>0</v>
          </cell>
          <cell r="O133">
            <v>11850</v>
          </cell>
          <cell r="P133">
            <v>0</v>
          </cell>
          <cell r="Q133">
            <v>3855386.4000000004</v>
          </cell>
          <cell r="R133">
            <v>3855386</v>
          </cell>
          <cell r="S133" t="b">
            <v>1</v>
          </cell>
          <cell r="T133">
            <v>428376.22222222225</v>
          </cell>
          <cell r="U133">
            <v>0</v>
          </cell>
          <cell r="V133">
            <v>1836118</v>
          </cell>
          <cell r="W133">
            <v>1836118</v>
          </cell>
          <cell r="X133" t="b">
            <v>1</v>
          </cell>
          <cell r="Y133">
            <v>30100.295081967211</v>
          </cell>
          <cell r="Z133">
            <v>14118</v>
          </cell>
          <cell r="AA133">
            <v>41412</v>
          </cell>
          <cell r="AB133">
            <v>8492.6827012025915</v>
          </cell>
          <cell r="AC133">
            <v>1100</v>
          </cell>
          <cell r="AE133">
            <v>70</v>
          </cell>
          <cell r="AF133">
            <v>61</v>
          </cell>
          <cell r="AG133" t="b">
            <v>1</v>
          </cell>
          <cell r="AH133">
            <v>103</v>
          </cell>
          <cell r="AI133">
            <v>188</v>
          </cell>
          <cell r="AJ133" t="str">
            <v/>
          </cell>
          <cell r="AK133" t="str">
            <v/>
          </cell>
          <cell r="AL133" t="str">
            <v/>
          </cell>
          <cell r="AM133" t="str">
            <v/>
          </cell>
          <cell r="AN133">
            <v>127</v>
          </cell>
          <cell r="AQ133" t="str">
            <v/>
          </cell>
          <cell r="AV133">
            <v>19</v>
          </cell>
          <cell r="AW133">
            <v>18</v>
          </cell>
          <cell r="AX133" t="str">
            <v/>
          </cell>
          <cell r="AY133" t="str">
            <v/>
          </cell>
          <cell r="AZ133" t="str">
            <v/>
          </cell>
          <cell r="BA133" t="str">
            <v/>
          </cell>
          <cell r="BB133" t="str">
            <v/>
          </cell>
          <cell r="BC133" t="str">
            <v/>
          </cell>
          <cell r="BD133" t="str">
            <v/>
          </cell>
          <cell r="BE133" t="str">
            <v/>
          </cell>
          <cell r="BF133" t="str">
            <v/>
          </cell>
          <cell r="BG133" t="str">
            <v/>
          </cell>
          <cell r="BH133">
            <v>34886242</v>
          </cell>
          <cell r="BI133">
            <v>33050124</v>
          </cell>
          <cell r="BJ133" t="str">
            <v/>
          </cell>
          <cell r="BK133" t="str">
            <v/>
          </cell>
          <cell r="BL133" t="str">
            <v/>
          </cell>
          <cell r="BM133" t="str">
            <v/>
          </cell>
          <cell r="BN133" t="str">
            <v/>
          </cell>
          <cell r="BO133" t="str">
            <v/>
          </cell>
          <cell r="BP133" t="str">
            <v/>
          </cell>
          <cell r="BQ133" t="str">
            <v/>
          </cell>
          <cell r="BR133" t="str">
            <v/>
          </cell>
          <cell r="BS133" t="str">
            <v/>
          </cell>
          <cell r="BT133" t="str">
            <v/>
          </cell>
          <cell r="BU133" t="str">
            <v/>
          </cell>
          <cell r="BV133" t="str">
            <v/>
          </cell>
          <cell r="BW133" t="str">
            <v/>
          </cell>
          <cell r="BX133">
            <v>73252334</v>
          </cell>
          <cell r="BY133">
            <v>69396948</v>
          </cell>
          <cell r="BZ133" t="str">
            <v/>
          </cell>
          <cell r="CA133" t="str">
            <v/>
          </cell>
          <cell r="CC133" t="str">
            <v/>
          </cell>
          <cell r="CD133" t="str">
            <v/>
          </cell>
          <cell r="CE133" t="str">
            <v/>
          </cell>
          <cell r="CF133" t="str">
            <v/>
          </cell>
        </row>
        <row r="134">
          <cell r="A134">
            <v>253</v>
          </cell>
          <cell r="B134" t="str">
            <v>0253_蒲郡ホテル</v>
          </cell>
          <cell r="C134" t="str">
            <v/>
          </cell>
          <cell r="D134" t="str">
            <v>技術役員</v>
          </cell>
          <cell r="E134" t="str">
            <v/>
          </cell>
          <cell r="F134" t="str">
            <v>選手</v>
          </cell>
          <cell r="G134" t="str">
            <v/>
          </cell>
          <cell r="H134">
            <v>11</v>
          </cell>
          <cell r="I134">
            <v>1</v>
          </cell>
          <cell r="J134" t="b">
            <v>0</v>
          </cell>
          <cell r="K134">
            <v>10</v>
          </cell>
          <cell r="L134">
            <v>70589</v>
          </cell>
          <cell r="M134">
            <v>0</v>
          </cell>
          <cell r="N134">
            <v>0</v>
          </cell>
          <cell r="O134">
            <v>16200</v>
          </cell>
          <cell r="P134">
            <v>0</v>
          </cell>
          <cell r="Q134">
            <v>93847.900000000009</v>
          </cell>
          <cell r="R134">
            <v>93847</v>
          </cell>
          <cell r="S134" t="b">
            <v>0</v>
          </cell>
          <cell r="T134">
            <v>93847</v>
          </cell>
          <cell r="U134">
            <v>0</v>
          </cell>
          <cell r="V134">
            <v>2405849</v>
          </cell>
          <cell r="W134">
            <v>2405849</v>
          </cell>
          <cell r="X134" t="b">
            <v>1</v>
          </cell>
          <cell r="Y134">
            <v>21103.938596491229</v>
          </cell>
          <cell r="AB134" t="str">
            <v/>
          </cell>
          <cell r="AE134">
            <v>114</v>
          </cell>
          <cell r="AF134">
            <v>114</v>
          </cell>
          <cell r="AG134" t="b">
            <v>1</v>
          </cell>
          <cell r="AH134">
            <v>119</v>
          </cell>
          <cell r="AI134" t="str">
            <v/>
          </cell>
          <cell r="AJ134">
            <v>80</v>
          </cell>
          <cell r="AK134" t="str">
            <v/>
          </cell>
          <cell r="AL134">
            <v>111</v>
          </cell>
          <cell r="AM134" t="str">
            <v/>
          </cell>
          <cell r="AN134" t="str">
            <v/>
          </cell>
          <cell r="AQ134">
            <v>-3</v>
          </cell>
          <cell r="AV134" t="str">
            <v/>
          </cell>
          <cell r="AW134" t="str">
            <v/>
          </cell>
          <cell r="AX134" t="str">
            <v/>
          </cell>
          <cell r="AY134" t="str">
            <v/>
          </cell>
          <cell r="AZ134" t="str">
            <v/>
          </cell>
          <cell r="BA134">
            <v>11</v>
          </cell>
          <cell r="BB134" t="str">
            <v/>
          </cell>
          <cell r="BC134">
            <v>18</v>
          </cell>
          <cell r="BD134" t="str">
            <v/>
          </cell>
          <cell r="BE134" t="str">
            <v/>
          </cell>
          <cell r="BF134" t="str">
            <v/>
          </cell>
          <cell r="BG134" t="str">
            <v/>
          </cell>
          <cell r="BH134" t="str">
            <v/>
          </cell>
          <cell r="BJ134" t="str">
            <v/>
          </cell>
          <cell r="BK134" t="str">
            <v/>
          </cell>
          <cell r="BL134" t="str">
            <v/>
          </cell>
          <cell r="BM134" t="str">
            <v/>
          </cell>
          <cell r="BN134">
            <v>18571465.964912284</v>
          </cell>
          <cell r="BO134" t="str">
            <v/>
          </cell>
          <cell r="BP134">
            <v>42165669.315789476</v>
          </cell>
          <cell r="BQ134">
            <v>42165669.315789476</v>
          </cell>
          <cell r="BR134" t="str">
            <v/>
          </cell>
          <cell r="BS134" t="str">
            <v/>
          </cell>
          <cell r="BT134" t="str">
            <v/>
          </cell>
          <cell r="BU134" t="str">
            <v/>
          </cell>
          <cell r="BV134" t="str">
            <v/>
          </cell>
          <cell r="BW134" t="str">
            <v/>
          </cell>
          <cell r="BX134" t="str">
            <v/>
          </cell>
          <cell r="BY134" t="str">
            <v/>
          </cell>
          <cell r="BZ134" t="str">
            <v/>
          </cell>
          <cell r="CA134" t="str">
            <v/>
          </cell>
          <cell r="CC134">
            <v>1689246</v>
          </cell>
          <cell r="CD134">
            <v>1689246</v>
          </cell>
          <cell r="CE134" t="str">
            <v/>
          </cell>
          <cell r="CF134" t="str">
            <v/>
          </cell>
        </row>
        <row r="135">
          <cell r="A135">
            <v>256</v>
          </cell>
          <cell r="B135" t="str">
            <v>0256_ホテル東海園</v>
          </cell>
          <cell r="C135" t="str">
            <v>選手（修正案）</v>
          </cell>
          <cell r="D135" t="str">
            <v/>
          </cell>
          <cell r="E135" t="str">
            <v/>
          </cell>
          <cell r="F135" t="str">
            <v/>
          </cell>
          <cell r="G135" t="str">
            <v/>
          </cell>
          <cell r="H135">
            <v>10</v>
          </cell>
          <cell r="I135">
            <v>10</v>
          </cell>
          <cell r="J135" t="b">
            <v>1</v>
          </cell>
          <cell r="L135">
            <v>1576476</v>
          </cell>
          <cell r="Q135">
            <v>1734123.6</v>
          </cell>
          <cell r="R135">
            <v>1734123</v>
          </cell>
          <cell r="S135" t="b">
            <v>1</v>
          </cell>
          <cell r="T135">
            <v>173412.3</v>
          </cell>
          <cell r="U135">
            <v>0</v>
          </cell>
          <cell r="V135">
            <v>1689116</v>
          </cell>
          <cell r="W135">
            <v>1689116</v>
          </cell>
          <cell r="X135" t="b">
            <v>1</v>
          </cell>
          <cell r="Y135">
            <v>20598.975609756097</v>
          </cell>
          <cell r="Z135">
            <v>18118</v>
          </cell>
          <cell r="AA135">
            <v>30589</v>
          </cell>
          <cell r="AB135">
            <v>5828.5576259489308</v>
          </cell>
          <cell r="AE135">
            <v>82</v>
          </cell>
          <cell r="AF135">
            <v>82</v>
          </cell>
          <cell r="AG135" t="b">
            <v>1</v>
          </cell>
          <cell r="AH135">
            <v>300</v>
          </cell>
          <cell r="AI135">
            <v>252</v>
          </cell>
          <cell r="AJ135" t="str">
            <v/>
          </cell>
          <cell r="AK135" t="str">
            <v/>
          </cell>
          <cell r="AV135">
            <v>21</v>
          </cell>
          <cell r="AW135" t="str">
            <v/>
          </cell>
          <cell r="AX135" t="str">
            <v/>
          </cell>
          <cell r="AY135" t="str">
            <v/>
          </cell>
          <cell r="AZ135" t="str">
            <v/>
          </cell>
          <cell r="BA135" t="str">
            <v/>
          </cell>
          <cell r="BB135" t="str">
            <v/>
          </cell>
          <cell r="BC135" t="str">
            <v/>
          </cell>
          <cell r="BD135" t="str">
            <v/>
          </cell>
          <cell r="BE135" t="str">
            <v/>
          </cell>
          <cell r="BF135" t="str">
            <v/>
          </cell>
          <cell r="BG135" t="str">
            <v/>
          </cell>
          <cell r="BH135">
            <v>35471436</v>
          </cell>
          <cell r="BI135" t="str">
            <v/>
          </cell>
          <cell r="BJ135" t="str">
            <v/>
          </cell>
          <cell r="BK135" t="str">
            <v/>
          </cell>
          <cell r="BL135" t="str">
            <v/>
          </cell>
          <cell r="BM135" t="str">
            <v/>
          </cell>
          <cell r="BN135" t="str">
            <v/>
          </cell>
          <cell r="BO135" t="str">
            <v/>
          </cell>
          <cell r="BP135" t="str">
            <v/>
          </cell>
          <cell r="BQ135" t="str">
            <v/>
          </cell>
          <cell r="BR135" t="str">
            <v/>
          </cell>
          <cell r="BS135" t="str">
            <v/>
          </cell>
          <cell r="BT135" t="str">
            <v/>
          </cell>
          <cell r="BU135" t="str">
            <v/>
          </cell>
          <cell r="BV135" t="str">
            <v/>
          </cell>
          <cell r="BW135" t="str">
            <v/>
          </cell>
          <cell r="BX135">
            <v>36416583</v>
          </cell>
          <cell r="BY135" t="str">
            <v/>
          </cell>
          <cell r="BZ135" t="str">
            <v/>
          </cell>
          <cell r="CA135" t="str">
            <v/>
          </cell>
          <cell r="CC135" t="str">
            <v/>
          </cell>
          <cell r="CD135" t="str">
            <v/>
          </cell>
          <cell r="CE135" t="str">
            <v/>
          </cell>
          <cell r="CF135" t="str">
            <v/>
          </cell>
        </row>
        <row r="136">
          <cell r="A136">
            <v>257</v>
          </cell>
          <cell r="B136" t="str">
            <v>0257_和のリゾートはづ</v>
          </cell>
          <cell r="C136" t="str">
            <v/>
          </cell>
          <cell r="D136" t="str">
            <v/>
          </cell>
          <cell r="E136" t="str">
            <v/>
          </cell>
          <cell r="F136" t="str">
            <v/>
          </cell>
          <cell r="G136" t="str">
            <v/>
          </cell>
          <cell r="H136">
            <v>8</v>
          </cell>
          <cell r="I136">
            <v>4</v>
          </cell>
          <cell r="J136" t="b">
            <v>0</v>
          </cell>
          <cell r="K136" t="str">
            <v/>
          </cell>
          <cell r="L136">
            <v>823533</v>
          </cell>
          <cell r="M136">
            <v>0</v>
          </cell>
          <cell r="N136">
            <v>0</v>
          </cell>
          <cell r="O136">
            <v>0</v>
          </cell>
          <cell r="P136">
            <v>0</v>
          </cell>
          <cell r="Q136">
            <v>905886.3</v>
          </cell>
          <cell r="R136">
            <v>905886</v>
          </cell>
          <cell r="S136" t="b">
            <v>0</v>
          </cell>
          <cell r="T136">
            <v>226471.5</v>
          </cell>
          <cell r="U136">
            <v>0</v>
          </cell>
          <cell r="V136">
            <v>2329412</v>
          </cell>
          <cell r="W136">
            <v>2329412</v>
          </cell>
          <cell r="X136" t="b">
            <v>1</v>
          </cell>
          <cell r="Y136">
            <v>55462.190476190473</v>
          </cell>
          <cell r="AB136" t="str">
            <v/>
          </cell>
          <cell r="AE136">
            <v>42</v>
          </cell>
          <cell r="AF136">
            <v>42</v>
          </cell>
          <cell r="AG136" t="b">
            <v>1</v>
          </cell>
          <cell r="AH136">
            <v>89</v>
          </cell>
          <cell r="AI136" t="str">
            <v/>
          </cell>
          <cell r="AJ136" t="str">
            <v/>
          </cell>
          <cell r="AK136" t="str">
            <v/>
          </cell>
          <cell r="AL136" t="str">
            <v/>
          </cell>
          <cell r="AM136" t="str">
            <v/>
          </cell>
          <cell r="AN136" t="str">
            <v/>
          </cell>
          <cell r="AQ136" t="str">
            <v/>
          </cell>
          <cell r="AV136" t="str">
            <v/>
          </cell>
          <cell r="AW136" t="str">
            <v/>
          </cell>
          <cell r="AX136" t="str">
            <v/>
          </cell>
          <cell r="AY136" t="str">
            <v/>
          </cell>
          <cell r="AZ136" t="str">
            <v/>
          </cell>
          <cell r="BA136" t="str">
            <v/>
          </cell>
          <cell r="BB136" t="str">
            <v/>
          </cell>
          <cell r="BC136" t="str">
            <v/>
          </cell>
          <cell r="BD136" t="str">
            <v/>
          </cell>
          <cell r="BE136" t="str">
            <v/>
          </cell>
          <cell r="BF136" t="str">
            <v/>
          </cell>
          <cell r="BG136" t="str">
            <v/>
          </cell>
          <cell r="BH136" t="str">
            <v/>
          </cell>
          <cell r="BJ136" t="str">
            <v/>
          </cell>
          <cell r="BK136" t="str">
            <v/>
          </cell>
          <cell r="BL136" t="str">
            <v/>
          </cell>
          <cell r="BM136" t="str">
            <v/>
          </cell>
          <cell r="BN136" t="str">
            <v/>
          </cell>
          <cell r="BO136" t="str">
            <v/>
          </cell>
          <cell r="BP136" t="str">
            <v/>
          </cell>
          <cell r="BQ136" t="str">
            <v/>
          </cell>
          <cell r="BR136" t="str">
            <v/>
          </cell>
          <cell r="BS136" t="str">
            <v/>
          </cell>
          <cell r="BT136" t="str">
            <v/>
          </cell>
          <cell r="BU136" t="str">
            <v/>
          </cell>
          <cell r="BV136" t="str">
            <v/>
          </cell>
          <cell r="BW136" t="str">
            <v/>
          </cell>
          <cell r="BX136" t="str">
            <v/>
          </cell>
          <cell r="BY136" t="str">
            <v/>
          </cell>
          <cell r="BZ136" t="str">
            <v/>
          </cell>
          <cell r="CA136" t="str">
            <v/>
          </cell>
          <cell r="CC136" t="str">
            <v/>
          </cell>
          <cell r="CD136" t="str">
            <v/>
          </cell>
          <cell r="CE136" t="str">
            <v/>
          </cell>
          <cell r="CF136" t="str">
            <v/>
          </cell>
        </row>
        <row r="137">
          <cell r="A137">
            <v>260</v>
          </cell>
          <cell r="B137" t="str">
            <v>0260_蒲郡クラシックホテル</v>
          </cell>
          <cell r="C137" t="str">
            <v/>
          </cell>
          <cell r="D137" t="str">
            <v/>
          </cell>
          <cell r="E137" t="str">
            <v/>
          </cell>
          <cell r="F137" t="str">
            <v/>
          </cell>
          <cell r="G137" t="str">
            <v/>
          </cell>
          <cell r="H137">
            <v>8</v>
          </cell>
          <cell r="I137">
            <v>6</v>
          </cell>
          <cell r="J137" t="b">
            <v>0</v>
          </cell>
          <cell r="K137" t="str">
            <v/>
          </cell>
          <cell r="L137">
            <v>1617651</v>
          </cell>
          <cell r="M137">
            <v>0</v>
          </cell>
          <cell r="N137">
            <v>0</v>
          </cell>
          <cell r="O137">
            <v>0</v>
          </cell>
          <cell r="P137">
            <v>0</v>
          </cell>
          <cell r="Q137">
            <v>1779416.1</v>
          </cell>
          <cell r="R137">
            <v>1837652</v>
          </cell>
          <cell r="S137" t="b">
            <v>0</v>
          </cell>
          <cell r="T137">
            <v>306275.33333333331</v>
          </cell>
          <cell r="U137">
            <v>0</v>
          </cell>
          <cell r="V137">
            <v>1301905</v>
          </cell>
          <cell r="W137">
            <v>1301905</v>
          </cell>
          <cell r="X137" t="b">
            <v>1</v>
          </cell>
          <cell r="Y137">
            <v>48218.703703703701</v>
          </cell>
          <cell r="AB137" t="str">
            <v/>
          </cell>
          <cell r="AE137">
            <v>42</v>
          </cell>
          <cell r="AF137">
            <v>27</v>
          </cell>
          <cell r="AG137" t="b">
            <v>1</v>
          </cell>
          <cell r="AH137">
            <v>89</v>
          </cell>
          <cell r="AI137" t="str">
            <v/>
          </cell>
          <cell r="AJ137" t="str">
            <v/>
          </cell>
          <cell r="AK137" t="str">
            <v/>
          </cell>
          <cell r="AL137" t="str">
            <v/>
          </cell>
          <cell r="AM137" t="str">
            <v/>
          </cell>
          <cell r="AN137" t="str">
            <v/>
          </cell>
          <cell r="AQ137" t="str">
            <v/>
          </cell>
          <cell r="AV137" t="str">
            <v/>
          </cell>
          <cell r="AW137" t="str">
            <v/>
          </cell>
          <cell r="AX137" t="str">
            <v/>
          </cell>
          <cell r="AY137" t="str">
            <v/>
          </cell>
          <cell r="AZ137" t="str">
            <v/>
          </cell>
          <cell r="BA137" t="str">
            <v/>
          </cell>
          <cell r="BB137" t="str">
            <v/>
          </cell>
          <cell r="BC137" t="str">
            <v/>
          </cell>
          <cell r="BD137" t="str">
            <v/>
          </cell>
          <cell r="BE137" t="str">
            <v/>
          </cell>
          <cell r="BF137" t="str">
            <v/>
          </cell>
          <cell r="BG137" t="str">
            <v/>
          </cell>
          <cell r="BH137" t="str">
            <v/>
          </cell>
          <cell r="BJ137" t="str">
            <v/>
          </cell>
          <cell r="BK137" t="str">
            <v/>
          </cell>
          <cell r="BL137" t="str">
            <v/>
          </cell>
          <cell r="BM137" t="str">
            <v/>
          </cell>
          <cell r="BN137" t="str">
            <v/>
          </cell>
          <cell r="BO137" t="str">
            <v/>
          </cell>
          <cell r="BP137" t="str">
            <v/>
          </cell>
          <cell r="BQ137" t="str">
            <v/>
          </cell>
          <cell r="BR137" t="str">
            <v/>
          </cell>
          <cell r="BS137" t="str">
            <v/>
          </cell>
          <cell r="BT137" t="str">
            <v/>
          </cell>
          <cell r="BU137" t="str">
            <v/>
          </cell>
          <cell r="BV137" t="str">
            <v/>
          </cell>
          <cell r="BW137" t="str">
            <v/>
          </cell>
          <cell r="BX137" t="str">
            <v/>
          </cell>
          <cell r="BY137" t="str">
            <v/>
          </cell>
          <cell r="BZ137" t="str">
            <v/>
          </cell>
          <cell r="CA137" t="str">
            <v/>
          </cell>
          <cell r="CC137" t="str">
            <v/>
          </cell>
          <cell r="CD137" t="str">
            <v/>
          </cell>
          <cell r="CE137" t="str">
            <v/>
          </cell>
          <cell r="CF137" t="str">
            <v/>
          </cell>
        </row>
        <row r="138">
          <cell r="A138">
            <v>261</v>
          </cell>
          <cell r="B138" t="str">
            <v>0261_ホテル竹島</v>
          </cell>
          <cell r="C138" t="str">
            <v>選手（修正案）</v>
          </cell>
          <cell r="D138" t="str">
            <v>選手12000</v>
          </cell>
          <cell r="E138" t="str">
            <v/>
          </cell>
          <cell r="F138" t="str">
            <v/>
          </cell>
          <cell r="G138" t="str">
            <v/>
          </cell>
          <cell r="H138">
            <v>8</v>
          </cell>
          <cell r="I138">
            <v>0</v>
          </cell>
          <cell r="J138" t="b">
            <v>1</v>
          </cell>
          <cell r="K138" t="str">
            <v/>
          </cell>
          <cell r="L138">
            <v>0</v>
          </cell>
          <cell r="M138">
            <v>0</v>
          </cell>
          <cell r="N138">
            <v>0</v>
          </cell>
          <cell r="O138">
            <v>18000</v>
          </cell>
          <cell r="P138">
            <v>0</v>
          </cell>
          <cell r="Q138">
            <v>18000</v>
          </cell>
          <cell r="R138">
            <v>2606235</v>
          </cell>
          <cell r="S138" t="b">
            <v>1</v>
          </cell>
          <cell r="T138" t="str">
            <v/>
          </cell>
          <cell r="U138">
            <v>0</v>
          </cell>
          <cell r="V138">
            <v>3882353</v>
          </cell>
          <cell r="W138">
            <v>3882353</v>
          </cell>
          <cell r="X138" t="b">
            <v>1</v>
          </cell>
          <cell r="Y138">
            <v>47345.768292682929</v>
          </cell>
          <cell r="Z138">
            <v>5882353</v>
          </cell>
          <cell r="AA138">
            <v>5882353</v>
          </cell>
          <cell r="AB138">
            <v>23282.476761619189</v>
          </cell>
          <cell r="AC138">
            <v>1100</v>
          </cell>
          <cell r="AE138">
            <v>82</v>
          </cell>
          <cell r="AF138">
            <v>82</v>
          </cell>
          <cell r="AG138" t="b">
            <v>1</v>
          </cell>
          <cell r="AH138">
            <v>122</v>
          </cell>
          <cell r="AI138">
            <v>145</v>
          </cell>
          <cell r="AJ138" t="str">
            <v/>
          </cell>
          <cell r="AK138" t="str">
            <v/>
          </cell>
          <cell r="AL138" t="str">
            <v/>
          </cell>
          <cell r="AM138" t="str">
            <v/>
          </cell>
          <cell r="AN138">
            <v>63</v>
          </cell>
          <cell r="AQ138" t="str">
            <v/>
          </cell>
          <cell r="AV138">
            <v>21</v>
          </cell>
          <cell r="AW138">
            <v>14</v>
          </cell>
          <cell r="AX138" t="str">
            <v/>
          </cell>
          <cell r="AY138" t="str">
            <v/>
          </cell>
          <cell r="AZ138" t="str">
            <v/>
          </cell>
          <cell r="BA138" t="str">
            <v/>
          </cell>
          <cell r="BB138" t="str">
            <v/>
          </cell>
          <cell r="BC138" t="str">
            <v/>
          </cell>
          <cell r="BD138" t="str">
            <v/>
          </cell>
          <cell r="BE138" t="str">
            <v/>
          </cell>
          <cell r="BF138" t="str">
            <v/>
          </cell>
          <cell r="BG138" t="str">
            <v/>
          </cell>
          <cell r="BH138">
            <v>81529413</v>
          </cell>
          <cell r="BI138">
            <v>54352942</v>
          </cell>
          <cell r="BJ138" t="str">
            <v/>
          </cell>
          <cell r="BK138" t="str">
            <v/>
          </cell>
          <cell r="BL138" t="str">
            <v/>
          </cell>
          <cell r="BM138" t="str">
            <v/>
          </cell>
          <cell r="BN138" t="str">
            <v/>
          </cell>
          <cell r="BO138" t="str">
            <v/>
          </cell>
          <cell r="BP138" t="str">
            <v/>
          </cell>
          <cell r="BQ138" t="str">
            <v/>
          </cell>
          <cell r="BR138" t="str">
            <v/>
          </cell>
          <cell r="BS138" t="str">
            <v/>
          </cell>
          <cell r="BT138" t="str">
            <v/>
          </cell>
          <cell r="BU138" t="str">
            <v/>
          </cell>
          <cell r="BV138" t="str">
            <v/>
          </cell>
          <cell r="BW138" t="str">
            <v/>
          </cell>
          <cell r="BX138" t="str">
            <v/>
          </cell>
          <cell r="BY138" t="str">
            <v/>
          </cell>
          <cell r="BZ138" t="str">
            <v/>
          </cell>
          <cell r="CA138" t="str">
            <v/>
          </cell>
          <cell r="CC138" t="str">
            <v/>
          </cell>
          <cell r="CD138" t="str">
            <v/>
          </cell>
          <cell r="CE138" t="str">
            <v/>
          </cell>
          <cell r="CF138" t="str">
            <v/>
          </cell>
        </row>
        <row r="139">
          <cell r="A139">
            <v>269</v>
          </cell>
          <cell r="B139" t="str">
            <v>0269_ホテルルートイン豊川インター</v>
          </cell>
          <cell r="C139" t="str">
            <v/>
          </cell>
          <cell r="D139" t="str">
            <v>技術役員</v>
          </cell>
          <cell r="E139" t="str">
            <v/>
          </cell>
          <cell r="F139" t="str">
            <v/>
          </cell>
          <cell r="G139" t="str">
            <v/>
          </cell>
          <cell r="H139">
            <v>0</v>
          </cell>
          <cell r="I139">
            <v>0</v>
          </cell>
          <cell r="J139" t="b">
            <v>0</v>
          </cell>
          <cell r="K139" t="str">
            <v/>
          </cell>
          <cell r="L139">
            <v>0</v>
          </cell>
          <cell r="M139">
            <v>0</v>
          </cell>
          <cell r="N139">
            <v>0</v>
          </cell>
          <cell r="O139">
            <v>0</v>
          </cell>
          <cell r="P139">
            <v>0</v>
          </cell>
          <cell r="Q139">
            <v>0</v>
          </cell>
          <cell r="R139">
            <v>0</v>
          </cell>
          <cell r="S139" t="b">
            <v>1</v>
          </cell>
          <cell r="T139" t="str">
            <v/>
          </cell>
          <cell r="U139">
            <v>0</v>
          </cell>
          <cell r="V139">
            <v>2139812</v>
          </cell>
          <cell r="W139">
            <v>2139812</v>
          </cell>
          <cell r="X139" t="b">
            <v>1</v>
          </cell>
          <cell r="Y139">
            <v>15733.911764705883</v>
          </cell>
          <cell r="AB139" t="str">
            <v/>
          </cell>
          <cell r="AE139">
            <v>162</v>
          </cell>
          <cell r="AF139">
            <v>136</v>
          </cell>
          <cell r="AG139" t="b">
            <v>1</v>
          </cell>
          <cell r="AH139">
            <v>162</v>
          </cell>
          <cell r="AI139" t="str">
            <v/>
          </cell>
          <cell r="AJ139">
            <v>111</v>
          </cell>
          <cell r="AK139" t="str">
            <v/>
          </cell>
          <cell r="AL139" t="str">
            <v/>
          </cell>
          <cell r="AM139" t="str">
            <v/>
          </cell>
          <cell r="AN139" t="str">
            <v/>
          </cell>
          <cell r="AQ139" t="str">
            <v/>
          </cell>
          <cell r="AV139" t="str">
            <v/>
          </cell>
          <cell r="AW139" t="str">
            <v/>
          </cell>
          <cell r="AX139" t="str">
            <v/>
          </cell>
          <cell r="AY139" t="str">
            <v/>
          </cell>
          <cell r="AZ139" t="str">
            <v/>
          </cell>
          <cell r="BA139">
            <v>11</v>
          </cell>
          <cell r="BB139" t="str">
            <v/>
          </cell>
          <cell r="BC139" t="str">
            <v/>
          </cell>
          <cell r="BD139" t="str">
            <v/>
          </cell>
          <cell r="BE139" t="str">
            <v/>
          </cell>
          <cell r="BF139" t="str">
            <v/>
          </cell>
          <cell r="BG139" t="str">
            <v/>
          </cell>
          <cell r="BH139" t="str">
            <v/>
          </cell>
          <cell r="BJ139" t="str">
            <v/>
          </cell>
          <cell r="BK139" t="str">
            <v/>
          </cell>
          <cell r="BL139" t="str">
            <v/>
          </cell>
          <cell r="BM139" t="str">
            <v/>
          </cell>
          <cell r="BN139">
            <v>19211106.264705881</v>
          </cell>
          <cell r="BO139" t="str">
            <v/>
          </cell>
          <cell r="BP139" t="str">
            <v/>
          </cell>
          <cell r="BQ139" t="str">
            <v/>
          </cell>
          <cell r="BR139" t="str">
            <v/>
          </cell>
          <cell r="BS139" t="str">
            <v/>
          </cell>
          <cell r="BT139" t="str">
            <v/>
          </cell>
          <cell r="BU139" t="str">
            <v/>
          </cell>
          <cell r="BV139" t="str">
            <v/>
          </cell>
          <cell r="BW139" t="str">
            <v/>
          </cell>
          <cell r="BX139" t="str">
            <v/>
          </cell>
          <cell r="BY139" t="str">
            <v/>
          </cell>
          <cell r="BZ139" t="str">
            <v/>
          </cell>
          <cell r="CA139" t="str">
            <v/>
          </cell>
          <cell r="CC139" t="str">
            <v/>
          </cell>
          <cell r="CD139" t="str">
            <v/>
          </cell>
          <cell r="CE139" t="str">
            <v/>
          </cell>
          <cell r="CF139" t="str">
            <v/>
          </cell>
        </row>
        <row r="140">
          <cell r="A140">
            <v>275</v>
          </cell>
          <cell r="B140" t="str">
            <v>0275_シーパレスリゾート</v>
          </cell>
          <cell r="C140" t="str">
            <v/>
          </cell>
          <cell r="D140" t="str">
            <v/>
          </cell>
          <cell r="E140" t="str">
            <v/>
          </cell>
          <cell r="F140" t="str">
            <v/>
          </cell>
          <cell r="G140" t="str">
            <v/>
          </cell>
          <cell r="H140">
            <v>8</v>
          </cell>
          <cell r="I140">
            <v>2</v>
          </cell>
          <cell r="J140" t="b">
            <v>0</v>
          </cell>
          <cell r="K140" t="str">
            <v/>
          </cell>
          <cell r="L140">
            <v>535295</v>
          </cell>
          <cell r="M140">
            <v>0</v>
          </cell>
          <cell r="N140">
            <v>0</v>
          </cell>
          <cell r="O140">
            <v>0</v>
          </cell>
          <cell r="P140">
            <v>0</v>
          </cell>
          <cell r="Q140">
            <v>588824.5</v>
          </cell>
          <cell r="R140">
            <v>588824</v>
          </cell>
          <cell r="S140" t="b">
            <v>0</v>
          </cell>
          <cell r="T140">
            <v>294412</v>
          </cell>
          <cell r="U140">
            <v>0</v>
          </cell>
          <cell r="V140">
            <v>5595794</v>
          </cell>
          <cell r="W140">
            <v>5595794</v>
          </cell>
          <cell r="X140" t="b">
            <v>1</v>
          </cell>
          <cell r="Y140">
            <v>103625.81481481482</v>
          </cell>
          <cell r="AB140" t="str">
            <v/>
          </cell>
          <cell r="AE140">
            <v>54</v>
          </cell>
          <cell r="AF140">
            <v>54</v>
          </cell>
          <cell r="AG140" t="b">
            <v>1</v>
          </cell>
          <cell r="AH140">
            <v>180</v>
          </cell>
          <cell r="AI140" t="str">
            <v/>
          </cell>
          <cell r="AJ140" t="str">
            <v/>
          </cell>
          <cell r="AK140" t="str">
            <v/>
          </cell>
          <cell r="AL140" t="str">
            <v/>
          </cell>
          <cell r="AM140" t="str">
            <v/>
          </cell>
          <cell r="AN140" t="str">
            <v/>
          </cell>
          <cell r="AQ140" t="str">
            <v/>
          </cell>
          <cell r="AV140" t="str">
            <v/>
          </cell>
          <cell r="AW140" t="str">
            <v/>
          </cell>
          <cell r="AX140" t="str">
            <v/>
          </cell>
          <cell r="AY140" t="str">
            <v/>
          </cell>
          <cell r="AZ140" t="str">
            <v/>
          </cell>
          <cell r="BA140" t="str">
            <v/>
          </cell>
          <cell r="BB140" t="str">
            <v/>
          </cell>
          <cell r="BC140" t="str">
            <v/>
          </cell>
          <cell r="BD140" t="str">
            <v/>
          </cell>
          <cell r="BE140" t="str">
            <v/>
          </cell>
          <cell r="BF140" t="str">
            <v/>
          </cell>
          <cell r="BG140" t="str">
            <v/>
          </cell>
          <cell r="BH140" t="str">
            <v/>
          </cell>
          <cell r="BJ140" t="str">
            <v/>
          </cell>
          <cell r="BK140" t="str">
            <v/>
          </cell>
          <cell r="BL140" t="str">
            <v/>
          </cell>
          <cell r="BM140" t="str">
            <v/>
          </cell>
          <cell r="BN140" t="str">
            <v/>
          </cell>
          <cell r="BO140" t="str">
            <v/>
          </cell>
          <cell r="BP140" t="str">
            <v/>
          </cell>
          <cell r="BQ140" t="str">
            <v/>
          </cell>
          <cell r="BR140" t="str">
            <v/>
          </cell>
          <cell r="BS140" t="str">
            <v/>
          </cell>
          <cell r="BT140" t="str">
            <v/>
          </cell>
          <cell r="BU140" t="str">
            <v/>
          </cell>
          <cell r="BV140" t="str">
            <v/>
          </cell>
          <cell r="BW140" t="str">
            <v/>
          </cell>
          <cell r="BX140" t="str">
            <v/>
          </cell>
          <cell r="BY140" t="str">
            <v/>
          </cell>
          <cell r="BZ140" t="str">
            <v/>
          </cell>
          <cell r="CA140" t="str">
            <v/>
          </cell>
          <cell r="CC140" t="str">
            <v/>
          </cell>
          <cell r="CD140" t="str">
            <v/>
          </cell>
          <cell r="CE140" t="str">
            <v/>
          </cell>
          <cell r="CF140" t="str">
            <v/>
          </cell>
        </row>
        <row r="141">
          <cell r="A141">
            <v>278</v>
          </cell>
          <cell r="B141" t="str">
            <v>0278_ホテルアソシア豊橋</v>
          </cell>
          <cell r="C141" t="str">
            <v/>
          </cell>
          <cell r="D141" t="str">
            <v>選手12000</v>
          </cell>
          <cell r="E141" t="str">
            <v/>
          </cell>
          <cell r="F141" t="str">
            <v>選手</v>
          </cell>
          <cell r="G141" t="str">
            <v/>
          </cell>
          <cell r="H141">
            <v>9</v>
          </cell>
          <cell r="I141">
            <v>7</v>
          </cell>
          <cell r="J141" t="b">
            <v>0</v>
          </cell>
          <cell r="K141">
            <v>2</v>
          </cell>
          <cell r="L141">
            <v>3887651</v>
          </cell>
          <cell r="M141">
            <v>45297</v>
          </cell>
          <cell r="N141">
            <v>0</v>
          </cell>
          <cell r="O141">
            <v>0</v>
          </cell>
          <cell r="P141">
            <v>0</v>
          </cell>
          <cell r="Q141">
            <v>4326242.8000000007</v>
          </cell>
          <cell r="R141">
            <v>4326242</v>
          </cell>
          <cell r="S141" t="b">
            <v>0</v>
          </cell>
          <cell r="T141">
            <v>618034.57142857148</v>
          </cell>
          <cell r="U141">
            <v>0</v>
          </cell>
          <cell r="V141">
            <v>8042568</v>
          </cell>
          <cell r="W141">
            <v>8042568</v>
          </cell>
          <cell r="X141" t="b">
            <v>1</v>
          </cell>
          <cell r="Y141">
            <v>36227.783783783787</v>
          </cell>
          <cell r="AB141" t="str">
            <v/>
          </cell>
          <cell r="AC141">
            <v>2300</v>
          </cell>
          <cell r="AE141">
            <v>277</v>
          </cell>
          <cell r="AF141">
            <v>222</v>
          </cell>
          <cell r="AG141" t="b">
            <v>1</v>
          </cell>
          <cell r="AH141">
            <v>277</v>
          </cell>
          <cell r="AI141" t="str">
            <v/>
          </cell>
          <cell r="AJ141" t="str">
            <v/>
          </cell>
          <cell r="AK141" t="str">
            <v/>
          </cell>
          <cell r="AL141">
            <v>222</v>
          </cell>
          <cell r="AM141" t="str">
            <v/>
          </cell>
          <cell r="AN141" t="str">
            <v/>
          </cell>
          <cell r="AQ141">
            <v>0</v>
          </cell>
          <cell r="AV141" t="str">
            <v/>
          </cell>
          <cell r="AW141">
            <v>26</v>
          </cell>
          <cell r="AX141" t="str">
            <v/>
          </cell>
          <cell r="AY141" t="str">
            <v/>
          </cell>
          <cell r="AZ141" t="str">
            <v/>
          </cell>
          <cell r="BA141" t="str">
            <v/>
          </cell>
          <cell r="BB141" t="str">
            <v/>
          </cell>
          <cell r="BC141">
            <v>18</v>
          </cell>
          <cell r="BD141" t="str">
            <v/>
          </cell>
          <cell r="BE141" t="str">
            <v/>
          </cell>
          <cell r="BF141" t="str">
            <v/>
          </cell>
          <cell r="BG141" t="str">
            <v/>
          </cell>
          <cell r="BH141" t="str">
            <v/>
          </cell>
          <cell r="BI141">
            <v>209106768</v>
          </cell>
          <cell r="BJ141" t="str">
            <v/>
          </cell>
          <cell r="BK141" t="str">
            <v/>
          </cell>
          <cell r="BL141" t="str">
            <v/>
          </cell>
          <cell r="BM141" t="str">
            <v/>
          </cell>
          <cell r="BN141" t="str">
            <v/>
          </cell>
          <cell r="BO141" t="str">
            <v/>
          </cell>
          <cell r="BP141">
            <v>144766224.00000003</v>
          </cell>
          <cell r="BQ141">
            <v>144766224.00000003</v>
          </cell>
          <cell r="BR141" t="str">
            <v/>
          </cell>
          <cell r="BS141" t="str">
            <v/>
          </cell>
          <cell r="BT141" t="str">
            <v/>
          </cell>
          <cell r="BU141" t="str">
            <v/>
          </cell>
          <cell r="BV141" t="str">
            <v/>
          </cell>
          <cell r="BW141" t="str">
            <v/>
          </cell>
          <cell r="BX141" t="str">
            <v/>
          </cell>
          <cell r="BY141">
            <v>112482292</v>
          </cell>
          <cell r="BZ141" t="str">
            <v/>
          </cell>
          <cell r="CA141" t="str">
            <v/>
          </cell>
          <cell r="CC141">
            <v>77872356</v>
          </cell>
          <cell r="CD141">
            <v>77872356</v>
          </cell>
          <cell r="CE141" t="str">
            <v/>
          </cell>
          <cell r="CF141" t="str">
            <v/>
          </cell>
        </row>
        <row r="142">
          <cell r="A142">
            <v>281</v>
          </cell>
          <cell r="B142" t="str">
            <v>0281_ロワジール豊橋</v>
          </cell>
          <cell r="C142" t="str">
            <v>選手（修正案）</v>
          </cell>
          <cell r="D142" t="str">
            <v>選手12000</v>
          </cell>
          <cell r="E142" t="str">
            <v/>
          </cell>
          <cell r="F142" t="str">
            <v>選手</v>
          </cell>
          <cell r="G142" t="str">
            <v/>
          </cell>
          <cell r="H142">
            <v>24</v>
          </cell>
          <cell r="I142">
            <v>7</v>
          </cell>
          <cell r="J142" t="b">
            <v>1</v>
          </cell>
          <cell r="K142">
            <v>17</v>
          </cell>
          <cell r="L142">
            <v>2714123</v>
          </cell>
          <cell r="M142">
            <v>0</v>
          </cell>
          <cell r="N142">
            <v>0</v>
          </cell>
          <cell r="O142">
            <v>0</v>
          </cell>
          <cell r="P142">
            <v>0</v>
          </cell>
          <cell r="Q142">
            <v>2985535.3000000003</v>
          </cell>
          <cell r="R142">
            <v>966709</v>
          </cell>
          <cell r="S142" t="b">
            <v>1</v>
          </cell>
          <cell r="T142">
            <v>138101.28571428571</v>
          </cell>
          <cell r="U142">
            <v>-1126129</v>
          </cell>
          <cell r="V142">
            <v>5730264</v>
          </cell>
          <cell r="W142">
            <v>6856393</v>
          </cell>
          <cell r="X142" t="b">
            <v>1</v>
          </cell>
          <cell r="Y142">
            <v>29810.404347826086</v>
          </cell>
          <cell r="Z142">
            <v>18996</v>
          </cell>
          <cell r="AA142">
            <v>32643</v>
          </cell>
          <cell r="AB142">
            <v>13801.11312399356</v>
          </cell>
          <cell r="AC142">
            <v>2000</v>
          </cell>
          <cell r="AE142">
            <v>377</v>
          </cell>
          <cell r="AF142">
            <v>230</v>
          </cell>
          <cell r="AG142" t="b">
            <v>1</v>
          </cell>
          <cell r="AH142">
            <v>643</v>
          </cell>
          <cell r="AI142">
            <v>432</v>
          </cell>
          <cell r="AJ142" t="str">
            <v/>
          </cell>
          <cell r="AK142" t="str">
            <v/>
          </cell>
          <cell r="AL142">
            <v>377</v>
          </cell>
          <cell r="AM142" t="str">
            <v/>
          </cell>
          <cell r="AN142">
            <v>202</v>
          </cell>
          <cell r="AQ142">
            <v>147</v>
          </cell>
          <cell r="AV142">
            <v>21</v>
          </cell>
          <cell r="AW142">
            <v>25</v>
          </cell>
          <cell r="AX142" t="str">
            <v/>
          </cell>
          <cell r="AY142" t="str">
            <v/>
          </cell>
          <cell r="AZ142" t="str">
            <v/>
          </cell>
          <cell r="BA142" t="str">
            <v/>
          </cell>
          <cell r="BB142" t="str">
            <v/>
          </cell>
          <cell r="BC142">
            <v>18</v>
          </cell>
          <cell r="BD142" t="str">
            <v/>
          </cell>
          <cell r="BE142" t="str">
            <v/>
          </cell>
          <cell r="BF142" t="str">
            <v/>
          </cell>
          <cell r="BG142" t="str">
            <v/>
          </cell>
          <cell r="BH142">
            <v>143984253</v>
          </cell>
          <cell r="BI142">
            <v>171409825</v>
          </cell>
          <cell r="BJ142" t="str">
            <v/>
          </cell>
          <cell r="BK142" t="str">
            <v/>
          </cell>
          <cell r="BL142" t="str">
            <v/>
          </cell>
          <cell r="BM142" t="str">
            <v/>
          </cell>
          <cell r="BN142" t="str">
            <v/>
          </cell>
          <cell r="BO142" t="str">
            <v/>
          </cell>
          <cell r="BP142">
            <v>202293403.90434784</v>
          </cell>
          <cell r="BQ142">
            <v>202293403.90434784</v>
          </cell>
          <cell r="BR142" t="str">
            <v/>
          </cell>
          <cell r="BS142" t="str">
            <v/>
          </cell>
          <cell r="BT142" t="str">
            <v/>
          </cell>
          <cell r="BU142" t="str">
            <v/>
          </cell>
          <cell r="BV142" t="str">
            <v/>
          </cell>
          <cell r="BW142" t="str">
            <v/>
          </cell>
          <cell r="BX142">
            <v>20300889</v>
          </cell>
          <cell r="BY142">
            <v>24167725</v>
          </cell>
          <cell r="BZ142" t="str">
            <v/>
          </cell>
          <cell r="CA142" t="str">
            <v/>
          </cell>
          <cell r="CC142">
            <v>17400762</v>
          </cell>
          <cell r="CD142">
            <v>17400762</v>
          </cell>
          <cell r="CE142" t="str">
            <v/>
          </cell>
          <cell r="CF142" t="str">
            <v/>
          </cell>
        </row>
        <row r="143">
          <cell r="A143">
            <v>282</v>
          </cell>
          <cell r="B143" t="str">
            <v>0282_ホテルアークリッシュ豊橋</v>
          </cell>
          <cell r="C143" t="str">
            <v/>
          </cell>
          <cell r="D143" t="str">
            <v/>
          </cell>
          <cell r="E143" t="str">
            <v/>
          </cell>
          <cell r="F143" t="str">
            <v>技術役員</v>
          </cell>
          <cell r="G143" t="str">
            <v>DCO</v>
          </cell>
          <cell r="H143">
            <v>8</v>
          </cell>
          <cell r="I143">
            <v>4</v>
          </cell>
          <cell r="J143" t="b">
            <v>0</v>
          </cell>
          <cell r="K143" t="str">
            <v/>
          </cell>
          <cell r="L143">
            <v>1599143</v>
          </cell>
          <cell r="M143">
            <v>7060</v>
          </cell>
          <cell r="N143">
            <v>0</v>
          </cell>
          <cell r="O143">
            <v>0</v>
          </cell>
          <cell r="P143">
            <v>0</v>
          </cell>
          <cell r="Q143">
            <v>1766823.3</v>
          </cell>
          <cell r="R143">
            <v>1766823</v>
          </cell>
          <cell r="S143" t="b">
            <v>0</v>
          </cell>
          <cell r="T143">
            <v>441705.75</v>
          </cell>
          <cell r="U143">
            <v>0</v>
          </cell>
          <cell r="V143">
            <v>1879952</v>
          </cell>
          <cell r="W143">
            <v>1879952</v>
          </cell>
          <cell r="X143" t="b">
            <v>1</v>
          </cell>
          <cell r="Y143">
            <v>22650.024096385543</v>
          </cell>
          <cell r="AB143" t="str">
            <v/>
          </cell>
          <cell r="AE143">
            <v>91</v>
          </cell>
          <cell r="AF143">
            <v>83</v>
          </cell>
          <cell r="AG143" t="b">
            <v>1</v>
          </cell>
          <cell r="AH143">
            <v>109</v>
          </cell>
          <cell r="AI143" t="str">
            <v/>
          </cell>
          <cell r="AJ143" t="str">
            <v/>
          </cell>
          <cell r="AK143" t="str">
            <v/>
          </cell>
          <cell r="AL143">
            <v>51</v>
          </cell>
          <cell r="AM143">
            <v>21</v>
          </cell>
          <cell r="AN143" t="str">
            <v/>
          </cell>
          <cell r="AO143" t="str">
            <v/>
          </cell>
          <cell r="AQ143">
            <v>-32</v>
          </cell>
          <cell r="AR143">
            <v>-62</v>
          </cell>
          <cell r="AV143" t="str">
            <v/>
          </cell>
          <cell r="AW143" t="str">
            <v/>
          </cell>
          <cell r="AX143" t="str">
            <v/>
          </cell>
          <cell r="AY143" t="str">
            <v/>
          </cell>
          <cell r="AZ143" t="str">
            <v/>
          </cell>
          <cell r="BA143" t="str">
            <v/>
          </cell>
          <cell r="BB143" t="str">
            <v/>
          </cell>
          <cell r="BC143" t="str">
            <v/>
          </cell>
          <cell r="BD143" t="str">
            <v/>
          </cell>
          <cell r="BE143" t="str">
            <v/>
          </cell>
          <cell r="BF143">
            <v>10</v>
          </cell>
          <cell r="BG143">
            <v>15</v>
          </cell>
          <cell r="BH143" t="str">
            <v/>
          </cell>
          <cell r="BJ143" t="str">
            <v/>
          </cell>
          <cell r="BK143" t="str">
            <v/>
          </cell>
          <cell r="BL143" t="str">
            <v/>
          </cell>
          <cell r="BM143" t="str">
            <v/>
          </cell>
          <cell r="BN143" t="str">
            <v/>
          </cell>
          <cell r="BO143" t="str">
            <v/>
          </cell>
          <cell r="BP143" t="str">
            <v/>
          </cell>
          <cell r="BQ143" t="str">
            <v/>
          </cell>
          <cell r="BR143" t="str">
            <v/>
          </cell>
          <cell r="BS143" t="str">
            <v/>
          </cell>
          <cell r="BT143" t="str">
            <v/>
          </cell>
          <cell r="BU143" t="str">
            <v/>
          </cell>
          <cell r="BV143">
            <v>11551512.289156627</v>
          </cell>
          <cell r="BW143">
            <v>7134757.5903614461</v>
          </cell>
          <cell r="BX143" t="str">
            <v/>
          </cell>
          <cell r="BY143" t="str">
            <v/>
          </cell>
          <cell r="BZ143" t="str">
            <v/>
          </cell>
          <cell r="CA143" t="str">
            <v/>
          </cell>
          <cell r="CC143" t="str">
            <v/>
          </cell>
          <cell r="CD143" t="str">
            <v/>
          </cell>
          <cell r="CE143" t="str">
            <v/>
          </cell>
          <cell r="CF143" t="str">
            <v/>
          </cell>
        </row>
        <row r="144">
          <cell r="A144">
            <v>283</v>
          </cell>
          <cell r="B144" t="str">
            <v>0283_東横INN豊橋駅東口</v>
          </cell>
          <cell r="C144" t="str">
            <v>メディア</v>
          </cell>
          <cell r="D144" t="str">
            <v/>
          </cell>
          <cell r="E144" t="str">
            <v/>
          </cell>
          <cell r="F144" t="str">
            <v/>
          </cell>
          <cell r="G144" t="str">
            <v/>
          </cell>
          <cell r="H144">
            <v>0</v>
          </cell>
          <cell r="I144">
            <v>0</v>
          </cell>
          <cell r="J144" t="b">
            <v>0</v>
          </cell>
          <cell r="K144" t="str">
            <v/>
          </cell>
          <cell r="L144">
            <v>0</v>
          </cell>
          <cell r="M144">
            <v>0</v>
          </cell>
          <cell r="N144">
            <v>0</v>
          </cell>
          <cell r="O144">
            <v>0</v>
          </cell>
          <cell r="P144">
            <v>0</v>
          </cell>
          <cell r="Q144">
            <v>0</v>
          </cell>
          <cell r="R144">
            <v>0</v>
          </cell>
          <cell r="S144" t="b">
            <v>1</v>
          </cell>
          <cell r="T144" t="str">
            <v/>
          </cell>
          <cell r="U144">
            <v>0</v>
          </cell>
          <cell r="V144">
            <v>801927</v>
          </cell>
          <cell r="W144">
            <v>801927</v>
          </cell>
          <cell r="X144" t="b">
            <v>1</v>
          </cell>
          <cell r="Y144">
            <v>8182.9285714285716</v>
          </cell>
          <cell r="AB144">
            <v>10565.573122529646</v>
          </cell>
          <cell r="AE144">
            <v>135</v>
          </cell>
          <cell r="AF144">
            <v>98</v>
          </cell>
          <cell r="AG144" t="b">
            <v>1</v>
          </cell>
          <cell r="AH144">
            <v>135</v>
          </cell>
          <cell r="AI144">
            <v>66</v>
          </cell>
          <cell r="AJ144" t="str">
            <v/>
          </cell>
          <cell r="AK144" t="str">
            <v/>
          </cell>
          <cell r="AL144" t="str">
            <v/>
          </cell>
          <cell r="AM144" t="str">
            <v/>
          </cell>
          <cell r="AN144">
            <v>-32</v>
          </cell>
          <cell r="AQ144" t="str">
            <v/>
          </cell>
          <cell r="AV144" t="str">
            <v/>
          </cell>
          <cell r="AW144" t="str">
            <v/>
          </cell>
          <cell r="AX144" t="str">
            <v/>
          </cell>
          <cell r="AY144" t="str">
            <v/>
          </cell>
          <cell r="AZ144">
            <v>32</v>
          </cell>
          <cell r="BA144" t="str">
            <v/>
          </cell>
          <cell r="BB144" t="str">
            <v/>
          </cell>
          <cell r="BC144" t="str">
            <v/>
          </cell>
          <cell r="BD144" t="str">
            <v/>
          </cell>
          <cell r="BE144" t="str">
            <v/>
          </cell>
          <cell r="BF144" t="str">
            <v/>
          </cell>
          <cell r="BG144" t="str">
            <v/>
          </cell>
          <cell r="BH144" t="str">
            <v/>
          </cell>
          <cell r="BJ144" t="str">
            <v/>
          </cell>
          <cell r="BK144">
            <v>17282345.142857142</v>
          </cell>
          <cell r="BL144" t="str">
            <v/>
          </cell>
          <cell r="BM144" t="str">
            <v/>
          </cell>
          <cell r="BN144" t="str">
            <v/>
          </cell>
          <cell r="BO144" t="str">
            <v/>
          </cell>
          <cell r="BP144" t="str">
            <v/>
          </cell>
          <cell r="BQ144" t="str">
            <v/>
          </cell>
          <cell r="BR144" t="str">
            <v/>
          </cell>
          <cell r="BS144" t="str">
            <v/>
          </cell>
          <cell r="BT144" t="str">
            <v/>
          </cell>
          <cell r="BU144" t="str">
            <v/>
          </cell>
          <cell r="BV144" t="str">
            <v/>
          </cell>
          <cell r="BW144" t="str">
            <v/>
          </cell>
          <cell r="BX144" t="str">
            <v/>
          </cell>
          <cell r="BY144" t="str">
            <v/>
          </cell>
          <cell r="BZ144" t="str">
            <v/>
          </cell>
          <cell r="CA144" t="str">
            <v/>
          </cell>
          <cell r="CC144" t="str">
            <v/>
          </cell>
          <cell r="CD144" t="str">
            <v/>
          </cell>
          <cell r="CE144" t="str">
            <v/>
          </cell>
          <cell r="CF144" t="str">
            <v/>
          </cell>
        </row>
        <row r="145">
          <cell r="A145">
            <v>287</v>
          </cell>
          <cell r="B145" t="str">
            <v>0287_コンフォートホテル豊橋</v>
          </cell>
          <cell r="C145" t="str">
            <v/>
          </cell>
          <cell r="D145" t="str">
            <v/>
          </cell>
          <cell r="E145" t="str">
            <v/>
          </cell>
          <cell r="F145" t="str">
            <v/>
          </cell>
          <cell r="G145" t="str">
            <v/>
          </cell>
          <cell r="H145">
            <v>0</v>
          </cell>
          <cell r="I145">
            <v>0</v>
          </cell>
          <cell r="J145" t="b">
            <v>0</v>
          </cell>
          <cell r="K145" t="str">
            <v/>
          </cell>
          <cell r="L145">
            <v>0</v>
          </cell>
          <cell r="M145">
            <v>0</v>
          </cell>
          <cell r="N145">
            <v>0</v>
          </cell>
          <cell r="O145">
            <v>0</v>
          </cell>
          <cell r="P145">
            <v>0</v>
          </cell>
          <cell r="Q145">
            <v>0</v>
          </cell>
          <cell r="R145">
            <v>0</v>
          </cell>
          <cell r="S145" t="b">
            <v>1</v>
          </cell>
          <cell r="T145" t="str">
            <v/>
          </cell>
          <cell r="U145">
            <v>-652251</v>
          </cell>
          <cell r="V145">
            <v>2337588</v>
          </cell>
          <cell r="W145">
            <v>2989839</v>
          </cell>
          <cell r="X145" t="b">
            <v>1</v>
          </cell>
          <cell r="Y145">
            <v>22650.295454545456</v>
          </cell>
          <cell r="AB145" t="str">
            <v/>
          </cell>
          <cell r="AE145">
            <v>133</v>
          </cell>
          <cell r="AF145">
            <v>132</v>
          </cell>
          <cell r="AG145" t="b">
            <v>1</v>
          </cell>
          <cell r="AH145">
            <v>153</v>
          </cell>
          <cell r="AI145" t="str">
            <v/>
          </cell>
          <cell r="AJ145" t="str">
            <v/>
          </cell>
          <cell r="AK145" t="str">
            <v/>
          </cell>
          <cell r="AL145" t="str">
            <v/>
          </cell>
          <cell r="AM145" t="str">
            <v/>
          </cell>
          <cell r="AN145" t="str">
            <v/>
          </cell>
          <cell r="AQ145" t="str">
            <v/>
          </cell>
          <cell r="AR145" t="str">
            <v/>
          </cell>
          <cell r="AV145" t="str">
            <v/>
          </cell>
          <cell r="AW145" t="str">
            <v/>
          </cell>
          <cell r="AX145" t="str">
            <v/>
          </cell>
          <cell r="AY145" t="str">
            <v/>
          </cell>
          <cell r="AZ145" t="str">
            <v/>
          </cell>
          <cell r="BA145" t="str">
            <v/>
          </cell>
          <cell r="BB145" t="str">
            <v/>
          </cell>
          <cell r="BC145" t="str">
            <v/>
          </cell>
          <cell r="BD145" t="str">
            <v/>
          </cell>
          <cell r="BE145" t="str">
            <v/>
          </cell>
          <cell r="BF145" t="str">
            <v/>
          </cell>
          <cell r="BG145" t="str">
            <v/>
          </cell>
          <cell r="BH145" t="str">
            <v/>
          </cell>
          <cell r="BJ145" t="str">
            <v/>
          </cell>
          <cell r="BK145" t="str">
            <v/>
          </cell>
          <cell r="BL145" t="str">
            <v/>
          </cell>
          <cell r="BM145" t="str">
            <v/>
          </cell>
          <cell r="BN145" t="str">
            <v/>
          </cell>
          <cell r="BO145" t="str">
            <v/>
          </cell>
          <cell r="BP145" t="str">
            <v/>
          </cell>
          <cell r="BQ145" t="str">
            <v/>
          </cell>
          <cell r="BR145" t="str">
            <v/>
          </cell>
          <cell r="BS145" t="str">
            <v/>
          </cell>
          <cell r="BT145" t="str">
            <v/>
          </cell>
          <cell r="BU145" t="str">
            <v/>
          </cell>
          <cell r="BV145" t="str">
            <v/>
          </cell>
          <cell r="BW145" t="str">
            <v/>
          </cell>
          <cell r="BX145" t="str">
            <v/>
          </cell>
          <cell r="BY145" t="str">
            <v/>
          </cell>
          <cell r="BZ145" t="str">
            <v/>
          </cell>
          <cell r="CA145" t="str">
            <v/>
          </cell>
          <cell r="CC145" t="str">
            <v/>
          </cell>
          <cell r="CD145" t="str">
            <v/>
          </cell>
          <cell r="CE145" t="str">
            <v/>
          </cell>
          <cell r="CF145" t="str">
            <v/>
          </cell>
        </row>
        <row r="146">
          <cell r="A146">
            <v>288</v>
          </cell>
          <cell r="B146" t="str">
            <v>0288_ホテルルートイン豊橋駅前</v>
          </cell>
          <cell r="C146" t="str">
            <v>メディア</v>
          </cell>
          <cell r="D146" t="str">
            <v>技術役員</v>
          </cell>
          <cell r="E146" t="str">
            <v>DCO</v>
          </cell>
          <cell r="F146" t="str">
            <v/>
          </cell>
          <cell r="G146" t="str">
            <v/>
          </cell>
          <cell r="H146">
            <v>0</v>
          </cell>
          <cell r="I146">
            <v>0</v>
          </cell>
          <cell r="J146" t="b">
            <v>0</v>
          </cell>
          <cell r="K146" t="str">
            <v/>
          </cell>
          <cell r="L146">
            <v>0</v>
          </cell>
          <cell r="M146">
            <v>0</v>
          </cell>
          <cell r="N146">
            <v>0</v>
          </cell>
          <cell r="O146">
            <v>0</v>
          </cell>
          <cell r="P146">
            <v>0</v>
          </cell>
          <cell r="Q146">
            <v>0</v>
          </cell>
          <cell r="R146">
            <v>0</v>
          </cell>
          <cell r="S146" t="b">
            <v>1</v>
          </cell>
          <cell r="T146" t="str">
            <v/>
          </cell>
          <cell r="U146">
            <v>0</v>
          </cell>
          <cell r="V146">
            <v>1273454</v>
          </cell>
          <cell r="W146">
            <v>1273454</v>
          </cell>
          <cell r="X146" t="b">
            <v>1</v>
          </cell>
          <cell r="Y146">
            <v>10106.777777777777</v>
          </cell>
          <cell r="AB146">
            <v>11534.909420289856</v>
          </cell>
          <cell r="AE146">
            <v>196</v>
          </cell>
          <cell r="AF146">
            <v>126</v>
          </cell>
          <cell r="AG146" t="b">
            <v>1</v>
          </cell>
          <cell r="AH146">
            <v>196</v>
          </cell>
          <cell r="AI146">
            <v>96</v>
          </cell>
          <cell r="AJ146">
            <v>59</v>
          </cell>
          <cell r="AK146">
            <v>70</v>
          </cell>
          <cell r="AL146" t="str">
            <v/>
          </cell>
          <cell r="AM146" t="str">
            <v/>
          </cell>
          <cell r="AN146">
            <v>-30</v>
          </cell>
          <cell r="AO146">
            <v>-67</v>
          </cell>
          <cell r="AQ146" t="str">
            <v/>
          </cell>
          <cell r="AV146" t="str">
            <v/>
          </cell>
          <cell r="AW146" t="str">
            <v/>
          </cell>
          <cell r="AX146" t="str">
            <v/>
          </cell>
          <cell r="AY146" t="str">
            <v/>
          </cell>
          <cell r="AZ146">
            <v>32</v>
          </cell>
          <cell r="BA146">
            <v>11</v>
          </cell>
          <cell r="BB146">
            <v>32</v>
          </cell>
          <cell r="BC146" t="str">
            <v/>
          </cell>
          <cell r="BD146" t="str">
            <v/>
          </cell>
          <cell r="BE146" t="str">
            <v/>
          </cell>
          <cell r="BF146" t="str">
            <v/>
          </cell>
          <cell r="BG146" t="str">
            <v/>
          </cell>
          <cell r="BH146" t="str">
            <v/>
          </cell>
          <cell r="BJ146" t="str">
            <v/>
          </cell>
          <cell r="BK146">
            <v>31048021.333333332</v>
          </cell>
          <cell r="BL146" t="str">
            <v/>
          </cell>
          <cell r="BM146" t="str">
            <v/>
          </cell>
          <cell r="BN146">
            <v>6559298.777777778</v>
          </cell>
          <cell r="BO146">
            <v>22639182.22222222</v>
          </cell>
          <cell r="BP146" t="str">
            <v/>
          </cell>
          <cell r="BQ146" t="str">
            <v/>
          </cell>
          <cell r="BR146" t="str">
            <v/>
          </cell>
          <cell r="BS146" t="str">
            <v/>
          </cell>
          <cell r="BT146" t="str">
            <v/>
          </cell>
          <cell r="BU146" t="str">
            <v/>
          </cell>
          <cell r="BV146" t="str">
            <v/>
          </cell>
          <cell r="BW146" t="str">
            <v/>
          </cell>
          <cell r="BX146" t="str">
            <v/>
          </cell>
          <cell r="BY146" t="str">
            <v/>
          </cell>
          <cell r="BZ146" t="str">
            <v/>
          </cell>
          <cell r="CA146" t="str">
            <v/>
          </cell>
          <cell r="CC146" t="str">
            <v/>
          </cell>
          <cell r="CD146" t="str">
            <v/>
          </cell>
          <cell r="CE146" t="str">
            <v/>
          </cell>
          <cell r="CF146" t="str">
            <v/>
          </cell>
        </row>
        <row r="147">
          <cell r="A147">
            <v>290</v>
          </cell>
          <cell r="B147" t="str">
            <v>0290_ジャストインプレミアム豊橋駅新幹線口</v>
          </cell>
          <cell r="C147" t="str">
            <v>メディア</v>
          </cell>
          <cell r="D147" t="str">
            <v/>
          </cell>
          <cell r="E147" t="str">
            <v/>
          </cell>
          <cell r="F147" t="str">
            <v/>
          </cell>
          <cell r="G147" t="str">
            <v/>
          </cell>
          <cell r="H147">
            <v>0</v>
          </cell>
          <cell r="I147">
            <v>0</v>
          </cell>
          <cell r="J147" t="b">
            <v>0</v>
          </cell>
          <cell r="K147" t="str">
            <v/>
          </cell>
          <cell r="L147">
            <v>0</v>
          </cell>
          <cell r="M147">
            <v>0</v>
          </cell>
          <cell r="N147">
            <v>0</v>
          </cell>
          <cell r="O147">
            <v>0</v>
          </cell>
          <cell r="P147">
            <v>0</v>
          </cell>
          <cell r="Q147">
            <v>0</v>
          </cell>
          <cell r="R147">
            <v>0</v>
          </cell>
          <cell r="S147" t="b">
            <v>1</v>
          </cell>
          <cell r="T147" t="str">
            <v/>
          </cell>
          <cell r="U147">
            <v>0</v>
          </cell>
          <cell r="V147">
            <v>543543</v>
          </cell>
          <cell r="W147">
            <v>543543</v>
          </cell>
          <cell r="X147" t="b">
            <v>1</v>
          </cell>
          <cell r="Y147">
            <v>7764.9</v>
          </cell>
          <cell r="AB147">
            <v>5626.739130434783</v>
          </cell>
          <cell r="AE147">
            <v>171</v>
          </cell>
          <cell r="AF147">
            <v>70</v>
          </cell>
          <cell r="AG147" t="b">
            <v>1</v>
          </cell>
          <cell r="AH147">
            <v>177</v>
          </cell>
          <cell r="AI147">
            <v>84</v>
          </cell>
          <cell r="AJ147" t="str">
            <v/>
          </cell>
          <cell r="AK147" t="str">
            <v/>
          </cell>
          <cell r="AL147" t="str">
            <v/>
          </cell>
          <cell r="AM147" t="str">
            <v/>
          </cell>
          <cell r="AN147">
            <v>14</v>
          </cell>
          <cell r="AQ147" t="str">
            <v/>
          </cell>
          <cell r="AV147" t="str">
            <v/>
          </cell>
          <cell r="AW147" t="str">
            <v/>
          </cell>
          <cell r="AX147" t="str">
            <v/>
          </cell>
          <cell r="AY147" t="str">
            <v/>
          </cell>
          <cell r="AZ147">
            <v>32</v>
          </cell>
          <cell r="BA147" t="str">
            <v/>
          </cell>
          <cell r="BB147" t="str">
            <v/>
          </cell>
          <cell r="BC147" t="str">
            <v/>
          </cell>
          <cell r="BD147" t="str">
            <v/>
          </cell>
          <cell r="BE147" t="str">
            <v/>
          </cell>
          <cell r="BF147" t="str">
            <v/>
          </cell>
          <cell r="BG147" t="str">
            <v/>
          </cell>
          <cell r="BH147" t="str">
            <v/>
          </cell>
          <cell r="BJ147" t="str">
            <v/>
          </cell>
          <cell r="BK147">
            <v>20872051.199999999</v>
          </cell>
          <cell r="BL147" t="str">
            <v/>
          </cell>
          <cell r="BM147" t="str">
            <v/>
          </cell>
          <cell r="BN147" t="str">
            <v/>
          </cell>
          <cell r="BO147" t="str">
            <v/>
          </cell>
          <cell r="BP147" t="str">
            <v/>
          </cell>
          <cell r="BQ147" t="str">
            <v/>
          </cell>
          <cell r="BR147" t="str">
            <v/>
          </cell>
          <cell r="BS147" t="str">
            <v/>
          </cell>
          <cell r="BT147" t="str">
            <v/>
          </cell>
          <cell r="BU147" t="str">
            <v/>
          </cell>
          <cell r="BV147" t="str">
            <v/>
          </cell>
          <cell r="BW147" t="str">
            <v/>
          </cell>
          <cell r="BX147" t="str">
            <v/>
          </cell>
          <cell r="BY147" t="str">
            <v/>
          </cell>
          <cell r="BZ147" t="str">
            <v/>
          </cell>
          <cell r="CA147" t="str">
            <v/>
          </cell>
          <cell r="CC147" t="str">
            <v/>
          </cell>
          <cell r="CD147" t="str">
            <v/>
          </cell>
          <cell r="CE147" t="str">
            <v/>
          </cell>
          <cell r="CF147" t="str">
            <v/>
          </cell>
        </row>
        <row r="148">
          <cell r="A148">
            <v>292</v>
          </cell>
          <cell r="B148" t="str">
            <v>0292_マーレホテル東海</v>
          </cell>
          <cell r="C148" t="str">
            <v/>
          </cell>
          <cell r="D148" t="str">
            <v/>
          </cell>
          <cell r="E148" t="str">
            <v/>
          </cell>
          <cell r="F148" t="str">
            <v/>
          </cell>
          <cell r="G148" t="str">
            <v/>
          </cell>
          <cell r="H148">
            <v>0</v>
          </cell>
          <cell r="I148">
            <v>0</v>
          </cell>
          <cell r="J148" t="b">
            <v>0</v>
          </cell>
          <cell r="K148" t="str">
            <v/>
          </cell>
          <cell r="L148">
            <v>0</v>
          </cell>
          <cell r="M148">
            <v>0</v>
          </cell>
          <cell r="N148">
            <v>0</v>
          </cell>
          <cell r="O148">
            <v>0</v>
          </cell>
          <cell r="P148">
            <v>0</v>
          </cell>
          <cell r="Q148">
            <v>0</v>
          </cell>
          <cell r="R148">
            <v>0</v>
          </cell>
          <cell r="S148" t="b">
            <v>1</v>
          </cell>
          <cell r="T148" t="str">
            <v/>
          </cell>
          <cell r="U148">
            <v>0</v>
          </cell>
          <cell r="V148">
            <v>964616</v>
          </cell>
          <cell r="W148">
            <v>964616</v>
          </cell>
          <cell r="X148" t="b">
            <v>0</v>
          </cell>
          <cell r="Y148">
            <v>8536.424778761062</v>
          </cell>
          <cell r="AB148" t="str">
            <v/>
          </cell>
          <cell r="AE148">
            <v>113</v>
          </cell>
          <cell r="AF148">
            <v>113</v>
          </cell>
          <cell r="AG148" t="b">
            <v>0</v>
          </cell>
          <cell r="AH148">
            <v>113</v>
          </cell>
          <cell r="AI148" t="str">
            <v/>
          </cell>
          <cell r="AJ148" t="str">
            <v/>
          </cell>
          <cell r="AK148" t="str">
            <v/>
          </cell>
          <cell r="AL148" t="str">
            <v/>
          </cell>
          <cell r="AM148" t="str">
            <v/>
          </cell>
          <cell r="AN148" t="str">
            <v/>
          </cell>
          <cell r="AQ148" t="str">
            <v/>
          </cell>
          <cell r="AV148" t="str">
            <v/>
          </cell>
          <cell r="AW148" t="str">
            <v/>
          </cell>
          <cell r="AX148" t="str">
            <v/>
          </cell>
          <cell r="AY148" t="str">
            <v/>
          </cell>
          <cell r="AZ148" t="str">
            <v/>
          </cell>
          <cell r="BA148" t="str">
            <v/>
          </cell>
          <cell r="BB148" t="str">
            <v/>
          </cell>
          <cell r="BC148" t="str">
            <v/>
          </cell>
          <cell r="BD148" t="str">
            <v/>
          </cell>
          <cell r="BE148" t="str">
            <v/>
          </cell>
          <cell r="BF148" t="str">
            <v/>
          </cell>
          <cell r="BG148" t="str">
            <v/>
          </cell>
          <cell r="BH148" t="str">
            <v/>
          </cell>
          <cell r="BJ148" t="str">
            <v/>
          </cell>
          <cell r="BK148" t="str">
            <v/>
          </cell>
          <cell r="BL148" t="str">
            <v/>
          </cell>
          <cell r="BM148" t="str">
            <v/>
          </cell>
          <cell r="BN148" t="str">
            <v/>
          </cell>
          <cell r="BO148" t="str">
            <v/>
          </cell>
          <cell r="BP148" t="str">
            <v/>
          </cell>
          <cell r="BQ148" t="str">
            <v/>
          </cell>
          <cell r="BR148" t="str">
            <v/>
          </cell>
          <cell r="BS148" t="str">
            <v/>
          </cell>
          <cell r="BT148" t="str">
            <v/>
          </cell>
          <cell r="BU148" t="str">
            <v/>
          </cell>
          <cell r="BV148" t="str">
            <v/>
          </cell>
          <cell r="BW148" t="str">
            <v/>
          </cell>
          <cell r="BX148" t="str">
            <v/>
          </cell>
          <cell r="BY148" t="str">
            <v/>
          </cell>
          <cell r="BZ148" t="str">
            <v/>
          </cell>
          <cell r="CA148" t="str">
            <v/>
          </cell>
          <cell r="CC148" t="str">
            <v/>
          </cell>
          <cell r="CD148" t="str">
            <v/>
          </cell>
          <cell r="CE148" t="str">
            <v/>
          </cell>
          <cell r="CF148" t="str">
            <v/>
          </cell>
        </row>
        <row r="149">
          <cell r="A149">
            <v>293</v>
          </cell>
          <cell r="B149" t="str">
            <v>0293_ザ・カトーホテル</v>
          </cell>
          <cell r="C149" t="str">
            <v/>
          </cell>
          <cell r="D149" t="str">
            <v/>
          </cell>
          <cell r="E149" t="str">
            <v/>
          </cell>
          <cell r="F149" t="str">
            <v/>
          </cell>
          <cell r="G149" t="str">
            <v/>
          </cell>
          <cell r="H149">
            <v>0</v>
          </cell>
          <cell r="I149">
            <v>0</v>
          </cell>
          <cell r="J149" t="b">
            <v>0</v>
          </cell>
          <cell r="K149" t="str">
            <v/>
          </cell>
          <cell r="L149">
            <v>0</v>
          </cell>
          <cell r="M149">
            <v>0</v>
          </cell>
          <cell r="N149">
            <v>0</v>
          </cell>
          <cell r="O149">
            <v>0</v>
          </cell>
          <cell r="P149">
            <v>0</v>
          </cell>
          <cell r="Q149">
            <v>0</v>
          </cell>
          <cell r="R149">
            <v>0</v>
          </cell>
          <cell r="S149" t="b">
            <v>1</v>
          </cell>
          <cell r="T149" t="str">
            <v/>
          </cell>
          <cell r="U149">
            <v>0</v>
          </cell>
          <cell r="V149">
            <v>2337584</v>
          </cell>
          <cell r="W149">
            <v>2337584</v>
          </cell>
          <cell r="X149" t="b">
            <v>1</v>
          </cell>
          <cell r="Y149">
            <v>24867.91489361702</v>
          </cell>
          <cell r="AB149" t="str">
            <v/>
          </cell>
          <cell r="AE149">
            <v>113</v>
          </cell>
          <cell r="AF149">
            <v>94</v>
          </cell>
          <cell r="AG149" t="b">
            <v>1</v>
          </cell>
          <cell r="AH149">
            <v>97</v>
          </cell>
          <cell r="AI149" t="str">
            <v/>
          </cell>
          <cell r="AJ149" t="str">
            <v/>
          </cell>
          <cell r="AK149" t="str">
            <v/>
          </cell>
          <cell r="AL149" t="str">
            <v/>
          </cell>
          <cell r="AM149" t="str">
            <v/>
          </cell>
          <cell r="AN149" t="str">
            <v/>
          </cell>
          <cell r="AQ149" t="str">
            <v/>
          </cell>
          <cell r="AV149" t="str">
            <v/>
          </cell>
          <cell r="AW149" t="str">
            <v/>
          </cell>
          <cell r="AX149" t="str">
            <v/>
          </cell>
          <cell r="AY149" t="str">
            <v/>
          </cell>
          <cell r="AZ149" t="str">
            <v/>
          </cell>
          <cell r="BA149" t="str">
            <v/>
          </cell>
          <cell r="BB149" t="str">
            <v/>
          </cell>
          <cell r="BC149" t="str">
            <v/>
          </cell>
          <cell r="BD149" t="str">
            <v/>
          </cell>
          <cell r="BE149" t="str">
            <v/>
          </cell>
          <cell r="BF149" t="str">
            <v/>
          </cell>
          <cell r="BG149" t="str">
            <v/>
          </cell>
          <cell r="BH149" t="str">
            <v/>
          </cell>
          <cell r="BJ149" t="str">
            <v/>
          </cell>
          <cell r="BK149" t="str">
            <v/>
          </cell>
          <cell r="BL149" t="str">
            <v/>
          </cell>
          <cell r="BM149" t="str">
            <v/>
          </cell>
          <cell r="BN149" t="str">
            <v/>
          </cell>
          <cell r="BO149" t="str">
            <v/>
          </cell>
          <cell r="BP149" t="str">
            <v/>
          </cell>
          <cell r="BQ149" t="str">
            <v/>
          </cell>
          <cell r="BR149" t="str">
            <v/>
          </cell>
          <cell r="BS149" t="str">
            <v/>
          </cell>
          <cell r="BT149" t="str">
            <v/>
          </cell>
          <cell r="BU149" t="str">
            <v/>
          </cell>
          <cell r="BV149" t="str">
            <v/>
          </cell>
          <cell r="BW149" t="str">
            <v/>
          </cell>
          <cell r="BX149" t="str">
            <v/>
          </cell>
          <cell r="BY149" t="str">
            <v/>
          </cell>
          <cell r="BZ149" t="str">
            <v/>
          </cell>
          <cell r="CA149" t="str">
            <v/>
          </cell>
          <cell r="CC149" t="str">
            <v/>
          </cell>
          <cell r="CD149" t="str">
            <v/>
          </cell>
          <cell r="CE149" t="str">
            <v/>
          </cell>
          <cell r="CF149" t="str">
            <v/>
          </cell>
        </row>
        <row r="150">
          <cell r="A150">
            <v>295</v>
          </cell>
          <cell r="B150" t="str">
            <v>0295_東海シティホテル</v>
          </cell>
          <cell r="C150" t="str">
            <v/>
          </cell>
          <cell r="D150" t="str">
            <v>技術役員</v>
          </cell>
          <cell r="E150" t="str">
            <v/>
          </cell>
          <cell r="F150" t="str">
            <v/>
          </cell>
          <cell r="G150" t="str">
            <v/>
          </cell>
          <cell r="H150">
            <v>1</v>
          </cell>
          <cell r="I150">
            <v>1</v>
          </cell>
          <cell r="J150" t="b">
            <v>0</v>
          </cell>
          <cell r="K150" t="str">
            <v/>
          </cell>
          <cell r="L150">
            <v>117648</v>
          </cell>
          <cell r="M150">
            <v>0</v>
          </cell>
          <cell r="N150">
            <v>0</v>
          </cell>
          <cell r="O150">
            <v>0</v>
          </cell>
          <cell r="P150">
            <v>0</v>
          </cell>
          <cell r="Q150">
            <v>129412.80000000002</v>
          </cell>
          <cell r="R150">
            <v>129412</v>
          </cell>
          <cell r="S150" t="b">
            <v>0</v>
          </cell>
          <cell r="T150">
            <v>129412</v>
          </cell>
          <cell r="U150">
            <v>0</v>
          </cell>
          <cell r="V150">
            <v>656159</v>
          </cell>
          <cell r="W150">
            <v>656159</v>
          </cell>
          <cell r="X150" t="b">
            <v>1</v>
          </cell>
          <cell r="Y150">
            <v>12380.358490566037</v>
          </cell>
          <cell r="AB150" t="str">
            <v/>
          </cell>
          <cell r="AE150">
            <v>53</v>
          </cell>
          <cell r="AF150">
            <v>53</v>
          </cell>
          <cell r="AG150" t="b">
            <v>1</v>
          </cell>
          <cell r="AH150">
            <v>55</v>
          </cell>
          <cell r="AI150" t="str">
            <v/>
          </cell>
          <cell r="AJ150">
            <v>51</v>
          </cell>
          <cell r="AK150" t="str">
            <v/>
          </cell>
          <cell r="AL150" t="str">
            <v/>
          </cell>
          <cell r="AM150" t="str">
            <v/>
          </cell>
          <cell r="AN150" t="str">
            <v/>
          </cell>
          <cell r="AQ150" t="str">
            <v/>
          </cell>
          <cell r="AV150" t="str">
            <v/>
          </cell>
          <cell r="AW150" t="str">
            <v/>
          </cell>
          <cell r="AX150" t="str">
            <v/>
          </cell>
          <cell r="AY150" t="str">
            <v/>
          </cell>
          <cell r="AZ150" t="str">
            <v/>
          </cell>
          <cell r="BA150">
            <v>11</v>
          </cell>
          <cell r="BB150" t="str">
            <v/>
          </cell>
          <cell r="BC150" t="str">
            <v/>
          </cell>
          <cell r="BD150" t="str">
            <v/>
          </cell>
          <cell r="BE150" t="str">
            <v/>
          </cell>
          <cell r="BF150" t="str">
            <v/>
          </cell>
          <cell r="BG150" t="str">
            <v/>
          </cell>
          <cell r="BH150" t="str">
            <v/>
          </cell>
          <cell r="BJ150" t="str">
            <v/>
          </cell>
          <cell r="BK150" t="str">
            <v/>
          </cell>
          <cell r="BL150" t="str">
            <v/>
          </cell>
          <cell r="BM150" t="str">
            <v/>
          </cell>
          <cell r="BN150">
            <v>6945381.113207547</v>
          </cell>
          <cell r="BO150" t="str">
            <v/>
          </cell>
          <cell r="BP150" t="str">
            <v/>
          </cell>
          <cell r="BQ150" t="str">
            <v/>
          </cell>
          <cell r="BR150" t="str">
            <v/>
          </cell>
          <cell r="BS150" t="str">
            <v/>
          </cell>
          <cell r="BT150" t="str">
            <v/>
          </cell>
          <cell r="BU150" t="str">
            <v/>
          </cell>
          <cell r="BV150" t="str">
            <v/>
          </cell>
          <cell r="BW150" t="str">
            <v/>
          </cell>
          <cell r="BX150" t="str">
            <v/>
          </cell>
          <cell r="BY150" t="str">
            <v/>
          </cell>
          <cell r="BZ150" t="str">
            <v/>
          </cell>
          <cell r="CA150" t="str">
            <v/>
          </cell>
          <cell r="CC150" t="str">
            <v/>
          </cell>
          <cell r="CD150" t="str">
            <v/>
          </cell>
          <cell r="CE150" t="str">
            <v/>
          </cell>
          <cell r="CF150" t="str">
            <v/>
          </cell>
        </row>
        <row r="151">
          <cell r="A151">
            <v>298</v>
          </cell>
          <cell r="B151" t="str">
            <v>0298_フォーポイントバイシェラトン名古屋中部空港</v>
          </cell>
          <cell r="C151" t="str">
            <v>選手（修正案）</v>
          </cell>
          <cell r="D151" t="str">
            <v>選手12000</v>
          </cell>
          <cell r="E151" t="str">
            <v/>
          </cell>
          <cell r="F151" t="str">
            <v>選手</v>
          </cell>
          <cell r="G151" t="str">
            <v/>
          </cell>
          <cell r="H151">
            <v>1</v>
          </cell>
          <cell r="I151">
            <v>1</v>
          </cell>
          <cell r="J151" t="b">
            <v>1</v>
          </cell>
          <cell r="K151">
            <v>0</v>
          </cell>
          <cell r="L151">
            <v>117648</v>
          </cell>
          <cell r="M151">
            <v>0</v>
          </cell>
          <cell r="N151">
            <v>0</v>
          </cell>
          <cell r="O151">
            <v>0</v>
          </cell>
          <cell r="P151">
            <v>0</v>
          </cell>
          <cell r="Q151">
            <v>129412.80000000002</v>
          </cell>
          <cell r="R151">
            <v>129412</v>
          </cell>
          <cell r="S151" t="b">
            <v>1</v>
          </cell>
          <cell r="T151">
            <v>129412</v>
          </cell>
          <cell r="U151">
            <v>1210002</v>
          </cell>
          <cell r="V151">
            <v>13219654</v>
          </cell>
          <cell r="W151">
            <v>12009652</v>
          </cell>
          <cell r="X151" t="b">
            <v>1</v>
          </cell>
          <cell r="Y151">
            <v>45838.366412213742</v>
          </cell>
          <cell r="Z151">
            <v>35295</v>
          </cell>
          <cell r="AA151">
            <v>64706</v>
          </cell>
          <cell r="AB151">
            <v>24572.178005115093</v>
          </cell>
          <cell r="AC151">
            <v>2550</v>
          </cell>
          <cell r="AE151">
            <v>319</v>
          </cell>
          <cell r="AF151">
            <v>262</v>
          </cell>
          <cell r="AG151" t="b">
            <v>1</v>
          </cell>
          <cell r="AH151">
            <v>427</v>
          </cell>
          <cell r="AI151">
            <v>425</v>
          </cell>
          <cell r="AJ151" t="str">
            <v/>
          </cell>
          <cell r="AK151" t="str">
            <v/>
          </cell>
          <cell r="AL151">
            <v>319</v>
          </cell>
          <cell r="AM151" t="str">
            <v/>
          </cell>
          <cell r="AN151">
            <v>163</v>
          </cell>
          <cell r="AQ151">
            <v>57</v>
          </cell>
          <cell r="AV151">
            <v>15</v>
          </cell>
          <cell r="AW151">
            <v>16</v>
          </cell>
          <cell r="AX151" t="str">
            <v/>
          </cell>
          <cell r="AY151" t="str">
            <v/>
          </cell>
          <cell r="AZ151" t="str">
            <v/>
          </cell>
          <cell r="BA151" t="str">
            <v/>
          </cell>
          <cell r="BB151" t="str">
            <v/>
          </cell>
          <cell r="BC151">
            <v>18</v>
          </cell>
          <cell r="BD151" t="str">
            <v/>
          </cell>
          <cell r="BE151" t="str">
            <v/>
          </cell>
          <cell r="BF151" t="str">
            <v/>
          </cell>
          <cell r="BG151" t="str">
            <v/>
          </cell>
          <cell r="BH151">
            <v>180144780</v>
          </cell>
          <cell r="BI151">
            <v>192154432</v>
          </cell>
          <cell r="BJ151" t="str">
            <v/>
          </cell>
          <cell r="BK151" t="str">
            <v/>
          </cell>
          <cell r="BL151" t="str">
            <v/>
          </cell>
          <cell r="BM151" t="str">
            <v/>
          </cell>
          <cell r="BN151" t="str">
            <v/>
          </cell>
          <cell r="BO151" t="str">
            <v/>
          </cell>
          <cell r="BP151">
            <v>263203899.93893132</v>
          </cell>
          <cell r="BQ151">
            <v>263203899.93893132</v>
          </cell>
          <cell r="BR151" t="str">
            <v/>
          </cell>
          <cell r="BS151" t="str">
            <v/>
          </cell>
          <cell r="BT151" t="str">
            <v/>
          </cell>
          <cell r="BU151" t="str">
            <v/>
          </cell>
          <cell r="BV151" t="str">
            <v/>
          </cell>
          <cell r="BW151" t="str">
            <v/>
          </cell>
          <cell r="BX151">
            <v>1941180</v>
          </cell>
          <cell r="BY151">
            <v>2070592</v>
          </cell>
          <cell r="BZ151" t="str">
            <v/>
          </cell>
          <cell r="CA151" t="str">
            <v/>
          </cell>
          <cell r="CC151">
            <v>2329416</v>
          </cell>
          <cell r="CD151">
            <v>2329416</v>
          </cell>
          <cell r="CE151" t="str">
            <v/>
          </cell>
          <cell r="CF151" t="str">
            <v/>
          </cell>
        </row>
        <row r="152">
          <cell r="A152">
            <v>299</v>
          </cell>
          <cell r="B152" t="str">
            <v>0299_東横INN中部国際空港2</v>
          </cell>
          <cell r="C152" t="str">
            <v>選手（修正案）</v>
          </cell>
          <cell r="D152" t="str">
            <v>選手12000</v>
          </cell>
          <cell r="E152" t="str">
            <v/>
          </cell>
          <cell r="F152" t="str">
            <v/>
          </cell>
          <cell r="G152" t="str">
            <v/>
          </cell>
          <cell r="H152">
            <v>0</v>
          </cell>
          <cell r="I152">
            <v>0</v>
          </cell>
          <cell r="J152" t="b">
            <v>1</v>
          </cell>
          <cell r="K152" t="str">
            <v/>
          </cell>
          <cell r="L152">
            <v>0</v>
          </cell>
          <cell r="M152">
            <v>0</v>
          </cell>
          <cell r="N152">
            <v>0</v>
          </cell>
          <cell r="O152">
            <v>0</v>
          </cell>
          <cell r="P152">
            <v>0</v>
          </cell>
          <cell r="Q152">
            <v>0</v>
          </cell>
          <cell r="R152">
            <v>0</v>
          </cell>
          <cell r="S152" t="b">
            <v>1</v>
          </cell>
          <cell r="T152" t="str">
            <v/>
          </cell>
          <cell r="U152">
            <v>0</v>
          </cell>
          <cell r="V152">
            <v>15815654</v>
          </cell>
          <cell r="W152">
            <v>15815654</v>
          </cell>
          <cell r="X152" t="b">
            <v>1</v>
          </cell>
          <cell r="Y152">
            <v>12298.331259720062</v>
          </cell>
          <cell r="Z152">
            <v>9765</v>
          </cell>
          <cell r="AA152">
            <v>13883</v>
          </cell>
          <cell r="AB152">
            <v>11694.509020999705</v>
          </cell>
          <cell r="AC152">
            <v>0</v>
          </cell>
          <cell r="AE152">
            <v>1286</v>
          </cell>
          <cell r="AF152">
            <v>1286</v>
          </cell>
          <cell r="AG152" t="b">
            <v>1</v>
          </cell>
          <cell r="AH152">
            <v>1287</v>
          </cell>
          <cell r="AI152">
            <v>1176</v>
          </cell>
          <cell r="AJ152" t="str">
            <v/>
          </cell>
          <cell r="AK152" t="str">
            <v/>
          </cell>
          <cell r="AL152" t="str">
            <v/>
          </cell>
          <cell r="AM152" t="str">
            <v/>
          </cell>
          <cell r="AN152">
            <v>-110</v>
          </cell>
          <cell r="AQ152" t="str">
            <v/>
          </cell>
          <cell r="AV152">
            <v>29</v>
          </cell>
          <cell r="AW152">
            <v>22</v>
          </cell>
          <cell r="AX152" t="str">
            <v/>
          </cell>
          <cell r="AY152" t="str">
            <v/>
          </cell>
          <cell r="AZ152" t="str">
            <v/>
          </cell>
          <cell r="BA152" t="str">
            <v/>
          </cell>
          <cell r="BB152" t="str">
            <v/>
          </cell>
          <cell r="BC152" t="str">
            <v/>
          </cell>
          <cell r="BD152" t="str">
            <v/>
          </cell>
          <cell r="BE152" t="str">
            <v/>
          </cell>
          <cell r="BF152" t="str">
            <v/>
          </cell>
          <cell r="BG152" t="str">
            <v/>
          </cell>
          <cell r="BH152">
            <v>458653966</v>
          </cell>
          <cell r="BI152">
            <v>347944388</v>
          </cell>
          <cell r="BJ152" t="str">
            <v/>
          </cell>
          <cell r="BK152" t="str">
            <v/>
          </cell>
          <cell r="BL152" t="str">
            <v/>
          </cell>
          <cell r="BM152" t="str">
            <v/>
          </cell>
          <cell r="BN152" t="str">
            <v/>
          </cell>
          <cell r="BO152" t="str">
            <v/>
          </cell>
          <cell r="BP152" t="str">
            <v/>
          </cell>
          <cell r="BQ152" t="str">
            <v/>
          </cell>
          <cell r="BR152" t="str">
            <v/>
          </cell>
          <cell r="BS152" t="str">
            <v/>
          </cell>
          <cell r="BT152" t="str">
            <v/>
          </cell>
          <cell r="BU152" t="str">
            <v/>
          </cell>
          <cell r="BV152" t="str">
            <v/>
          </cell>
          <cell r="BW152" t="str">
            <v/>
          </cell>
          <cell r="BX152" t="str">
            <v/>
          </cell>
          <cell r="BY152" t="str">
            <v/>
          </cell>
          <cell r="BZ152" t="str">
            <v/>
          </cell>
          <cell r="CA152" t="str">
            <v/>
          </cell>
          <cell r="CC152" t="str">
            <v/>
          </cell>
          <cell r="CD152" t="str">
            <v/>
          </cell>
          <cell r="CE152" t="str">
            <v/>
          </cell>
          <cell r="CF152" t="str">
            <v/>
          </cell>
        </row>
        <row r="153">
          <cell r="A153">
            <v>300</v>
          </cell>
          <cell r="B153" t="str">
            <v>0300_東横INN中部国際空港1</v>
          </cell>
          <cell r="C153" t="str">
            <v>選手（修正案）</v>
          </cell>
          <cell r="D153" t="str">
            <v/>
          </cell>
          <cell r="E153" t="str">
            <v/>
          </cell>
          <cell r="F153" t="str">
            <v/>
          </cell>
          <cell r="G153" t="str">
            <v/>
          </cell>
          <cell r="H153">
            <v>1</v>
          </cell>
          <cell r="I153">
            <v>1</v>
          </cell>
          <cell r="J153" t="b">
            <v>1</v>
          </cell>
          <cell r="K153" t="str">
            <v/>
          </cell>
          <cell r="L153">
            <v>58824</v>
          </cell>
          <cell r="M153">
            <v>0</v>
          </cell>
          <cell r="N153">
            <v>0</v>
          </cell>
          <cell r="O153">
            <v>0</v>
          </cell>
          <cell r="P153">
            <v>0</v>
          </cell>
          <cell r="Q153">
            <v>64706.400000000009</v>
          </cell>
          <cell r="R153">
            <v>64706</v>
          </cell>
          <cell r="S153" t="b">
            <v>1</v>
          </cell>
          <cell r="T153">
            <v>64706</v>
          </cell>
          <cell r="U153">
            <v>0</v>
          </cell>
          <cell r="V153">
            <v>12168856</v>
          </cell>
          <cell r="W153">
            <v>12168856</v>
          </cell>
          <cell r="X153" t="b">
            <v>1</v>
          </cell>
          <cell r="Y153">
            <v>12316.655870445344</v>
          </cell>
          <cell r="Z153">
            <v>9765</v>
          </cell>
          <cell r="AA153">
            <v>15648</v>
          </cell>
          <cell r="AB153">
            <v>11126.828510035204</v>
          </cell>
          <cell r="AC153">
            <v>0</v>
          </cell>
          <cell r="AE153">
            <v>988</v>
          </cell>
          <cell r="AF153">
            <v>988</v>
          </cell>
          <cell r="AG153" t="b">
            <v>1</v>
          </cell>
          <cell r="AH153">
            <v>1014</v>
          </cell>
          <cell r="AI153">
            <v>951</v>
          </cell>
          <cell r="AJ153" t="str">
            <v/>
          </cell>
          <cell r="AK153" t="str">
            <v/>
          </cell>
          <cell r="AL153" t="str">
            <v/>
          </cell>
          <cell r="AM153" t="str">
            <v/>
          </cell>
          <cell r="AN153">
            <v>-37</v>
          </cell>
          <cell r="AQ153" t="str">
            <v/>
          </cell>
          <cell r="AV153">
            <v>20</v>
          </cell>
          <cell r="AW153" t="str">
            <v/>
          </cell>
          <cell r="AX153" t="str">
            <v/>
          </cell>
          <cell r="AY153" t="str">
            <v/>
          </cell>
          <cell r="AZ153" t="str">
            <v/>
          </cell>
          <cell r="BA153" t="str">
            <v/>
          </cell>
          <cell r="BB153" t="str">
            <v/>
          </cell>
          <cell r="BC153" t="str">
            <v/>
          </cell>
          <cell r="BD153" t="str">
            <v/>
          </cell>
          <cell r="BE153" t="str">
            <v/>
          </cell>
          <cell r="BF153" t="str">
            <v/>
          </cell>
          <cell r="BG153" t="str">
            <v/>
          </cell>
          <cell r="BH153">
            <v>243377120</v>
          </cell>
          <cell r="BI153" t="str">
            <v/>
          </cell>
          <cell r="BJ153" t="str">
            <v/>
          </cell>
          <cell r="BK153" t="str">
            <v/>
          </cell>
          <cell r="BL153" t="str">
            <v/>
          </cell>
          <cell r="BM153" t="str">
            <v/>
          </cell>
          <cell r="BN153" t="str">
            <v/>
          </cell>
          <cell r="BO153" t="str">
            <v/>
          </cell>
          <cell r="BP153" t="str">
            <v/>
          </cell>
          <cell r="BQ153" t="str">
            <v/>
          </cell>
          <cell r="BR153" t="str">
            <v/>
          </cell>
          <cell r="BS153" t="str">
            <v/>
          </cell>
          <cell r="BT153" t="str">
            <v/>
          </cell>
          <cell r="BU153" t="str">
            <v/>
          </cell>
          <cell r="BV153" t="str">
            <v/>
          </cell>
          <cell r="BW153" t="str">
            <v/>
          </cell>
          <cell r="BX153">
            <v>1294120</v>
          </cell>
          <cell r="BY153" t="str">
            <v/>
          </cell>
          <cell r="BZ153" t="str">
            <v/>
          </cell>
          <cell r="CA153" t="str">
            <v/>
          </cell>
          <cell r="CC153" t="str">
            <v/>
          </cell>
          <cell r="CD153" t="str">
            <v/>
          </cell>
          <cell r="CE153" t="str">
            <v/>
          </cell>
          <cell r="CF153" t="str">
            <v/>
          </cell>
        </row>
        <row r="154">
          <cell r="A154">
            <v>301</v>
          </cell>
          <cell r="B154" t="str">
            <v>0301_コンフォートホテル中部国際空港</v>
          </cell>
          <cell r="C154" t="str">
            <v>選手（修正案）</v>
          </cell>
          <cell r="D154" t="str">
            <v/>
          </cell>
          <cell r="E154" t="str">
            <v/>
          </cell>
          <cell r="F154" t="str">
            <v/>
          </cell>
          <cell r="G154" t="str">
            <v/>
          </cell>
          <cell r="I154">
            <v>0</v>
          </cell>
          <cell r="J154" t="b">
            <v>1</v>
          </cell>
          <cell r="K154" t="str">
            <v/>
          </cell>
          <cell r="L154">
            <v>58824</v>
          </cell>
          <cell r="M154">
            <v>0</v>
          </cell>
          <cell r="N154">
            <v>0</v>
          </cell>
          <cell r="O154">
            <v>0</v>
          </cell>
          <cell r="P154">
            <v>0</v>
          </cell>
          <cell r="Q154">
            <v>64706.400000000009</v>
          </cell>
          <cell r="R154">
            <v>0</v>
          </cell>
          <cell r="S154" t="b">
            <v>1</v>
          </cell>
          <cell r="T154" t="str">
            <v/>
          </cell>
          <cell r="U154">
            <v>-8366836</v>
          </cell>
          <cell r="W154">
            <v>8366836</v>
          </cell>
          <cell r="X154" t="b">
            <v>1</v>
          </cell>
          <cell r="Y154">
            <v>34717.161825726143</v>
          </cell>
          <cell r="Z154">
            <v>28236</v>
          </cell>
          <cell r="AA154">
            <v>59295</v>
          </cell>
          <cell r="AB154">
            <v>17788.531944296803</v>
          </cell>
          <cell r="AC154">
            <v>0</v>
          </cell>
          <cell r="AE154">
            <v>347</v>
          </cell>
          <cell r="AF154">
            <v>241</v>
          </cell>
          <cell r="AG154" t="b">
            <v>1</v>
          </cell>
          <cell r="AH154">
            <v>505</v>
          </cell>
          <cell r="AI154">
            <v>409</v>
          </cell>
          <cell r="AJ154" t="str">
            <v/>
          </cell>
          <cell r="AK154" t="str">
            <v/>
          </cell>
          <cell r="AL154" t="str">
            <v/>
          </cell>
          <cell r="AM154" t="str">
            <v/>
          </cell>
          <cell r="AN154">
            <v>168</v>
          </cell>
          <cell r="AQ154" t="str">
            <v/>
          </cell>
          <cell r="AV154">
            <v>20</v>
          </cell>
          <cell r="AW154" t="str">
            <v/>
          </cell>
          <cell r="AX154" t="str">
            <v/>
          </cell>
          <cell r="AY154" t="str">
            <v/>
          </cell>
          <cell r="AZ154" t="str">
            <v/>
          </cell>
          <cell r="BA154" t="str">
            <v/>
          </cell>
          <cell r="BB154" t="str">
            <v/>
          </cell>
          <cell r="BC154" t="str">
            <v/>
          </cell>
          <cell r="BD154" t="str">
            <v/>
          </cell>
          <cell r="BE154" t="str">
            <v/>
          </cell>
          <cell r="BF154" t="str">
            <v/>
          </cell>
          <cell r="BG154" t="str">
            <v/>
          </cell>
          <cell r="BH154">
            <v>167336720</v>
          </cell>
          <cell r="BI154" t="str">
            <v/>
          </cell>
          <cell r="BJ154" t="str">
            <v/>
          </cell>
          <cell r="BK154" t="str">
            <v/>
          </cell>
          <cell r="BL154" t="str">
            <v/>
          </cell>
          <cell r="BM154" t="str">
            <v/>
          </cell>
          <cell r="BN154" t="str">
            <v/>
          </cell>
          <cell r="BO154" t="str">
            <v/>
          </cell>
          <cell r="BP154" t="str">
            <v/>
          </cell>
          <cell r="BQ154" t="str">
            <v/>
          </cell>
          <cell r="BR154" t="str">
            <v/>
          </cell>
          <cell r="BS154" t="str">
            <v/>
          </cell>
          <cell r="BT154" t="str">
            <v/>
          </cell>
          <cell r="BU154" t="str">
            <v/>
          </cell>
          <cell r="BV154" t="str">
            <v/>
          </cell>
          <cell r="BW154" t="str">
            <v/>
          </cell>
          <cell r="BX154" t="str">
            <v/>
          </cell>
          <cell r="BY154" t="str">
            <v/>
          </cell>
          <cell r="BZ154" t="str">
            <v/>
          </cell>
          <cell r="CA154" t="str">
            <v/>
          </cell>
          <cell r="CC154" t="str">
            <v/>
          </cell>
          <cell r="CD154" t="str">
            <v/>
          </cell>
          <cell r="CE154" t="str">
            <v/>
          </cell>
          <cell r="CF154" t="str">
            <v/>
          </cell>
        </row>
        <row r="155">
          <cell r="A155">
            <v>302</v>
          </cell>
          <cell r="B155" t="str">
            <v>0302_中部国際空港セントレアホテル</v>
          </cell>
          <cell r="C155" t="str">
            <v/>
          </cell>
          <cell r="D155" t="str">
            <v/>
          </cell>
          <cell r="E155" t="str">
            <v/>
          </cell>
          <cell r="F155" t="str">
            <v>選手</v>
          </cell>
          <cell r="G155" t="str">
            <v/>
          </cell>
          <cell r="H155">
            <v>0</v>
          </cell>
          <cell r="I155">
            <v>0</v>
          </cell>
          <cell r="J155" t="b">
            <v>1</v>
          </cell>
          <cell r="K155">
            <v>0</v>
          </cell>
          <cell r="L155">
            <v>0</v>
          </cell>
          <cell r="M155">
            <v>0</v>
          </cell>
          <cell r="N155">
            <v>0</v>
          </cell>
          <cell r="O155">
            <v>0</v>
          </cell>
          <cell r="P155">
            <v>0</v>
          </cell>
          <cell r="Q155">
            <v>0</v>
          </cell>
          <cell r="R155">
            <v>0</v>
          </cell>
          <cell r="S155" t="b">
            <v>1</v>
          </cell>
          <cell r="T155" t="str">
            <v/>
          </cell>
          <cell r="U155">
            <v>0</v>
          </cell>
          <cell r="V155">
            <v>14753310</v>
          </cell>
          <cell r="W155">
            <v>14753310</v>
          </cell>
          <cell r="X155" t="b">
            <v>1</v>
          </cell>
          <cell r="Y155">
            <v>38824.5</v>
          </cell>
          <cell r="AB155" t="str">
            <v/>
          </cell>
          <cell r="AE155">
            <v>381</v>
          </cell>
          <cell r="AF155">
            <v>380</v>
          </cell>
          <cell r="AG155" t="b">
            <v>1</v>
          </cell>
          <cell r="AH155">
            <v>546</v>
          </cell>
          <cell r="AI155" t="str">
            <v/>
          </cell>
          <cell r="AJ155" t="str">
            <v/>
          </cell>
          <cell r="AK155" t="str">
            <v/>
          </cell>
          <cell r="AL155">
            <v>381</v>
          </cell>
          <cell r="AM155" t="str">
            <v/>
          </cell>
          <cell r="AN155" t="str">
            <v/>
          </cell>
          <cell r="AQ155">
            <v>1</v>
          </cell>
          <cell r="AV155" t="str">
            <v/>
          </cell>
          <cell r="AW155" t="str">
            <v/>
          </cell>
          <cell r="AX155" t="str">
            <v/>
          </cell>
          <cell r="AY155" t="str">
            <v/>
          </cell>
          <cell r="AZ155" t="str">
            <v/>
          </cell>
          <cell r="BA155" t="str">
            <v/>
          </cell>
          <cell r="BB155" t="str">
            <v/>
          </cell>
          <cell r="BC155">
            <v>18</v>
          </cell>
          <cell r="BD155" t="str">
            <v/>
          </cell>
          <cell r="BE155" t="str">
            <v/>
          </cell>
          <cell r="BF155" t="str">
            <v/>
          </cell>
          <cell r="BG155" t="str">
            <v/>
          </cell>
          <cell r="BH155" t="str">
            <v/>
          </cell>
          <cell r="BJ155" t="str">
            <v/>
          </cell>
          <cell r="BK155" t="str">
            <v/>
          </cell>
          <cell r="BL155" t="str">
            <v/>
          </cell>
          <cell r="BM155" t="str">
            <v/>
          </cell>
          <cell r="BN155" t="str">
            <v/>
          </cell>
          <cell r="BO155" t="str">
            <v/>
          </cell>
          <cell r="BP155">
            <v>266258421</v>
          </cell>
          <cell r="BQ155">
            <v>266258421</v>
          </cell>
          <cell r="BR155" t="str">
            <v/>
          </cell>
          <cell r="BS155" t="str">
            <v/>
          </cell>
          <cell r="BT155" t="str">
            <v/>
          </cell>
          <cell r="BU155" t="str">
            <v/>
          </cell>
          <cell r="BV155" t="str">
            <v/>
          </cell>
          <cell r="BW155" t="str">
            <v/>
          </cell>
          <cell r="BX155" t="str">
            <v/>
          </cell>
          <cell r="BY155" t="str">
            <v/>
          </cell>
          <cell r="BZ155" t="str">
            <v/>
          </cell>
          <cell r="CA155" t="str">
            <v/>
          </cell>
          <cell r="CC155" t="str">
            <v/>
          </cell>
          <cell r="CD155" t="str">
            <v/>
          </cell>
          <cell r="CE155" t="str">
            <v/>
          </cell>
          <cell r="CF155" t="str">
            <v/>
          </cell>
        </row>
        <row r="156">
          <cell r="A156">
            <v>303</v>
          </cell>
          <cell r="B156" t="str">
            <v>0303_J・HOTEL ANNEX</v>
          </cell>
          <cell r="C156" t="str">
            <v/>
          </cell>
          <cell r="D156" t="str">
            <v/>
          </cell>
          <cell r="E156" t="str">
            <v/>
          </cell>
          <cell r="F156" t="str">
            <v/>
          </cell>
          <cell r="G156" t="str">
            <v/>
          </cell>
          <cell r="H156">
            <v>0</v>
          </cell>
          <cell r="I156">
            <v>0</v>
          </cell>
          <cell r="J156" t="b">
            <v>1</v>
          </cell>
          <cell r="K156" t="str">
            <v/>
          </cell>
          <cell r="L156">
            <v>0</v>
          </cell>
          <cell r="M156">
            <v>0</v>
          </cell>
          <cell r="N156">
            <v>0</v>
          </cell>
          <cell r="O156">
            <v>0</v>
          </cell>
          <cell r="P156">
            <v>0</v>
          </cell>
          <cell r="Q156">
            <v>0</v>
          </cell>
          <cell r="R156">
            <v>0</v>
          </cell>
          <cell r="S156" t="b">
            <v>1</v>
          </cell>
          <cell r="T156" t="str">
            <v/>
          </cell>
          <cell r="U156">
            <v>0</v>
          </cell>
          <cell r="V156">
            <v>932892</v>
          </cell>
          <cell r="W156">
            <v>932892</v>
          </cell>
          <cell r="X156" t="b">
            <v>1</v>
          </cell>
          <cell r="Y156">
            <v>24549.78947368421</v>
          </cell>
          <cell r="AB156" t="str">
            <v/>
          </cell>
          <cell r="AE156">
            <v>38</v>
          </cell>
          <cell r="AF156">
            <v>38</v>
          </cell>
          <cell r="AG156" t="b">
            <v>1</v>
          </cell>
          <cell r="AH156">
            <v>76</v>
          </cell>
          <cell r="AI156" t="str">
            <v/>
          </cell>
          <cell r="AJ156" t="str">
            <v/>
          </cell>
          <cell r="AK156" t="str">
            <v/>
          </cell>
          <cell r="AL156" t="str">
            <v/>
          </cell>
          <cell r="AM156" t="str">
            <v/>
          </cell>
          <cell r="AN156" t="str">
            <v/>
          </cell>
          <cell r="AQ156" t="str">
            <v/>
          </cell>
          <cell r="AV156" t="str">
            <v/>
          </cell>
          <cell r="AW156" t="str">
            <v/>
          </cell>
          <cell r="AX156" t="str">
            <v/>
          </cell>
          <cell r="AY156" t="str">
            <v/>
          </cell>
          <cell r="AZ156" t="str">
            <v/>
          </cell>
          <cell r="BA156" t="str">
            <v/>
          </cell>
          <cell r="BB156" t="str">
            <v/>
          </cell>
          <cell r="BC156" t="str">
            <v/>
          </cell>
          <cell r="BD156" t="str">
            <v/>
          </cell>
          <cell r="BE156" t="str">
            <v/>
          </cell>
          <cell r="BF156" t="str">
            <v/>
          </cell>
          <cell r="BG156" t="str">
            <v/>
          </cell>
          <cell r="BH156" t="str">
            <v/>
          </cell>
          <cell r="BJ156" t="str">
            <v/>
          </cell>
          <cell r="BK156" t="str">
            <v/>
          </cell>
          <cell r="BL156" t="str">
            <v/>
          </cell>
          <cell r="BM156" t="str">
            <v/>
          </cell>
          <cell r="BN156" t="str">
            <v/>
          </cell>
          <cell r="BO156" t="str">
            <v/>
          </cell>
          <cell r="BP156" t="str">
            <v/>
          </cell>
          <cell r="BQ156" t="str">
            <v/>
          </cell>
          <cell r="BR156" t="str">
            <v/>
          </cell>
          <cell r="BS156" t="str">
            <v/>
          </cell>
          <cell r="BT156" t="str">
            <v/>
          </cell>
          <cell r="BU156" t="str">
            <v/>
          </cell>
          <cell r="BV156" t="str">
            <v/>
          </cell>
          <cell r="BW156" t="str">
            <v/>
          </cell>
          <cell r="BX156" t="str">
            <v/>
          </cell>
          <cell r="BY156" t="str">
            <v/>
          </cell>
          <cell r="BZ156" t="str">
            <v/>
          </cell>
          <cell r="CA156" t="str">
            <v/>
          </cell>
          <cell r="CC156" t="str">
            <v/>
          </cell>
          <cell r="CD156" t="str">
            <v/>
          </cell>
          <cell r="CE156" t="str">
            <v/>
          </cell>
          <cell r="CF156" t="str">
            <v/>
          </cell>
        </row>
        <row r="157">
          <cell r="A157">
            <v>304</v>
          </cell>
          <cell r="B157" t="str">
            <v>0304_J・ホテルりんくう</v>
          </cell>
          <cell r="C157" t="str">
            <v>選手（修正案）</v>
          </cell>
          <cell r="D157" t="str">
            <v/>
          </cell>
          <cell r="E157" t="str">
            <v/>
          </cell>
          <cell r="F157" t="str">
            <v>選手</v>
          </cell>
          <cell r="G157" t="str">
            <v/>
          </cell>
          <cell r="H157">
            <v>3</v>
          </cell>
          <cell r="I157">
            <v>3</v>
          </cell>
          <cell r="J157" t="b">
            <v>1</v>
          </cell>
          <cell r="K157">
            <v>0</v>
          </cell>
          <cell r="L157">
            <v>158825</v>
          </cell>
          <cell r="M157">
            <v>0</v>
          </cell>
          <cell r="N157">
            <v>0</v>
          </cell>
          <cell r="O157">
            <v>0</v>
          </cell>
          <cell r="P157">
            <v>0</v>
          </cell>
          <cell r="Q157">
            <v>174707.5</v>
          </cell>
          <cell r="R157">
            <v>174707</v>
          </cell>
          <cell r="S157" t="b">
            <v>1</v>
          </cell>
          <cell r="T157">
            <v>58235.666666666664</v>
          </cell>
          <cell r="U157">
            <v>0</v>
          </cell>
          <cell r="V157">
            <v>2935686</v>
          </cell>
          <cell r="W157">
            <v>2935686</v>
          </cell>
          <cell r="X157" t="b">
            <v>1</v>
          </cell>
          <cell r="Y157">
            <v>16309.366666666667</v>
          </cell>
          <cell r="Z157">
            <v>11753</v>
          </cell>
          <cell r="AA157">
            <v>21153</v>
          </cell>
          <cell r="AB157">
            <v>15378.135149292826</v>
          </cell>
          <cell r="AC157">
            <v>1650</v>
          </cell>
          <cell r="AE157">
            <v>180</v>
          </cell>
          <cell r="AF157">
            <v>180</v>
          </cell>
          <cell r="AG157" t="b">
            <v>1</v>
          </cell>
          <cell r="AH157">
            <v>246</v>
          </cell>
          <cell r="AI157">
            <v>166</v>
          </cell>
          <cell r="AJ157" t="str">
            <v/>
          </cell>
          <cell r="AK157" t="str">
            <v/>
          </cell>
          <cell r="AL157">
            <v>180</v>
          </cell>
          <cell r="AM157" t="str">
            <v/>
          </cell>
          <cell r="AN157">
            <v>-14</v>
          </cell>
          <cell r="AQ157">
            <v>0</v>
          </cell>
          <cell r="AV157">
            <v>14</v>
          </cell>
          <cell r="AW157" t="str">
            <v/>
          </cell>
          <cell r="AX157" t="str">
            <v/>
          </cell>
          <cell r="AY157" t="str">
            <v/>
          </cell>
          <cell r="AZ157" t="str">
            <v/>
          </cell>
          <cell r="BA157" t="str">
            <v/>
          </cell>
          <cell r="BB157" t="str">
            <v/>
          </cell>
          <cell r="BC157">
            <v>18</v>
          </cell>
          <cell r="BD157" t="str">
            <v/>
          </cell>
          <cell r="BE157" t="str">
            <v/>
          </cell>
          <cell r="BF157" t="str">
            <v/>
          </cell>
          <cell r="BG157" t="str">
            <v/>
          </cell>
          <cell r="BH157">
            <v>41099604</v>
          </cell>
          <cell r="BI157" t="str">
            <v/>
          </cell>
          <cell r="BJ157" t="str">
            <v/>
          </cell>
          <cell r="BK157" t="str">
            <v/>
          </cell>
          <cell r="BL157" t="str">
            <v/>
          </cell>
          <cell r="BM157" t="str">
            <v/>
          </cell>
          <cell r="BN157" t="str">
            <v/>
          </cell>
          <cell r="BO157" t="str">
            <v/>
          </cell>
          <cell r="BP157">
            <v>52842348</v>
          </cell>
          <cell r="BQ157">
            <v>52842348</v>
          </cell>
          <cell r="BR157" t="str">
            <v/>
          </cell>
          <cell r="BS157" t="str">
            <v/>
          </cell>
          <cell r="BT157" t="str">
            <v/>
          </cell>
          <cell r="BU157" t="str">
            <v/>
          </cell>
          <cell r="BV157" t="str">
            <v/>
          </cell>
          <cell r="BW157" t="str">
            <v/>
          </cell>
          <cell r="BX157">
            <v>2445898</v>
          </cell>
          <cell r="BY157" t="str">
            <v/>
          </cell>
          <cell r="BZ157" t="str">
            <v/>
          </cell>
          <cell r="CA157" t="str">
            <v/>
          </cell>
          <cell r="CC157">
            <v>3144726</v>
          </cell>
          <cell r="CD157">
            <v>3144726</v>
          </cell>
          <cell r="CE157" t="str">
            <v/>
          </cell>
          <cell r="CF157" t="str">
            <v/>
          </cell>
        </row>
        <row r="158">
          <cell r="A158">
            <v>305</v>
          </cell>
          <cell r="B158" t="str">
            <v>0305_ホテルルートイン常滑駅前グランドアネックス</v>
          </cell>
          <cell r="C158" t="str">
            <v/>
          </cell>
          <cell r="D158" t="str">
            <v>技術役員</v>
          </cell>
          <cell r="E158" t="str">
            <v/>
          </cell>
          <cell r="F158" t="str">
            <v/>
          </cell>
          <cell r="G158" t="str">
            <v/>
          </cell>
          <cell r="H158">
            <v>0</v>
          </cell>
          <cell r="I158">
            <v>0</v>
          </cell>
          <cell r="J158" t="b">
            <v>0</v>
          </cell>
          <cell r="K158" t="str">
            <v/>
          </cell>
          <cell r="L158">
            <v>0</v>
          </cell>
          <cell r="M158">
            <v>0</v>
          </cell>
          <cell r="N158">
            <v>0</v>
          </cell>
          <cell r="O158">
            <v>0</v>
          </cell>
          <cell r="P158">
            <v>0</v>
          </cell>
          <cell r="Q158">
            <v>0</v>
          </cell>
          <cell r="R158">
            <v>0</v>
          </cell>
          <cell r="S158" t="b">
            <v>1</v>
          </cell>
          <cell r="T158" t="str">
            <v/>
          </cell>
          <cell r="U158">
            <v>0</v>
          </cell>
          <cell r="V158">
            <v>764885</v>
          </cell>
          <cell r="W158">
            <v>764885</v>
          </cell>
          <cell r="X158" t="b">
            <v>1</v>
          </cell>
          <cell r="Y158">
            <v>10926.928571428571</v>
          </cell>
          <cell r="AB158" t="str">
            <v/>
          </cell>
          <cell r="AE158">
            <v>106</v>
          </cell>
          <cell r="AF158">
            <v>70</v>
          </cell>
          <cell r="AG158" t="b">
            <v>1</v>
          </cell>
          <cell r="AH158">
            <v>106</v>
          </cell>
          <cell r="AI158" t="str">
            <v/>
          </cell>
          <cell r="AJ158">
            <v>54</v>
          </cell>
          <cell r="AK158" t="str">
            <v/>
          </cell>
          <cell r="AL158" t="str">
            <v/>
          </cell>
          <cell r="AM158" t="str">
            <v/>
          </cell>
          <cell r="AN158" t="str">
            <v/>
          </cell>
          <cell r="AQ158" t="str">
            <v/>
          </cell>
          <cell r="AV158" t="str">
            <v/>
          </cell>
          <cell r="AW158" t="str">
            <v/>
          </cell>
          <cell r="AX158" t="str">
            <v/>
          </cell>
          <cell r="AY158" t="str">
            <v/>
          </cell>
          <cell r="AZ158" t="str">
            <v/>
          </cell>
          <cell r="BA158">
            <v>11</v>
          </cell>
          <cell r="BB158" t="str">
            <v/>
          </cell>
          <cell r="BC158" t="str">
            <v/>
          </cell>
          <cell r="BD158" t="str">
            <v/>
          </cell>
          <cell r="BE158" t="str">
            <v/>
          </cell>
          <cell r="BF158" t="str">
            <v/>
          </cell>
          <cell r="BG158" t="str">
            <v/>
          </cell>
          <cell r="BH158" t="str">
            <v/>
          </cell>
          <cell r="BJ158" t="str">
            <v/>
          </cell>
          <cell r="BK158" t="str">
            <v/>
          </cell>
          <cell r="BL158" t="str">
            <v/>
          </cell>
          <cell r="BM158" t="str">
            <v/>
          </cell>
          <cell r="BN158">
            <v>6490595.5714285709</v>
          </cell>
          <cell r="BO158" t="str">
            <v/>
          </cell>
          <cell r="BP158" t="str">
            <v/>
          </cell>
          <cell r="BQ158" t="str">
            <v/>
          </cell>
          <cell r="BR158" t="str">
            <v/>
          </cell>
          <cell r="BS158" t="str">
            <v/>
          </cell>
          <cell r="BT158" t="str">
            <v/>
          </cell>
          <cell r="BU158" t="str">
            <v/>
          </cell>
          <cell r="BV158" t="str">
            <v/>
          </cell>
          <cell r="BW158" t="str">
            <v/>
          </cell>
          <cell r="BX158" t="str">
            <v/>
          </cell>
          <cell r="BY158" t="str">
            <v/>
          </cell>
          <cell r="BZ158" t="str">
            <v/>
          </cell>
          <cell r="CA158" t="str">
            <v/>
          </cell>
          <cell r="CC158" t="str">
            <v/>
          </cell>
          <cell r="CD158" t="str">
            <v/>
          </cell>
          <cell r="CE158" t="str">
            <v/>
          </cell>
          <cell r="CF158" t="str">
            <v/>
          </cell>
        </row>
        <row r="159">
          <cell r="A159">
            <v>306</v>
          </cell>
          <cell r="B159" t="str">
            <v>0306_ホテルルートイン常滑駅前</v>
          </cell>
          <cell r="C159" t="str">
            <v/>
          </cell>
          <cell r="D159" t="str">
            <v>技術役員</v>
          </cell>
          <cell r="E159" t="str">
            <v/>
          </cell>
          <cell r="F159" t="str">
            <v/>
          </cell>
          <cell r="G159" t="str">
            <v/>
          </cell>
          <cell r="H159">
            <v>0</v>
          </cell>
          <cell r="I159">
            <v>0</v>
          </cell>
          <cell r="J159" t="b">
            <v>0</v>
          </cell>
          <cell r="K159" t="str">
            <v/>
          </cell>
          <cell r="L159">
            <v>0</v>
          </cell>
          <cell r="M159">
            <v>0</v>
          </cell>
          <cell r="N159">
            <v>0</v>
          </cell>
          <cell r="O159">
            <v>0</v>
          </cell>
          <cell r="P159">
            <v>0</v>
          </cell>
          <cell r="Q159">
            <v>0</v>
          </cell>
          <cell r="R159">
            <v>0</v>
          </cell>
          <cell r="S159" t="b">
            <v>1</v>
          </cell>
          <cell r="T159" t="str">
            <v/>
          </cell>
          <cell r="U159">
            <v>0</v>
          </cell>
          <cell r="V159">
            <v>719558</v>
          </cell>
          <cell r="W159">
            <v>719558</v>
          </cell>
          <cell r="X159" t="b">
            <v>1</v>
          </cell>
          <cell r="Y159">
            <v>12849.25</v>
          </cell>
          <cell r="AB159" t="str">
            <v/>
          </cell>
          <cell r="AE159">
            <v>144</v>
          </cell>
          <cell r="AF159">
            <v>56</v>
          </cell>
          <cell r="AG159" t="b">
            <v>1</v>
          </cell>
          <cell r="AH159">
            <v>144</v>
          </cell>
          <cell r="AI159" t="str">
            <v/>
          </cell>
          <cell r="AJ159">
            <v>113</v>
          </cell>
          <cell r="AK159" t="str">
            <v/>
          </cell>
          <cell r="AL159" t="str">
            <v/>
          </cell>
          <cell r="AM159" t="str">
            <v/>
          </cell>
          <cell r="AN159" t="str">
            <v/>
          </cell>
          <cell r="AQ159" t="str">
            <v/>
          </cell>
          <cell r="AV159" t="str">
            <v/>
          </cell>
          <cell r="AW159" t="str">
            <v/>
          </cell>
          <cell r="AX159" t="str">
            <v/>
          </cell>
          <cell r="AY159" t="str">
            <v/>
          </cell>
          <cell r="AZ159" t="str">
            <v/>
          </cell>
          <cell r="BA159">
            <v>11</v>
          </cell>
          <cell r="BB159" t="str">
            <v/>
          </cell>
          <cell r="BC159" t="str">
            <v/>
          </cell>
          <cell r="BD159" t="str">
            <v/>
          </cell>
          <cell r="BE159" t="str">
            <v/>
          </cell>
          <cell r="BF159" t="str">
            <v/>
          </cell>
          <cell r="BG159" t="str">
            <v/>
          </cell>
          <cell r="BH159" t="str">
            <v/>
          </cell>
          <cell r="BJ159" t="str">
            <v/>
          </cell>
          <cell r="BK159" t="str">
            <v/>
          </cell>
          <cell r="BL159" t="str">
            <v/>
          </cell>
          <cell r="BM159" t="str">
            <v/>
          </cell>
          <cell r="BN159">
            <v>15971617.75</v>
          </cell>
          <cell r="BO159" t="str">
            <v/>
          </cell>
          <cell r="BP159" t="str">
            <v/>
          </cell>
          <cell r="BQ159" t="str">
            <v/>
          </cell>
          <cell r="BR159" t="str">
            <v/>
          </cell>
          <cell r="BS159" t="str">
            <v/>
          </cell>
          <cell r="BT159" t="str">
            <v/>
          </cell>
          <cell r="BU159" t="str">
            <v/>
          </cell>
          <cell r="BV159" t="str">
            <v/>
          </cell>
          <cell r="BW159" t="str">
            <v/>
          </cell>
          <cell r="BX159" t="str">
            <v/>
          </cell>
          <cell r="BY159" t="str">
            <v/>
          </cell>
          <cell r="BZ159" t="str">
            <v/>
          </cell>
          <cell r="CA159" t="str">
            <v/>
          </cell>
          <cell r="CC159" t="str">
            <v/>
          </cell>
          <cell r="CD159" t="str">
            <v/>
          </cell>
          <cell r="CE159" t="str">
            <v/>
          </cell>
          <cell r="CF159" t="str">
            <v/>
          </cell>
        </row>
        <row r="160">
          <cell r="A160">
            <v>307</v>
          </cell>
          <cell r="B160" t="str">
            <v>0307_スプリングサニーホテル名古屋常滑駅前</v>
          </cell>
          <cell r="C160" t="str">
            <v/>
          </cell>
          <cell r="D160" t="str">
            <v/>
          </cell>
          <cell r="E160" t="str">
            <v/>
          </cell>
          <cell r="F160" t="str">
            <v/>
          </cell>
          <cell r="G160" t="str">
            <v/>
          </cell>
          <cell r="H160">
            <v>0</v>
          </cell>
          <cell r="I160">
            <v>0</v>
          </cell>
          <cell r="J160" t="b">
            <v>0</v>
          </cell>
          <cell r="K160" t="str">
            <v/>
          </cell>
          <cell r="L160">
            <v>0</v>
          </cell>
          <cell r="M160">
            <v>0</v>
          </cell>
          <cell r="N160">
            <v>0</v>
          </cell>
          <cell r="O160">
            <v>0</v>
          </cell>
          <cell r="P160">
            <v>0</v>
          </cell>
          <cell r="Q160">
            <v>0</v>
          </cell>
          <cell r="R160">
            <v>0</v>
          </cell>
          <cell r="S160" t="b">
            <v>1</v>
          </cell>
          <cell r="T160" t="str">
            <v/>
          </cell>
          <cell r="U160">
            <v>0</v>
          </cell>
          <cell r="V160">
            <v>1431335</v>
          </cell>
          <cell r="W160">
            <v>1431335</v>
          </cell>
          <cell r="X160" t="b">
            <v>1</v>
          </cell>
          <cell r="Y160">
            <v>18833.355263157893</v>
          </cell>
          <cell r="AB160" t="str">
            <v/>
          </cell>
          <cell r="AE160">
            <v>194</v>
          </cell>
          <cell r="AF160">
            <v>76</v>
          </cell>
          <cell r="AG160" t="b">
            <v>1</v>
          </cell>
          <cell r="AH160">
            <v>354</v>
          </cell>
          <cell r="AI160" t="str">
            <v/>
          </cell>
          <cell r="AJ160" t="str">
            <v/>
          </cell>
          <cell r="AK160" t="str">
            <v/>
          </cell>
          <cell r="AL160" t="str">
            <v/>
          </cell>
          <cell r="AM160" t="str">
            <v/>
          </cell>
          <cell r="AN160" t="str">
            <v/>
          </cell>
          <cell r="AQ160" t="str">
            <v/>
          </cell>
          <cell r="AV160" t="str">
            <v/>
          </cell>
          <cell r="AW160" t="str">
            <v/>
          </cell>
          <cell r="AX160" t="str">
            <v/>
          </cell>
          <cell r="AY160" t="str">
            <v/>
          </cell>
          <cell r="AZ160" t="str">
            <v/>
          </cell>
          <cell r="BA160" t="str">
            <v/>
          </cell>
          <cell r="BB160" t="str">
            <v/>
          </cell>
          <cell r="BC160" t="str">
            <v/>
          </cell>
          <cell r="BD160" t="str">
            <v/>
          </cell>
          <cell r="BE160" t="str">
            <v/>
          </cell>
          <cell r="BF160" t="str">
            <v/>
          </cell>
          <cell r="BG160" t="str">
            <v/>
          </cell>
          <cell r="BH160" t="str">
            <v/>
          </cell>
          <cell r="BJ160" t="str">
            <v/>
          </cell>
          <cell r="BK160" t="str">
            <v/>
          </cell>
          <cell r="BL160" t="str">
            <v/>
          </cell>
          <cell r="BM160" t="str">
            <v/>
          </cell>
          <cell r="BN160" t="str">
            <v/>
          </cell>
          <cell r="BO160" t="str">
            <v/>
          </cell>
          <cell r="BP160" t="str">
            <v/>
          </cell>
          <cell r="BQ160" t="str">
            <v/>
          </cell>
          <cell r="BR160" t="str">
            <v/>
          </cell>
          <cell r="BS160" t="str">
            <v/>
          </cell>
          <cell r="BT160" t="str">
            <v/>
          </cell>
          <cell r="BU160" t="str">
            <v/>
          </cell>
          <cell r="BV160" t="str">
            <v/>
          </cell>
          <cell r="BW160" t="str">
            <v/>
          </cell>
          <cell r="BX160" t="str">
            <v/>
          </cell>
          <cell r="BY160" t="str">
            <v/>
          </cell>
          <cell r="BZ160" t="str">
            <v/>
          </cell>
          <cell r="CA160" t="str">
            <v/>
          </cell>
          <cell r="CC160" t="str">
            <v/>
          </cell>
          <cell r="CD160" t="str">
            <v/>
          </cell>
          <cell r="CE160" t="str">
            <v/>
          </cell>
          <cell r="CF160" t="str">
            <v/>
          </cell>
        </row>
        <row r="161">
          <cell r="A161">
            <v>319</v>
          </cell>
          <cell r="B161" t="str">
            <v>0319_ホテルルートイン半田亀崎</v>
          </cell>
          <cell r="C161" t="str">
            <v/>
          </cell>
          <cell r="D161" t="str">
            <v/>
          </cell>
          <cell r="E161" t="str">
            <v/>
          </cell>
          <cell r="F161" t="str">
            <v/>
          </cell>
          <cell r="G161" t="str">
            <v/>
          </cell>
          <cell r="H161">
            <v>0</v>
          </cell>
          <cell r="I161">
            <v>0</v>
          </cell>
          <cell r="J161" t="b">
            <v>0</v>
          </cell>
          <cell r="K161" t="str">
            <v/>
          </cell>
          <cell r="L161">
            <v>0</v>
          </cell>
          <cell r="M161">
            <v>0</v>
          </cell>
          <cell r="N161">
            <v>0</v>
          </cell>
          <cell r="O161">
            <v>0</v>
          </cell>
          <cell r="P161">
            <v>0</v>
          </cell>
          <cell r="Q161">
            <v>0</v>
          </cell>
          <cell r="R161">
            <v>0</v>
          </cell>
          <cell r="S161" t="b">
            <v>1</v>
          </cell>
          <cell r="T161" t="str">
            <v/>
          </cell>
          <cell r="U161">
            <v>0</v>
          </cell>
          <cell r="V161">
            <v>1772849</v>
          </cell>
          <cell r="W161">
            <v>1772849</v>
          </cell>
          <cell r="X161" t="b">
            <v>1</v>
          </cell>
          <cell r="Y161">
            <v>16415.268518518518</v>
          </cell>
          <cell r="AB161" t="str">
            <v/>
          </cell>
          <cell r="AE161">
            <v>135</v>
          </cell>
          <cell r="AF161">
            <v>108</v>
          </cell>
          <cell r="AG161" t="b">
            <v>1</v>
          </cell>
          <cell r="AH161">
            <v>135</v>
          </cell>
          <cell r="AI161" t="str">
            <v/>
          </cell>
          <cell r="AJ161" t="str">
            <v/>
          </cell>
          <cell r="AK161" t="str">
            <v/>
          </cell>
          <cell r="AL161" t="str">
            <v/>
          </cell>
          <cell r="AM161" t="str">
            <v/>
          </cell>
          <cell r="AN161" t="str">
            <v/>
          </cell>
          <cell r="AQ161" t="str">
            <v/>
          </cell>
          <cell r="AV161" t="str">
            <v/>
          </cell>
          <cell r="AW161" t="str">
            <v/>
          </cell>
          <cell r="AX161" t="str">
            <v/>
          </cell>
          <cell r="AY161" t="str">
            <v/>
          </cell>
          <cell r="AZ161" t="str">
            <v/>
          </cell>
          <cell r="BA161" t="str">
            <v/>
          </cell>
          <cell r="BB161" t="str">
            <v/>
          </cell>
          <cell r="BC161" t="str">
            <v/>
          </cell>
          <cell r="BD161" t="str">
            <v/>
          </cell>
          <cell r="BE161" t="str">
            <v/>
          </cell>
          <cell r="BF161" t="str">
            <v/>
          </cell>
          <cell r="BG161" t="str">
            <v/>
          </cell>
          <cell r="BH161" t="str">
            <v/>
          </cell>
          <cell r="BJ161" t="str">
            <v/>
          </cell>
          <cell r="BK161" t="str">
            <v/>
          </cell>
          <cell r="BL161" t="str">
            <v/>
          </cell>
          <cell r="BM161" t="str">
            <v/>
          </cell>
          <cell r="BN161" t="str">
            <v/>
          </cell>
          <cell r="BO161" t="str">
            <v/>
          </cell>
          <cell r="BP161" t="str">
            <v/>
          </cell>
          <cell r="BQ161" t="str">
            <v/>
          </cell>
          <cell r="BR161" t="str">
            <v/>
          </cell>
          <cell r="BS161" t="str">
            <v/>
          </cell>
          <cell r="BT161" t="str">
            <v/>
          </cell>
          <cell r="BU161" t="str">
            <v/>
          </cell>
          <cell r="BV161" t="str">
            <v/>
          </cell>
          <cell r="BW161" t="str">
            <v/>
          </cell>
          <cell r="BX161" t="str">
            <v/>
          </cell>
          <cell r="BY161" t="str">
            <v/>
          </cell>
          <cell r="BZ161" t="str">
            <v/>
          </cell>
          <cell r="CA161" t="str">
            <v/>
          </cell>
          <cell r="CC161" t="str">
            <v/>
          </cell>
          <cell r="CD161" t="str">
            <v/>
          </cell>
          <cell r="CE161" t="str">
            <v/>
          </cell>
          <cell r="CF161" t="str">
            <v/>
          </cell>
        </row>
        <row r="162">
          <cell r="A162">
            <v>320</v>
          </cell>
          <cell r="B162" t="str">
            <v>0320_アズイン半田インター</v>
          </cell>
          <cell r="C162" t="str">
            <v/>
          </cell>
          <cell r="D162" t="str">
            <v/>
          </cell>
          <cell r="E162" t="str">
            <v/>
          </cell>
          <cell r="F162" t="str">
            <v/>
          </cell>
          <cell r="G162" t="str">
            <v/>
          </cell>
          <cell r="H162">
            <v>0</v>
          </cell>
          <cell r="I162">
            <v>0</v>
          </cell>
          <cell r="J162" t="b">
            <v>0</v>
          </cell>
          <cell r="K162" t="str">
            <v/>
          </cell>
          <cell r="L162">
            <v>0</v>
          </cell>
          <cell r="M162">
            <v>0</v>
          </cell>
          <cell r="N162">
            <v>0</v>
          </cell>
          <cell r="O162">
            <v>0</v>
          </cell>
          <cell r="P162">
            <v>0</v>
          </cell>
          <cell r="Q162">
            <v>0</v>
          </cell>
          <cell r="R162">
            <v>0</v>
          </cell>
          <cell r="S162" t="b">
            <v>1</v>
          </cell>
          <cell r="T162" t="str">
            <v/>
          </cell>
          <cell r="U162">
            <v>0</v>
          </cell>
          <cell r="V162">
            <v>803583</v>
          </cell>
          <cell r="W162">
            <v>803583</v>
          </cell>
          <cell r="X162" t="b">
            <v>1</v>
          </cell>
          <cell r="Y162">
            <v>10044.7875</v>
          </cell>
          <cell r="AB162" t="str">
            <v/>
          </cell>
          <cell r="AE162">
            <v>127</v>
          </cell>
          <cell r="AF162">
            <v>80</v>
          </cell>
          <cell r="AG162" t="b">
            <v>1</v>
          </cell>
          <cell r="AH162">
            <v>128</v>
          </cell>
          <cell r="AI162" t="str">
            <v/>
          </cell>
          <cell r="AJ162" t="str">
            <v/>
          </cell>
          <cell r="AK162" t="str">
            <v/>
          </cell>
          <cell r="AL162" t="str">
            <v/>
          </cell>
          <cell r="AM162" t="str">
            <v/>
          </cell>
          <cell r="AN162" t="str">
            <v/>
          </cell>
          <cell r="AQ162" t="str">
            <v/>
          </cell>
          <cell r="AV162" t="str">
            <v/>
          </cell>
          <cell r="AW162" t="str">
            <v/>
          </cell>
          <cell r="AX162" t="str">
            <v/>
          </cell>
          <cell r="AY162" t="str">
            <v/>
          </cell>
          <cell r="AZ162" t="str">
            <v/>
          </cell>
          <cell r="BA162" t="str">
            <v/>
          </cell>
          <cell r="BB162" t="str">
            <v/>
          </cell>
          <cell r="BC162" t="str">
            <v/>
          </cell>
          <cell r="BD162" t="str">
            <v/>
          </cell>
          <cell r="BE162" t="str">
            <v/>
          </cell>
          <cell r="BF162" t="str">
            <v/>
          </cell>
          <cell r="BG162" t="str">
            <v/>
          </cell>
          <cell r="BH162" t="str">
            <v/>
          </cell>
          <cell r="BJ162" t="str">
            <v/>
          </cell>
          <cell r="BK162" t="str">
            <v/>
          </cell>
          <cell r="BL162" t="str">
            <v/>
          </cell>
          <cell r="BM162" t="str">
            <v/>
          </cell>
          <cell r="BN162" t="str">
            <v/>
          </cell>
          <cell r="BO162" t="str">
            <v/>
          </cell>
          <cell r="BP162" t="str">
            <v/>
          </cell>
          <cell r="BQ162" t="str">
            <v/>
          </cell>
          <cell r="BR162" t="str">
            <v/>
          </cell>
          <cell r="BS162" t="str">
            <v/>
          </cell>
          <cell r="BT162" t="str">
            <v/>
          </cell>
          <cell r="BU162" t="str">
            <v/>
          </cell>
          <cell r="BV162" t="str">
            <v/>
          </cell>
          <cell r="BW162" t="str">
            <v/>
          </cell>
          <cell r="BX162" t="str">
            <v/>
          </cell>
          <cell r="BY162" t="str">
            <v/>
          </cell>
          <cell r="BZ162" t="str">
            <v/>
          </cell>
          <cell r="CA162" t="str">
            <v/>
          </cell>
          <cell r="CC162" t="str">
            <v/>
          </cell>
          <cell r="CD162" t="str">
            <v/>
          </cell>
          <cell r="CE162" t="str">
            <v/>
          </cell>
          <cell r="CF162" t="str">
            <v/>
          </cell>
        </row>
        <row r="163">
          <cell r="A163">
            <v>321</v>
          </cell>
          <cell r="B163" t="str">
            <v>0321_半田ステーションホテル</v>
          </cell>
          <cell r="C163" t="str">
            <v/>
          </cell>
          <cell r="D163" t="str">
            <v/>
          </cell>
          <cell r="E163" t="str">
            <v/>
          </cell>
          <cell r="F163" t="str">
            <v/>
          </cell>
          <cell r="G163" t="str">
            <v/>
          </cell>
          <cell r="H163">
            <v>0</v>
          </cell>
          <cell r="I163">
            <v>0</v>
          </cell>
          <cell r="J163" t="b">
            <v>0</v>
          </cell>
          <cell r="K163" t="str">
            <v/>
          </cell>
          <cell r="L163">
            <v>0</v>
          </cell>
          <cell r="M163">
            <v>0</v>
          </cell>
          <cell r="N163">
            <v>0</v>
          </cell>
          <cell r="O163">
            <v>0</v>
          </cell>
          <cell r="P163">
            <v>0</v>
          </cell>
          <cell r="Q163">
            <v>0</v>
          </cell>
          <cell r="R163">
            <v>0</v>
          </cell>
          <cell r="S163" t="b">
            <v>1</v>
          </cell>
          <cell r="T163" t="str">
            <v/>
          </cell>
          <cell r="U163">
            <v>0</v>
          </cell>
          <cell r="V163">
            <v>554668</v>
          </cell>
          <cell r="W163">
            <v>554668</v>
          </cell>
          <cell r="X163" t="b">
            <v>0</v>
          </cell>
          <cell r="Y163">
            <v>11093.36</v>
          </cell>
          <cell r="AB163" t="str">
            <v/>
          </cell>
          <cell r="AE163">
            <v>52</v>
          </cell>
          <cell r="AF163">
            <v>50</v>
          </cell>
          <cell r="AG163" t="b">
            <v>0</v>
          </cell>
          <cell r="AH163">
            <v>63</v>
          </cell>
          <cell r="AI163" t="str">
            <v/>
          </cell>
          <cell r="AJ163" t="str">
            <v/>
          </cell>
          <cell r="AK163" t="str">
            <v/>
          </cell>
          <cell r="AL163" t="str">
            <v/>
          </cell>
          <cell r="AM163" t="str">
            <v/>
          </cell>
          <cell r="AN163" t="str">
            <v/>
          </cell>
          <cell r="AQ163" t="str">
            <v/>
          </cell>
          <cell r="AV163" t="str">
            <v/>
          </cell>
          <cell r="AW163" t="str">
            <v/>
          </cell>
          <cell r="AX163" t="str">
            <v/>
          </cell>
          <cell r="AY163" t="str">
            <v/>
          </cell>
          <cell r="AZ163" t="str">
            <v/>
          </cell>
          <cell r="BA163" t="str">
            <v/>
          </cell>
          <cell r="BB163" t="str">
            <v/>
          </cell>
          <cell r="BC163" t="str">
            <v/>
          </cell>
          <cell r="BD163" t="str">
            <v/>
          </cell>
          <cell r="BE163" t="str">
            <v/>
          </cell>
          <cell r="BF163" t="str">
            <v/>
          </cell>
          <cell r="BG163" t="str">
            <v/>
          </cell>
          <cell r="BH163" t="str">
            <v/>
          </cell>
          <cell r="BJ163" t="str">
            <v/>
          </cell>
          <cell r="BK163" t="str">
            <v/>
          </cell>
          <cell r="BL163" t="str">
            <v/>
          </cell>
          <cell r="BM163" t="str">
            <v/>
          </cell>
          <cell r="BN163" t="str">
            <v/>
          </cell>
          <cell r="BO163" t="str">
            <v/>
          </cell>
          <cell r="BP163" t="str">
            <v/>
          </cell>
          <cell r="BQ163" t="str">
            <v/>
          </cell>
          <cell r="BR163" t="str">
            <v/>
          </cell>
          <cell r="BS163" t="str">
            <v/>
          </cell>
          <cell r="BT163" t="str">
            <v/>
          </cell>
          <cell r="BU163" t="str">
            <v/>
          </cell>
          <cell r="BV163" t="str">
            <v/>
          </cell>
          <cell r="BW163" t="str">
            <v/>
          </cell>
          <cell r="BX163" t="str">
            <v/>
          </cell>
          <cell r="BY163" t="str">
            <v/>
          </cell>
          <cell r="BZ163" t="str">
            <v/>
          </cell>
          <cell r="CA163" t="str">
            <v/>
          </cell>
          <cell r="CC163" t="str">
            <v/>
          </cell>
          <cell r="CD163" t="str">
            <v/>
          </cell>
          <cell r="CE163" t="str">
            <v/>
          </cell>
          <cell r="CF163" t="str">
            <v/>
          </cell>
        </row>
        <row r="164">
          <cell r="A164">
            <v>322</v>
          </cell>
          <cell r="B164" t="str">
            <v>0322_名鉄イン知多半田駅前</v>
          </cell>
          <cell r="C164" t="str">
            <v/>
          </cell>
          <cell r="D164" t="str">
            <v/>
          </cell>
          <cell r="E164" t="str">
            <v/>
          </cell>
          <cell r="F164" t="str">
            <v/>
          </cell>
          <cell r="G164" t="str">
            <v/>
          </cell>
          <cell r="H164">
            <v>0</v>
          </cell>
          <cell r="I164">
            <v>0</v>
          </cell>
          <cell r="J164" t="b">
            <v>0</v>
          </cell>
          <cell r="K164" t="str">
            <v/>
          </cell>
          <cell r="L164">
            <v>0</v>
          </cell>
          <cell r="M164">
            <v>0</v>
          </cell>
          <cell r="N164">
            <v>0</v>
          </cell>
          <cell r="O164">
            <v>0</v>
          </cell>
          <cell r="P164">
            <v>0</v>
          </cell>
          <cell r="Q164">
            <v>0</v>
          </cell>
          <cell r="R164">
            <v>0</v>
          </cell>
          <cell r="S164" t="b">
            <v>1</v>
          </cell>
          <cell r="T164" t="str">
            <v/>
          </cell>
          <cell r="U164">
            <v>0</v>
          </cell>
          <cell r="V164">
            <v>880000</v>
          </cell>
          <cell r="W164">
            <v>880000</v>
          </cell>
          <cell r="X164" t="b">
            <v>1</v>
          </cell>
          <cell r="Y164">
            <v>11000</v>
          </cell>
          <cell r="AB164" t="str">
            <v/>
          </cell>
          <cell r="AE164">
            <v>171</v>
          </cell>
          <cell r="AF164">
            <v>80</v>
          </cell>
          <cell r="AG164" t="b">
            <v>1</v>
          </cell>
          <cell r="AH164">
            <v>174</v>
          </cell>
          <cell r="AI164" t="str">
            <v/>
          </cell>
          <cell r="AJ164" t="str">
            <v/>
          </cell>
          <cell r="AK164" t="str">
            <v/>
          </cell>
          <cell r="AL164" t="str">
            <v/>
          </cell>
          <cell r="AM164" t="str">
            <v/>
          </cell>
          <cell r="AN164" t="str">
            <v/>
          </cell>
          <cell r="AQ164" t="str">
            <v/>
          </cell>
          <cell r="AV164" t="str">
            <v/>
          </cell>
          <cell r="AW164" t="str">
            <v/>
          </cell>
          <cell r="AX164" t="str">
            <v/>
          </cell>
          <cell r="AY164" t="str">
            <v/>
          </cell>
          <cell r="AZ164" t="str">
            <v/>
          </cell>
          <cell r="BA164" t="str">
            <v/>
          </cell>
          <cell r="BB164" t="str">
            <v/>
          </cell>
          <cell r="BC164" t="str">
            <v/>
          </cell>
          <cell r="BD164" t="str">
            <v/>
          </cell>
          <cell r="BE164" t="str">
            <v/>
          </cell>
          <cell r="BF164" t="str">
            <v/>
          </cell>
          <cell r="BG164" t="str">
            <v/>
          </cell>
          <cell r="BH164" t="str">
            <v/>
          </cell>
          <cell r="BJ164" t="str">
            <v/>
          </cell>
          <cell r="BK164" t="str">
            <v/>
          </cell>
          <cell r="BL164" t="str">
            <v/>
          </cell>
          <cell r="BM164" t="str">
            <v/>
          </cell>
          <cell r="BN164" t="str">
            <v/>
          </cell>
          <cell r="BO164" t="str">
            <v/>
          </cell>
          <cell r="BP164" t="str">
            <v/>
          </cell>
          <cell r="BQ164" t="str">
            <v/>
          </cell>
          <cell r="BR164" t="str">
            <v/>
          </cell>
          <cell r="BS164" t="str">
            <v/>
          </cell>
          <cell r="BT164" t="str">
            <v/>
          </cell>
          <cell r="BU164" t="str">
            <v/>
          </cell>
          <cell r="BV164" t="str">
            <v/>
          </cell>
          <cell r="BW164" t="str">
            <v/>
          </cell>
          <cell r="BX164" t="str">
            <v/>
          </cell>
          <cell r="BY164" t="str">
            <v/>
          </cell>
          <cell r="BZ164" t="str">
            <v/>
          </cell>
          <cell r="CA164" t="str">
            <v/>
          </cell>
          <cell r="CC164" t="str">
            <v/>
          </cell>
          <cell r="CD164" t="str">
            <v/>
          </cell>
          <cell r="CE164" t="str">
            <v/>
          </cell>
          <cell r="CF164" t="str">
            <v/>
          </cell>
        </row>
        <row r="165">
          <cell r="A165">
            <v>323</v>
          </cell>
          <cell r="B165" t="str">
            <v>0323_センターワンホテル半田</v>
          </cell>
          <cell r="C165" t="str">
            <v/>
          </cell>
          <cell r="D165" t="str">
            <v/>
          </cell>
          <cell r="E165" t="str">
            <v/>
          </cell>
          <cell r="F165" t="str">
            <v/>
          </cell>
          <cell r="G165" t="str">
            <v/>
          </cell>
          <cell r="H165">
            <v>0</v>
          </cell>
          <cell r="I165">
            <v>0</v>
          </cell>
          <cell r="J165" t="b">
            <v>0</v>
          </cell>
          <cell r="K165" t="str">
            <v/>
          </cell>
          <cell r="L165">
            <v>0</v>
          </cell>
          <cell r="M165">
            <v>0</v>
          </cell>
          <cell r="N165">
            <v>0</v>
          </cell>
          <cell r="O165">
            <v>0</v>
          </cell>
          <cell r="P165">
            <v>0</v>
          </cell>
          <cell r="Q165">
            <v>0</v>
          </cell>
          <cell r="R165">
            <v>0</v>
          </cell>
          <cell r="S165" t="b">
            <v>1</v>
          </cell>
          <cell r="T165" t="str">
            <v/>
          </cell>
          <cell r="U165">
            <v>0</v>
          </cell>
          <cell r="V165">
            <v>1573435</v>
          </cell>
          <cell r="W165">
            <v>1573435</v>
          </cell>
          <cell r="X165" t="b">
            <v>1</v>
          </cell>
          <cell r="Y165">
            <v>19667.9375</v>
          </cell>
          <cell r="AB165" t="str">
            <v/>
          </cell>
          <cell r="AE165">
            <v>150</v>
          </cell>
          <cell r="AF165">
            <v>80</v>
          </cell>
          <cell r="AG165" t="b">
            <v>1</v>
          </cell>
          <cell r="AH165">
            <v>149</v>
          </cell>
          <cell r="AI165" t="str">
            <v/>
          </cell>
          <cell r="AJ165" t="str">
            <v/>
          </cell>
          <cell r="AK165" t="str">
            <v/>
          </cell>
          <cell r="AL165" t="str">
            <v/>
          </cell>
          <cell r="AM165" t="str">
            <v/>
          </cell>
          <cell r="AN165" t="str">
            <v/>
          </cell>
          <cell r="AQ165" t="str">
            <v/>
          </cell>
          <cell r="AV165" t="str">
            <v/>
          </cell>
          <cell r="AW165" t="str">
            <v/>
          </cell>
          <cell r="AX165" t="str">
            <v/>
          </cell>
          <cell r="AY165" t="str">
            <v/>
          </cell>
          <cell r="AZ165" t="str">
            <v/>
          </cell>
          <cell r="BA165" t="str">
            <v/>
          </cell>
          <cell r="BB165" t="str">
            <v/>
          </cell>
          <cell r="BC165" t="str">
            <v/>
          </cell>
          <cell r="BD165" t="str">
            <v/>
          </cell>
          <cell r="BE165" t="str">
            <v/>
          </cell>
          <cell r="BF165" t="str">
            <v/>
          </cell>
          <cell r="BG165" t="str">
            <v/>
          </cell>
          <cell r="BH165" t="str">
            <v/>
          </cell>
          <cell r="BJ165" t="str">
            <v/>
          </cell>
          <cell r="BK165" t="str">
            <v/>
          </cell>
          <cell r="BL165" t="str">
            <v/>
          </cell>
          <cell r="BM165" t="str">
            <v/>
          </cell>
          <cell r="BN165" t="str">
            <v/>
          </cell>
          <cell r="BO165" t="str">
            <v/>
          </cell>
          <cell r="BP165" t="str">
            <v/>
          </cell>
          <cell r="BQ165" t="str">
            <v/>
          </cell>
          <cell r="BR165" t="str">
            <v/>
          </cell>
          <cell r="BS165" t="str">
            <v/>
          </cell>
          <cell r="BT165" t="str">
            <v/>
          </cell>
          <cell r="BU165" t="str">
            <v/>
          </cell>
          <cell r="BV165" t="str">
            <v/>
          </cell>
          <cell r="BW165" t="str">
            <v/>
          </cell>
          <cell r="BX165" t="str">
            <v/>
          </cell>
          <cell r="BY165" t="str">
            <v/>
          </cell>
          <cell r="BZ165" t="str">
            <v/>
          </cell>
          <cell r="CA165" t="str">
            <v/>
          </cell>
          <cell r="CC165" t="str">
            <v/>
          </cell>
          <cell r="CD165" t="str">
            <v/>
          </cell>
          <cell r="CE165" t="str">
            <v/>
          </cell>
          <cell r="CF165" t="str">
            <v/>
          </cell>
        </row>
        <row r="166">
          <cell r="A166">
            <v>324</v>
          </cell>
          <cell r="B166" t="str">
            <v>0324_カンデオホテルズ半田</v>
          </cell>
          <cell r="C166" t="str">
            <v/>
          </cell>
          <cell r="D166" t="str">
            <v/>
          </cell>
          <cell r="E166" t="str">
            <v/>
          </cell>
          <cell r="F166" t="str">
            <v/>
          </cell>
          <cell r="G166" t="str">
            <v/>
          </cell>
          <cell r="H166">
            <v>0</v>
          </cell>
          <cell r="I166">
            <v>0</v>
          </cell>
          <cell r="J166" t="b">
            <v>0</v>
          </cell>
          <cell r="K166" t="str">
            <v/>
          </cell>
          <cell r="L166">
            <v>0</v>
          </cell>
          <cell r="M166">
            <v>0</v>
          </cell>
          <cell r="N166">
            <v>0</v>
          </cell>
          <cell r="O166">
            <v>0</v>
          </cell>
          <cell r="P166">
            <v>0</v>
          </cell>
          <cell r="Q166">
            <v>0</v>
          </cell>
          <cell r="R166">
            <v>0</v>
          </cell>
          <cell r="S166" t="b">
            <v>1</v>
          </cell>
          <cell r="T166" t="str">
            <v/>
          </cell>
          <cell r="U166">
            <v>0</v>
          </cell>
          <cell r="V166">
            <v>1381142</v>
          </cell>
          <cell r="W166">
            <v>1381142</v>
          </cell>
          <cell r="X166" t="b">
            <v>1</v>
          </cell>
          <cell r="Y166">
            <v>15694.795454545454</v>
          </cell>
          <cell r="AB166" t="str">
            <v/>
          </cell>
          <cell r="AE166">
            <v>126</v>
          </cell>
          <cell r="AF166">
            <v>88</v>
          </cell>
          <cell r="AG166" t="b">
            <v>1</v>
          </cell>
          <cell r="AH166">
            <v>126</v>
          </cell>
          <cell r="AI166" t="str">
            <v/>
          </cell>
          <cell r="AJ166" t="str">
            <v/>
          </cell>
          <cell r="AK166" t="str">
            <v/>
          </cell>
          <cell r="AL166" t="str">
            <v/>
          </cell>
          <cell r="AM166" t="str">
            <v/>
          </cell>
          <cell r="AN166" t="str">
            <v/>
          </cell>
          <cell r="AQ166" t="str">
            <v/>
          </cell>
          <cell r="AV166" t="str">
            <v/>
          </cell>
          <cell r="AW166" t="str">
            <v/>
          </cell>
          <cell r="AX166" t="str">
            <v/>
          </cell>
          <cell r="AY166" t="str">
            <v/>
          </cell>
          <cell r="AZ166" t="str">
            <v/>
          </cell>
          <cell r="BA166" t="str">
            <v/>
          </cell>
          <cell r="BB166" t="str">
            <v/>
          </cell>
          <cell r="BC166" t="str">
            <v/>
          </cell>
          <cell r="BD166" t="str">
            <v/>
          </cell>
          <cell r="BE166" t="str">
            <v/>
          </cell>
          <cell r="BF166" t="str">
            <v/>
          </cell>
          <cell r="BG166" t="str">
            <v/>
          </cell>
          <cell r="BH166" t="str">
            <v/>
          </cell>
          <cell r="BJ166" t="str">
            <v/>
          </cell>
          <cell r="BK166" t="str">
            <v/>
          </cell>
          <cell r="BL166" t="str">
            <v/>
          </cell>
          <cell r="BM166" t="str">
            <v/>
          </cell>
          <cell r="BN166" t="str">
            <v/>
          </cell>
          <cell r="BO166" t="str">
            <v/>
          </cell>
          <cell r="BP166" t="str">
            <v/>
          </cell>
          <cell r="BQ166" t="str">
            <v/>
          </cell>
          <cell r="BR166" t="str">
            <v/>
          </cell>
          <cell r="BS166" t="str">
            <v/>
          </cell>
          <cell r="BT166" t="str">
            <v/>
          </cell>
          <cell r="BU166" t="str">
            <v/>
          </cell>
          <cell r="BV166" t="str">
            <v/>
          </cell>
          <cell r="BW166" t="str">
            <v/>
          </cell>
          <cell r="BX166" t="str">
            <v/>
          </cell>
          <cell r="BY166" t="str">
            <v/>
          </cell>
          <cell r="BZ166" t="str">
            <v/>
          </cell>
          <cell r="CA166" t="str">
            <v/>
          </cell>
          <cell r="CC166" t="str">
            <v/>
          </cell>
          <cell r="CD166" t="str">
            <v/>
          </cell>
          <cell r="CE166" t="str">
            <v/>
          </cell>
          <cell r="CF166" t="str">
            <v/>
          </cell>
        </row>
        <row r="167">
          <cell r="A167">
            <v>1002</v>
          </cell>
          <cell r="B167" t="str">
            <v>1002ルートイングランティア東海Spa＆Relaxation</v>
          </cell>
          <cell r="C167" t="str">
            <v/>
          </cell>
          <cell r="D167" t="str">
            <v/>
          </cell>
          <cell r="E167" t="str">
            <v/>
          </cell>
          <cell r="F167" t="str">
            <v/>
          </cell>
          <cell r="G167" t="str">
            <v/>
          </cell>
          <cell r="H167">
            <v>0</v>
          </cell>
          <cell r="I167">
            <v>0</v>
          </cell>
          <cell r="J167" t="b">
            <v>0</v>
          </cell>
          <cell r="K167" t="str">
            <v/>
          </cell>
          <cell r="L167">
            <v>0</v>
          </cell>
          <cell r="M167">
            <v>0</v>
          </cell>
          <cell r="N167">
            <v>0</v>
          </cell>
          <cell r="O167">
            <v>0</v>
          </cell>
          <cell r="P167">
            <v>0</v>
          </cell>
          <cell r="Q167">
            <v>0</v>
          </cell>
          <cell r="R167">
            <v>0</v>
          </cell>
          <cell r="S167" t="b">
            <v>1</v>
          </cell>
          <cell r="T167" t="str">
            <v/>
          </cell>
          <cell r="U167">
            <v>0</v>
          </cell>
          <cell r="V167">
            <v>3685951</v>
          </cell>
          <cell r="W167">
            <v>3685951</v>
          </cell>
          <cell r="X167" t="b">
            <v>1</v>
          </cell>
          <cell r="Y167">
            <v>26328.221428571429</v>
          </cell>
          <cell r="AB167" t="str">
            <v/>
          </cell>
          <cell r="AE167">
            <v>212</v>
          </cell>
          <cell r="AF167">
            <v>140</v>
          </cell>
          <cell r="AG167" t="b">
            <v>1</v>
          </cell>
          <cell r="AH167">
            <v>212</v>
          </cell>
          <cell r="AI167" t="str">
            <v/>
          </cell>
          <cell r="AJ167" t="str">
            <v/>
          </cell>
          <cell r="AK167" t="str">
            <v/>
          </cell>
          <cell r="AL167" t="str">
            <v/>
          </cell>
          <cell r="AM167" t="str">
            <v/>
          </cell>
          <cell r="AN167" t="str">
            <v/>
          </cell>
          <cell r="AQ167" t="str">
            <v/>
          </cell>
          <cell r="AV167" t="str">
            <v/>
          </cell>
          <cell r="AW167" t="str">
            <v/>
          </cell>
          <cell r="AX167" t="str">
            <v/>
          </cell>
          <cell r="AY167" t="str">
            <v/>
          </cell>
          <cell r="AZ167" t="str">
            <v/>
          </cell>
          <cell r="BA167" t="str">
            <v/>
          </cell>
          <cell r="BB167" t="str">
            <v/>
          </cell>
          <cell r="BC167" t="str">
            <v/>
          </cell>
          <cell r="BD167" t="str">
            <v/>
          </cell>
          <cell r="BE167" t="str">
            <v/>
          </cell>
          <cell r="BF167" t="str">
            <v/>
          </cell>
          <cell r="BG167" t="str">
            <v/>
          </cell>
          <cell r="BH167" t="str">
            <v/>
          </cell>
          <cell r="BJ167" t="str">
            <v/>
          </cell>
          <cell r="BK167" t="str">
            <v/>
          </cell>
          <cell r="BL167" t="str">
            <v/>
          </cell>
          <cell r="BM167" t="str">
            <v/>
          </cell>
          <cell r="BN167" t="str">
            <v/>
          </cell>
          <cell r="BO167" t="str">
            <v/>
          </cell>
          <cell r="BP167" t="str">
            <v/>
          </cell>
          <cell r="BQ167" t="str">
            <v/>
          </cell>
          <cell r="BR167" t="str">
            <v/>
          </cell>
          <cell r="BS167" t="str">
            <v/>
          </cell>
          <cell r="BT167" t="str">
            <v/>
          </cell>
          <cell r="BU167" t="str">
            <v/>
          </cell>
          <cell r="BV167" t="str">
            <v/>
          </cell>
          <cell r="BW167" t="str">
            <v/>
          </cell>
          <cell r="BX167" t="str">
            <v/>
          </cell>
          <cell r="BY167" t="str">
            <v/>
          </cell>
          <cell r="BZ167" t="str">
            <v/>
          </cell>
          <cell r="CA167" t="str">
            <v/>
          </cell>
          <cell r="CC167" t="str">
            <v/>
          </cell>
          <cell r="CD167" t="str">
            <v/>
          </cell>
          <cell r="CE167" t="str">
            <v/>
          </cell>
          <cell r="CF167" t="str">
            <v/>
          </cell>
        </row>
        <row r="168">
          <cell r="A168">
            <v>1003</v>
          </cell>
          <cell r="B168" t="str">
            <v>1003_ホテルルートイン新城</v>
          </cell>
          <cell r="C168" t="str">
            <v>選手（修正案）</v>
          </cell>
          <cell r="D168" t="str">
            <v>選手12000</v>
          </cell>
          <cell r="E168" t="str">
            <v/>
          </cell>
          <cell r="F168" t="str">
            <v/>
          </cell>
          <cell r="G168" t="str">
            <v/>
          </cell>
          <cell r="H168">
            <v>0</v>
          </cell>
          <cell r="I168">
            <v>0</v>
          </cell>
          <cell r="J168" t="b">
            <v>1</v>
          </cell>
          <cell r="K168" t="str">
            <v/>
          </cell>
          <cell r="L168">
            <v>0</v>
          </cell>
          <cell r="M168">
            <v>0</v>
          </cell>
          <cell r="N168">
            <v>0</v>
          </cell>
          <cell r="O168">
            <v>0</v>
          </cell>
          <cell r="P168">
            <v>0</v>
          </cell>
          <cell r="Q168">
            <v>0</v>
          </cell>
          <cell r="R168">
            <v>0</v>
          </cell>
          <cell r="S168" t="b">
            <v>1</v>
          </cell>
          <cell r="T168" t="str">
            <v/>
          </cell>
          <cell r="U168">
            <v>274100</v>
          </cell>
          <cell r="V168">
            <v>1777540</v>
          </cell>
          <cell r="W168">
            <v>1503440</v>
          </cell>
          <cell r="X168" t="b">
            <v>1</v>
          </cell>
          <cell r="Y168">
            <v>17084.545454545456</v>
          </cell>
          <cell r="Z168">
            <v>9412</v>
          </cell>
          <cell r="AA168">
            <v>21648</v>
          </cell>
          <cell r="AB168">
            <v>12943.951786482998</v>
          </cell>
          <cell r="AC168">
            <v>0</v>
          </cell>
          <cell r="AE168">
            <v>184</v>
          </cell>
          <cell r="AF168">
            <v>88</v>
          </cell>
          <cell r="AG168" t="b">
            <v>1</v>
          </cell>
          <cell r="AH168">
            <v>186</v>
          </cell>
          <cell r="AI168">
            <v>101</v>
          </cell>
          <cell r="AJ168" t="str">
            <v/>
          </cell>
          <cell r="AK168" t="str">
            <v/>
          </cell>
          <cell r="AL168" t="str">
            <v/>
          </cell>
          <cell r="AM168" t="str">
            <v/>
          </cell>
          <cell r="AN168">
            <v>13</v>
          </cell>
          <cell r="AQ168" t="str">
            <v/>
          </cell>
          <cell r="AV168">
            <v>12</v>
          </cell>
          <cell r="AW168">
            <v>13</v>
          </cell>
          <cell r="AX168" t="str">
            <v/>
          </cell>
          <cell r="AY168" t="str">
            <v/>
          </cell>
          <cell r="AZ168" t="str">
            <v/>
          </cell>
          <cell r="BA168" t="str">
            <v/>
          </cell>
          <cell r="BB168" t="str">
            <v/>
          </cell>
          <cell r="BC168" t="str">
            <v/>
          </cell>
          <cell r="BD168" t="str">
            <v/>
          </cell>
          <cell r="BE168" t="str">
            <v/>
          </cell>
          <cell r="BF168" t="str">
            <v/>
          </cell>
          <cell r="BG168" t="str">
            <v/>
          </cell>
          <cell r="BH168">
            <v>18041280</v>
          </cell>
          <cell r="BI168">
            <v>19544720</v>
          </cell>
          <cell r="BJ168" t="str">
            <v/>
          </cell>
          <cell r="BK168" t="str">
            <v/>
          </cell>
          <cell r="BL168" t="str">
            <v/>
          </cell>
          <cell r="BM168" t="str">
            <v/>
          </cell>
          <cell r="BN168" t="str">
            <v/>
          </cell>
          <cell r="BO168" t="str">
            <v/>
          </cell>
          <cell r="BP168" t="str">
            <v/>
          </cell>
          <cell r="BQ168" t="str">
            <v/>
          </cell>
          <cell r="BR168" t="str">
            <v/>
          </cell>
          <cell r="BS168" t="str">
            <v/>
          </cell>
          <cell r="BT168" t="str">
            <v/>
          </cell>
          <cell r="BU168" t="str">
            <v/>
          </cell>
          <cell r="BV168" t="str">
            <v/>
          </cell>
          <cell r="BW168" t="str">
            <v/>
          </cell>
          <cell r="BX168" t="str">
            <v/>
          </cell>
          <cell r="BY168" t="str">
            <v/>
          </cell>
          <cell r="BZ168" t="str">
            <v/>
          </cell>
          <cell r="CA168" t="str">
            <v/>
          </cell>
          <cell r="CC168" t="str">
            <v/>
          </cell>
          <cell r="CD168" t="str">
            <v/>
          </cell>
          <cell r="CE168" t="str">
            <v/>
          </cell>
          <cell r="CF168" t="str">
            <v/>
          </cell>
        </row>
        <row r="169">
          <cell r="A169">
            <v>1004</v>
          </cell>
          <cell r="B169" t="str">
            <v>1004_モンブランホテルラフィネ名古屋駅前</v>
          </cell>
          <cell r="C169" t="str">
            <v/>
          </cell>
          <cell r="D169" t="str">
            <v/>
          </cell>
          <cell r="E169" t="str">
            <v/>
          </cell>
          <cell r="F169" t="str">
            <v>メディア</v>
          </cell>
          <cell r="G169" t="str">
            <v/>
          </cell>
          <cell r="H169">
            <v>1</v>
          </cell>
          <cell r="I169">
            <v>1</v>
          </cell>
          <cell r="J169" t="b">
            <v>1</v>
          </cell>
          <cell r="K169" t="str">
            <v/>
          </cell>
          <cell r="L169">
            <v>0</v>
          </cell>
          <cell r="M169">
            <v>0</v>
          </cell>
          <cell r="N169">
            <v>0</v>
          </cell>
          <cell r="O169">
            <v>0</v>
          </cell>
          <cell r="P169">
            <v>0</v>
          </cell>
          <cell r="Q169">
            <v>0</v>
          </cell>
          <cell r="R169">
            <v>0</v>
          </cell>
          <cell r="S169" t="b">
            <v>1</v>
          </cell>
          <cell r="T169">
            <v>0</v>
          </cell>
          <cell r="U169">
            <v>0</v>
          </cell>
          <cell r="V169">
            <v>2889658</v>
          </cell>
          <cell r="W169">
            <v>2889658</v>
          </cell>
          <cell r="X169" t="b">
            <v>1</v>
          </cell>
          <cell r="Y169">
            <v>28896.58</v>
          </cell>
          <cell r="AB169" t="str">
            <v/>
          </cell>
          <cell r="AE169">
            <v>239</v>
          </cell>
          <cell r="AF169">
            <v>100</v>
          </cell>
          <cell r="AG169" t="b">
            <v>1</v>
          </cell>
          <cell r="AH169">
            <v>289</v>
          </cell>
          <cell r="AI169" t="str">
            <v/>
          </cell>
          <cell r="AJ169" t="str">
            <v/>
          </cell>
          <cell r="AK169" t="str">
            <v/>
          </cell>
          <cell r="AL169">
            <v>71</v>
          </cell>
          <cell r="AM169" t="str">
            <v/>
          </cell>
          <cell r="AN169" t="str">
            <v/>
          </cell>
          <cell r="AQ169">
            <v>-29</v>
          </cell>
          <cell r="AV169" t="str">
            <v/>
          </cell>
          <cell r="AW169" t="str">
            <v/>
          </cell>
          <cell r="AX169" t="str">
            <v/>
          </cell>
          <cell r="AY169" t="str">
            <v/>
          </cell>
          <cell r="AZ169" t="str">
            <v/>
          </cell>
          <cell r="BA169" t="str">
            <v/>
          </cell>
          <cell r="BB169" t="str">
            <v/>
          </cell>
          <cell r="BC169" t="str">
            <v/>
          </cell>
          <cell r="BD169" t="str">
            <v/>
          </cell>
          <cell r="BE169">
            <v>16</v>
          </cell>
          <cell r="BF169" t="str">
            <v/>
          </cell>
          <cell r="BG169" t="str">
            <v/>
          </cell>
          <cell r="BH169" t="str">
            <v/>
          </cell>
          <cell r="BJ169" t="str">
            <v/>
          </cell>
          <cell r="BK169" t="str">
            <v/>
          </cell>
          <cell r="BL169" t="str">
            <v/>
          </cell>
          <cell r="BM169" t="str">
            <v/>
          </cell>
          <cell r="BN169" t="str">
            <v/>
          </cell>
          <cell r="BO169" t="str">
            <v/>
          </cell>
          <cell r="BP169" t="str">
            <v/>
          </cell>
          <cell r="BQ169" t="str">
            <v/>
          </cell>
          <cell r="BR169" t="str">
            <v/>
          </cell>
          <cell r="BS169" t="str">
            <v/>
          </cell>
          <cell r="BT169">
            <v>32826514.880000003</v>
          </cell>
          <cell r="BU169" t="str">
            <v/>
          </cell>
          <cell r="BV169" t="str">
            <v/>
          </cell>
          <cell r="BW169" t="str">
            <v/>
          </cell>
          <cell r="BX169" t="str">
            <v/>
          </cell>
          <cell r="BY169" t="str">
            <v/>
          </cell>
          <cell r="BZ169" t="str">
            <v/>
          </cell>
          <cell r="CA169" t="str">
            <v/>
          </cell>
          <cell r="CC169" t="str">
            <v/>
          </cell>
          <cell r="CD169" t="str">
            <v/>
          </cell>
          <cell r="CE169" t="str">
            <v/>
          </cell>
          <cell r="CF169" t="str">
            <v/>
          </cell>
        </row>
        <row r="170">
          <cell r="A170">
            <v>1006</v>
          </cell>
          <cell r="B170" t="str">
            <v>1006_相鉄フレッサイン名古屋駅新幹線口</v>
          </cell>
          <cell r="C170" t="str">
            <v>メディア</v>
          </cell>
          <cell r="D170" t="str">
            <v/>
          </cell>
          <cell r="E170" t="str">
            <v/>
          </cell>
          <cell r="F170" t="str">
            <v>メディア</v>
          </cell>
          <cell r="G170" t="str">
            <v/>
          </cell>
          <cell r="H170">
            <v>0</v>
          </cell>
          <cell r="I170">
            <v>0</v>
          </cell>
          <cell r="J170" t="b">
            <v>1</v>
          </cell>
          <cell r="K170" t="str">
            <v/>
          </cell>
          <cell r="L170">
            <v>0</v>
          </cell>
          <cell r="M170">
            <v>0</v>
          </cell>
          <cell r="N170">
            <v>0</v>
          </cell>
          <cell r="O170">
            <v>0</v>
          </cell>
          <cell r="P170">
            <v>0</v>
          </cell>
          <cell r="Q170">
            <v>0</v>
          </cell>
          <cell r="R170">
            <v>0</v>
          </cell>
          <cell r="S170" t="b">
            <v>1</v>
          </cell>
          <cell r="T170" t="str">
            <v/>
          </cell>
          <cell r="U170">
            <v>0</v>
          </cell>
          <cell r="V170">
            <v>3850948</v>
          </cell>
          <cell r="W170">
            <v>3850948</v>
          </cell>
          <cell r="X170" t="b">
            <v>1</v>
          </cell>
          <cell r="Y170">
            <v>35329.798165137618</v>
          </cell>
          <cell r="AB170">
            <v>29898.664596273295</v>
          </cell>
          <cell r="AE170">
            <v>229</v>
          </cell>
          <cell r="AF170">
            <v>109</v>
          </cell>
          <cell r="AG170" t="b">
            <v>1</v>
          </cell>
          <cell r="AH170">
            <v>232</v>
          </cell>
          <cell r="AI170">
            <v>112</v>
          </cell>
          <cell r="AJ170" t="str">
            <v/>
          </cell>
          <cell r="AK170" t="str">
            <v/>
          </cell>
          <cell r="AL170">
            <v>69</v>
          </cell>
          <cell r="AM170" t="str">
            <v/>
          </cell>
          <cell r="AN170">
            <v>3</v>
          </cell>
          <cell r="AQ170">
            <v>-40</v>
          </cell>
          <cell r="AV170" t="str">
            <v/>
          </cell>
          <cell r="AW170" t="str">
            <v/>
          </cell>
          <cell r="AX170" t="str">
            <v/>
          </cell>
          <cell r="AY170" t="str">
            <v/>
          </cell>
          <cell r="AZ170">
            <v>32</v>
          </cell>
          <cell r="BA170" t="str">
            <v/>
          </cell>
          <cell r="BB170" t="str">
            <v/>
          </cell>
          <cell r="BC170" t="str">
            <v/>
          </cell>
          <cell r="BD170" t="str">
            <v/>
          </cell>
          <cell r="BE170">
            <v>16</v>
          </cell>
          <cell r="BF170" t="str">
            <v/>
          </cell>
          <cell r="BG170" t="str">
            <v/>
          </cell>
          <cell r="BH170" t="str">
            <v/>
          </cell>
          <cell r="BJ170" t="str">
            <v/>
          </cell>
          <cell r="BK170">
            <v>126621996.62385322</v>
          </cell>
          <cell r="BL170" t="str">
            <v/>
          </cell>
          <cell r="BM170" t="str">
            <v/>
          </cell>
          <cell r="BN170" t="str">
            <v/>
          </cell>
          <cell r="BO170" t="str">
            <v/>
          </cell>
          <cell r="BP170" t="str">
            <v/>
          </cell>
          <cell r="BQ170" t="str">
            <v/>
          </cell>
          <cell r="BR170" t="str">
            <v/>
          </cell>
          <cell r="BS170" t="str">
            <v/>
          </cell>
          <cell r="BT170">
            <v>39004097.174311928</v>
          </cell>
          <cell r="BU170" t="str">
            <v/>
          </cell>
          <cell r="BV170" t="str">
            <v/>
          </cell>
          <cell r="BW170" t="str">
            <v/>
          </cell>
          <cell r="BX170" t="str">
            <v/>
          </cell>
          <cell r="BY170" t="str">
            <v/>
          </cell>
          <cell r="BZ170" t="str">
            <v/>
          </cell>
          <cell r="CA170" t="str">
            <v/>
          </cell>
          <cell r="CC170" t="str">
            <v/>
          </cell>
          <cell r="CD170" t="str">
            <v/>
          </cell>
          <cell r="CE170" t="str">
            <v/>
          </cell>
          <cell r="CF170" t="str">
            <v/>
          </cell>
        </row>
        <row r="171">
          <cell r="A171">
            <v>1007</v>
          </cell>
          <cell r="B171" t="str">
            <v>1007_ホテルミュースタイル犬山エクスペリエンス</v>
          </cell>
          <cell r="C171" t="str">
            <v>選手（修正案）</v>
          </cell>
          <cell r="D171" t="str">
            <v>選手12000</v>
          </cell>
          <cell r="E171" t="str">
            <v/>
          </cell>
          <cell r="F171" t="str">
            <v/>
          </cell>
          <cell r="G171" t="str">
            <v/>
          </cell>
          <cell r="H171">
            <v>1</v>
          </cell>
          <cell r="I171">
            <v>1</v>
          </cell>
          <cell r="J171" t="b">
            <v>1</v>
          </cell>
          <cell r="K171" t="str">
            <v/>
          </cell>
          <cell r="L171">
            <v>847059</v>
          </cell>
          <cell r="M171">
            <v>0</v>
          </cell>
          <cell r="N171">
            <v>0</v>
          </cell>
          <cell r="O171">
            <v>0</v>
          </cell>
          <cell r="P171">
            <v>0</v>
          </cell>
          <cell r="Q171">
            <v>931764.9</v>
          </cell>
          <cell r="R171">
            <v>931764</v>
          </cell>
          <cell r="S171" t="b">
            <v>1</v>
          </cell>
          <cell r="T171">
            <v>931764</v>
          </cell>
          <cell r="U171">
            <v>0</v>
          </cell>
          <cell r="V171">
            <v>4189144</v>
          </cell>
          <cell r="W171">
            <v>4189144</v>
          </cell>
          <cell r="X171" t="b">
            <v>1</v>
          </cell>
          <cell r="Y171">
            <v>35501.220338983054</v>
          </cell>
          <cell r="Z171">
            <v>28824</v>
          </cell>
          <cell r="AA171">
            <v>51765</v>
          </cell>
          <cell r="AB171">
            <v>21682.939958592135</v>
          </cell>
          <cell r="AC171">
            <v>1600</v>
          </cell>
          <cell r="AE171">
            <v>118</v>
          </cell>
          <cell r="AF171">
            <v>118</v>
          </cell>
          <cell r="AG171" t="b">
            <v>1</v>
          </cell>
          <cell r="AH171">
            <v>192</v>
          </cell>
          <cell r="AI171">
            <v>168</v>
          </cell>
          <cell r="AJ171" t="str">
            <v/>
          </cell>
          <cell r="AK171" t="str">
            <v/>
          </cell>
          <cell r="AL171" t="str">
            <v/>
          </cell>
          <cell r="AM171" t="str">
            <v/>
          </cell>
          <cell r="AN171">
            <v>50</v>
          </cell>
          <cell r="AQ171" t="str">
            <v/>
          </cell>
          <cell r="AV171">
            <v>23</v>
          </cell>
          <cell r="AW171">
            <v>26</v>
          </cell>
          <cell r="AX171" t="str">
            <v/>
          </cell>
          <cell r="AY171" t="str">
            <v/>
          </cell>
          <cell r="AZ171" t="str">
            <v/>
          </cell>
          <cell r="BA171" t="str">
            <v/>
          </cell>
          <cell r="BB171" t="str">
            <v/>
          </cell>
          <cell r="BC171" t="str">
            <v/>
          </cell>
          <cell r="BD171" t="str">
            <v/>
          </cell>
          <cell r="BE171" t="str">
            <v/>
          </cell>
          <cell r="BF171" t="str">
            <v/>
          </cell>
          <cell r="BG171" t="str">
            <v/>
          </cell>
          <cell r="BH171">
            <v>96350312</v>
          </cell>
          <cell r="BI171">
            <v>108917744</v>
          </cell>
          <cell r="BJ171" t="str">
            <v/>
          </cell>
          <cell r="BK171" t="str">
            <v/>
          </cell>
          <cell r="BL171" t="str">
            <v/>
          </cell>
          <cell r="BM171" t="str">
            <v/>
          </cell>
          <cell r="BN171" t="str">
            <v/>
          </cell>
          <cell r="BO171" t="str">
            <v/>
          </cell>
          <cell r="BP171" t="str">
            <v/>
          </cell>
          <cell r="BQ171" t="str">
            <v/>
          </cell>
          <cell r="BR171" t="str">
            <v/>
          </cell>
          <cell r="BS171" t="str">
            <v/>
          </cell>
          <cell r="BT171" t="str">
            <v/>
          </cell>
          <cell r="BU171" t="str">
            <v/>
          </cell>
          <cell r="BV171" t="str">
            <v/>
          </cell>
          <cell r="BW171" t="str">
            <v/>
          </cell>
          <cell r="BX171">
            <v>21430572</v>
          </cell>
          <cell r="BY171">
            <v>24225864</v>
          </cell>
          <cell r="BZ171" t="str">
            <v/>
          </cell>
          <cell r="CA171" t="str">
            <v/>
          </cell>
          <cell r="CC171" t="str">
            <v/>
          </cell>
          <cell r="CD171" t="str">
            <v/>
          </cell>
          <cell r="CE171" t="str">
            <v/>
          </cell>
          <cell r="CF171" t="str">
            <v/>
          </cell>
        </row>
        <row r="172">
          <cell r="A172">
            <v>1008</v>
          </cell>
          <cell r="B172" t="str">
            <v>1008_ホテルインディゴ犬山有楽苑</v>
          </cell>
          <cell r="C172" t="str">
            <v/>
          </cell>
          <cell r="D172" t="str">
            <v>選手12000</v>
          </cell>
          <cell r="E172" t="str">
            <v/>
          </cell>
          <cell r="F172" t="str">
            <v>スポンサー</v>
          </cell>
          <cell r="G172" t="str">
            <v/>
          </cell>
          <cell r="H172">
            <v>4</v>
          </cell>
          <cell r="I172">
            <v>2</v>
          </cell>
          <cell r="J172" t="b">
            <v>0</v>
          </cell>
          <cell r="K172" t="str">
            <v/>
          </cell>
          <cell r="L172">
            <v>7178824</v>
          </cell>
          <cell r="M172">
            <v>0</v>
          </cell>
          <cell r="N172">
            <v>0</v>
          </cell>
          <cell r="O172">
            <v>5850</v>
          </cell>
          <cell r="P172">
            <v>0</v>
          </cell>
          <cell r="Q172">
            <v>7902556.4000000004</v>
          </cell>
          <cell r="R172">
            <v>7902556</v>
          </cell>
          <cell r="S172" t="b">
            <v>0</v>
          </cell>
          <cell r="T172">
            <v>3951278</v>
          </cell>
          <cell r="U172">
            <v>0</v>
          </cell>
          <cell r="V172">
            <v>9769342</v>
          </cell>
          <cell r="W172">
            <v>9769342</v>
          </cell>
          <cell r="X172" t="b">
            <v>0</v>
          </cell>
          <cell r="Y172">
            <v>63437.285714285717</v>
          </cell>
          <cell r="AB172" t="str">
            <v/>
          </cell>
          <cell r="AC172">
            <v>5500</v>
          </cell>
          <cell r="AE172">
            <v>154</v>
          </cell>
          <cell r="AF172">
            <v>154</v>
          </cell>
          <cell r="AG172" t="b">
            <v>1</v>
          </cell>
          <cell r="AH172">
            <v>253</v>
          </cell>
          <cell r="AI172" t="str">
            <v/>
          </cell>
          <cell r="AJ172" t="str">
            <v/>
          </cell>
          <cell r="AK172" t="str">
            <v/>
          </cell>
          <cell r="AL172">
            <v>156</v>
          </cell>
          <cell r="AM172" t="str">
            <v/>
          </cell>
          <cell r="AN172" t="str">
            <v/>
          </cell>
          <cell r="AQ172">
            <v>2</v>
          </cell>
          <cell r="AV172" t="str">
            <v/>
          </cell>
          <cell r="AW172">
            <v>26</v>
          </cell>
          <cell r="AX172" t="str">
            <v/>
          </cell>
          <cell r="AY172" t="str">
            <v/>
          </cell>
          <cell r="AZ172" t="str">
            <v/>
          </cell>
          <cell r="BA172" t="str">
            <v/>
          </cell>
          <cell r="BB172" t="str">
            <v/>
          </cell>
          <cell r="BC172" t="str">
            <v/>
          </cell>
          <cell r="BD172">
            <v>9</v>
          </cell>
          <cell r="BE172" t="str">
            <v/>
          </cell>
          <cell r="BF172" t="str">
            <v/>
          </cell>
          <cell r="BG172" t="str">
            <v/>
          </cell>
          <cell r="BH172" t="str">
            <v/>
          </cell>
          <cell r="BI172">
            <v>254002892</v>
          </cell>
          <cell r="BJ172" t="str">
            <v/>
          </cell>
          <cell r="BK172" t="str">
            <v/>
          </cell>
          <cell r="BL172" t="str">
            <v/>
          </cell>
          <cell r="BM172" t="str">
            <v/>
          </cell>
          <cell r="BN172" t="str">
            <v/>
          </cell>
          <cell r="BO172" t="str">
            <v/>
          </cell>
          <cell r="BP172" t="str">
            <v/>
          </cell>
          <cell r="BQ172" t="str">
            <v/>
          </cell>
          <cell r="BR172" t="str">
            <v/>
          </cell>
          <cell r="BS172" t="str">
            <v/>
          </cell>
          <cell r="BT172" t="str">
            <v/>
          </cell>
          <cell r="BU172">
            <v>89065949.142857149</v>
          </cell>
          <cell r="BV172" t="str">
            <v/>
          </cell>
          <cell r="BW172" t="str">
            <v/>
          </cell>
          <cell r="BX172" t="str">
            <v/>
          </cell>
          <cell r="BY172">
            <v>205466456</v>
          </cell>
          <cell r="BZ172" t="str">
            <v/>
          </cell>
          <cell r="CA172" t="str">
            <v/>
          </cell>
          <cell r="CC172" t="str">
            <v/>
          </cell>
          <cell r="CD172" t="str">
            <v/>
          </cell>
          <cell r="CE172" t="str">
            <v/>
          </cell>
          <cell r="CF172" t="str">
            <v/>
          </cell>
        </row>
        <row r="173">
          <cell r="A173">
            <v>1010</v>
          </cell>
          <cell r="B173" t="str">
            <v>1010_天の丸</v>
          </cell>
          <cell r="C173" t="str">
            <v/>
          </cell>
          <cell r="D173" t="str">
            <v/>
          </cell>
          <cell r="E173" t="str">
            <v/>
          </cell>
          <cell r="F173" t="str">
            <v/>
          </cell>
          <cell r="G173" t="str">
            <v/>
          </cell>
          <cell r="H173">
            <v>12</v>
          </cell>
          <cell r="I173">
            <v>3</v>
          </cell>
          <cell r="J173" t="b">
            <v>0</v>
          </cell>
          <cell r="K173" t="str">
            <v/>
          </cell>
          <cell r="L173">
            <v>129414</v>
          </cell>
          <cell r="M173">
            <v>0</v>
          </cell>
          <cell r="N173">
            <v>0</v>
          </cell>
          <cell r="O173">
            <v>5850</v>
          </cell>
          <cell r="P173">
            <v>0</v>
          </cell>
          <cell r="Q173">
            <v>148205.40000000002</v>
          </cell>
          <cell r="R173">
            <v>148205</v>
          </cell>
          <cell r="S173" t="b">
            <v>0</v>
          </cell>
          <cell r="T173">
            <v>49401.666666666664</v>
          </cell>
          <cell r="U173">
            <v>0</v>
          </cell>
          <cell r="V173">
            <v>1138850</v>
          </cell>
          <cell r="W173">
            <v>1138850</v>
          </cell>
          <cell r="X173" t="b">
            <v>0</v>
          </cell>
          <cell r="Y173">
            <v>30779.72972972973</v>
          </cell>
          <cell r="AB173" t="str">
            <v/>
          </cell>
          <cell r="AE173">
            <v>37</v>
          </cell>
          <cell r="AF173">
            <v>37</v>
          </cell>
          <cell r="AG173" t="b">
            <v>0</v>
          </cell>
          <cell r="AH173">
            <v>40</v>
          </cell>
          <cell r="AI173" t="str">
            <v/>
          </cell>
          <cell r="AJ173" t="str">
            <v/>
          </cell>
          <cell r="AK173" t="str">
            <v/>
          </cell>
          <cell r="AL173" t="str">
            <v/>
          </cell>
          <cell r="AM173" t="str">
            <v/>
          </cell>
          <cell r="AN173" t="str">
            <v/>
          </cell>
          <cell r="AQ173" t="str">
            <v/>
          </cell>
          <cell r="AV173" t="str">
            <v/>
          </cell>
          <cell r="AW173" t="str">
            <v/>
          </cell>
          <cell r="AX173" t="str">
            <v/>
          </cell>
          <cell r="AY173" t="str">
            <v/>
          </cell>
          <cell r="AZ173" t="str">
            <v/>
          </cell>
          <cell r="BA173" t="str">
            <v/>
          </cell>
          <cell r="BB173" t="str">
            <v/>
          </cell>
          <cell r="BC173" t="str">
            <v/>
          </cell>
          <cell r="BD173" t="str">
            <v/>
          </cell>
          <cell r="BE173" t="str">
            <v/>
          </cell>
          <cell r="BF173" t="str">
            <v/>
          </cell>
          <cell r="BG173" t="str">
            <v/>
          </cell>
          <cell r="BH173" t="str">
            <v/>
          </cell>
          <cell r="BJ173" t="str">
            <v/>
          </cell>
          <cell r="BK173" t="str">
            <v/>
          </cell>
          <cell r="BL173" t="str">
            <v/>
          </cell>
          <cell r="BM173" t="str">
            <v/>
          </cell>
          <cell r="BN173" t="str">
            <v/>
          </cell>
          <cell r="BO173" t="str">
            <v/>
          </cell>
          <cell r="BP173" t="str">
            <v/>
          </cell>
          <cell r="BQ173" t="str">
            <v/>
          </cell>
          <cell r="BR173" t="str">
            <v/>
          </cell>
          <cell r="BS173" t="str">
            <v/>
          </cell>
          <cell r="BT173" t="str">
            <v/>
          </cell>
          <cell r="BU173" t="str">
            <v/>
          </cell>
          <cell r="BV173" t="str">
            <v/>
          </cell>
          <cell r="BW173" t="str">
            <v/>
          </cell>
          <cell r="BX173" t="str">
            <v/>
          </cell>
          <cell r="BY173" t="str">
            <v/>
          </cell>
          <cell r="BZ173" t="str">
            <v/>
          </cell>
          <cell r="CA173" t="str">
            <v/>
          </cell>
          <cell r="CC173" t="str">
            <v/>
          </cell>
          <cell r="CD173" t="str">
            <v/>
          </cell>
          <cell r="CE173" t="str">
            <v/>
          </cell>
          <cell r="CF173" t="str">
            <v/>
          </cell>
        </row>
        <row r="174">
          <cell r="A174">
            <v>1012</v>
          </cell>
          <cell r="B174" t="str">
            <v>1012_ホテルたつき</v>
          </cell>
          <cell r="C174" t="str">
            <v/>
          </cell>
          <cell r="D174" t="str">
            <v/>
          </cell>
          <cell r="E174" t="str">
            <v/>
          </cell>
          <cell r="F174" t="str">
            <v/>
          </cell>
          <cell r="G174" t="str">
            <v/>
          </cell>
          <cell r="H174">
            <v>18</v>
          </cell>
          <cell r="I174">
            <v>9</v>
          </cell>
          <cell r="J174" t="b">
            <v>0</v>
          </cell>
          <cell r="K174" t="str">
            <v/>
          </cell>
          <cell r="L174">
            <v>4235301</v>
          </cell>
          <cell r="M174">
            <v>0</v>
          </cell>
          <cell r="N174">
            <v>0</v>
          </cell>
          <cell r="O174">
            <v>0</v>
          </cell>
          <cell r="P174">
            <v>0</v>
          </cell>
          <cell r="Q174">
            <v>4658831.1000000006</v>
          </cell>
          <cell r="R174">
            <v>4658831</v>
          </cell>
          <cell r="S174" t="b">
            <v>0</v>
          </cell>
          <cell r="T174">
            <v>517647.88888888888</v>
          </cell>
          <cell r="U174">
            <v>0</v>
          </cell>
          <cell r="V174">
            <v>1210063</v>
          </cell>
          <cell r="W174">
            <v>1210063</v>
          </cell>
          <cell r="X174" t="b">
            <v>0</v>
          </cell>
          <cell r="Y174">
            <v>16576.205479452055</v>
          </cell>
          <cell r="AB174" t="str">
            <v/>
          </cell>
          <cell r="AE174">
            <v>73</v>
          </cell>
          <cell r="AF174">
            <v>73</v>
          </cell>
          <cell r="AG174" t="b">
            <v>0</v>
          </cell>
          <cell r="AH174">
            <v>90</v>
          </cell>
          <cell r="AI174" t="str">
            <v/>
          </cell>
          <cell r="AJ174" t="str">
            <v/>
          </cell>
          <cell r="AK174" t="str">
            <v/>
          </cell>
          <cell r="AL174" t="str">
            <v/>
          </cell>
          <cell r="AM174" t="str">
            <v/>
          </cell>
          <cell r="AN174" t="str">
            <v/>
          </cell>
          <cell r="AQ174" t="str">
            <v/>
          </cell>
          <cell r="AV174" t="str">
            <v/>
          </cell>
          <cell r="AW174" t="str">
            <v/>
          </cell>
          <cell r="AX174" t="str">
            <v/>
          </cell>
          <cell r="AY174" t="str">
            <v/>
          </cell>
          <cell r="AZ174" t="str">
            <v/>
          </cell>
          <cell r="BA174" t="str">
            <v/>
          </cell>
          <cell r="BB174" t="str">
            <v/>
          </cell>
          <cell r="BC174" t="str">
            <v/>
          </cell>
          <cell r="BD174" t="str">
            <v/>
          </cell>
          <cell r="BE174" t="str">
            <v/>
          </cell>
          <cell r="BF174" t="str">
            <v/>
          </cell>
          <cell r="BG174" t="str">
            <v/>
          </cell>
          <cell r="BH174" t="str">
            <v/>
          </cell>
          <cell r="BJ174" t="str">
            <v/>
          </cell>
          <cell r="BK174" t="str">
            <v/>
          </cell>
          <cell r="BL174" t="str">
            <v/>
          </cell>
          <cell r="BM174" t="str">
            <v/>
          </cell>
          <cell r="BN174" t="str">
            <v/>
          </cell>
          <cell r="BO174" t="str">
            <v/>
          </cell>
          <cell r="BP174" t="str">
            <v/>
          </cell>
          <cell r="BQ174" t="str">
            <v/>
          </cell>
          <cell r="BR174" t="str">
            <v/>
          </cell>
          <cell r="BS174" t="str">
            <v/>
          </cell>
          <cell r="BT174" t="str">
            <v/>
          </cell>
          <cell r="BU174" t="str">
            <v/>
          </cell>
          <cell r="BV174" t="str">
            <v/>
          </cell>
          <cell r="BW174" t="str">
            <v/>
          </cell>
          <cell r="BX174" t="str">
            <v/>
          </cell>
          <cell r="BY174" t="str">
            <v/>
          </cell>
          <cell r="BZ174" t="str">
            <v/>
          </cell>
          <cell r="CA174" t="str">
            <v/>
          </cell>
          <cell r="CC174" t="str">
            <v/>
          </cell>
          <cell r="CD174" t="str">
            <v/>
          </cell>
          <cell r="CE174" t="str">
            <v/>
          </cell>
          <cell r="CF174" t="str">
            <v/>
          </cell>
        </row>
        <row r="175">
          <cell r="A175">
            <v>1013</v>
          </cell>
          <cell r="B175" t="str">
            <v>1013_西浦グランドホテル吉慶</v>
          </cell>
          <cell r="C175" t="str">
            <v/>
          </cell>
          <cell r="D175" t="str">
            <v/>
          </cell>
          <cell r="E175" t="str">
            <v/>
          </cell>
          <cell r="F175" t="str">
            <v/>
          </cell>
          <cell r="G175" t="str">
            <v/>
          </cell>
          <cell r="H175">
            <v>6</v>
          </cell>
          <cell r="I175">
            <v>2</v>
          </cell>
          <cell r="J175" t="b">
            <v>0</v>
          </cell>
          <cell r="K175" t="str">
            <v/>
          </cell>
          <cell r="L175">
            <v>132353</v>
          </cell>
          <cell r="M175">
            <v>0</v>
          </cell>
          <cell r="N175">
            <v>0</v>
          </cell>
          <cell r="O175">
            <v>0</v>
          </cell>
          <cell r="P175">
            <v>0</v>
          </cell>
          <cell r="Q175">
            <v>145588.30000000002</v>
          </cell>
          <cell r="R175">
            <v>145588</v>
          </cell>
          <cell r="S175" t="b">
            <v>0</v>
          </cell>
          <cell r="T175">
            <v>72794</v>
          </cell>
          <cell r="U175">
            <v>0</v>
          </cell>
          <cell r="V175">
            <v>1022374</v>
          </cell>
          <cell r="W175">
            <v>1022374</v>
          </cell>
          <cell r="X175" t="b">
            <v>0</v>
          </cell>
          <cell r="Y175">
            <v>24342.238095238095</v>
          </cell>
          <cell r="AB175" t="str">
            <v/>
          </cell>
          <cell r="AE175">
            <v>42</v>
          </cell>
          <cell r="AF175">
            <v>42</v>
          </cell>
          <cell r="AG175" t="b">
            <v>0</v>
          </cell>
          <cell r="AH175">
            <v>45</v>
          </cell>
          <cell r="AI175" t="str">
            <v/>
          </cell>
          <cell r="AJ175" t="str">
            <v/>
          </cell>
          <cell r="AK175" t="str">
            <v/>
          </cell>
          <cell r="AL175" t="str">
            <v/>
          </cell>
          <cell r="AM175" t="str">
            <v/>
          </cell>
          <cell r="AN175" t="str">
            <v/>
          </cell>
          <cell r="AQ175" t="str">
            <v/>
          </cell>
          <cell r="AV175" t="str">
            <v/>
          </cell>
          <cell r="AW175" t="str">
            <v/>
          </cell>
          <cell r="AX175" t="str">
            <v/>
          </cell>
          <cell r="AY175" t="str">
            <v/>
          </cell>
          <cell r="AZ175" t="str">
            <v/>
          </cell>
          <cell r="BA175" t="str">
            <v/>
          </cell>
          <cell r="BB175" t="str">
            <v/>
          </cell>
          <cell r="BC175" t="str">
            <v/>
          </cell>
          <cell r="BD175" t="str">
            <v/>
          </cell>
          <cell r="BE175" t="str">
            <v/>
          </cell>
          <cell r="BF175" t="str">
            <v/>
          </cell>
          <cell r="BG175" t="str">
            <v/>
          </cell>
          <cell r="BH175" t="str">
            <v/>
          </cell>
          <cell r="BJ175" t="str">
            <v/>
          </cell>
          <cell r="BK175" t="str">
            <v/>
          </cell>
          <cell r="BL175" t="str">
            <v/>
          </cell>
          <cell r="BM175" t="str">
            <v/>
          </cell>
          <cell r="BN175" t="str">
            <v/>
          </cell>
          <cell r="BO175" t="str">
            <v/>
          </cell>
          <cell r="BP175" t="str">
            <v/>
          </cell>
          <cell r="BQ175" t="str">
            <v/>
          </cell>
          <cell r="BR175" t="str">
            <v/>
          </cell>
          <cell r="BS175" t="str">
            <v/>
          </cell>
          <cell r="BT175" t="str">
            <v/>
          </cell>
          <cell r="BU175" t="str">
            <v/>
          </cell>
          <cell r="BV175" t="str">
            <v/>
          </cell>
          <cell r="BW175" t="str">
            <v/>
          </cell>
          <cell r="BX175" t="str">
            <v/>
          </cell>
          <cell r="BY175" t="str">
            <v/>
          </cell>
          <cell r="BZ175" t="str">
            <v/>
          </cell>
          <cell r="CA175" t="str">
            <v/>
          </cell>
          <cell r="CC175" t="str">
            <v/>
          </cell>
          <cell r="CD175" t="str">
            <v/>
          </cell>
          <cell r="CE175" t="str">
            <v/>
          </cell>
          <cell r="CF175" t="str">
            <v/>
          </cell>
        </row>
        <row r="176">
          <cell r="A176">
            <v>1015</v>
          </cell>
          <cell r="B176" t="str">
            <v>1015_ホテル三河　海陽閣</v>
          </cell>
          <cell r="C176" t="str">
            <v/>
          </cell>
          <cell r="D176" t="str">
            <v/>
          </cell>
          <cell r="E176" t="str">
            <v/>
          </cell>
          <cell r="F176" t="str">
            <v/>
          </cell>
          <cell r="G176" t="str">
            <v/>
          </cell>
          <cell r="H176">
            <v>6</v>
          </cell>
          <cell r="I176">
            <v>2</v>
          </cell>
          <cell r="J176" t="b">
            <v>0</v>
          </cell>
          <cell r="K176" t="str">
            <v/>
          </cell>
          <cell r="L176">
            <v>36883</v>
          </cell>
          <cell r="M176">
            <v>0</v>
          </cell>
          <cell r="N176">
            <v>0</v>
          </cell>
          <cell r="O176">
            <v>0</v>
          </cell>
          <cell r="P176">
            <v>0</v>
          </cell>
          <cell r="Q176">
            <v>40571.300000000003</v>
          </cell>
          <cell r="R176">
            <v>40571</v>
          </cell>
          <cell r="S176" t="b">
            <v>0</v>
          </cell>
          <cell r="T176">
            <v>20285.5</v>
          </cell>
          <cell r="U176">
            <v>0</v>
          </cell>
          <cell r="V176">
            <v>1452000</v>
          </cell>
          <cell r="W176">
            <v>1452000</v>
          </cell>
          <cell r="X176" t="b">
            <v>0</v>
          </cell>
          <cell r="Y176">
            <v>48400</v>
          </cell>
          <cell r="AB176" t="str">
            <v/>
          </cell>
          <cell r="AE176">
            <v>30</v>
          </cell>
          <cell r="AF176">
            <v>30</v>
          </cell>
          <cell r="AG176" t="b">
            <v>0</v>
          </cell>
          <cell r="AH176">
            <v>60</v>
          </cell>
          <cell r="AI176" t="str">
            <v/>
          </cell>
          <cell r="AJ176" t="str">
            <v/>
          </cell>
          <cell r="AK176" t="str">
            <v/>
          </cell>
          <cell r="AL176" t="str">
            <v/>
          </cell>
          <cell r="AM176" t="str">
            <v/>
          </cell>
          <cell r="AN176" t="str">
            <v/>
          </cell>
          <cell r="AQ176" t="str">
            <v/>
          </cell>
          <cell r="AV176" t="str">
            <v/>
          </cell>
          <cell r="AW176" t="str">
            <v/>
          </cell>
          <cell r="AX176" t="str">
            <v/>
          </cell>
          <cell r="AY176" t="str">
            <v/>
          </cell>
          <cell r="AZ176" t="str">
            <v/>
          </cell>
          <cell r="BA176" t="str">
            <v/>
          </cell>
          <cell r="BB176" t="str">
            <v/>
          </cell>
          <cell r="BC176" t="str">
            <v/>
          </cell>
          <cell r="BD176" t="str">
            <v/>
          </cell>
          <cell r="BE176" t="str">
            <v/>
          </cell>
          <cell r="BF176" t="str">
            <v/>
          </cell>
          <cell r="BG176" t="str">
            <v/>
          </cell>
          <cell r="BH176" t="str">
            <v/>
          </cell>
          <cell r="BJ176" t="str">
            <v/>
          </cell>
          <cell r="BK176" t="str">
            <v/>
          </cell>
          <cell r="BL176" t="str">
            <v/>
          </cell>
          <cell r="BM176" t="str">
            <v/>
          </cell>
          <cell r="BN176" t="str">
            <v/>
          </cell>
          <cell r="BO176" t="str">
            <v/>
          </cell>
          <cell r="BP176" t="str">
            <v/>
          </cell>
          <cell r="BQ176" t="str">
            <v/>
          </cell>
          <cell r="BR176" t="str">
            <v/>
          </cell>
          <cell r="BS176" t="str">
            <v/>
          </cell>
          <cell r="BT176" t="str">
            <v/>
          </cell>
          <cell r="BU176" t="str">
            <v/>
          </cell>
          <cell r="BV176" t="str">
            <v/>
          </cell>
          <cell r="BW176" t="str">
            <v/>
          </cell>
          <cell r="BX176" t="str">
            <v/>
          </cell>
          <cell r="BY176" t="str">
            <v/>
          </cell>
          <cell r="BZ176" t="str">
            <v/>
          </cell>
          <cell r="CA176" t="str">
            <v/>
          </cell>
          <cell r="CC176" t="str">
            <v/>
          </cell>
          <cell r="CD176" t="str">
            <v/>
          </cell>
          <cell r="CE176" t="str">
            <v/>
          </cell>
          <cell r="CF176" t="str">
            <v/>
          </cell>
        </row>
        <row r="177">
          <cell r="A177">
            <v>1016</v>
          </cell>
          <cell r="B177" t="str">
            <v>1016_くれたけインプレミアム名駅南</v>
          </cell>
          <cell r="C177" t="str">
            <v/>
          </cell>
          <cell r="D177" t="str">
            <v/>
          </cell>
          <cell r="E177" t="str">
            <v/>
          </cell>
          <cell r="F177" t="str">
            <v/>
          </cell>
          <cell r="G177" t="str">
            <v/>
          </cell>
          <cell r="H177">
            <v>0</v>
          </cell>
          <cell r="I177">
            <v>0</v>
          </cell>
          <cell r="J177" t="b">
            <v>0</v>
          </cell>
          <cell r="K177" t="str">
            <v/>
          </cell>
          <cell r="L177">
            <v>0</v>
          </cell>
          <cell r="M177">
            <v>0</v>
          </cell>
          <cell r="N177">
            <v>0</v>
          </cell>
          <cell r="O177">
            <v>0</v>
          </cell>
          <cell r="P177">
            <v>0</v>
          </cell>
          <cell r="Q177">
            <v>0</v>
          </cell>
          <cell r="R177">
            <v>0</v>
          </cell>
          <cell r="S177" t="b">
            <v>1</v>
          </cell>
          <cell r="T177" t="str">
            <v/>
          </cell>
          <cell r="U177">
            <v>0</v>
          </cell>
          <cell r="V177">
            <v>510951</v>
          </cell>
          <cell r="W177">
            <v>510951</v>
          </cell>
          <cell r="X177" t="b">
            <v>0</v>
          </cell>
          <cell r="Y177">
            <v>10871.297872340425</v>
          </cell>
          <cell r="AB177" t="str">
            <v/>
          </cell>
          <cell r="AE177">
            <v>147</v>
          </cell>
          <cell r="AF177">
            <v>47</v>
          </cell>
          <cell r="AG177" t="b">
            <v>0</v>
          </cell>
          <cell r="AH177">
            <v>159</v>
          </cell>
          <cell r="AI177" t="str">
            <v/>
          </cell>
          <cell r="AJ177" t="str">
            <v/>
          </cell>
          <cell r="AK177" t="str">
            <v/>
          </cell>
          <cell r="AL177" t="str">
            <v/>
          </cell>
          <cell r="AM177" t="str">
            <v/>
          </cell>
          <cell r="AN177" t="str">
            <v/>
          </cell>
          <cell r="AQ177" t="str">
            <v/>
          </cell>
          <cell r="AV177" t="str">
            <v/>
          </cell>
          <cell r="AW177" t="str">
            <v/>
          </cell>
          <cell r="AX177" t="str">
            <v/>
          </cell>
          <cell r="AY177" t="str">
            <v/>
          </cell>
          <cell r="AZ177" t="str">
            <v/>
          </cell>
          <cell r="BA177" t="str">
            <v/>
          </cell>
          <cell r="BB177" t="str">
            <v/>
          </cell>
          <cell r="BC177" t="str">
            <v/>
          </cell>
          <cell r="BD177" t="str">
            <v/>
          </cell>
          <cell r="BE177" t="str">
            <v/>
          </cell>
          <cell r="BF177" t="str">
            <v/>
          </cell>
          <cell r="BG177" t="str">
            <v/>
          </cell>
          <cell r="BH177" t="str">
            <v/>
          </cell>
          <cell r="BJ177" t="str">
            <v/>
          </cell>
          <cell r="BK177" t="str">
            <v/>
          </cell>
          <cell r="BL177" t="str">
            <v/>
          </cell>
          <cell r="BM177" t="str">
            <v/>
          </cell>
          <cell r="BN177" t="str">
            <v/>
          </cell>
          <cell r="BO177" t="str">
            <v/>
          </cell>
          <cell r="BP177" t="str">
            <v/>
          </cell>
          <cell r="BQ177" t="str">
            <v/>
          </cell>
          <cell r="BR177" t="str">
            <v/>
          </cell>
          <cell r="BS177" t="str">
            <v/>
          </cell>
          <cell r="BT177" t="str">
            <v/>
          </cell>
          <cell r="BU177" t="str">
            <v/>
          </cell>
          <cell r="BV177" t="str">
            <v/>
          </cell>
          <cell r="BW177" t="str">
            <v/>
          </cell>
          <cell r="BX177" t="str">
            <v/>
          </cell>
          <cell r="BY177" t="str">
            <v/>
          </cell>
          <cell r="BZ177" t="str">
            <v/>
          </cell>
          <cell r="CA177" t="str">
            <v/>
          </cell>
          <cell r="CC177" t="str">
            <v/>
          </cell>
          <cell r="CD177" t="str">
            <v/>
          </cell>
          <cell r="CE177" t="str">
            <v/>
          </cell>
          <cell r="CF177" t="str">
            <v/>
          </cell>
        </row>
        <row r="178">
          <cell r="A178">
            <v>1017</v>
          </cell>
          <cell r="B178" t="str">
            <v>1017_HOTEL LiVEMAX名古屋桜通口</v>
          </cell>
          <cell r="C178" t="str">
            <v>メディア</v>
          </cell>
          <cell r="D178" t="str">
            <v/>
          </cell>
          <cell r="E178" t="str">
            <v/>
          </cell>
          <cell r="F178" t="str">
            <v>メディア</v>
          </cell>
          <cell r="G178" t="str">
            <v/>
          </cell>
          <cell r="H178">
            <v>0</v>
          </cell>
          <cell r="I178">
            <v>0</v>
          </cell>
          <cell r="J178" t="b">
            <v>0</v>
          </cell>
          <cell r="K178" t="str">
            <v/>
          </cell>
          <cell r="L178">
            <v>0</v>
          </cell>
          <cell r="M178">
            <v>0</v>
          </cell>
          <cell r="N178">
            <v>0</v>
          </cell>
          <cell r="O178">
            <v>0</v>
          </cell>
          <cell r="P178">
            <v>0</v>
          </cell>
          <cell r="Q178">
            <v>0</v>
          </cell>
          <cell r="R178">
            <v>0</v>
          </cell>
          <cell r="S178" t="b">
            <v>1</v>
          </cell>
          <cell r="T178" t="str">
            <v/>
          </cell>
          <cell r="U178">
            <v>0</v>
          </cell>
          <cell r="V178">
            <v>2174213</v>
          </cell>
          <cell r="W178">
            <v>2174213</v>
          </cell>
          <cell r="X178" t="b">
            <v>0</v>
          </cell>
          <cell r="Y178">
            <v>21315.813725490196</v>
          </cell>
          <cell r="AB178">
            <v>37812.400000000001</v>
          </cell>
          <cell r="AE178">
            <v>102</v>
          </cell>
          <cell r="AF178">
            <v>102</v>
          </cell>
          <cell r="AG178" t="b">
            <v>0</v>
          </cell>
          <cell r="AH178">
            <v>114</v>
          </cell>
          <cell r="AI178">
            <v>50</v>
          </cell>
          <cell r="AJ178" t="str">
            <v/>
          </cell>
          <cell r="AK178" t="str">
            <v/>
          </cell>
          <cell r="AL178">
            <v>79</v>
          </cell>
          <cell r="AM178" t="str">
            <v/>
          </cell>
          <cell r="AN178">
            <v>-52</v>
          </cell>
          <cell r="AQ178">
            <v>-23</v>
          </cell>
          <cell r="AV178" t="str">
            <v/>
          </cell>
          <cell r="AW178" t="str">
            <v/>
          </cell>
          <cell r="AX178" t="str">
            <v/>
          </cell>
          <cell r="AY178" t="str">
            <v/>
          </cell>
          <cell r="AZ178">
            <v>32</v>
          </cell>
          <cell r="BA178" t="str">
            <v/>
          </cell>
          <cell r="BB178" t="str">
            <v/>
          </cell>
          <cell r="BC178" t="str">
            <v/>
          </cell>
          <cell r="BD178" t="str">
            <v/>
          </cell>
          <cell r="BE178">
            <v>16</v>
          </cell>
          <cell r="BF178" t="str">
            <v/>
          </cell>
          <cell r="BG178" t="str">
            <v/>
          </cell>
          <cell r="BH178" t="str">
            <v/>
          </cell>
          <cell r="BJ178" t="str">
            <v/>
          </cell>
          <cell r="BK178">
            <v>34105301.960784316</v>
          </cell>
          <cell r="BL178" t="str">
            <v/>
          </cell>
          <cell r="BM178" t="str">
            <v/>
          </cell>
          <cell r="BN178" t="str">
            <v/>
          </cell>
          <cell r="BO178" t="str">
            <v/>
          </cell>
          <cell r="BP178" t="str">
            <v/>
          </cell>
          <cell r="BQ178" t="str">
            <v/>
          </cell>
          <cell r="BR178" t="str">
            <v/>
          </cell>
          <cell r="BS178" t="str">
            <v/>
          </cell>
          <cell r="BT178">
            <v>26943188.549019609</v>
          </cell>
          <cell r="BU178" t="str">
            <v/>
          </cell>
          <cell r="BV178" t="str">
            <v/>
          </cell>
          <cell r="BW178" t="str">
            <v/>
          </cell>
          <cell r="BX178" t="str">
            <v/>
          </cell>
          <cell r="BY178" t="str">
            <v/>
          </cell>
          <cell r="BZ178" t="str">
            <v/>
          </cell>
          <cell r="CA178" t="str">
            <v/>
          </cell>
          <cell r="CC178" t="str">
            <v/>
          </cell>
          <cell r="CD178" t="str">
            <v/>
          </cell>
          <cell r="CE178" t="str">
            <v/>
          </cell>
          <cell r="CF178" t="str">
            <v/>
          </cell>
        </row>
        <row r="179">
          <cell r="A179">
            <v>1018</v>
          </cell>
          <cell r="B179" t="str">
            <v>1018_アパホテル&lt;名古屋駅前&gt;</v>
          </cell>
          <cell r="C179" t="str">
            <v/>
          </cell>
          <cell r="D179" t="str">
            <v/>
          </cell>
          <cell r="E179" t="str">
            <v/>
          </cell>
          <cell r="F179" t="str">
            <v/>
          </cell>
          <cell r="G179" t="str">
            <v/>
          </cell>
          <cell r="H179">
            <v>0</v>
          </cell>
          <cell r="I179">
            <v>0</v>
          </cell>
          <cell r="J179" t="b">
            <v>0</v>
          </cell>
          <cell r="K179" t="str">
            <v/>
          </cell>
          <cell r="L179">
            <v>0</v>
          </cell>
          <cell r="M179">
            <v>0</v>
          </cell>
          <cell r="N179">
            <v>0</v>
          </cell>
          <cell r="O179">
            <v>0</v>
          </cell>
          <cell r="P179">
            <v>0</v>
          </cell>
          <cell r="Q179">
            <v>0</v>
          </cell>
          <cell r="R179">
            <v>0</v>
          </cell>
          <cell r="S179" t="b">
            <v>1</v>
          </cell>
          <cell r="T179" t="str">
            <v/>
          </cell>
          <cell r="U179">
            <v>0</v>
          </cell>
          <cell r="V179">
            <v>10811667</v>
          </cell>
          <cell r="W179">
            <v>10811667</v>
          </cell>
          <cell r="X179" t="b">
            <v>0</v>
          </cell>
          <cell r="Y179">
            <v>26827.957816377173</v>
          </cell>
          <cell r="AB179" t="str">
            <v/>
          </cell>
          <cell r="AE179">
            <v>403</v>
          </cell>
          <cell r="AF179">
            <v>403</v>
          </cell>
          <cell r="AG179" t="b">
            <v>0</v>
          </cell>
          <cell r="AH179">
            <v>403</v>
          </cell>
          <cell r="AI179" t="str">
            <v/>
          </cell>
          <cell r="AJ179" t="str">
            <v/>
          </cell>
          <cell r="AK179" t="str">
            <v/>
          </cell>
          <cell r="AL179" t="str">
            <v/>
          </cell>
          <cell r="AM179" t="str">
            <v/>
          </cell>
          <cell r="AN179" t="str">
            <v/>
          </cell>
          <cell r="AQ179" t="str">
            <v/>
          </cell>
          <cell r="AV179" t="str">
            <v/>
          </cell>
          <cell r="AW179" t="str">
            <v/>
          </cell>
          <cell r="AX179" t="str">
            <v/>
          </cell>
          <cell r="AY179" t="str">
            <v/>
          </cell>
          <cell r="AZ179" t="str">
            <v/>
          </cell>
          <cell r="BA179" t="str">
            <v/>
          </cell>
          <cell r="BB179" t="str">
            <v/>
          </cell>
          <cell r="BC179" t="str">
            <v/>
          </cell>
          <cell r="BD179" t="str">
            <v/>
          </cell>
          <cell r="BE179" t="str">
            <v/>
          </cell>
          <cell r="BF179" t="str">
            <v/>
          </cell>
          <cell r="BG179" t="str">
            <v/>
          </cell>
          <cell r="BH179" t="str">
            <v/>
          </cell>
          <cell r="BJ179" t="str">
            <v/>
          </cell>
          <cell r="BK179" t="str">
            <v/>
          </cell>
          <cell r="BL179" t="str">
            <v/>
          </cell>
          <cell r="BM179" t="str">
            <v/>
          </cell>
          <cell r="BN179" t="str">
            <v/>
          </cell>
          <cell r="BO179" t="str">
            <v/>
          </cell>
          <cell r="BP179" t="str">
            <v/>
          </cell>
          <cell r="BQ179" t="str">
            <v/>
          </cell>
          <cell r="BR179" t="str">
            <v/>
          </cell>
          <cell r="BS179" t="str">
            <v/>
          </cell>
          <cell r="BT179" t="str">
            <v/>
          </cell>
          <cell r="BU179" t="str">
            <v/>
          </cell>
          <cell r="BV179" t="str">
            <v/>
          </cell>
          <cell r="BW179" t="str">
            <v/>
          </cell>
          <cell r="BX179" t="str">
            <v/>
          </cell>
          <cell r="BY179" t="str">
            <v/>
          </cell>
          <cell r="BZ179" t="str">
            <v/>
          </cell>
          <cell r="CA179" t="str">
            <v/>
          </cell>
          <cell r="CC179" t="str">
            <v/>
          </cell>
          <cell r="CD179" t="str">
            <v/>
          </cell>
          <cell r="CE179" t="str">
            <v/>
          </cell>
          <cell r="CF179" t="str">
            <v/>
          </cell>
        </row>
        <row r="180">
          <cell r="A180">
            <v>1021</v>
          </cell>
          <cell r="B180" t="str">
            <v>1021_コートヤードバイマリオット名古屋</v>
          </cell>
          <cell r="C180" t="str">
            <v/>
          </cell>
          <cell r="D180" t="str">
            <v>ファミリー</v>
          </cell>
          <cell r="E180" t="str">
            <v/>
          </cell>
          <cell r="F180" t="str">
            <v>選手</v>
          </cell>
          <cell r="G180" t="str">
            <v/>
          </cell>
          <cell r="H180">
            <v>6</v>
          </cell>
          <cell r="I180">
            <v>6</v>
          </cell>
          <cell r="J180" t="b">
            <v>1</v>
          </cell>
          <cell r="K180">
            <v>0</v>
          </cell>
          <cell r="L180">
            <v>22564709</v>
          </cell>
          <cell r="M180">
            <v>235296</v>
          </cell>
          <cell r="N180">
            <v>136380</v>
          </cell>
          <cell r="O180">
            <v>0</v>
          </cell>
          <cell r="P180">
            <v>0</v>
          </cell>
          <cell r="Q180">
            <v>25230023.500000004</v>
          </cell>
          <cell r="R180">
            <v>25719771</v>
          </cell>
          <cell r="S180" t="b">
            <v>1</v>
          </cell>
          <cell r="T180">
            <v>4286628.5</v>
          </cell>
          <cell r="U180">
            <v>0</v>
          </cell>
          <cell r="V180">
            <v>48998075</v>
          </cell>
          <cell r="W180">
            <v>48998075</v>
          </cell>
          <cell r="X180" t="b">
            <v>1</v>
          </cell>
          <cell r="Y180">
            <v>136105.76388888888</v>
          </cell>
          <cell r="AB180" t="str">
            <v/>
          </cell>
          <cell r="AE180">
            <v>360</v>
          </cell>
          <cell r="AF180">
            <v>360</v>
          </cell>
          <cell r="AG180" t="b">
            <v>1</v>
          </cell>
          <cell r="AH180">
            <v>500</v>
          </cell>
          <cell r="AI180" t="str">
            <v/>
          </cell>
          <cell r="AJ180">
            <v>360</v>
          </cell>
          <cell r="AK180" t="str">
            <v/>
          </cell>
          <cell r="AL180">
            <v>360</v>
          </cell>
          <cell r="AM180" t="str">
            <v/>
          </cell>
          <cell r="AN180" t="str">
            <v/>
          </cell>
          <cell r="AQ180">
            <v>0</v>
          </cell>
          <cell r="AV180" t="str">
            <v/>
          </cell>
          <cell r="AW180" t="str">
            <v/>
          </cell>
          <cell r="AX180" t="str">
            <v/>
          </cell>
          <cell r="AY180">
            <v>20</v>
          </cell>
          <cell r="AZ180" t="str">
            <v/>
          </cell>
          <cell r="BA180" t="str">
            <v/>
          </cell>
          <cell r="BB180" t="str">
            <v/>
          </cell>
          <cell r="BC180">
            <v>18</v>
          </cell>
          <cell r="BD180" t="str">
            <v/>
          </cell>
          <cell r="BE180" t="str">
            <v/>
          </cell>
          <cell r="BF180" t="str">
            <v/>
          </cell>
          <cell r="BG180" t="str">
            <v/>
          </cell>
          <cell r="BH180" t="str">
            <v/>
          </cell>
          <cell r="BJ180">
            <v>979961499.99999988</v>
          </cell>
          <cell r="BK180" t="str">
            <v/>
          </cell>
          <cell r="BL180" t="str">
            <v/>
          </cell>
          <cell r="BM180" t="str">
            <v/>
          </cell>
          <cell r="BN180" t="str">
            <v/>
          </cell>
          <cell r="BO180" t="str">
            <v/>
          </cell>
          <cell r="BP180">
            <v>881965349.99999988</v>
          </cell>
          <cell r="BQ180">
            <v>881965349.99999988</v>
          </cell>
          <cell r="BR180" t="str">
            <v/>
          </cell>
          <cell r="BS180" t="str">
            <v/>
          </cell>
          <cell r="BT180" t="str">
            <v/>
          </cell>
          <cell r="BU180" t="str">
            <v/>
          </cell>
          <cell r="BV180" t="str">
            <v/>
          </cell>
          <cell r="BW180" t="str">
            <v/>
          </cell>
          <cell r="BX180" t="str">
            <v/>
          </cell>
          <cell r="BY180" t="str">
            <v/>
          </cell>
          <cell r="BZ180">
            <v>514395420</v>
          </cell>
          <cell r="CA180" t="str">
            <v/>
          </cell>
          <cell r="CC180">
            <v>462955878</v>
          </cell>
          <cell r="CD180">
            <v>462955878</v>
          </cell>
          <cell r="CE180" t="str">
            <v/>
          </cell>
          <cell r="CF180" t="str">
            <v/>
          </cell>
        </row>
        <row r="181">
          <cell r="A181">
            <v>1027</v>
          </cell>
          <cell r="B181" t="str">
            <v>1027_TIAD</v>
          </cell>
          <cell r="C181" t="str">
            <v>スポンサー</v>
          </cell>
          <cell r="D181" t="str">
            <v/>
          </cell>
          <cell r="E181" t="str">
            <v/>
          </cell>
          <cell r="F181" t="str">
            <v>選手</v>
          </cell>
          <cell r="G181" t="str">
            <v/>
          </cell>
          <cell r="H181">
            <v>11</v>
          </cell>
          <cell r="I181">
            <v>7</v>
          </cell>
          <cell r="J181" t="b">
            <v>0</v>
          </cell>
          <cell r="K181">
            <v>4</v>
          </cell>
          <cell r="L181">
            <v>19661769</v>
          </cell>
          <cell r="M181">
            <v>0</v>
          </cell>
          <cell r="N181">
            <v>0</v>
          </cell>
          <cell r="O181">
            <v>0</v>
          </cell>
          <cell r="P181">
            <v>0</v>
          </cell>
          <cell r="Q181">
            <v>21627945.900000002</v>
          </cell>
          <cell r="R181">
            <v>25146822</v>
          </cell>
          <cell r="S181" t="b">
            <v>0</v>
          </cell>
          <cell r="T181">
            <v>3592403.1428571427</v>
          </cell>
          <cell r="U181">
            <v>0</v>
          </cell>
          <cell r="V181">
            <v>18056720</v>
          </cell>
          <cell r="W181">
            <v>18056720</v>
          </cell>
          <cell r="X181" t="b">
            <v>1</v>
          </cell>
          <cell r="Y181">
            <v>120378.13333333333</v>
          </cell>
          <cell r="AB181">
            <v>104676.63768115942</v>
          </cell>
          <cell r="AE181">
            <v>150</v>
          </cell>
          <cell r="AF181">
            <v>150</v>
          </cell>
          <cell r="AG181" t="b">
            <v>1</v>
          </cell>
          <cell r="AH181">
            <v>216</v>
          </cell>
          <cell r="AI181">
            <v>150</v>
          </cell>
          <cell r="AJ181" t="str">
            <v/>
          </cell>
          <cell r="AK181" t="str">
            <v/>
          </cell>
          <cell r="AL181">
            <v>150</v>
          </cell>
          <cell r="AM181" t="str">
            <v/>
          </cell>
          <cell r="AN181">
            <v>0</v>
          </cell>
          <cell r="AQ181">
            <v>0</v>
          </cell>
          <cell r="AV181" t="str">
            <v/>
          </cell>
          <cell r="AW181" t="str">
            <v/>
          </cell>
          <cell r="AX181">
            <v>18</v>
          </cell>
          <cell r="AY181" t="str">
            <v/>
          </cell>
          <cell r="AZ181" t="str">
            <v/>
          </cell>
          <cell r="BA181" t="str">
            <v/>
          </cell>
          <cell r="BB181" t="str">
            <v/>
          </cell>
          <cell r="BC181">
            <v>18</v>
          </cell>
          <cell r="BD181" t="str">
            <v/>
          </cell>
          <cell r="BE181" t="str">
            <v/>
          </cell>
          <cell r="BF181" t="str">
            <v/>
          </cell>
          <cell r="BG181" t="str">
            <v/>
          </cell>
          <cell r="BH181" t="str">
            <v/>
          </cell>
          <cell r="BJ181" t="str">
            <v/>
          </cell>
          <cell r="BK181" t="str">
            <v/>
          </cell>
          <cell r="BL181">
            <v>325020960</v>
          </cell>
          <cell r="BM181" t="str">
            <v/>
          </cell>
          <cell r="BN181" t="str">
            <v/>
          </cell>
          <cell r="BO181" t="str">
            <v/>
          </cell>
          <cell r="BP181">
            <v>325020960</v>
          </cell>
          <cell r="BQ181">
            <v>325020960</v>
          </cell>
          <cell r="BR181" t="str">
            <v/>
          </cell>
          <cell r="BS181" t="str">
            <v/>
          </cell>
          <cell r="BT181" t="str">
            <v/>
          </cell>
          <cell r="BU181" t="str">
            <v/>
          </cell>
          <cell r="BV181" t="str">
            <v/>
          </cell>
          <cell r="BW181" t="str">
            <v/>
          </cell>
          <cell r="BX181" t="str">
            <v/>
          </cell>
          <cell r="BY181" t="str">
            <v/>
          </cell>
          <cell r="BZ181" t="str">
            <v/>
          </cell>
          <cell r="CA181" t="str">
            <v/>
          </cell>
          <cell r="CC181">
            <v>452642796</v>
          </cell>
          <cell r="CD181">
            <v>452642796</v>
          </cell>
          <cell r="CE181" t="str">
            <v/>
          </cell>
          <cell r="CF181" t="str">
            <v/>
          </cell>
        </row>
        <row r="182">
          <cell r="A182">
            <v>1028</v>
          </cell>
          <cell r="B182" t="str">
            <v>1028_蒲郡ホテル＜別館＞</v>
          </cell>
          <cell r="C182" t="str">
            <v/>
          </cell>
          <cell r="D182" t="str">
            <v/>
          </cell>
          <cell r="E182" t="str">
            <v/>
          </cell>
          <cell r="F182" t="str">
            <v/>
          </cell>
          <cell r="G182" t="str">
            <v/>
          </cell>
          <cell r="H182">
            <v>1</v>
          </cell>
          <cell r="I182">
            <v>0</v>
          </cell>
          <cell r="J182" t="b">
            <v>0</v>
          </cell>
          <cell r="K182" t="str">
            <v/>
          </cell>
          <cell r="L182">
            <v>0</v>
          </cell>
          <cell r="M182">
            <v>0</v>
          </cell>
          <cell r="N182">
            <v>0</v>
          </cell>
          <cell r="O182">
            <v>0</v>
          </cell>
          <cell r="P182">
            <v>0</v>
          </cell>
          <cell r="Q182">
            <v>0</v>
          </cell>
          <cell r="R182">
            <v>0</v>
          </cell>
          <cell r="S182" t="b">
            <v>1</v>
          </cell>
          <cell r="T182" t="str">
            <v/>
          </cell>
          <cell r="U182">
            <v>0</v>
          </cell>
          <cell r="V182">
            <v>399590</v>
          </cell>
          <cell r="W182">
            <v>399590</v>
          </cell>
          <cell r="X182" t="b">
            <v>1</v>
          </cell>
          <cell r="Y182">
            <v>15983.6</v>
          </cell>
          <cell r="AB182" t="str">
            <v/>
          </cell>
          <cell r="AE182">
            <v>25</v>
          </cell>
          <cell r="AF182">
            <v>25</v>
          </cell>
          <cell r="AG182" t="b">
            <v>1</v>
          </cell>
          <cell r="AH182">
            <v>54</v>
          </cell>
          <cell r="AI182" t="str">
            <v/>
          </cell>
          <cell r="AJ182" t="str">
            <v/>
          </cell>
          <cell r="AK182" t="str">
            <v/>
          </cell>
          <cell r="AL182" t="str">
            <v/>
          </cell>
          <cell r="AM182" t="str">
            <v/>
          </cell>
          <cell r="AN182" t="str">
            <v/>
          </cell>
          <cell r="AQ182" t="str">
            <v/>
          </cell>
          <cell r="AV182" t="str">
            <v/>
          </cell>
          <cell r="AW182" t="str">
            <v/>
          </cell>
          <cell r="AX182" t="str">
            <v/>
          </cell>
          <cell r="AY182" t="str">
            <v/>
          </cell>
          <cell r="AZ182" t="str">
            <v/>
          </cell>
          <cell r="BA182" t="str">
            <v/>
          </cell>
          <cell r="BB182" t="str">
            <v/>
          </cell>
          <cell r="BC182" t="str">
            <v/>
          </cell>
          <cell r="BD182" t="str">
            <v/>
          </cell>
          <cell r="BE182" t="str">
            <v/>
          </cell>
          <cell r="BF182" t="str">
            <v/>
          </cell>
          <cell r="BG182" t="str">
            <v/>
          </cell>
          <cell r="BH182" t="str">
            <v/>
          </cell>
          <cell r="BJ182" t="str">
            <v/>
          </cell>
          <cell r="BK182" t="str">
            <v/>
          </cell>
          <cell r="BL182" t="str">
            <v/>
          </cell>
          <cell r="BM182" t="str">
            <v/>
          </cell>
          <cell r="BN182" t="str">
            <v/>
          </cell>
          <cell r="BO182" t="str">
            <v/>
          </cell>
          <cell r="BP182" t="str">
            <v/>
          </cell>
          <cell r="BQ182" t="str">
            <v/>
          </cell>
          <cell r="BR182" t="str">
            <v/>
          </cell>
          <cell r="BS182" t="str">
            <v/>
          </cell>
          <cell r="BT182" t="str">
            <v/>
          </cell>
          <cell r="BU182" t="str">
            <v/>
          </cell>
          <cell r="BV182" t="str">
            <v/>
          </cell>
          <cell r="BW182" t="str">
            <v/>
          </cell>
          <cell r="BX182" t="str">
            <v/>
          </cell>
          <cell r="BY182" t="str">
            <v/>
          </cell>
          <cell r="BZ182" t="str">
            <v/>
          </cell>
          <cell r="CA182" t="str">
            <v/>
          </cell>
          <cell r="CC182" t="str">
            <v/>
          </cell>
          <cell r="CD182" t="str">
            <v/>
          </cell>
          <cell r="CE182" t="str">
            <v/>
          </cell>
          <cell r="CF182" t="str">
            <v/>
          </cell>
        </row>
        <row r="183">
          <cell r="A183">
            <v>1029</v>
          </cell>
          <cell r="B183" t="str">
            <v>1029_伊良湖オーシャンリゾート</v>
          </cell>
          <cell r="C183" t="str">
            <v/>
          </cell>
          <cell r="D183" t="str">
            <v/>
          </cell>
          <cell r="E183" t="str">
            <v/>
          </cell>
          <cell r="F183" t="str">
            <v/>
          </cell>
          <cell r="G183" t="str">
            <v/>
          </cell>
          <cell r="H183">
            <v>6</v>
          </cell>
          <cell r="I183">
            <v>5</v>
          </cell>
          <cell r="J183" t="b">
            <v>0</v>
          </cell>
          <cell r="K183" t="str">
            <v/>
          </cell>
          <cell r="L183">
            <v>4706</v>
          </cell>
          <cell r="M183">
            <v>0</v>
          </cell>
          <cell r="N183">
            <v>0</v>
          </cell>
          <cell r="O183">
            <v>14550</v>
          </cell>
          <cell r="P183">
            <v>0</v>
          </cell>
          <cell r="Q183">
            <v>19726.599999999999</v>
          </cell>
          <cell r="R183">
            <v>19726</v>
          </cell>
          <cell r="S183" t="b">
            <v>0</v>
          </cell>
          <cell r="T183">
            <v>3945.2</v>
          </cell>
          <cell r="U183">
            <v>0</v>
          </cell>
          <cell r="V183">
            <v>7595514</v>
          </cell>
          <cell r="W183">
            <v>7595514</v>
          </cell>
          <cell r="X183" t="b">
            <v>1</v>
          </cell>
          <cell r="Y183">
            <v>51670.163265306124</v>
          </cell>
          <cell r="AB183" t="str">
            <v/>
          </cell>
          <cell r="AE183">
            <v>147</v>
          </cell>
          <cell r="AF183">
            <v>147</v>
          </cell>
          <cell r="AG183" t="b">
            <v>1</v>
          </cell>
          <cell r="AH183">
            <v>316</v>
          </cell>
          <cell r="AI183" t="str">
            <v/>
          </cell>
          <cell r="AJ183" t="str">
            <v/>
          </cell>
          <cell r="AK183" t="str">
            <v/>
          </cell>
          <cell r="AL183" t="str">
            <v/>
          </cell>
          <cell r="AM183" t="str">
            <v/>
          </cell>
          <cell r="AN183" t="str">
            <v/>
          </cell>
          <cell r="AO183" t="str">
            <v/>
          </cell>
          <cell r="AQ183" t="str">
            <v/>
          </cell>
          <cell r="AV183" t="str">
            <v/>
          </cell>
          <cell r="AW183" t="str">
            <v/>
          </cell>
          <cell r="AX183" t="str">
            <v/>
          </cell>
          <cell r="AY183" t="str">
            <v/>
          </cell>
          <cell r="AZ183" t="str">
            <v/>
          </cell>
          <cell r="BA183" t="str">
            <v/>
          </cell>
          <cell r="BB183" t="str">
            <v/>
          </cell>
          <cell r="BC183" t="str">
            <v/>
          </cell>
          <cell r="BD183" t="str">
            <v/>
          </cell>
          <cell r="BE183" t="str">
            <v/>
          </cell>
          <cell r="BF183" t="str">
            <v/>
          </cell>
          <cell r="BG183" t="str">
            <v/>
          </cell>
          <cell r="BH183" t="str">
            <v/>
          </cell>
          <cell r="BJ183" t="str">
            <v/>
          </cell>
          <cell r="BK183" t="str">
            <v/>
          </cell>
          <cell r="BL183" t="str">
            <v/>
          </cell>
          <cell r="BM183" t="str">
            <v/>
          </cell>
          <cell r="BN183" t="str">
            <v/>
          </cell>
          <cell r="BO183" t="str">
            <v/>
          </cell>
          <cell r="BP183" t="str">
            <v/>
          </cell>
          <cell r="BQ183" t="str">
            <v/>
          </cell>
          <cell r="BR183" t="str">
            <v/>
          </cell>
          <cell r="BS183" t="str">
            <v/>
          </cell>
          <cell r="BT183" t="str">
            <v/>
          </cell>
          <cell r="BU183" t="str">
            <v/>
          </cell>
          <cell r="BV183" t="str">
            <v/>
          </cell>
          <cell r="BW183" t="str">
            <v/>
          </cell>
          <cell r="BX183" t="str">
            <v/>
          </cell>
          <cell r="BY183" t="str">
            <v/>
          </cell>
          <cell r="BZ183" t="str">
            <v/>
          </cell>
          <cell r="CA183" t="str">
            <v/>
          </cell>
          <cell r="CC183" t="str">
            <v/>
          </cell>
          <cell r="CD183" t="str">
            <v/>
          </cell>
          <cell r="CE183" t="str">
            <v/>
          </cell>
          <cell r="CF183" t="str">
            <v/>
          </cell>
        </row>
        <row r="184">
          <cell r="A184">
            <v>1030</v>
          </cell>
          <cell r="B184" t="str">
            <v>1030_伊良湖シーパーク＆スパ</v>
          </cell>
          <cell r="C184" t="str">
            <v>選手（修正案）</v>
          </cell>
          <cell r="D184" t="str">
            <v>選手12000</v>
          </cell>
          <cell r="E184" t="str">
            <v/>
          </cell>
          <cell r="F184" t="str">
            <v/>
          </cell>
          <cell r="G184" t="str">
            <v/>
          </cell>
          <cell r="H184">
            <v>9</v>
          </cell>
          <cell r="I184">
            <v>3</v>
          </cell>
          <cell r="J184" t="b">
            <v>1</v>
          </cell>
          <cell r="K184" t="str">
            <v/>
          </cell>
          <cell r="L184">
            <v>1194121</v>
          </cell>
          <cell r="M184">
            <v>0</v>
          </cell>
          <cell r="N184">
            <v>0</v>
          </cell>
          <cell r="O184">
            <v>8250</v>
          </cell>
          <cell r="P184">
            <v>0</v>
          </cell>
          <cell r="Q184">
            <v>1321783.1000000001</v>
          </cell>
          <cell r="R184">
            <v>568942</v>
          </cell>
          <cell r="S184" t="b">
            <v>1</v>
          </cell>
          <cell r="T184">
            <v>189647.33333333334</v>
          </cell>
          <cell r="U184">
            <v>0</v>
          </cell>
          <cell r="V184">
            <v>1097448</v>
          </cell>
          <cell r="W184">
            <v>1097448</v>
          </cell>
          <cell r="X184" t="b">
            <v>1</v>
          </cell>
          <cell r="Y184">
            <v>27436.2</v>
          </cell>
          <cell r="Z184">
            <v>24942</v>
          </cell>
          <cell r="AA184">
            <v>24942</v>
          </cell>
          <cell r="AB184">
            <v>15391.977559607294</v>
          </cell>
          <cell r="AC184">
            <v>2200</v>
          </cell>
          <cell r="AE184">
            <v>67</v>
          </cell>
          <cell r="AF184">
            <v>40</v>
          </cell>
          <cell r="AG184" t="b">
            <v>1</v>
          </cell>
          <cell r="AH184">
            <v>110</v>
          </cell>
          <cell r="AI184">
            <v>62</v>
          </cell>
          <cell r="AJ184" t="str">
            <v/>
          </cell>
          <cell r="AK184" t="str">
            <v/>
          </cell>
          <cell r="AL184" t="str">
            <v/>
          </cell>
          <cell r="AM184" t="str">
            <v/>
          </cell>
          <cell r="AN184">
            <v>22</v>
          </cell>
          <cell r="AQ184" t="str">
            <v/>
          </cell>
          <cell r="AV184">
            <v>11</v>
          </cell>
          <cell r="AW184">
            <v>15</v>
          </cell>
          <cell r="AX184" t="str">
            <v/>
          </cell>
          <cell r="AY184" t="str">
            <v/>
          </cell>
          <cell r="AZ184" t="str">
            <v/>
          </cell>
          <cell r="BA184" t="str">
            <v/>
          </cell>
          <cell r="BB184" t="str">
            <v/>
          </cell>
          <cell r="BC184" t="str">
            <v/>
          </cell>
          <cell r="BD184" t="str">
            <v/>
          </cell>
          <cell r="BE184" t="str">
            <v/>
          </cell>
          <cell r="BF184" t="str">
            <v/>
          </cell>
          <cell r="BG184" t="str">
            <v/>
          </cell>
          <cell r="BH184">
            <v>12071928</v>
          </cell>
          <cell r="BI184">
            <v>16461720</v>
          </cell>
          <cell r="BJ184" t="str">
            <v/>
          </cell>
          <cell r="BK184" t="str">
            <v/>
          </cell>
          <cell r="BL184" t="str">
            <v/>
          </cell>
          <cell r="BM184" t="str">
            <v/>
          </cell>
          <cell r="BN184" t="str">
            <v/>
          </cell>
          <cell r="BO184" t="str">
            <v/>
          </cell>
          <cell r="BP184" t="str">
            <v/>
          </cell>
          <cell r="BQ184" t="str">
            <v/>
          </cell>
          <cell r="BR184" t="str">
            <v/>
          </cell>
          <cell r="BS184" t="str">
            <v/>
          </cell>
          <cell r="BT184" t="str">
            <v/>
          </cell>
          <cell r="BU184" t="str">
            <v/>
          </cell>
          <cell r="BV184" t="str">
            <v/>
          </cell>
          <cell r="BW184" t="str">
            <v/>
          </cell>
          <cell r="BX184">
            <v>6258362</v>
          </cell>
          <cell r="BY184">
            <v>8534130</v>
          </cell>
          <cell r="BZ184" t="str">
            <v/>
          </cell>
          <cell r="CA184" t="str">
            <v/>
          </cell>
          <cell r="CC184" t="str">
            <v/>
          </cell>
          <cell r="CD184" t="str">
            <v/>
          </cell>
          <cell r="CE184" t="str">
            <v/>
          </cell>
          <cell r="CF184" t="str">
            <v/>
          </cell>
        </row>
        <row r="185">
          <cell r="A185">
            <v>1032</v>
          </cell>
          <cell r="B185" t="str">
            <v>1032_ザロイヤルパークアイコニック名古屋</v>
          </cell>
          <cell r="C185" t="str">
            <v/>
          </cell>
          <cell r="D185" t="str">
            <v/>
          </cell>
          <cell r="E185" t="str">
            <v/>
          </cell>
          <cell r="F185" t="str">
            <v>スポンサー</v>
          </cell>
          <cell r="G185" t="str">
            <v/>
          </cell>
          <cell r="H185">
            <v>4</v>
          </cell>
          <cell r="I185">
            <v>4</v>
          </cell>
          <cell r="J185" t="b">
            <v>1</v>
          </cell>
          <cell r="K185" t="str">
            <v/>
          </cell>
          <cell r="L185">
            <v>4339650</v>
          </cell>
          <cell r="M185">
            <v>0</v>
          </cell>
          <cell r="N185">
            <v>0</v>
          </cell>
          <cell r="O185">
            <v>0</v>
          </cell>
          <cell r="P185">
            <v>0</v>
          </cell>
          <cell r="Q185">
            <v>4773615</v>
          </cell>
          <cell r="R185">
            <v>4773615</v>
          </cell>
          <cell r="S185" t="b">
            <v>1</v>
          </cell>
          <cell r="T185">
            <v>1193403.75</v>
          </cell>
          <cell r="U185">
            <v>0</v>
          </cell>
          <cell r="V185">
            <v>25771836</v>
          </cell>
          <cell r="W185">
            <v>25771836</v>
          </cell>
          <cell r="X185" t="b">
            <v>1</v>
          </cell>
          <cell r="Y185">
            <v>104763.56097560975</v>
          </cell>
          <cell r="AB185" t="str">
            <v/>
          </cell>
          <cell r="AE185">
            <v>250</v>
          </cell>
          <cell r="AF185">
            <v>246</v>
          </cell>
          <cell r="AG185" t="b">
            <v>1</v>
          </cell>
          <cell r="AH185" t="str">
            <v>Not Found</v>
          </cell>
          <cell r="AI185" t="str">
            <v/>
          </cell>
          <cell r="AJ185" t="str">
            <v/>
          </cell>
          <cell r="AK185" t="str">
            <v/>
          </cell>
          <cell r="AL185">
            <v>250</v>
          </cell>
          <cell r="AM185" t="str">
            <v/>
          </cell>
          <cell r="AN185" t="str">
            <v/>
          </cell>
          <cell r="AQ185">
            <v>4</v>
          </cell>
          <cell r="AV185" t="str">
            <v/>
          </cell>
          <cell r="AW185" t="str">
            <v/>
          </cell>
          <cell r="AX185" t="str">
            <v/>
          </cell>
          <cell r="AY185" t="str">
            <v/>
          </cell>
          <cell r="AZ185" t="str">
            <v/>
          </cell>
          <cell r="BA185" t="str">
            <v/>
          </cell>
          <cell r="BB185" t="str">
            <v/>
          </cell>
          <cell r="BC185" t="str">
            <v/>
          </cell>
          <cell r="BD185">
            <v>9</v>
          </cell>
          <cell r="BE185" t="str">
            <v/>
          </cell>
          <cell r="BF185" t="str">
            <v/>
          </cell>
          <cell r="BG185" t="str">
            <v/>
          </cell>
          <cell r="BH185" t="str">
            <v/>
          </cell>
          <cell r="BJ185" t="str">
            <v/>
          </cell>
          <cell r="BK185" t="str">
            <v/>
          </cell>
          <cell r="BL185" t="str">
            <v/>
          </cell>
          <cell r="BM185" t="str">
            <v/>
          </cell>
          <cell r="BN185" t="str">
            <v/>
          </cell>
          <cell r="BO185" t="str">
            <v/>
          </cell>
          <cell r="BP185" t="str">
            <v/>
          </cell>
          <cell r="BQ185" t="str">
            <v/>
          </cell>
          <cell r="BR185" t="str">
            <v/>
          </cell>
          <cell r="BS185" t="str">
            <v/>
          </cell>
          <cell r="BT185" t="str">
            <v/>
          </cell>
          <cell r="BU185">
            <v>235718012.19512194</v>
          </cell>
          <cell r="BV185" t="str">
            <v/>
          </cell>
          <cell r="BW185" t="str">
            <v/>
          </cell>
          <cell r="BX185" t="str">
            <v/>
          </cell>
          <cell r="BY185" t="str">
            <v/>
          </cell>
          <cell r="BZ185" t="str">
            <v/>
          </cell>
          <cell r="CA185" t="str">
            <v/>
          </cell>
          <cell r="CC185" t="str">
            <v/>
          </cell>
          <cell r="CD185" t="str">
            <v/>
          </cell>
          <cell r="CE185" t="str">
            <v/>
          </cell>
          <cell r="CF185" t="str">
            <v/>
          </cell>
        </row>
        <row r="186">
          <cell r="A186">
            <v>1033</v>
          </cell>
          <cell r="B186" t="str">
            <v>1033_エスパシオ　ナゴヤキャッスル</v>
          </cell>
          <cell r="C186" t="str">
            <v>スポンサー</v>
          </cell>
          <cell r="D186" t="str">
            <v/>
          </cell>
          <cell r="E186" t="str">
            <v/>
          </cell>
          <cell r="F186" t="str">
            <v>選手</v>
          </cell>
          <cell r="G186" t="str">
            <v/>
          </cell>
          <cell r="H186">
            <v>4</v>
          </cell>
          <cell r="I186">
            <v>4</v>
          </cell>
          <cell r="J186" t="b">
            <v>1</v>
          </cell>
          <cell r="K186">
            <v>0</v>
          </cell>
          <cell r="L186">
            <v>4339650</v>
          </cell>
          <cell r="M186">
            <v>0</v>
          </cell>
          <cell r="N186">
            <v>0</v>
          </cell>
          <cell r="O186">
            <v>0</v>
          </cell>
          <cell r="P186">
            <v>0</v>
          </cell>
          <cell r="Q186">
            <v>4773615</v>
          </cell>
          <cell r="R186">
            <v>4773615</v>
          </cell>
          <cell r="S186" t="b">
            <v>1</v>
          </cell>
          <cell r="T186">
            <v>1193403.75</v>
          </cell>
          <cell r="U186">
            <v>0</v>
          </cell>
          <cell r="V186">
            <v>13501382</v>
          </cell>
          <cell r="W186">
            <v>13501382</v>
          </cell>
          <cell r="X186" t="b">
            <v>1</v>
          </cell>
          <cell r="Y186">
            <v>125012.79629629629</v>
          </cell>
          <cell r="AB186">
            <v>117403.32173913045</v>
          </cell>
          <cell r="AE186" t="str">
            <v>Not Found</v>
          </cell>
          <cell r="AF186">
            <v>108</v>
          </cell>
          <cell r="AG186" t="b">
            <v>1</v>
          </cell>
          <cell r="AH186" t="str">
            <v>Not Found</v>
          </cell>
          <cell r="AI186">
            <v>100</v>
          </cell>
          <cell r="AJ186" t="str">
            <v/>
          </cell>
          <cell r="AK186" t="str">
            <v/>
          </cell>
          <cell r="AL186">
            <v>108</v>
          </cell>
          <cell r="AM186" t="str">
            <v/>
          </cell>
          <cell r="AN186">
            <v>-8</v>
          </cell>
          <cell r="AQ186">
            <v>0</v>
          </cell>
          <cell r="AV186" t="str">
            <v/>
          </cell>
          <cell r="AW186" t="str">
            <v/>
          </cell>
          <cell r="AX186">
            <v>18</v>
          </cell>
          <cell r="AY186" t="str">
            <v/>
          </cell>
          <cell r="AZ186" t="str">
            <v/>
          </cell>
          <cell r="BA186" t="str">
            <v/>
          </cell>
          <cell r="BB186" t="str">
            <v/>
          </cell>
          <cell r="BC186">
            <v>18</v>
          </cell>
          <cell r="BD186" t="str">
            <v/>
          </cell>
          <cell r="BE186" t="str">
            <v/>
          </cell>
          <cell r="BF186" t="str">
            <v/>
          </cell>
          <cell r="BG186" t="str">
            <v/>
          </cell>
          <cell r="BH186" t="str">
            <v/>
          </cell>
          <cell r="BJ186" t="str">
            <v/>
          </cell>
          <cell r="BK186" t="str">
            <v/>
          </cell>
          <cell r="BL186">
            <v>225023033.33333331</v>
          </cell>
          <cell r="BM186" t="str">
            <v/>
          </cell>
          <cell r="BN186" t="str">
            <v/>
          </cell>
          <cell r="BO186" t="str">
            <v/>
          </cell>
          <cell r="BP186">
            <v>243024876</v>
          </cell>
          <cell r="BQ186">
            <v>243024876</v>
          </cell>
          <cell r="BR186" t="str">
            <v/>
          </cell>
          <cell r="BS186" t="str">
            <v/>
          </cell>
          <cell r="BT186" t="str">
            <v/>
          </cell>
          <cell r="BU186" t="str">
            <v/>
          </cell>
          <cell r="BV186" t="str">
            <v/>
          </cell>
          <cell r="BW186" t="str">
            <v/>
          </cell>
          <cell r="BX186" t="str">
            <v/>
          </cell>
          <cell r="BY186" t="str">
            <v/>
          </cell>
          <cell r="BZ186" t="str">
            <v/>
          </cell>
          <cell r="CA186" t="str">
            <v/>
          </cell>
          <cell r="CC186">
            <v>85925070</v>
          </cell>
          <cell r="CD186">
            <v>85925070</v>
          </cell>
          <cell r="CE186" t="str">
            <v/>
          </cell>
          <cell r="CF186" t="str">
            <v/>
          </cell>
        </row>
        <row r="187">
          <cell r="A187">
            <v>1034</v>
          </cell>
          <cell r="B187" t="str">
            <v>1034_コンラッド名古屋</v>
          </cell>
          <cell r="C187" t="str">
            <v/>
          </cell>
          <cell r="D187" t="str">
            <v/>
          </cell>
          <cell r="E187" t="str">
            <v/>
          </cell>
          <cell r="F187" t="str">
            <v>スポンサー</v>
          </cell>
          <cell r="G187" t="str">
            <v/>
          </cell>
          <cell r="H187">
            <v>4</v>
          </cell>
          <cell r="I187">
            <v>4</v>
          </cell>
          <cell r="J187" t="b">
            <v>1</v>
          </cell>
          <cell r="K187" t="str">
            <v/>
          </cell>
          <cell r="L187">
            <v>4339650</v>
          </cell>
          <cell r="M187">
            <v>0</v>
          </cell>
          <cell r="N187">
            <v>0</v>
          </cell>
          <cell r="O187">
            <v>0</v>
          </cell>
          <cell r="P187">
            <v>0</v>
          </cell>
          <cell r="Q187">
            <v>4773615</v>
          </cell>
          <cell r="R187">
            <v>4773615</v>
          </cell>
          <cell r="S187" t="b">
            <v>1</v>
          </cell>
          <cell r="T187">
            <v>1193403.75</v>
          </cell>
          <cell r="U187">
            <v>0</v>
          </cell>
          <cell r="V187">
            <v>13501382</v>
          </cell>
          <cell r="W187">
            <v>13501382</v>
          </cell>
          <cell r="X187" t="b">
            <v>1</v>
          </cell>
          <cell r="Y187">
            <v>125012.79629629629</v>
          </cell>
          <cell r="AB187" t="str">
            <v/>
          </cell>
          <cell r="AE187">
            <v>165</v>
          </cell>
          <cell r="AF187">
            <v>108</v>
          </cell>
          <cell r="AG187" t="b">
            <v>1</v>
          </cell>
          <cell r="AH187" t="str">
            <v>Not Found</v>
          </cell>
          <cell r="AI187" t="str">
            <v/>
          </cell>
          <cell r="AJ187" t="str">
            <v/>
          </cell>
          <cell r="AK187" t="str">
            <v/>
          </cell>
          <cell r="AL187">
            <v>100</v>
          </cell>
          <cell r="AM187" t="str">
            <v/>
          </cell>
          <cell r="AN187" t="str">
            <v/>
          </cell>
          <cell r="AQ187">
            <v>-8</v>
          </cell>
          <cell r="AV187" t="str">
            <v/>
          </cell>
          <cell r="AW187" t="str">
            <v/>
          </cell>
          <cell r="AX187" t="str">
            <v/>
          </cell>
          <cell r="AY187" t="str">
            <v/>
          </cell>
          <cell r="AZ187" t="str">
            <v/>
          </cell>
          <cell r="BA187" t="str">
            <v/>
          </cell>
          <cell r="BB187" t="str">
            <v/>
          </cell>
          <cell r="BC187" t="str">
            <v/>
          </cell>
          <cell r="BD187">
            <v>9</v>
          </cell>
          <cell r="BE187" t="str">
            <v/>
          </cell>
          <cell r="BF187" t="str">
            <v/>
          </cell>
          <cell r="BG187" t="str">
            <v/>
          </cell>
          <cell r="BH187" t="str">
            <v/>
          </cell>
          <cell r="BJ187" t="str">
            <v/>
          </cell>
          <cell r="BK187" t="str">
            <v/>
          </cell>
          <cell r="BL187" t="str">
            <v/>
          </cell>
          <cell r="BM187" t="str">
            <v/>
          </cell>
          <cell r="BN187" t="str">
            <v/>
          </cell>
          <cell r="BO187" t="str">
            <v/>
          </cell>
          <cell r="BP187" t="str">
            <v/>
          </cell>
          <cell r="BQ187" t="str">
            <v/>
          </cell>
          <cell r="BR187" t="str">
            <v/>
          </cell>
          <cell r="BS187" t="str">
            <v/>
          </cell>
          <cell r="BT187" t="str">
            <v/>
          </cell>
          <cell r="BU187">
            <v>112511516.66666666</v>
          </cell>
          <cell r="BV187" t="str">
            <v/>
          </cell>
          <cell r="BW187" t="str">
            <v/>
          </cell>
          <cell r="BX187" t="str">
            <v/>
          </cell>
          <cell r="BY187" t="str">
            <v/>
          </cell>
          <cell r="BZ187" t="str">
            <v/>
          </cell>
          <cell r="CA187" t="str">
            <v/>
          </cell>
          <cell r="CC187" t="str">
            <v/>
          </cell>
          <cell r="CD187" t="str">
            <v/>
          </cell>
          <cell r="CE187" t="str">
            <v/>
          </cell>
          <cell r="CF187" t="str">
            <v/>
          </cell>
        </row>
        <row r="188">
          <cell r="A188">
            <v>1035</v>
          </cell>
          <cell r="B188" t="str">
            <v>1035_JICA中部</v>
          </cell>
          <cell r="C188" t="str">
            <v/>
          </cell>
          <cell r="D188" t="str">
            <v/>
          </cell>
          <cell r="E188" t="str">
            <v/>
          </cell>
          <cell r="F188" t="str">
            <v/>
          </cell>
          <cell r="G188" t="str">
            <v/>
          </cell>
          <cell r="H188">
            <v>0</v>
          </cell>
          <cell r="I188">
            <v>0</v>
          </cell>
          <cell r="J188" t="b">
            <v>1</v>
          </cell>
          <cell r="K188" t="str">
            <v/>
          </cell>
          <cell r="L188">
            <v>0</v>
          </cell>
          <cell r="M188">
            <v>0</v>
          </cell>
          <cell r="N188">
            <v>0</v>
          </cell>
          <cell r="O188">
            <v>0</v>
          </cell>
          <cell r="P188">
            <v>0</v>
          </cell>
          <cell r="Q188">
            <v>0</v>
          </cell>
          <cell r="R188">
            <v>0</v>
          </cell>
          <cell r="S188" t="b">
            <v>1</v>
          </cell>
          <cell r="T188" t="str">
            <v/>
          </cell>
          <cell r="U188">
            <v>0</v>
          </cell>
          <cell r="V188">
            <v>0</v>
          </cell>
          <cell r="W188">
            <v>0</v>
          </cell>
          <cell r="X188" t="b">
            <v>1</v>
          </cell>
          <cell r="AB188" t="str">
            <v/>
          </cell>
          <cell r="AE188" t="str">
            <v>Not Found</v>
          </cell>
          <cell r="AF188">
            <v>0</v>
          </cell>
          <cell r="AG188" t="b">
            <v>1</v>
          </cell>
          <cell r="AH188" t="str">
            <v>Not Found</v>
          </cell>
          <cell r="AI188" t="str">
            <v/>
          </cell>
          <cell r="AJ188" t="str">
            <v/>
          </cell>
          <cell r="AK188" t="str">
            <v/>
          </cell>
          <cell r="AL188" t="str">
            <v/>
          </cell>
          <cell r="AM188" t="str">
            <v/>
          </cell>
          <cell r="AN188" t="str">
            <v/>
          </cell>
          <cell r="AQ188" t="str">
            <v/>
          </cell>
          <cell r="AV188" t="str">
            <v/>
          </cell>
          <cell r="AW188" t="str">
            <v/>
          </cell>
          <cell r="AX188" t="str">
            <v/>
          </cell>
          <cell r="AY188" t="str">
            <v/>
          </cell>
          <cell r="AZ188" t="str">
            <v/>
          </cell>
          <cell r="BA188" t="str">
            <v/>
          </cell>
          <cell r="BB188" t="str">
            <v/>
          </cell>
          <cell r="BC188" t="str">
            <v/>
          </cell>
          <cell r="BD188" t="str">
            <v/>
          </cell>
          <cell r="BE188" t="str">
            <v/>
          </cell>
          <cell r="BF188" t="str">
            <v/>
          </cell>
          <cell r="BG188" t="str">
            <v/>
          </cell>
          <cell r="BH188" t="str">
            <v/>
          </cell>
          <cell r="BJ188" t="str">
            <v/>
          </cell>
          <cell r="BK188" t="str">
            <v/>
          </cell>
          <cell r="BL188" t="str">
            <v/>
          </cell>
          <cell r="BM188" t="str">
            <v/>
          </cell>
          <cell r="BN188" t="str">
            <v/>
          </cell>
          <cell r="BO188" t="str">
            <v/>
          </cell>
          <cell r="BP188" t="str">
            <v/>
          </cell>
          <cell r="BQ188" t="str">
            <v/>
          </cell>
          <cell r="BR188" t="str">
            <v/>
          </cell>
          <cell r="BS188" t="str">
            <v/>
          </cell>
          <cell r="BT188" t="str">
            <v/>
          </cell>
          <cell r="BU188" t="str">
            <v/>
          </cell>
          <cell r="BV188" t="str">
            <v/>
          </cell>
          <cell r="BW188" t="str">
            <v/>
          </cell>
          <cell r="BX188" t="str">
            <v/>
          </cell>
          <cell r="BY188" t="str">
            <v/>
          </cell>
          <cell r="BZ188" t="str">
            <v/>
          </cell>
          <cell r="CA188" t="str">
            <v/>
          </cell>
          <cell r="CC188" t="str">
            <v/>
          </cell>
          <cell r="CD188" t="str">
            <v/>
          </cell>
          <cell r="CE188" t="str">
            <v/>
          </cell>
          <cell r="CF188" t="str">
            <v/>
          </cell>
        </row>
        <row r="189">
          <cell r="A189">
            <v>1036</v>
          </cell>
          <cell r="B189" t="str">
            <v>1036_衣浦グランドホテル</v>
          </cell>
          <cell r="C189" t="str">
            <v/>
          </cell>
          <cell r="D189" t="str">
            <v>選手12000</v>
          </cell>
          <cell r="E189" t="str">
            <v/>
          </cell>
          <cell r="F189" t="str">
            <v/>
          </cell>
          <cell r="G189" t="str">
            <v/>
          </cell>
          <cell r="H189">
            <v>0</v>
          </cell>
          <cell r="I189">
            <v>0</v>
          </cell>
          <cell r="J189" t="b">
            <v>1</v>
          </cell>
          <cell r="K189" t="str">
            <v/>
          </cell>
          <cell r="L189">
            <v>0</v>
          </cell>
          <cell r="M189">
            <v>0</v>
          </cell>
          <cell r="N189">
            <v>0</v>
          </cell>
          <cell r="O189">
            <v>0</v>
          </cell>
          <cell r="P189">
            <v>0</v>
          </cell>
          <cell r="Q189">
            <v>0</v>
          </cell>
          <cell r="R189">
            <v>0</v>
          </cell>
          <cell r="S189" t="b">
            <v>1</v>
          </cell>
          <cell r="T189" t="str">
            <v/>
          </cell>
          <cell r="U189">
            <v>0</v>
          </cell>
          <cell r="V189">
            <v>2776042</v>
          </cell>
          <cell r="W189">
            <v>2776042</v>
          </cell>
          <cell r="X189" t="b">
            <v>1</v>
          </cell>
          <cell r="Y189">
            <v>16824.496969696971</v>
          </cell>
          <cell r="AB189" t="str">
            <v/>
          </cell>
          <cell r="AC189">
            <v>1100</v>
          </cell>
          <cell r="AE189" t="str">
            <v>Not Found</v>
          </cell>
          <cell r="AF189">
            <v>165</v>
          </cell>
          <cell r="AG189" t="b">
            <v>1</v>
          </cell>
          <cell r="AH189" t="str">
            <v>Not Found</v>
          </cell>
          <cell r="AI189" t="str">
            <v/>
          </cell>
          <cell r="AJ189" t="str">
            <v/>
          </cell>
          <cell r="AK189" t="str">
            <v/>
          </cell>
          <cell r="AL189" t="str">
            <v/>
          </cell>
          <cell r="AM189" t="str">
            <v/>
          </cell>
          <cell r="AN189" t="str">
            <v/>
          </cell>
          <cell r="AQ189" t="str">
            <v/>
          </cell>
          <cell r="AV189" t="str">
            <v/>
          </cell>
          <cell r="AW189">
            <v>24</v>
          </cell>
          <cell r="AX189" t="str">
            <v/>
          </cell>
          <cell r="AY189" t="str">
            <v/>
          </cell>
          <cell r="AZ189" t="str">
            <v/>
          </cell>
          <cell r="BA189" t="str">
            <v/>
          </cell>
          <cell r="BB189" t="str">
            <v/>
          </cell>
          <cell r="BC189" t="str">
            <v/>
          </cell>
          <cell r="BD189" t="str">
            <v/>
          </cell>
          <cell r="BE189" t="str">
            <v/>
          </cell>
          <cell r="BF189" t="str">
            <v/>
          </cell>
          <cell r="BG189" t="str">
            <v/>
          </cell>
          <cell r="BH189" t="str">
            <v/>
          </cell>
          <cell r="BI189">
            <v>66625008</v>
          </cell>
          <cell r="BJ189" t="str">
            <v/>
          </cell>
          <cell r="BK189" t="str">
            <v/>
          </cell>
          <cell r="BL189" t="str">
            <v/>
          </cell>
          <cell r="BM189" t="str">
            <v/>
          </cell>
          <cell r="BN189" t="str">
            <v/>
          </cell>
          <cell r="BO189" t="str">
            <v/>
          </cell>
          <cell r="BP189" t="str">
            <v/>
          </cell>
          <cell r="BQ189" t="str">
            <v/>
          </cell>
          <cell r="BR189" t="str">
            <v/>
          </cell>
          <cell r="BS189" t="str">
            <v/>
          </cell>
          <cell r="BT189" t="str">
            <v/>
          </cell>
          <cell r="BU189" t="str">
            <v/>
          </cell>
          <cell r="BV189" t="str">
            <v/>
          </cell>
          <cell r="BW189" t="str">
            <v/>
          </cell>
          <cell r="BX189" t="str">
            <v/>
          </cell>
          <cell r="BY189" t="str">
            <v/>
          </cell>
          <cell r="BZ189" t="str">
            <v/>
          </cell>
          <cell r="CA189" t="str">
            <v/>
          </cell>
          <cell r="CC189" t="str">
            <v/>
          </cell>
          <cell r="CD189" t="str">
            <v/>
          </cell>
          <cell r="CE189" t="str">
            <v/>
          </cell>
          <cell r="CF189" t="str">
            <v/>
          </cell>
        </row>
        <row r="190">
          <cell r="A190">
            <v>1039</v>
          </cell>
          <cell r="B190" t="str">
            <v>1039_ベストウェスタンプラス名古屋栄</v>
          </cell>
          <cell r="C190" t="str">
            <v/>
          </cell>
          <cell r="D190" t="str">
            <v/>
          </cell>
          <cell r="E190" t="str">
            <v/>
          </cell>
          <cell r="I190">
            <v>0</v>
          </cell>
          <cell r="J190" t="b">
            <v>1</v>
          </cell>
          <cell r="L190">
            <v>0</v>
          </cell>
          <cell r="R190">
            <v>0</v>
          </cell>
          <cell r="S190" t="b">
            <v>1</v>
          </cell>
          <cell r="T190" t="str">
            <v/>
          </cell>
          <cell r="U190">
            <v>635773</v>
          </cell>
          <cell r="V190">
            <v>6028074</v>
          </cell>
          <cell r="W190">
            <v>5392301</v>
          </cell>
          <cell r="X190" t="b">
            <v>1</v>
          </cell>
          <cell r="Y190">
            <v>41800.782945736435</v>
          </cell>
          <cell r="AB190" t="str">
            <v/>
          </cell>
          <cell r="AE190">
            <v>143</v>
          </cell>
          <cell r="AF190">
            <v>129</v>
          </cell>
          <cell r="AG190" t="b">
            <v>1</v>
          </cell>
          <cell r="AH190">
            <v>250</v>
          </cell>
          <cell r="AI190" t="str">
            <v/>
          </cell>
          <cell r="AJ190" t="str">
            <v/>
          </cell>
          <cell r="AK190" t="str">
            <v/>
          </cell>
          <cell r="AV190" t="str">
            <v/>
          </cell>
          <cell r="AW190" t="str">
            <v/>
          </cell>
          <cell r="AX190" t="str">
            <v/>
          </cell>
          <cell r="AY190" t="str">
            <v/>
          </cell>
          <cell r="AZ190" t="str">
            <v/>
          </cell>
          <cell r="BA190" t="str">
            <v/>
          </cell>
          <cell r="BB190" t="str">
            <v/>
          </cell>
          <cell r="BC190" t="str">
            <v/>
          </cell>
          <cell r="BD190" t="str">
            <v/>
          </cell>
          <cell r="BE190" t="str">
            <v/>
          </cell>
          <cell r="BF190" t="str">
            <v/>
          </cell>
          <cell r="BG190" t="str">
            <v/>
          </cell>
          <cell r="BH190" t="str">
            <v/>
          </cell>
          <cell r="BI190" t="str">
            <v/>
          </cell>
          <cell r="BJ190" t="str">
            <v/>
          </cell>
          <cell r="BK190" t="str">
            <v/>
          </cell>
          <cell r="BL190" t="str">
            <v/>
          </cell>
          <cell r="BM190" t="str">
            <v/>
          </cell>
          <cell r="BN190" t="str">
            <v/>
          </cell>
          <cell r="BO190" t="str">
            <v/>
          </cell>
          <cell r="BP190" t="str">
            <v/>
          </cell>
          <cell r="BQ190" t="str">
            <v/>
          </cell>
          <cell r="BR190" t="str">
            <v/>
          </cell>
          <cell r="BS190" t="str">
            <v/>
          </cell>
          <cell r="BT190" t="str">
            <v/>
          </cell>
          <cell r="BU190" t="str">
            <v/>
          </cell>
          <cell r="BV190" t="str">
            <v/>
          </cell>
          <cell r="BW190" t="str">
            <v/>
          </cell>
          <cell r="BX190" t="str">
            <v/>
          </cell>
          <cell r="BY190" t="str">
            <v/>
          </cell>
          <cell r="BZ190" t="str">
            <v/>
          </cell>
          <cell r="CA190" t="str">
            <v/>
          </cell>
          <cell r="CC190" t="str">
            <v/>
          </cell>
          <cell r="CD190" t="str">
            <v/>
          </cell>
          <cell r="CE190" t="str">
            <v/>
          </cell>
          <cell r="CF190" t="str">
            <v/>
          </cell>
        </row>
        <row r="191">
          <cell r="A191">
            <v>2001</v>
          </cell>
          <cell r="B191" t="str">
            <v>2001_アパホテル&lt;岐阜羽島駅前&gt;</v>
          </cell>
          <cell r="C191" t="str">
            <v/>
          </cell>
          <cell r="D191" t="str">
            <v/>
          </cell>
          <cell r="E191" t="str">
            <v/>
          </cell>
          <cell r="F191" t="str">
            <v/>
          </cell>
          <cell r="G191" t="str">
            <v/>
          </cell>
          <cell r="H191">
            <v>1</v>
          </cell>
          <cell r="I191">
            <v>1</v>
          </cell>
          <cell r="J191" t="b">
            <v>1</v>
          </cell>
          <cell r="K191" t="str">
            <v/>
          </cell>
          <cell r="L191">
            <v>17648</v>
          </cell>
          <cell r="M191">
            <v>0</v>
          </cell>
          <cell r="N191">
            <v>0</v>
          </cell>
          <cell r="O191">
            <v>0</v>
          </cell>
          <cell r="P191">
            <v>0</v>
          </cell>
          <cell r="Q191">
            <v>19412.800000000003</v>
          </cell>
          <cell r="R191">
            <v>19412</v>
          </cell>
          <cell r="S191" t="b">
            <v>1</v>
          </cell>
          <cell r="T191">
            <v>19412</v>
          </cell>
          <cell r="U191">
            <v>0</v>
          </cell>
          <cell r="V191">
            <v>1914038</v>
          </cell>
          <cell r="W191">
            <v>1914038</v>
          </cell>
          <cell r="X191" t="b">
            <v>1</v>
          </cell>
          <cell r="Y191">
            <v>22518.094117647059</v>
          </cell>
          <cell r="AB191" t="str">
            <v/>
          </cell>
          <cell r="AE191">
            <v>146</v>
          </cell>
          <cell r="AF191">
            <v>85</v>
          </cell>
          <cell r="AG191" t="b">
            <v>1</v>
          </cell>
          <cell r="AH191">
            <v>150</v>
          </cell>
          <cell r="AI191" t="str">
            <v/>
          </cell>
          <cell r="AJ191" t="str">
            <v/>
          </cell>
          <cell r="AK191" t="str">
            <v/>
          </cell>
          <cell r="AL191" t="str">
            <v/>
          </cell>
          <cell r="AM191" t="str">
            <v/>
          </cell>
          <cell r="AN191" t="str">
            <v/>
          </cell>
          <cell r="AQ191" t="str">
            <v/>
          </cell>
          <cell r="AV191" t="str">
            <v/>
          </cell>
          <cell r="AW191" t="str">
            <v/>
          </cell>
          <cell r="AX191" t="str">
            <v/>
          </cell>
          <cell r="AY191" t="str">
            <v/>
          </cell>
          <cell r="AZ191" t="str">
            <v/>
          </cell>
          <cell r="BA191" t="str">
            <v/>
          </cell>
          <cell r="BB191" t="str">
            <v/>
          </cell>
          <cell r="BC191" t="str">
            <v/>
          </cell>
          <cell r="BD191" t="str">
            <v/>
          </cell>
          <cell r="BE191" t="str">
            <v/>
          </cell>
          <cell r="BF191" t="str">
            <v/>
          </cell>
          <cell r="BG191" t="str">
            <v/>
          </cell>
          <cell r="BH191" t="str">
            <v/>
          </cell>
          <cell r="BJ191" t="str">
            <v/>
          </cell>
          <cell r="BK191" t="str">
            <v/>
          </cell>
          <cell r="BL191" t="str">
            <v/>
          </cell>
          <cell r="BM191" t="str">
            <v/>
          </cell>
          <cell r="BN191" t="str">
            <v/>
          </cell>
          <cell r="BO191" t="str">
            <v/>
          </cell>
          <cell r="BP191" t="str">
            <v/>
          </cell>
          <cell r="BQ191" t="str">
            <v/>
          </cell>
          <cell r="BR191" t="str">
            <v/>
          </cell>
          <cell r="BS191" t="str">
            <v/>
          </cell>
          <cell r="BT191" t="str">
            <v/>
          </cell>
          <cell r="BU191" t="str">
            <v/>
          </cell>
          <cell r="BV191" t="str">
            <v/>
          </cell>
          <cell r="BW191" t="str">
            <v/>
          </cell>
          <cell r="BX191" t="str">
            <v/>
          </cell>
          <cell r="BY191" t="str">
            <v/>
          </cell>
          <cell r="BZ191" t="str">
            <v/>
          </cell>
          <cell r="CA191" t="str">
            <v/>
          </cell>
          <cell r="CC191" t="str">
            <v/>
          </cell>
          <cell r="CD191" t="str">
            <v/>
          </cell>
          <cell r="CE191" t="str">
            <v/>
          </cell>
          <cell r="CF191" t="str">
            <v/>
          </cell>
        </row>
        <row r="192">
          <cell r="A192">
            <v>2007</v>
          </cell>
          <cell r="B192" t="str">
            <v>2007_シェラトン都ホテル大阪</v>
          </cell>
          <cell r="C192" t="str">
            <v/>
          </cell>
          <cell r="D192" t="str">
            <v/>
          </cell>
          <cell r="E192" t="str">
            <v/>
          </cell>
          <cell r="F192" t="str">
            <v/>
          </cell>
          <cell r="G192" t="str">
            <v/>
          </cell>
          <cell r="H192">
            <v>24</v>
          </cell>
          <cell r="I192">
            <v>3</v>
          </cell>
          <cell r="J192" t="b">
            <v>1</v>
          </cell>
          <cell r="K192" t="str">
            <v/>
          </cell>
          <cell r="L192">
            <v>3144706</v>
          </cell>
          <cell r="M192">
            <v>35295</v>
          </cell>
          <cell r="N192">
            <v>0</v>
          </cell>
          <cell r="O192">
            <v>0</v>
          </cell>
          <cell r="P192">
            <v>18000</v>
          </cell>
          <cell r="Q192">
            <v>3516001.1</v>
          </cell>
          <cell r="R192">
            <v>3516001</v>
          </cell>
          <cell r="S192" t="b">
            <v>1</v>
          </cell>
          <cell r="T192">
            <v>1172000.3333333333</v>
          </cell>
          <cell r="U192">
            <v>0</v>
          </cell>
          <cell r="V192">
            <v>5531086</v>
          </cell>
          <cell r="W192">
            <v>5531086</v>
          </cell>
          <cell r="X192" t="b">
            <v>1</v>
          </cell>
          <cell r="Y192">
            <v>52677.009523809524</v>
          </cell>
          <cell r="AB192" t="str">
            <v/>
          </cell>
          <cell r="AE192">
            <v>578</v>
          </cell>
          <cell r="AF192">
            <v>105</v>
          </cell>
          <cell r="AG192" t="b">
            <v>1</v>
          </cell>
          <cell r="AH192">
            <v>933</v>
          </cell>
          <cell r="AI192" t="str">
            <v/>
          </cell>
          <cell r="AJ192" t="str">
            <v/>
          </cell>
          <cell r="AK192" t="str">
            <v/>
          </cell>
          <cell r="AL192" t="str">
            <v/>
          </cell>
          <cell r="AM192" t="str">
            <v/>
          </cell>
          <cell r="AN192" t="str">
            <v/>
          </cell>
          <cell r="AQ192" t="str">
            <v/>
          </cell>
          <cell r="AV192" t="str">
            <v/>
          </cell>
          <cell r="AW192" t="str">
            <v/>
          </cell>
          <cell r="AX192" t="str">
            <v/>
          </cell>
          <cell r="AY192" t="str">
            <v/>
          </cell>
          <cell r="AZ192" t="str">
            <v/>
          </cell>
          <cell r="BA192" t="str">
            <v/>
          </cell>
          <cell r="BB192" t="str">
            <v/>
          </cell>
          <cell r="BC192" t="str">
            <v/>
          </cell>
          <cell r="BD192" t="str">
            <v/>
          </cell>
          <cell r="BE192" t="str">
            <v/>
          </cell>
          <cell r="BF192" t="str">
            <v/>
          </cell>
          <cell r="BG192" t="str">
            <v/>
          </cell>
          <cell r="BH192" t="str">
            <v/>
          </cell>
          <cell r="BJ192" t="str">
            <v/>
          </cell>
          <cell r="BK192" t="str">
            <v/>
          </cell>
          <cell r="BL192" t="str">
            <v/>
          </cell>
          <cell r="BM192" t="str">
            <v/>
          </cell>
          <cell r="BN192" t="str">
            <v/>
          </cell>
          <cell r="BO192" t="str">
            <v/>
          </cell>
          <cell r="BP192" t="str">
            <v/>
          </cell>
          <cell r="BQ192" t="str">
            <v/>
          </cell>
          <cell r="BR192" t="str">
            <v/>
          </cell>
          <cell r="BS192" t="str">
            <v/>
          </cell>
          <cell r="BT192" t="str">
            <v/>
          </cell>
          <cell r="BU192" t="str">
            <v/>
          </cell>
          <cell r="BV192" t="str">
            <v/>
          </cell>
          <cell r="BW192" t="str">
            <v/>
          </cell>
          <cell r="BX192" t="str">
            <v/>
          </cell>
          <cell r="BY192" t="str">
            <v/>
          </cell>
          <cell r="BZ192" t="str">
            <v/>
          </cell>
          <cell r="CA192" t="str">
            <v/>
          </cell>
          <cell r="CC192" t="str">
            <v/>
          </cell>
          <cell r="CD192" t="str">
            <v/>
          </cell>
          <cell r="CE192" t="str">
            <v/>
          </cell>
          <cell r="CF192" t="str">
            <v/>
          </cell>
        </row>
        <row r="193">
          <cell r="A193">
            <v>2008</v>
          </cell>
          <cell r="B193" t="str">
            <v>2008_ホテルアゴーラリージェンシー大阪堺</v>
          </cell>
          <cell r="C193" t="str">
            <v>選手（修正案）</v>
          </cell>
          <cell r="D193" t="str">
            <v>選手12000</v>
          </cell>
          <cell r="E193" t="str">
            <v/>
          </cell>
          <cell r="F193" t="str">
            <v/>
          </cell>
          <cell r="G193" t="str">
            <v/>
          </cell>
          <cell r="H193">
            <v>9</v>
          </cell>
          <cell r="I193">
            <v>3</v>
          </cell>
          <cell r="J193" t="b">
            <v>1</v>
          </cell>
          <cell r="K193" t="str">
            <v/>
          </cell>
          <cell r="L193">
            <v>12376476</v>
          </cell>
          <cell r="M193">
            <v>58825</v>
          </cell>
          <cell r="N193">
            <v>0</v>
          </cell>
          <cell r="O193">
            <v>0</v>
          </cell>
          <cell r="P193">
            <v>18000</v>
          </cell>
          <cell r="Q193">
            <v>13696831.100000001</v>
          </cell>
          <cell r="R193">
            <v>3473296</v>
          </cell>
          <cell r="S193" t="b">
            <v>1</v>
          </cell>
          <cell r="T193">
            <v>1157765.3333333333</v>
          </cell>
          <cell r="U193">
            <v>2174128</v>
          </cell>
          <cell r="V193">
            <v>6677704</v>
          </cell>
          <cell r="W193">
            <v>4503576</v>
          </cell>
          <cell r="X193" t="b">
            <v>1</v>
          </cell>
          <cell r="Y193">
            <v>56294.7</v>
          </cell>
          <cell r="Z193">
            <v>49412</v>
          </cell>
          <cell r="AA193">
            <v>52942</v>
          </cell>
          <cell r="AB193">
            <v>33759.940029985017</v>
          </cell>
          <cell r="AC193">
            <v>2500</v>
          </cell>
          <cell r="AE193">
            <v>241</v>
          </cell>
          <cell r="AF193">
            <v>80</v>
          </cell>
          <cell r="AG193" t="b">
            <v>1</v>
          </cell>
          <cell r="AH193">
            <v>456</v>
          </cell>
          <cell r="AI193">
            <v>116</v>
          </cell>
          <cell r="AJ193" t="str">
            <v/>
          </cell>
          <cell r="AK193" t="str">
            <v/>
          </cell>
          <cell r="AL193" t="str">
            <v/>
          </cell>
          <cell r="AM193" t="str">
            <v/>
          </cell>
          <cell r="AN193">
            <v>36</v>
          </cell>
          <cell r="AQ193" t="str">
            <v/>
          </cell>
          <cell r="AV193">
            <v>22</v>
          </cell>
          <cell r="AW193">
            <v>26</v>
          </cell>
          <cell r="AX193" t="str">
            <v/>
          </cell>
          <cell r="AY193" t="str">
            <v/>
          </cell>
          <cell r="AZ193" t="str">
            <v/>
          </cell>
          <cell r="BA193" t="str">
            <v/>
          </cell>
          <cell r="BB193" t="str">
            <v/>
          </cell>
          <cell r="BC193" t="str">
            <v/>
          </cell>
          <cell r="BD193" t="str">
            <v/>
          </cell>
          <cell r="BE193" t="str">
            <v/>
          </cell>
          <cell r="BF193" t="str">
            <v/>
          </cell>
          <cell r="BG193" t="str">
            <v/>
          </cell>
          <cell r="BH193">
            <v>99078672</v>
          </cell>
          <cell r="BI193">
            <v>117092976</v>
          </cell>
          <cell r="BJ193" t="str">
            <v/>
          </cell>
          <cell r="BK193" t="str">
            <v/>
          </cell>
          <cell r="BL193" t="str">
            <v/>
          </cell>
          <cell r="BM193" t="str">
            <v/>
          </cell>
          <cell r="BN193" t="str">
            <v/>
          </cell>
          <cell r="BO193" t="str">
            <v/>
          </cell>
          <cell r="BP193" t="str">
            <v/>
          </cell>
          <cell r="BQ193" t="str">
            <v/>
          </cell>
          <cell r="BR193" t="str">
            <v/>
          </cell>
          <cell r="BS193" t="str">
            <v/>
          </cell>
          <cell r="BT193" t="str">
            <v/>
          </cell>
          <cell r="BU193" t="str">
            <v/>
          </cell>
          <cell r="BV193" t="str">
            <v/>
          </cell>
          <cell r="BW193" t="str">
            <v/>
          </cell>
          <cell r="BX193">
            <v>76412512</v>
          </cell>
          <cell r="BY193">
            <v>90305696</v>
          </cell>
          <cell r="BZ193" t="str">
            <v/>
          </cell>
          <cell r="CA193" t="str">
            <v/>
          </cell>
          <cell r="CC193" t="str">
            <v/>
          </cell>
          <cell r="CD193" t="str">
            <v/>
          </cell>
          <cell r="CE193" t="str">
            <v/>
          </cell>
          <cell r="CF193" t="str">
            <v/>
          </cell>
        </row>
        <row r="194">
          <cell r="A194">
            <v>2009</v>
          </cell>
          <cell r="B194" t="str">
            <v>2009_帝国ホテル大阪</v>
          </cell>
          <cell r="C194" t="str">
            <v/>
          </cell>
          <cell r="D194" t="str">
            <v/>
          </cell>
          <cell r="E194" t="str">
            <v/>
          </cell>
          <cell r="F194" t="str">
            <v/>
          </cell>
          <cell r="G194" t="str">
            <v/>
          </cell>
          <cell r="H194">
            <v>24</v>
          </cell>
          <cell r="I194">
            <v>2</v>
          </cell>
          <cell r="J194" t="b">
            <v>0</v>
          </cell>
          <cell r="K194" t="str">
            <v/>
          </cell>
          <cell r="L194">
            <v>4965178</v>
          </cell>
          <cell r="M194">
            <v>23530</v>
          </cell>
          <cell r="N194">
            <v>0</v>
          </cell>
          <cell r="O194">
            <v>0</v>
          </cell>
          <cell r="P194">
            <v>9000</v>
          </cell>
          <cell r="Q194">
            <v>5496578.8000000007</v>
          </cell>
          <cell r="R194">
            <v>5496578</v>
          </cell>
          <cell r="S194" t="b">
            <v>0</v>
          </cell>
          <cell r="T194">
            <v>2748289</v>
          </cell>
          <cell r="U194">
            <v>0</v>
          </cell>
          <cell r="V194">
            <v>3688245</v>
          </cell>
          <cell r="W194">
            <v>3688245</v>
          </cell>
          <cell r="X194" t="b">
            <v>1</v>
          </cell>
          <cell r="Y194">
            <v>61470.75</v>
          </cell>
          <cell r="AB194" t="str">
            <v/>
          </cell>
          <cell r="AE194">
            <v>378</v>
          </cell>
          <cell r="AF194">
            <v>60</v>
          </cell>
          <cell r="AG194" t="b">
            <v>1</v>
          </cell>
          <cell r="AH194">
            <v>620</v>
          </cell>
          <cell r="AI194" t="str">
            <v/>
          </cell>
          <cell r="AJ194" t="str">
            <v/>
          </cell>
          <cell r="AK194" t="str">
            <v/>
          </cell>
          <cell r="AL194" t="str">
            <v/>
          </cell>
          <cell r="AM194" t="str">
            <v/>
          </cell>
          <cell r="AN194" t="str">
            <v/>
          </cell>
          <cell r="AO194" t="str">
            <v/>
          </cell>
          <cell r="AP194" t="str">
            <v/>
          </cell>
          <cell r="AQ194" t="str">
            <v/>
          </cell>
          <cell r="AR194" t="str">
            <v/>
          </cell>
          <cell r="AV194" t="str">
            <v/>
          </cell>
          <cell r="AW194" t="str">
            <v/>
          </cell>
          <cell r="AX194" t="str">
            <v/>
          </cell>
          <cell r="AY194" t="str">
            <v/>
          </cell>
          <cell r="AZ194" t="str">
            <v/>
          </cell>
          <cell r="BA194" t="str">
            <v/>
          </cell>
          <cell r="BB194" t="str">
            <v/>
          </cell>
          <cell r="BC194" t="str">
            <v/>
          </cell>
          <cell r="BD194" t="str">
            <v/>
          </cell>
          <cell r="BE194" t="str">
            <v/>
          </cell>
          <cell r="BF194" t="str">
            <v/>
          </cell>
          <cell r="BG194" t="str">
            <v/>
          </cell>
          <cell r="BH194" t="str">
            <v/>
          </cell>
          <cell r="BJ194" t="str">
            <v/>
          </cell>
          <cell r="BK194" t="str">
            <v/>
          </cell>
          <cell r="BL194" t="str">
            <v/>
          </cell>
          <cell r="BM194" t="str">
            <v/>
          </cell>
          <cell r="BN194" t="str">
            <v/>
          </cell>
          <cell r="BO194" t="str">
            <v/>
          </cell>
          <cell r="BP194" t="str">
            <v/>
          </cell>
          <cell r="BQ194" t="str">
            <v/>
          </cell>
          <cell r="BR194" t="str">
            <v/>
          </cell>
          <cell r="BS194" t="str">
            <v/>
          </cell>
          <cell r="BT194" t="str">
            <v/>
          </cell>
          <cell r="BU194" t="str">
            <v/>
          </cell>
          <cell r="BV194" t="str">
            <v/>
          </cell>
          <cell r="BW194" t="str">
            <v/>
          </cell>
          <cell r="BX194" t="str">
            <v/>
          </cell>
          <cell r="BY194" t="str">
            <v/>
          </cell>
          <cell r="BZ194" t="str">
            <v/>
          </cell>
          <cell r="CA194" t="str">
            <v/>
          </cell>
          <cell r="CC194" t="str">
            <v/>
          </cell>
          <cell r="CD194" t="str">
            <v/>
          </cell>
          <cell r="CE194" t="str">
            <v/>
          </cell>
          <cell r="CF194" t="str">
            <v/>
          </cell>
        </row>
        <row r="195">
          <cell r="A195">
            <v>2010</v>
          </cell>
          <cell r="B195" t="str">
            <v>2010_神戸西神オリエンタルホテル</v>
          </cell>
          <cell r="C195" t="str">
            <v/>
          </cell>
          <cell r="D195" t="str">
            <v/>
          </cell>
          <cell r="E195" t="str">
            <v/>
          </cell>
          <cell r="F195" t="str">
            <v/>
          </cell>
          <cell r="G195" t="str">
            <v/>
          </cell>
          <cell r="H195">
            <v>6</v>
          </cell>
          <cell r="I195">
            <v>1</v>
          </cell>
          <cell r="J195" t="b">
            <v>0</v>
          </cell>
          <cell r="K195" t="str">
            <v/>
          </cell>
          <cell r="L195">
            <v>452942</v>
          </cell>
          <cell r="M195">
            <v>0</v>
          </cell>
          <cell r="N195">
            <v>0</v>
          </cell>
          <cell r="O195">
            <v>0</v>
          </cell>
          <cell r="P195">
            <v>0</v>
          </cell>
          <cell r="Q195">
            <v>498236.2</v>
          </cell>
          <cell r="R195">
            <v>498236</v>
          </cell>
          <cell r="S195" t="b">
            <v>0</v>
          </cell>
          <cell r="T195">
            <v>498236</v>
          </cell>
          <cell r="U195">
            <v>0</v>
          </cell>
          <cell r="V195">
            <v>1054981</v>
          </cell>
          <cell r="W195">
            <v>1054981</v>
          </cell>
          <cell r="X195" t="b">
            <v>1</v>
          </cell>
          <cell r="Y195">
            <v>27762.657894736843</v>
          </cell>
          <cell r="AB195" t="str">
            <v/>
          </cell>
          <cell r="AE195">
            <v>184</v>
          </cell>
          <cell r="AF195">
            <v>38</v>
          </cell>
          <cell r="AG195" t="b">
            <v>1</v>
          </cell>
          <cell r="AH195">
            <v>287</v>
          </cell>
          <cell r="AI195" t="str">
            <v/>
          </cell>
          <cell r="AJ195" t="str">
            <v/>
          </cell>
          <cell r="AK195" t="str">
            <v/>
          </cell>
          <cell r="AL195" t="str">
            <v/>
          </cell>
          <cell r="AM195" t="str">
            <v/>
          </cell>
          <cell r="AN195" t="str">
            <v/>
          </cell>
          <cell r="AQ195" t="str">
            <v/>
          </cell>
          <cell r="AV195" t="str">
            <v/>
          </cell>
          <cell r="AW195" t="str">
            <v/>
          </cell>
          <cell r="AX195" t="str">
            <v/>
          </cell>
          <cell r="AY195" t="str">
            <v/>
          </cell>
          <cell r="AZ195" t="str">
            <v/>
          </cell>
          <cell r="BA195" t="str">
            <v/>
          </cell>
          <cell r="BB195" t="str">
            <v/>
          </cell>
          <cell r="BC195" t="str">
            <v/>
          </cell>
          <cell r="BD195" t="str">
            <v/>
          </cell>
          <cell r="BE195" t="str">
            <v/>
          </cell>
          <cell r="BF195" t="str">
            <v/>
          </cell>
          <cell r="BG195" t="str">
            <v/>
          </cell>
          <cell r="BH195" t="str">
            <v/>
          </cell>
          <cell r="BJ195" t="str">
            <v/>
          </cell>
          <cell r="BK195" t="str">
            <v/>
          </cell>
          <cell r="BL195" t="str">
            <v/>
          </cell>
          <cell r="BM195" t="str">
            <v/>
          </cell>
          <cell r="BN195" t="str">
            <v/>
          </cell>
          <cell r="BO195" t="str">
            <v/>
          </cell>
          <cell r="BP195" t="str">
            <v/>
          </cell>
          <cell r="BQ195" t="str">
            <v/>
          </cell>
          <cell r="BR195" t="str">
            <v/>
          </cell>
          <cell r="BS195" t="str">
            <v/>
          </cell>
          <cell r="BT195" t="str">
            <v/>
          </cell>
          <cell r="BU195" t="str">
            <v/>
          </cell>
          <cell r="BV195" t="str">
            <v/>
          </cell>
          <cell r="BW195" t="str">
            <v/>
          </cell>
          <cell r="BX195" t="str">
            <v/>
          </cell>
          <cell r="BY195" t="str">
            <v/>
          </cell>
          <cell r="BZ195" t="str">
            <v/>
          </cell>
          <cell r="CA195" t="str">
            <v/>
          </cell>
          <cell r="CC195" t="str">
            <v/>
          </cell>
          <cell r="CD195" t="str">
            <v/>
          </cell>
          <cell r="CE195" t="str">
            <v/>
          </cell>
          <cell r="CF195" t="str">
            <v/>
          </cell>
        </row>
        <row r="196">
          <cell r="A196">
            <v>2011</v>
          </cell>
          <cell r="B196" t="str">
            <v>2011_ANAクラウンプラザホテル神戸</v>
          </cell>
          <cell r="C196" t="str">
            <v/>
          </cell>
          <cell r="D196" t="str">
            <v/>
          </cell>
          <cell r="E196" t="str">
            <v/>
          </cell>
          <cell r="F196" t="str">
            <v/>
          </cell>
          <cell r="G196" t="str">
            <v/>
          </cell>
          <cell r="H196">
            <v>18</v>
          </cell>
          <cell r="I196">
            <v>1</v>
          </cell>
          <cell r="J196" t="b">
            <v>0</v>
          </cell>
          <cell r="K196" t="str">
            <v/>
          </cell>
          <cell r="L196">
            <v>4094118</v>
          </cell>
          <cell r="M196">
            <v>0</v>
          </cell>
          <cell r="N196">
            <v>0</v>
          </cell>
          <cell r="O196">
            <v>0</v>
          </cell>
          <cell r="P196">
            <v>0</v>
          </cell>
          <cell r="Q196">
            <v>4503529.8000000007</v>
          </cell>
          <cell r="R196">
            <v>4503529</v>
          </cell>
          <cell r="S196" t="b">
            <v>0</v>
          </cell>
          <cell r="T196">
            <v>4503529</v>
          </cell>
          <cell r="U196">
            <v>0</v>
          </cell>
          <cell r="V196">
            <v>1860975</v>
          </cell>
          <cell r="W196">
            <v>1860975</v>
          </cell>
          <cell r="X196" t="b">
            <v>1</v>
          </cell>
          <cell r="Y196">
            <v>30015.725806451614</v>
          </cell>
          <cell r="AB196" t="str">
            <v/>
          </cell>
          <cell r="AE196">
            <v>592</v>
          </cell>
          <cell r="AF196">
            <v>62</v>
          </cell>
          <cell r="AG196" t="b">
            <v>1</v>
          </cell>
          <cell r="AH196">
            <v>912</v>
          </cell>
          <cell r="AI196" t="str">
            <v/>
          </cell>
          <cell r="AJ196" t="str">
            <v/>
          </cell>
          <cell r="AK196" t="str">
            <v/>
          </cell>
          <cell r="AL196" t="str">
            <v/>
          </cell>
          <cell r="AM196" t="str">
            <v/>
          </cell>
          <cell r="AN196" t="str">
            <v/>
          </cell>
          <cell r="AQ196" t="str">
            <v/>
          </cell>
          <cell r="AV196" t="str">
            <v/>
          </cell>
          <cell r="AW196" t="str">
            <v/>
          </cell>
          <cell r="AX196" t="str">
            <v/>
          </cell>
          <cell r="AY196" t="str">
            <v/>
          </cell>
          <cell r="AZ196" t="str">
            <v/>
          </cell>
          <cell r="BA196" t="str">
            <v/>
          </cell>
          <cell r="BB196" t="str">
            <v/>
          </cell>
          <cell r="BC196" t="str">
            <v/>
          </cell>
          <cell r="BD196" t="str">
            <v/>
          </cell>
          <cell r="BE196" t="str">
            <v/>
          </cell>
          <cell r="BF196" t="str">
            <v/>
          </cell>
          <cell r="BG196" t="str">
            <v/>
          </cell>
          <cell r="BH196" t="str">
            <v/>
          </cell>
          <cell r="BJ196" t="str">
            <v/>
          </cell>
          <cell r="BK196" t="str">
            <v/>
          </cell>
          <cell r="BL196" t="str">
            <v/>
          </cell>
          <cell r="BM196" t="str">
            <v/>
          </cell>
          <cell r="BN196" t="str">
            <v/>
          </cell>
          <cell r="BO196" t="str">
            <v/>
          </cell>
          <cell r="BP196" t="str">
            <v/>
          </cell>
          <cell r="BQ196" t="str">
            <v/>
          </cell>
          <cell r="BR196" t="str">
            <v/>
          </cell>
          <cell r="BS196" t="str">
            <v/>
          </cell>
          <cell r="BT196" t="str">
            <v/>
          </cell>
          <cell r="BU196" t="str">
            <v/>
          </cell>
          <cell r="BV196" t="str">
            <v/>
          </cell>
          <cell r="BW196" t="str">
            <v/>
          </cell>
          <cell r="BX196" t="str">
            <v/>
          </cell>
          <cell r="BY196" t="str">
            <v/>
          </cell>
          <cell r="BZ196" t="str">
            <v/>
          </cell>
          <cell r="CA196" t="str">
            <v/>
          </cell>
          <cell r="CC196" t="str">
            <v/>
          </cell>
          <cell r="CD196" t="str">
            <v/>
          </cell>
          <cell r="CE196" t="str">
            <v/>
          </cell>
          <cell r="CF196" t="str">
            <v/>
          </cell>
        </row>
        <row r="197">
          <cell r="A197">
            <v>2012</v>
          </cell>
          <cell r="B197" t="str">
            <v>2012_シーサイドホテル舞子ビラ神戸</v>
          </cell>
          <cell r="C197" t="str">
            <v/>
          </cell>
          <cell r="D197" t="str">
            <v/>
          </cell>
          <cell r="E197" t="str">
            <v/>
          </cell>
          <cell r="F197" t="str">
            <v/>
          </cell>
          <cell r="G197" t="str">
            <v/>
          </cell>
          <cell r="H197">
            <v>19</v>
          </cell>
          <cell r="I197">
            <v>7</v>
          </cell>
          <cell r="J197" t="b">
            <v>0</v>
          </cell>
          <cell r="K197" t="str">
            <v/>
          </cell>
          <cell r="L197">
            <v>2744179</v>
          </cell>
          <cell r="M197">
            <v>0</v>
          </cell>
          <cell r="N197">
            <v>0</v>
          </cell>
          <cell r="O197">
            <v>0</v>
          </cell>
          <cell r="P197">
            <v>0</v>
          </cell>
          <cell r="Q197">
            <v>3018596.9000000004</v>
          </cell>
          <cell r="R197">
            <v>3018596</v>
          </cell>
          <cell r="S197" t="b">
            <v>0</v>
          </cell>
          <cell r="T197">
            <v>431228</v>
          </cell>
          <cell r="U197">
            <v>0</v>
          </cell>
          <cell r="V197">
            <v>1937340</v>
          </cell>
          <cell r="W197">
            <v>1937340</v>
          </cell>
          <cell r="X197" t="b">
            <v>1</v>
          </cell>
          <cell r="Y197">
            <v>32289</v>
          </cell>
          <cell r="AB197" t="str">
            <v/>
          </cell>
          <cell r="AE197">
            <v>247</v>
          </cell>
          <cell r="AF197">
            <v>60</v>
          </cell>
          <cell r="AG197" t="b">
            <v>1</v>
          </cell>
          <cell r="AH197">
            <v>379</v>
          </cell>
          <cell r="AI197" t="str">
            <v/>
          </cell>
          <cell r="AJ197" t="str">
            <v/>
          </cell>
          <cell r="AK197" t="str">
            <v/>
          </cell>
          <cell r="AL197" t="str">
            <v/>
          </cell>
          <cell r="AM197" t="str">
            <v/>
          </cell>
          <cell r="AN197" t="str">
            <v/>
          </cell>
          <cell r="AQ197" t="str">
            <v/>
          </cell>
          <cell r="AV197" t="str">
            <v/>
          </cell>
          <cell r="AW197" t="str">
            <v/>
          </cell>
          <cell r="AX197" t="str">
            <v/>
          </cell>
          <cell r="AY197" t="str">
            <v/>
          </cell>
          <cell r="AZ197" t="str">
            <v/>
          </cell>
          <cell r="BA197" t="str">
            <v/>
          </cell>
          <cell r="BB197" t="str">
            <v/>
          </cell>
          <cell r="BC197" t="str">
            <v/>
          </cell>
          <cell r="BD197" t="str">
            <v/>
          </cell>
          <cell r="BE197" t="str">
            <v/>
          </cell>
          <cell r="BF197" t="str">
            <v/>
          </cell>
          <cell r="BG197" t="str">
            <v/>
          </cell>
          <cell r="BH197" t="str">
            <v/>
          </cell>
          <cell r="BJ197" t="str">
            <v/>
          </cell>
          <cell r="BK197" t="str">
            <v/>
          </cell>
          <cell r="BL197" t="str">
            <v/>
          </cell>
          <cell r="BM197" t="str">
            <v/>
          </cell>
          <cell r="BN197" t="str">
            <v/>
          </cell>
          <cell r="BO197" t="str">
            <v/>
          </cell>
          <cell r="BP197" t="str">
            <v/>
          </cell>
          <cell r="BQ197" t="str">
            <v/>
          </cell>
          <cell r="BR197" t="str">
            <v/>
          </cell>
          <cell r="BS197" t="str">
            <v/>
          </cell>
          <cell r="BT197" t="str">
            <v/>
          </cell>
          <cell r="BU197" t="str">
            <v/>
          </cell>
          <cell r="BV197" t="str">
            <v/>
          </cell>
          <cell r="BW197" t="str">
            <v/>
          </cell>
          <cell r="BX197" t="str">
            <v/>
          </cell>
          <cell r="BY197" t="str">
            <v/>
          </cell>
          <cell r="BZ197" t="str">
            <v/>
          </cell>
          <cell r="CA197" t="str">
            <v/>
          </cell>
          <cell r="CC197" t="str">
            <v/>
          </cell>
          <cell r="CD197" t="str">
            <v/>
          </cell>
          <cell r="CE197" t="str">
            <v/>
          </cell>
          <cell r="CF197" t="str">
            <v/>
          </cell>
        </row>
        <row r="198">
          <cell r="A198">
            <v>2013</v>
          </cell>
          <cell r="B198" t="str">
            <v>2013_ホテルオークラ神戸</v>
          </cell>
          <cell r="C198" t="str">
            <v/>
          </cell>
          <cell r="D198" t="str">
            <v/>
          </cell>
          <cell r="E198" t="str">
            <v/>
          </cell>
          <cell r="F198" t="str">
            <v/>
          </cell>
          <cell r="G198" t="str">
            <v/>
          </cell>
          <cell r="H198">
            <v>14</v>
          </cell>
          <cell r="I198">
            <v>9</v>
          </cell>
          <cell r="J198" t="b">
            <v>0</v>
          </cell>
          <cell r="K198" t="str">
            <v/>
          </cell>
          <cell r="L198">
            <v>7958828</v>
          </cell>
          <cell r="M198">
            <v>105885</v>
          </cell>
          <cell r="N198">
            <v>0</v>
          </cell>
          <cell r="O198">
            <v>0</v>
          </cell>
          <cell r="P198">
            <v>0</v>
          </cell>
          <cell r="Q198">
            <v>8871184.3000000007</v>
          </cell>
          <cell r="R198">
            <v>8871184</v>
          </cell>
          <cell r="S198" t="b">
            <v>0</v>
          </cell>
          <cell r="T198">
            <v>985687.11111111112</v>
          </cell>
          <cell r="U198">
            <v>0</v>
          </cell>
          <cell r="V198">
            <v>1900437</v>
          </cell>
          <cell r="W198">
            <v>1900437</v>
          </cell>
          <cell r="X198" t="b">
            <v>1</v>
          </cell>
          <cell r="Y198">
            <v>63347.9</v>
          </cell>
          <cell r="AB198" t="str">
            <v/>
          </cell>
          <cell r="AE198">
            <v>460</v>
          </cell>
          <cell r="AF198">
            <v>30</v>
          </cell>
          <cell r="AG198" t="b">
            <v>1</v>
          </cell>
          <cell r="AH198">
            <v>790</v>
          </cell>
          <cell r="AI198" t="str">
            <v/>
          </cell>
          <cell r="AJ198" t="str">
            <v/>
          </cell>
          <cell r="AK198" t="str">
            <v/>
          </cell>
          <cell r="AL198" t="str">
            <v/>
          </cell>
          <cell r="AM198" t="str">
            <v/>
          </cell>
          <cell r="AN198" t="str">
            <v/>
          </cell>
          <cell r="AQ198" t="str">
            <v/>
          </cell>
          <cell r="AV198" t="str">
            <v/>
          </cell>
          <cell r="AW198" t="str">
            <v/>
          </cell>
          <cell r="AX198" t="str">
            <v/>
          </cell>
          <cell r="AY198" t="str">
            <v/>
          </cell>
          <cell r="AZ198" t="str">
            <v/>
          </cell>
          <cell r="BA198" t="str">
            <v/>
          </cell>
          <cell r="BB198" t="str">
            <v/>
          </cell>
          <cell r="BC198" t="str">
            <v/>
          </cell>
          <cell r="BD198" t="str">
            <v/>
          </cell>
          <cell r="BE198" t="str">
            <v/>
          </cell>
          <cell r="BF198" t="str">
            <v/>
          </cell>
          <cell r="BG198" t="str">
            <v/>
          </cell>
          <cell r="BH198" t="str">
            <v/>
          </cell>
          <cell r="BJ198" t="str">
            <v/>
          </cell>
          <cell r="BK198" t="str">
            <v/>
          </cell>
          <cell r="BL198" t="str">
            <v/>
          </cell>
          <cell r="BM198" t="str">
            <v/>
          </cell>
          <cell r="BN198" t="str">
            <v/>
          </cell>
          <cell r="BO198" t="str">
            <v/>
          </cell>
          <cell r="BP198" t="str">
            <v/>
          </cell>
          <cell r="BQ198" t="str">
            <v/>
          </cell>
          <cell r="BR198" t="str">
            <v/>
          </cell>
          <cell r="BS198" t="str">
            <v/>
          </cell>
          <cell r="BT198" t="str">
            <v/>
          </cell>
          <cell r="BU198" t="str">
            <v/>
          </cell>
          <cell r="BV198" t="str">
            <v/>
          </cell>
          <cell r="BW198" t="str">
            <v/>
          </cell>
          <cell r="BX198" t="str">
            <v/>
          </cell>
          <cell r="BY198" t="str">
            <v/>
          </cell>
          <cell r="BZ198" t="str">
            <v/>
          </cell>
          <cell r="CA198" t="str">
            <v/>
          </cell>
          <cell r="CC198" t="str">
            <v/>
          </cell>
          <cell r="CD198" t="str">
            <v/>
          </cell>
          <cell r="CE198" t="str">
            <v/>
          </cell>
          <cell r="CF198" t="str">
            <v/>
          </cell>
        </row>
        <row r="199">
          <cell r="A199">
            <v>2015</v>
          </cell>
          <cell r="B199" t="str">
            <v xml:space="preserve">2015_京都ホテルオークラ </v>
          </cell>
          <cell r="C199" t="str">
            <v/>
          </cell>
          <cell r="D199" t="str">
            <v/>
          </cell>
          <cell r="E199" t="str">
            <v/>
          </cell>
          <cell r="F199" t="str">
            <v/>
          </cell>
          <cell r="G199" t="str">
            <v/>
          </cell>
          <cell r="H199">
            <v>12</v>
          </cell>
          <cell r="I199">
            <v>2</v>
          </cell>
          <cell r="J199" t="b">
            <v>1</v>
          </cell>
          <cell r="K199" t="str">
            <v/>
          </cell>
          <cell r="L199">
            <v>1552942</v>
          </cell>
          <cell r="M199">
            <v>82354</v>
          </cell>
          <cell r="N199">
            <v>0</v>
          </cell>
          <cell r="O199">
            <v>0</v>
          </cell>
          <cell r="P199">
            <v>15000</v>
          </cell>
          <cell r="Q199">
            <v>1813825.6</v>
          </cell>
          <cell r="R199">
            <v>1813825</v>
          </cell>
          <cell r="S199" t="b">
            <v>1</v>
          </cell>
          <cell r="T199">
            <v>906912.5</v>
          </cell>
          <cell r="U199">
            <v>0</v>
          </cell>
          <cell r="V199">
            <v>1164735</v>
          </cell>
          <cell r="W199">
            <v>1164735</v>
          </cell>
          <cell r="X199" t="b">
            <v>1</v>
          </cell>
          <cell r="Y199">
            <v>38824.5</v>
          </cell>
          <cell r="AB199" t="str">
            <v/>
          </cell>
          <cell r="AE199">
            <v>321</v>
          </cell>
          <cell r="AF199">
            <v>30</v>
          </cell>
          <cell r="AG199" t="b">
            <v>1</v>
          </cell>
          <cell r="AH199">
            <v>576</v>
          </cell>
          <cell r="AI199" t="str">
            <v/>
          </cell>
          <cell r="AJ199" t="str">
            <v/>
          </cell>
          <cell r="AK199" t="str">
            <v/>
          </cell>
          <cell r="AL199" t="str">
            <v/>
          </cell>
          <cell r="AM199" t="str">
            <v/>
          </cell>
          <cell r="AN199" t="str">
            <v/>
          </cell>
          <cell r="AQ199" t="str">
            <v/>
          </cell>
          <cell r="AV199" t="str">
            <v/>
          </cell>
          <cell r="AW199" t="str">
            <v/>
          </cell>
          <cell r="AX199" t="str">
            <v/>
          </cell>
          <cell r="AY199" t="str">
            <v/>
          </cell>
          <cell r="AZ199" t="str">
            <v/>
          </cell>
          <cell r="BA199" t="str">
            <v/>
          </cell>
          <cell r="BB199" t="str">
            <v/>
          </cell>
          <cell r="BC199" t="str">
            <v/>
          </cell>
          <cell r="BD199" t="str">
            <v/>
          </cell>
          <cell r="BE199" t="str">
            <v/>
          </cell>
          <cell r="BF199" t="str">
            <v/>
          </cell>
          <cell r="BG199" t="str">
            <v/>
          </cell>
          <cell r="BH199" t="str">
            <v/>
          </cell>
          <cell r="BJ199" t="str">
            <v/>
          </cell>
          <cell r="BK199" t="str">
            <v/>
          </cell>
          <cell r="BL199" t="str">
            <v/>
          </cell>
          <cell r="BM199" t="str">
            <v/>
          </cell>
          <cell r="BN199" t="str">
            <v/>
          </cell>
          <cell r="BO199" t="str">
            <v/>
          </cell>
          <cell r="BP199" t="str">
            <v/>
          </cell>
          <cell r="BQ199" t="str">
            <v/>
          </cell>
          <cell r="BR199" t="str">
            <v/>
          </cell>
          <cell r="BS199" t="str">
            <v/>
          </cell>
          <cell r="BT199" t="str">
            <v/>
          </cell>
          <cell r="BU199" t="str">
            <v/>
          </cell>
          <cell r="BV199" t="str">
            <v/>
          </cell>
          <cell r="BW199" t="str">
            <v/>
          </cell>
          <cell r="BX199" t="str">
            <v/>
          </cell>
          <cell r="BY199" t="str">
            <v/>
          </cell>
          <cell r="BZ199" t="str">
            <v/>
          </cell>
          <cell r="CA199" t="str">
            <v/>
          </cell>
          <cell r="CC199" t="str">
            <v/>
          </cell>
          <cell r="CD199" t="str">
            <v/>
          </cell>
          <cell r="CE199" t="str">
            <v/>
          </cell>
          <cell r="CF199" t="str">
            <v/>
          </cell>
        </row>
        <row r="200">
          <cell r="A200">
            <v>2016</v>
          </cell>
          <cell r="B200" t="str">
            <v>2016_つま恋リゾート彩の郷</v>
          </cell>
          <cell r="C200" t="str">
            <v>選手（修正案）</v>
          </cell>
          <cell r="D200" t="str">
            <v>選手12000</v>
          </cell>
          <cell r="E200" t="str">
            <v/>
          </cell>
          <cell r="F200" t="str">
            <v/>
          </cell>
          <cell r="G200" t="str">
            <v/>
          </cell>
          <cell r="H200">
            <v>40</v>
          </cell>
          <cell r="I200">
            <v>2</v>
          </cell>
          <cell r="J200" t="b">
            <v>1</v>
          </cell>
          <cell r="K200" t="str">
            <v/>
          </cell>
          <cell r="L200">
            <v>5458826</v>
          </cell>
          <cell r="M200">
            <v>0</v>
          </cell>
          <cell r="N200">
            <v>0</v>
          </cell>
          <cell r="O200">
            <v>0</v>
          </cell>
          <cell r="P200">
            <v>0</v>
          </cell>
          <cell r="Q200">
            <v>6004708.6000000006</v>
          </cell>
          <cell r="R200">
            <v>931764</v>
          </cell>
          <cell r="S200" t="b">
            <v>1</v>
          </cell>
          <cell r="T200">
            <v>465882</v>
          </cell>
          <cell r="U200">
            <v>1436479</v>
          </cell>
          <cell r="V200">
            <v>5525905</v>
          </cell>
          <cell r="W200">
            <v>4089426</v>
          </cell>
          <cell r="X200" t="b">
            <v>1</v>
          </cell>
          <cell r="Y200">
            <v>51117.824999999997</v>
          </cell>
          <cell r="Z200">
            <v>42353</v>
          </cell>
          <cell r="AA200">
            <v>58824</v>
          </cell>
          <cell r="AB200">
            <v>30655.367316341835</v>
          </cell>
          <cell r="AC200">
            <v>5500</v>
          </cell>
          <cell r="AE200">
            <v>232</v>
          </cell>
          <cell r="AF200">
            <v>80</v>
          </cell>
          <cell r="AG200" t="b">
            <v>1</v>
          </cell>
          <cell r="AH200">
            <v>718</v>
          </cell>
          <cell r="AI200">
            <v>116</v>
          </cell>
          <cell r="AJ200" t="str">
            <v/>
          </cell>
          <cell r="AK200" t="str">
            <v/>
          </cell>
          <cell r="AL200" t="str">
            <v/>
          </cell>
          <cell r="AM200" t="str">
            <v/>
          </cell>
          <cell r="AN200">
            <v>36</v>
          </cell>
          <cell r="AQ200" t="str">
            <v/>
          </cell>
          <cell r="AV200">
            <v>25</v>
          </cell>
          <cell r="AW200">
            <v>29</v>
          </cell>
          <cell r="AX200" t="str">
            <v/>
          </cell>
          <cell r="AY200" t="str">
            <v/>
          </cell>
          <cell r="AZ200" t="str">
            <v/>
          </cell>
          <cell r="BA200" t="str">
            <v/>
          </cell>
          <cell r="BB200" t="str">
            <v/>
          </cell>
          <cell r="BC200" t="str">
            <v/>
          </cell>
          <cell r="BD200" t="str">
            <v/>
          </cell>
          <cell r="BE200" t="str">
            <v/>
          </cell>
          <cell r="BF200" t="str">
            <v/>
          </cell>
          <cell r="BG200" t="str">
            <v/>
          </cell>
          <cell r="BH200">
            <v>102235650</v>
          </cell>
          <cell r="BI200">
            <v>118593354</v>
          </cell>
          <cell r="BJ200" t="str">
            <v/>
          </cell>
          <cell r="BK200" t="str">
            <v/>
          </cell>
          <cell r="BL200" t="str">
            <v/>
          </cell>
          <cell r="BM200" t="str">
            <v/>
          </cell>
          <cell r="BN200" t="str">
            <v/>
          </cell>
          <cell r="BO200" t="str">
            <v/>
          </cell>
          <cell r="BP200" t="str">
            <v/>
          </cell>
          <cell r="BQ200" t="str">
            <v/>
          </cell>
          <cell r="BR200" t="str">
            <v/>
          </cell>
          <cell r="BS200" t="str">
            <v/>
          </cell>
          <cell r="BT200" t="str">
            <v/>
          </cell>
          <cell r="BU200" t="str">
            <v/>
          </cell>
          <cell r="BV200" t="str">
            <v/>
          </cell>
          <cell r="BW200" t="str">
            <v/>
          </cell>
          <cell r="BX200">
            <v>23294100</v>
          </cell>
          <cell r="BY200">
            <v>27021156</v>
          </cell>
          <cell r="BZ200" t="str">
            <v/>
          </cell>
          <cell r="CA200" t="str">
            <v/>
          </cell>
          <cell r="CC200" t="str">
            <v/>
          </cell>
          <cell r="CD200" t="str">
            <v/>
          </cell>
          <cell r="CE200" t="str">
            <v/>
          </cell>
          <cell r="CF200" t="str">
            <v/>
          </cell>
        </row>
        <row r="201">
          <cell r="A201">
            <v>2018</v>
          </cell>
          <cell r="B201" t="str">
            <v>2018_掛川グランドホテル</v>
          </cell>
          <cell r="C201" t="str">
            <v/>
          </cell>
          <cell r="D201" t="str">
            <v/>
          </cell>
          <cell r="E201" t="str">
            <v/>
          </cell>
          <cell r="F201" t="str">
            <v/>
          </cell>
          <cell r="G201" t="str">
            <v/>
          </cell>
          <cell r="H201">
            <v>9</v>
          </cell>
          <cell r="I201">
            <v>5</v>
          </cell>
          <cell r="J201" t="b">
            <v>0</v>
          </cell>
          <cell r="K201" t="str">
            <v/>
          </cell>
          <cell r="L201">
            <v>1229413</v>
          </cell>
          <cell r="M201">
            <v>0</v>
          </cell>
          <cell r="N201">
            <v>0</v>
          </cell>
          <cell r="O201">
            <v>0</v>
          </cell>
          <cell r="P201">
            <v>0</v>
          </cell>
          <cell r="Q201">
            <v>1352354.3</v>
          </cell>
          <cell r="R201">
            <v>1352354</v>
          </cell>
          <cell r="S201" t="b">
            <v>0</v>
          </cell>
          <cell r="T201">
            <v>270470.8</v>
          </cell>
          <cell r="U201">
            <v>0</v>
          </cell>
          <cell r="V201">
            <v>1698572</v>
          </cell>
          <cell r="W201">
            <v>1698572</v>
          </cell>
          <cell r="X201" t="b">
            <v>0</v>
          </cell>
          <cell r="Y201">
            <v>30883.127272727274</v>
          </cell>
          <cell r="AB201" t="str">
            <v/>
          </cell>
          <cell r="AE201">
            <v>92</v>
          </cell>
          <cell r="AF201">
            <v>55</v>
          </cell>
          <cell r="AG201" t="b">
            <v>0</v>
          </cell>
          <cell r="AH201">
            <v>148</v>
          </cell>
          <cell r="AI201" t="str">
            <v/>
          </cell>
          <cell r="AJ201" t="str">
            <v/>
          </cell>
          <cell r="AK201" t="str">
            <v/>
          </cell>
          <cell r="AL201" t="str">
            <v/>
          </cell>
          <cell r="AM201" t="str">
            <v/>
          </cell>
          <cell r="AN201" t="str">
            <v/>
          </cell>
          <cell r="AQ201" t="str">
            <v/>
          </cell>
          <cell r="AV201" t="str">
            <v/>
          </cell>
          <cell r="AW201" t="str">
            <v/>
          </cell>
          <cell r="AX201" t="str">
            <v/>
          </cell>
          <cell r="AY201" t="str">
            <v/>
          </cell>
          <cell r="AZ201" t="str">
            <v/>
          </cell>
          <cell r="BA201" t="str">
            <v/>
          </cell>
          <cell r="BB201" t="str">
            <v/>
          </cell>
          <cell r="BC201" t="str">
            <v/>
          </cell>
          <cell r="BD201" t="str">
            <v/>
          </cell>
          <cell r="BE201" t="str">
            <v/>
          </cell>
          <cell r="BF201" t="str">
            <v/>
          </cell>
          <cell r="BG201" t="str">
            <v/>
          </cell>
          <cell r="BH201" t="str">
            <v/>
          </cell>
          <cell r="BJ201" t="str">
            <v/>
          </cell>
          <cell r="BK201" t="str">
            <v/>
          </cell>
          <cell r="BL201" t="str">
            <v/>
          </cell>
          <cell r="BM201" t="str">
            <v/>
          </cell>
          <cell r="BN201" t="str">
            <v/>
          </cell>
          <cell r="BO201" t="str">
            <v/>
          </cell>
          <cell r="BP201" t="str">
            <v/>
          </cell>
          <cell r="BQ201" t="str">
            <v/>
          </cell>
          <cell r="BR201" t="str">
            <v/>
          </cell>
          <cell r="BS201" t="str">
            <v/>
          </cell>
          <cell r="BT201" t="str">
            <v/>
          </cell>
          <cell r="BU201" t="str">
            <v/>
          </cell>
          <cell r="BV201" t="str">
            <v/>
          </cell>
          <cell r="BW201" t="str">
            <v/>
          </cell>
          <cell r="BX201" t="str">
            <v/>
          </cell>
          <cell r="BY201" t="str">
            <v/>
          </cell>
          <cell r="BZ201" t="str">
            <v/>
          </cell>
          <cell r="CA201" t="str">
            <v/>
          </cell>
          <cell r="CC201" t="str">
            <v/>
          </cell>
          <cell r="CD201" t="str">
            <v/>
          </cell>
          <cell r="CE201" t="str">
            <v/>
          </cell>
          <cell r="CF201" t="str">
            <v/>
          </cell>
        </row>
        <row r="202">
          <cell r="A202">
            <v>2019</v>
          </cell>
          <cell r="B202" t="str">
            <v>2019_THE HAMANAKO</v>
          </cell>
          <cell r="C202" t="str">
            <v/>
          </cell>
          <cell r="D202" t="str">
            <v>選手12000</v>
          </cell>
          <cell r="E202" t="str">
            <v/>
          </cell>
          <cell r="F202" t="str">
            <v/>
          </cell>
          <cell r="G202" t="str">
            <v/>
          </cell>
          <cell r="H202">
            <v>27</v>
          </cell>
          <cell r="I202">
            <v>10</v>
          </cell>
          <cell r="J202" t="b">
            <v>1</v>
          </cell>
          <cell r="K202" t="str">
            <v/>
          </cell>
          <cell r="L202">
            <v>971383</v>
          </cell>
          <cell r="M202">
            <v>0</v>
          </cell>
          <cell r="N202">
            <v>0</v>
          </cell>
          <cell r="O202">
            <v>18600</v>
          </cell>
          <cell r="P202">
            <v>0</v>
          </cell>
          <cell r="Q202">
            <v>1087121.3</v>
          </cell>
          <cell r="R202">
            <v>1087121</v>
          </cell>
          <cell r="S202" t="b">
            <v>0</v>
          </cell>
          <cell r="T202">
            <v>108712.1</v>
          </cell>
          <cell r="U202">
            <v>-6056622</v>
          </cell>
          <cell r="V202">
            <v>5235571</v>
          </cell>
          <cell r="W202">
            <v>11292193</v>
          </cell>
          <cell r="X202" t="b">
            <v>1</v>
          </cell>
          <cell r="Y202">
            <v>30602.149051490516</v>
          </cell>
          <cell r="AB202" t="str">
            <v/>
          </cell>
          <cell r="AC202">
            <v>3800</v>
          </cell>
          <cell r="AE202">
            <v>369</v>
          </cell>
          <cell r="AF202">
            <v>369</v>
          </cell>
          <cell r="AG202" t="b">
            <v>1</v>
          </cell>
          <cell r="AH202">
            <v>641</v>
          </cell>
          <cell r="AI202" t="str">
            <v/>
          </cell>
          <cell r="AJ202" t="str">
            <v/>
          </cell>
          <cell r="AK202" t="str">
            <v/>
          </cell>
          <cell r="AL202" t="str">
            <v/>
          </cell>
          <cell r="AM202" t="str">
            <v/>
          </cell>
          <cell r="AN202" t="str">
            <v/>
          </cell>
          <cell r="AQ202" t="str">
            <v/>
          </cell>
          <cell r="AV202" t="str">
            <v/>
          </cell>
          <cell r="AW202">
            <v>13</v>
          </cell>
          <cell r="AX202" t="str">
            <v/>
          </cell>
          <cell r="AY202" t="str">
            <v/>
          </cell>
          <cell r="AZ202" t="str">
            <v/>
          </cell>
          <cell r="BA202" t="str">
            <v/>
          </cell>
          <cell r="BB202" t="str">
            <v/>
          </cell>
          <cell r="BC202" t="str">
            <v/>
          </cell>
          <cell r="BD202" t="str">
            <v/>
          </cell>
          <cell r="BE202" t="str">
            <v/>
          </cell>
          <cell r="BF202" t="str">
            <v/>
          </cell>
          <cell r="BG202" t="str">
            <v/>
          </cell>
          <cell r="BH202" t="str">
            <v/>
          </cell>
          <cell r="BI202">
            <v>146798509</v>
          </cell>
          <cell r="BJ202" t="str">
            <v/>
          </cell>
          <cell r="BK202" t="str">
            <v/>
          </cell>
          <cell r="BL202" t="str">
            <v/>
          </cell>
          <cell r="BM202" t="str">
            <v/>
          </cell>
          <cell r="BN202" t="str">
            <v/>
          </cell>
          <cell r="BO202" t="str">
            <v/>
          </cell>
          <cell r="BP202" t="str">
            <v/>
          </cell>
          <cell r="BQ202" t="str">
            <v/>
          </cell>
          <cell r="BR202" t="str">
            <v/>
          </cell>
          <cell r="BS202" t="str">
            <v/>
          </cell>
          <cell r="BT202" t="str">
            <v/>
          </cell>
          <cell r="BU202" t="str">
            <v/>
          </cell>
          <cell r="BV202" t="str">
            <v/>
          </cell>
          <cell r="BW202" t="str">
            <v/>
          </cell>
          <cell r="BX202" t="str">
            <v/>
          </cell>
          <cell r="BY202">
            <v>14132573</v>
          </cell>
          <cell r="BZ202" t="str">
            <v/>
          </cell>
          <cell r="CA202" t="str">
            <v/>
          </cell>
          <cell r="CC202" t="str">
            <v/>
          </cell>
          <cell r="CD202" t="str">
            <v/>
          </cell>
          <cell r="CE202" t="str">
            <v/>
          </cell>
          <cell r="CF202" t="str">
            <v/>
          </cell>
        </row>
        <row r="203">
          <cell r="A203">
            <v>2021</v>
          </cell>
          <cell r="B203" t="str">
            <v>2021_オークラアクトシティホテル浜松</v>
          </cell>
          <cell r="C203" t="str">
            <v/>
          </cell>
          <cell r="D203" t="str">
            <v/>
          </cell>
          <cell r="E203" t="str">
            <v/>
          </cell>
          <cell r="F203" t="str">
            <v/>
          </cell>
          <cell r="G203" t="str">
            <v/>
          </cell>
          <cell r="H203">
            <v>11</v>
          </cell>
          <cell r="I203">
            <v>7</v>
          </cell>
          <cell r="J203" t="b">
            <v>0</v>
          </cell>
          <cell r="K203" t="str">
            <v/>
          </cell>
          <cell r="L203">
            <v>4818826</v>
          </cell>
          <cell r="M203">
            <v>194120</v>
          </cell>
          <cell r="N203">
            <v>0</v>
          </cell>
          <cell r="O203">
            <v>0</v>
          </cell>
          <cell r="P203">
            <v>0</v>
          </cell>
          <cell r="Q203">
            <v>5514240.6000000006</v>
          </cell>
          <cell r="R203">
            <v>5514240</v>
          </cell>
          <cell r="S203" t="b">
            <v>0</v>
          </cell>
          <cell r="T203">
            <v>787748.57142857148</v>
          </cell>
          <cell r="U203">
            <v>0</v>
          </cell>
          <cell r="V203">
            <v>4757781</v>
          </cell>
          <cell r="W203">
            <v>4757781</v>
          </cell>
          <cell r="X203" t="b">
            <v>1</v>
          </cell>
          <cell r="Y203">
            <v>31096.607843137255</v>
          </cell>
          <cell r="AB203" t="str">
            <v/>
          </cell>
          <cell r="AE203">
            <v>322</v>
          </cell>
          <cell r="AF203">
            <v>153</v>
          </cell>
          <cell r="AG203" t="b">
            <v>1</v>
          </cell>
          <cell r="AH203">
            <v>521</v>
          </cell>
          <cell r="AI203" t="str">
            <v/>
          </cell>
          <cell r="AJ203" t="str">
            <v/>
          </cell>
          <cell r="AK203" t="str">
            <v/>
          </cell>
          <cell r="AL203" t="str">
            <v/>
          </cell>
          <cell r="AM203" t="str">
            <v/>
          </cell>
          <cell r="AN203" t="str">
            <v/>
          </cell>
          <cell r="AO203" t="str">
            <v/>
          </cell>
          <cell r="AP203" t="str">
            <v/>
          </cell>
          <cell r="AQ203" t="str">
            <v/>
          </cell>
          <cell r="AR203" t="str">
            <v/>
          </cell>
          <cell r="AV203" t="str">
            <v/>
          </cell>
          <cell r="AW203" t="str">
            <v/>
          </cell>
          <cell r="AX203" t="str">
            <v/>
          </cell>
          <cell r="AY203" t="str">
            <v/>
          </cell>
          <cell r="AZ203" t="str">
            <v/>
          </cell>
          <cell r="BA203" t="str">
            <v/>
          </cell>
          <cell r="BB203" t="str">
            <v/>
          </cell>
          <cell r="BC203" t="str">
            <v/>
          </cell>
          <cell r="BD203" t="str">
            <v/>
          </cell>
          <cell r="BE203" t="str">
            <v/>
          </cell>
          <cell r="BF203" t="str">
            <v/>
          </cell>
          <cell r="BG203" t="str">
            <v/>
          </cell>
          <cell r="BH203" t="str">
            <v/>
          </cell>
          <cell r="BJ203" t="str">
            <v/>
          </cell>
          <cell r="BK203" t="str">
            <v/>
          </cell>
          <cell r="BL203" t="str">
            <v/>
          </cell>
          <cell r="BM203" t="str">
            <v/>
          </cell>
          <cell r="BN203" t="str">
            <v/>
          </cell>
          <cell r="BO203" t="str">
            <v/>
          </cell>
          <cell r="BP203" t="str">
            <v/>
          </cell>
          <cell r="BQ203" t="str">
            <v/>
          </cell>
          <cell r="BR203" t="str">
            <v/>
          </cell>
          <cell r="BS203" t="str">
            <v/>
          </cell>
          <cell r="BT203" t="str">
            <v/>
          </cell>
          <cell r="BU203" t="str">
            <v/>
          </cell>
          <cell r="BV203" t="str">
            <v/>
          </cell>
          <cell r="BW203" t="str">
            <v/>
          </cell>
          <cell r="BX203" t="str">
            <v/>
          </cell>
          <cell r="BY203" t="str">
            <v/>
          </cell>
          <cell r="BZ203" t="str">
            <v/>
          </cell>
          <cell r="CA203" t="str">
            <v/>
          </cell>
          <cell r="CC203" t="str">
            <v/>
          </cell>
          <cell r="CD203" t="str">
            <v/>
          </cell>
          <cell r="CE203" t="str">
            <v/>
          </cell>
          <cell r="CF203" t="str">
            <v/>
          </cell>
        </row>
        <row r="204">
          <cell r="A204">
            <v>2022</v>
          </cell>
          <cell r="B204" t="str">
            <v>2022_ホテルラフォーレ修善寺</v>
          </cell>
          <cell r="C204" t="str">
            <v>選手（修正案）</v>
          </cell>
          <cell r="D204" t="str">
            <v>選手12000</v>
          </cell>
          <cell r="E204" t="str">
            <v/>
          </cell>
          <cell r="F204" t="str">
            <v>選手</v>
          </cell>
          <cell r="G204" t="str">
            <v/>
          </cell>
          <cell r="H204">
            <v>12</v>
          </cell>
          <cell r="I204">
            <v>4</v>
          </cell>
          <cell r="J204" t="b">
            <v>1</v>
          </cell>
          <cell r="K204">
            <v>8</v>
          </cell>
          <cell r="L204">
            <v>2141180</v>
          </cell>
          <cell r="M204">
            <v>0</v>
          </cell>
          <cell r="N204">
            <v>0</v>
          </cell>
          <cell r="O204">
            <v>34050</v>
          </cell>
          <cell r="P204">
            <v>0</v>
          </cell>
          <cell r="Q204">
            <v>2389348</v>
          </cell>
          <cell r="R204">
            <v>1431699</v>
          </cell>
          <cell r="S204" t="b">
            <v>1</v>
          </cell>
          <cell r="T204">
            <v>357924.75</v>
          </cell>
          <cell r="U204">
            <v>1429406</v>
          </cell>
          <cell r="V204">
            <v>6742041</v>
          </cell>
          <cell r="W204">
            <v>5312635</v>
          </cell>
          <cell r="X204" t="b">
            <v>1</v>
          </cell>
          <cell r="Y204">
            <v>62501.588235294119</v>
          </cell>
          <cell r="Z204">
            <v>45722</v>
          </cell>
          <cell r="AA204">
            <v>64973</v>
          </cell>
          <cell r="AB204">
            <v>30392.648741418769</v>
          </cell>
          <cell r="AC204">
            <v>3000</v>
          </cell>
          <cell r="AE204">
            <v>212</v>
          </cell>
          <cell r="AF204">
            <v>85</v>
          </cell>
          <cell r="AG204" t="b">
            <v>1</v>
          </cell>
          <cell r="AH204">
            <v>522</v>
          </cell>
          <cell r="AI204">
            <v>152</v>
          </cell>
          <cell r="AJ204" t="str">
            <v/>
          </cell>
          <cell r="AK204" t="str">
            <v/>
          </cell>
          <cell r="AL204">
            <v>212</v>
          </cell>
          <cell r="AM204" t="str">
            <v/>
          </cell>
          <cell r="AN204">
            <v>67</v>
          </cell>
          <cell r="AQ204">
            <v>127</v>
          </cell>
          <cell r="AV204">
            <v>10</v>
          </cell>
          <cell r="AW204">
            <v>14</v>
          </cell>
          <cell r="AX204" t="str">
            <v/>
          </cell>
          <cell r="AY204" t="str">
            <v/>
          </cell>
          <cell r="AZ204" t="str">
            <v/>
          </cell>
          <cell r="BA204" t="str">
            <v/>
          </cell>
          <cell r="BB204" t="str">
            <v/>
          </cell>
          <cell r="BC204">
            <v>18</v>
          </cell>
          <cell r="BD204" t="str">
            <v/>
          </cell>
          <cell r="BE204" t="str">
            <v/>
          </cell>
          <cell r="BF204" t="str">
            <v/>
          </cell>
          <cell r="BG204" t="str">
            <v/>
          </cell>
          <cell r="BH204">
            <v>53126350</v>
          </cell>
          <cell r="BI204">
            <v>74376890</v>
          </cell>
          <cell r="BJ204" t="str">
            <v/>
          </cell>
          <cell r="BK204" t="str">
            <v/>
          </cell>
          <cell r="BL204" t="str">
            <v/>
          </cell>
          <cell r="BM204" t="str">
            <v/>
          </cell>
          <cell r="BN204" t="str">
            <v/>
          </cell>
          <cell r="BO204" t="str">
            <v/>
          </cell>
          <cell r="BP204">
            <v>238506060.70588237</v>
          </cell>
          <cell r="BQ204">
            <v>238506060.70588237</v>
          </cell>
          <cell r="BR204" t="str">
            <v/>
          </cell>
          <cell r="BS204" t="str">
            <v/>
          </cell>
          <cell r="BT204" t="str">
            <v/>
          </cell>
          <cell r="BU204" t="str">
            <v/>
          </cell>
          <cell r="BV204" t="str">
            <v/>
          </cell>
          <cell r="BW204" t="str">
            <v/>
          </cell>
          <cell r="BX204">
            <v>14316990</v>
          </cell>
          <cell r="BY204">
            <v>20043786</v>
          </cell>
          <cell r="BZ204" t="str">
            <v/>
          </cell>
          <cell r="CA204" t="str">
            <v/>
          </cell>
          <cell r="CC204">
            <v>25770582</v>
          </cell>
          <cell r="CD204">
            <v>25770582</v>
          </cell>
          <cell r="CE204" t="str">
            <v/>
          </cell>
          <cell r="CF204" t="str">
            <v/>
          </cell>
          <cell r="CH204" t="str">
            <v>棟が分かれており、アジアは主にセンターハウス(49室)、パラはゲストハウス（40室）を想定</v>
          </cell>
        </row>
        <row r="205">
          <cell r="A205">
            <v>2024</v>
          </cell>
          <cell r="B205" t="str">
            <v>2024_富士山三島東急ホテル</v>
          </cell>
          <cell r="C205" t="str">
            <v/>
          </cell>
          <cell r="D205" t="str">
            <v/>
          </cell>
          <cell r="E205" t="str">
            <v/>
          </cell>
          <cell r="F205" t="str">
            <v/>
          </cell>
          <cell r="G205" t="str">
            <v/>
          </cell>
          <cell r="H205">
            <v>1</v>
          </cell>
          <cell r="I205">
            <v>1</v>
          </cell>
          <cell r="J205" t="b">
            <v>1</v>
          </cell>
          <cell r="K205" t="str">
            <v/>
          </cell>
          <cell r="L205">
            <v>282353</v>
          </cell>
          <cell r="M205">
            <v>0</v>
          </cell>
          <cell r="N205">
            <v>0</v>
          </cell>
          <cell r="O205">
            <v>0</v>
          </cell>
          <cell r="P205">
            <v>0</v>
          </cell>
          <cell r="Q205">
            <v>310588.30000000005</v>
          </cell>
          <cell r="R205">
            <v>310588</v>
          </cell>
          <cell r="S205" t="b">
            <v>1</v>
          </cell>
          <cell r="T205">
            <v>310588</v>
          </cell>
          <cell r="U205">
            <v>0</v>
          </cell>
          <cell r="V205">
            <v>12902435</v>
          </cell>
          <cell r="W205">
            <v>12902435</v>
          </cell>
          <cell r="X205" t="b">
            <v>1</v>
          </cell>
          <cell r="Y205">
            <v>66166.333333333328</v>
          </cell>
          <cell r="AB205" t="str">
            <v/>
          </cell>
          <cell r="AE205">
            <v>195</v>
          </cell>
          <cell r="AF205">
            <v>195</v>
          </cell>
          <cell r="AG205" t="b">
            <v>1</v>
          </cell>
          <cell r="AH205">
            <v>307</v>
          </cell>
          <cell r="AI205" t="str">
            <v/>
          </cell>
          <cell r="AJ205" t="str">
            <v/>
          </cell>
          <cell r="AK205" t="str">
            <v/>
          </cell>
          <cell r="AL205" t="str">
            <v/>
          </cell>
          <cell r="AM205" t="str">
            <v/>
          </cell>
          <cell r="AN205" t="str">
            <v/>
          </cell>
          <cell r="AQ205" t="str">
            <v/>
          </cell>
          <cell r="AV205" t="str">
            <v/>
          </cell>
          <cell r="AW205" t="str">
            <v/>
          </cell>
          <cell r="AX205" t="str">
            <v/>
          </cell>
          <cell r="AY205" t="str">
            <v/>
          </cell>
          <cell r="AZ205" t="str">
            <v/>
          </cell>
          <cell r="BA205" t="str">
            <v/>
          </cell>
          <cell r="BB205" t="str">
            <v/>
          </cell>
          <cell r="BC205" t="str">
            <v/>
          </cell>
          <cell r="BD205" t="str">
            <v/>
          </cell>
          <cell r="BE205" t="str">
            <v/>
          </cell>
          <cell r="BF205" t="str">
            <v/>
          </cell>
          <cell r="BG205" t="str">
            <v/>
          </cell>
          <cell r="BH205" t="str">
            <v/>
          </cell>
          <cell r="BJ205" t="str">
            <v/>
          </cell>
          <cell r="BK205" t="str">
            <v/>
          </cell>
          <cell r="BL205" t="str">
            <v/>
          </cell>
          <cell r="BM205" t="str">
            <v/>
          </cell>
          <cell r="BN205" t="str">
            <v/>
          </cell>
          <cell r="BO205" t="str">
            <v/>
          </cell>
          <cell r="BP205" t="str">
            <v/>
          </cell>
          <cell r="BQ205" t="str">
            <v/>
          </cell>
          <cell r="BR205" t="str">
            <v/>
          </cell>
          <cell r="BS205" t="str">
            <v/>
          </cell>
          <cell r="BT205" t="str">
            <v/>
          </cell>
          <cell r="BU205" t="str">
            <v/>
          </cell>
          <cell r="BV205" t="str">
            <v/>
          </cell>
          <cell r="BW205" t="str">
            <v/>
          </cell>
          <cell r="BX205" t="str">
            <v/>
          </cell>
          <cell r="BY205" t="str">
            <v/>
          </cell>
          <cell r="BZ205" t="str">
            <v/>
          </cell>
          <cell r="CA205" t="str">
            <v/>
          </cell>
          <cell r="CC205" t="str">
            <v/>
          </cell>
          <cell r="CD205" t="str">
            <v/>
          </cell>
          <cell r="CE205" t="str">
            <v/>
          </cell>
          <cell r="CF205" t="str">
            <v/>
          </cell>
        </row>
        <row r="206">
          <cell r="A206">
            <v>2025</v>
          </cell>
          <cell r="B206" t="str">
            <v>2025_伊豆マリオット修善寺</v>
          </cell>
          <cell r="C206" t="str">
            <v/>
          </cell>
          <cell r="D206" t="str">
            <v/>
          </cell>
          <cell r="E206" t="str">
            <v/>
          </cell>
          <cell r="F206" t="str">
            <v>技術役員</v>
          </cell>
          <cell r="G206" t="str">
            <v>DCO</v>
          </cell>
          <cell r="H206">
            <v>3</v>
          </cell>
          <cell r="I206">
            <v>3</v>
          </cell>
          <cell r="J206" t="b">
            <v>1</v>
          </cell>
          <cell r="K206" t="str">
            <v/>
          </cell>
          <cell r="L206">
            <v>682354</v>
          </cell>
          <cell r="M206">
            <v>0</v>
          </cell>
          <cell r="N206">
            <v>0</v>
          </cell>
          <cell r="O206">
            <v>5100</v>
          </cell>
          <cell r="P206">
            <v>0</v>
          </cell>
          <cell r="Q206">
            <v>755689.4</v>
          </cell>
          <cell r="R206">
            <v>755689</v>
          </cell>
          <cell r="S206" t="b">
            <v>1</v>
          </cell>
          <cell r="T206">
            <v>251896.33333333334</v>
          </cell>
          <cell r="U206">
            <v>0</v>
          </cell>
          <cell r="V206">
            <v>2859595</v>
          </cell>
          <cell r="W206">
            <v>2859595</v>
          </cell>
          <cell r="X206" t="b">
            <v>1</v>
          </cell>
          <cell r="Y206">
            <v>79433.194444444438</v>
          </cell>
          <cell r="AB206" t="str">
            <v/>
          </cell>
          <cell r="AE206">
            <v>128</v>
          </cell>
          <cell r="AF206">
            <v>36</v>
          </cell>
          <cell r="AG206" t="b">
            <v>1</v>
          </cell>
          <cell r="AH206">
            <v>223</v>
          </cell>
          <cell r="AI206" t="str">
            <v/>
          </cell>
          <cell r="AJ206" t="str">
            <v/>
          </cell>
          <cell r="AK206" t="str">
            <v/>
          </cell>
          <cell r="AL206">
            <v>88</v>
          </cell>
          <cell r="AM206">
            <v>12</v>
          </cell>
          <cell r="AN206" t="str">
            <v/>
          </cell>
          <cell r="AO206" t="str">
            <v/>
          </cell>
          <cell r="AP206" t="str">
            <v/>
          </cell>
          <cell r="AQ206">
            <v>52</v>
          </cell>
          <cell r="AR206">
            <v>-24</v>
          </cell>
          <cell r="AV206" t="str">
            <v/>
          </cell>
          <cell r="AW206" t="str">
            <v/>
          </cell>
          <cell r="AX206" t="str">
            <v/>
          </cell>
          <cell r="AY206" t="str">
            <v/>
          </cell>
          <cell r="AZ206" t="str">
            <v/>
          </cell>
          <cell r="BA206" t="str">
            <v/>
          </cell>
          <cell r="BB206" t="str">
            <v/>
          </cell>
          <cell r="BC206" t="str">
            <v/>
          </cell>
          <cell r="BD206" t="str">
            <v/>
          </cell>
          <cell r="BE206" t="str">
            <v/>
          </cell>
          <cell r="BF206">
            <v>10</v>
          </cell>
          <cell r="BG206">
            <v>15</v>
          </cell>
          <cell r="BH206" t="str">
            <v/>
          </cell>
          <cell r="BJ206" t="str">
            <v/>
          </cell>
          <cell r="BK206" t="str">
            <v/>
          </cell>
          <cell r="BL206" t="str">
            <v/>
          </cell>
          <cell r="BM206" t="str">
            <v/>
          </cell>
          <cell r="BN206" t="str">
            <v/>
          </cell>
          <cell r="BO206" t="str">
            <v/>
          </cell>
          <cell r="BP206" t="str">
            <v/>
          </cell>
          <cell r="BQ206" t="str">
            <v/>
          </cell>
          <cell r="BR206" t="str">
            <v/>
          </cell>
          <cell r="BS206" t="str">
            <v/>
          </cell>
          <cell r="BT206" t="str">
            <v/>
          </cell>
          <cell r="BU206" t="str">
            <v/>
          </cell>
          <cell r="BV206">
            <v>69901211.111111104</v>
          </cell>
          <cell r="BW206">
            <v>14297974.999999998</v>
          </cell>
          <cell r="BX206" t="str">
            <v/>
          </cell>
          <cell r="BY206" t="str">
            <v/>
          </cell>
          <cell r="BZ206" t="str">
            <v/>
          </cell>
          <cell r="CA206" t="str">
            <v/>
          </cell>
          <cell r="CC206" t="str">
            <v/>
          </cell>
          <cell r="CD206" t="str">
            <v/>
          </cell>
          <cell r="CE206" t="str">
            <v/>
          </cell>
          <cell r="CF206" t="str">
            <v/>
          </cell>
        </row>
        <row r="207">
          <cell r="A207">
            <v>2026</v>
          </cell>
          <cell r="B207" t="str">
            <v>2026_岐阜グランドホテル</v>
          </cell>
          <cell r="C207" t="str">
            <v>選手（修正案）</v>
          </cell>
          <cell r="D207" t="str">
            <v>選手12000</v>
          </cell>
          <cell r="E207" t="str">
            <v/>
          </cell>
          <cell r="F207" t="str">
            <v/>
          </cell>
          <cell r="G207" t="str">
            <v/>
          </cell>
          <cell r="H207">
            <v>14</v>
          </cell>
          <cell r="I207">
            <v>4</v>
          </cell>
          <cell r="J207" t="b">
            <v>1</v>
          </cell>
          <cell r="K207" t="str">
            <v/>
          </cell>
          <cell r="L207">
            <v>4146357</v>
          </cell>
          <cell r="M207">
            <v>0</v>
          </cell>
          <cell r="N207">
            <v>0</v>
          </cell>
          <cell r="O207">
            <v>10500</v>
          </cell>
          <cell r="P207">
            <v>0</v>
          </cell>
          <cell r="Q207">
            <v>4571492.7</v>
          </cell>
          <cell r="R207">
            <v>1362158</v>
          </cell>
          <cell r="S207" t="b">
            <v>1</v>
          </cell>
          <cell r="T207">
            <v>340539.5</v>
          </cell>
          <cell r="U207">
            <v>181177</v>
          </cell>
          <cell r="V207">
            <v>3548543</v>
          </cell>
          <cell r="W207">
            <v>3367366</v>
          </cell>
          <cell r="X207" t="b">
            <v>1</v>
          </cell>
          <cell r="Y207">
            <v>36208.236559139783</v>
          </cell>
          <cell r="Z207">
            <v>28236</v>
          </cell>
          <cell r="AA207">
            <v>45883</v>
          </cell>
          <cell r="AB207">
            <v>17429.430641821946</v>
          </cell>
          <cell r="AC207">
            <v>1100</v>
          </cell>
          <cell r="AE207">
            <v>158</v>
          </cell>
          <cell r="AF207">
            <v>93</v>
          </cell>
          <cell r="AG207" t="b">
            <v>1</v>
          </cell>
          <cell r="AH207">
            <v>184</v>
          </cell>
          <cell r="AI207">
            <v>168</v>
          </cell>
          <cell r="AJ207" t="str">
            <v/>
          </cell>
          <cell r="AK207" t="str">
            <v/>
          </cell>
          <cell r="AL207" t="str">
            <v/>
          </cell>
          <cell r="AM207" t="str">
            <v/>
          </cell>
          <cell r="AN207">
            <v>75</v>
          </cell>
          <cell r="AQ207" t="str">
            <v/>
          </cell>
          <cell r="AV207">
            <v>23</v>
          </cell>
          <cell r="AW207">
            <v>21</v>
          </cell>
          <cell r="AX207" t="str">
            <v/>
          </cell>
          <cell r="AY207" t="str">
            <v/>
          </cell>
          <cell r="AZ207" t="str">
            <v/>
          </cell>
          <cell r="BA207" t="str">
            <v/>
          </cell>
          <cell r="BB207" t="str">
            <v/>
          </cell>
          <cell r="BC207" t="str">
            <v/>
          </cell>
          <cell r="BD207" t="str">
            <v/>
          </cell>
          <cell r="BE207" t="str">
            <v/>
          </cell>
          <cell r="BF207" t="str">
            <v/>
          </cell>
          <cell r="BG207" t="str">
            <v/>
          </cell>
          <cell r="BH207">
            <v>77449418</v>
          </cell>
          <cell r="BI207">
            <v>70714686</v>
          </cell>
          <cell r="BJ207" t="str">
            <v/>
          </cell>
          <cell r="BK207" t="str">
            <v/>
          </cell>
          <cell r="BL207" t="str">
            <v/>
          </cell>
          <cell r="BM207" t="str">
            <v/>
          </cell>
          <cell r="BN207" t="str">
            <v/>
          </cell>
          <cell r="BO207" t="str">
            <v/>
          </cell>
          <cell r="BP207" t="str">
            <v/>
          </cell>
          <cell r="BQ207" t="str">
            <v/>
          </cell>
          <cell r="BR207" t="str">
            <v/>
          </cell>
          <cell r="BS207" t="str">
            <v/>
          </cell>
          <cell r="BT207" t="str">
            <v/>
          </cell>
          <cell r="BU207" t="str">
            <v/>
          </cell>
          <cell r="BV207" t="str">
            <v/>
          </cell>
          <cell r="BW207" t="str">
            <v/>
          </cell>
          <cell r="BX207">
            <v>31329634</v>
          </cell>
          <cell r="BY207">
            <v>28605318</v>
          </cell>
          <cell r="BZ207" t="str">
            <v/>
          </cell>
          <cell r="CA207" t="str">
            <v/>
          </cell>
          <cell r="CC207" t="str">
            <v/>
          </cell>
          <cell r="CD207" t="str">
            <v/>
          </cell>
          <cell r="CE207" t="str">
            <v/>
          </cell>
          <cell r="CF207" t="str">
            <v/>
          </cell>
        </row>
        <row r="208">
          <cell r="A208">
            <v>2027</v>
          </cell>
          <cell r="B208" t="str">
            <v>2027_都ホテル岐阜長良川</v>
          </cell>
          <cell r="C208" t="str">
            <v>選手（修正案）</v>
          </cell>
          <cell r="D208" t="str">
            <v>選手12000</v>
          </cell>
          <cell r="E208" t="str">
            <v/>
          </cell>
          <cell r="F208" t="str">
            <v>選手</v>
          </cell>
          <cell r="G208" t="str">
            <v/>
          </cell>
          <cell r="H208">
            <v>16</v>
          </cell>
          <cell r="I208">
            <v>7</v>
          </cell>
          <cell r="J208" t="b">
            <v>1</v>
          </cell>
          <cell r="K208">
            <v>9</v>
          </cell>
          <cell r="L208">
            <v>8691299</v>
          </cell>
          <cell r="M208">
            <v>388240</v>
          </cell>
          <cell r="N208">
            <v>0</v>
          </cell>
          <cell r="O208">
            <v>0</v>
          </cell>
          <cell r="P208">
            <v>0</v>
          </cell>
          <cell r="Q208">
            <v>9987492.9000000004</v>
          </cell>
          <cell r="R208">
            <v>4375224</v>
          </cell>
          <cell r="S208" t="b">
            <v>1</v>
          </cell>
          <cell r="T208">
            <v>625032</v>
          </cell>
          <cell r="U208">
            <v>1529660</v>
          </cell>
          <cell r="V208">
            <v>9690417</v>
          </cell>
          <cell r="W208">
            <v>8160757</v>
          </cell>
          <cell r="X208" t="b">
            <v>1</v>
          </cell>
          <cell r="Y208">
            <v>47723.725146198827</v>
          </cell>
          <cell r="Z208">
            <v>24706</v>
          </cell>
          <cell r="AA208">
            <v>47059</v>
          </cell>
          <cell r="AB208">
            <v>20749.445715738624</v>
          </cell>
          <cell r="AC208">
            <v>3000</v>
          </cell>
          <cell r="AE208">
            <v>192</v>
          </cell>
          <cell r="AF208">
            <v>171</v>
          </cell>
          <cell r="AG208" t="b">
            <v>1</v>
          </cell>
          <cell r="AH208">
            <v>348</v>
          </cell>
          <cell r="AI208">
            <v>342</v>
          </cell>
          <cell r="AJ208" t="str">
            <v/>
          </cell>
          <cell r="AK208" t="str">
            <v/>
          </cell>
          <cell r="AL208">
            <v>192</v>
          </cell>
          <cell r="AM208" t="str">
            <v/>
          </cell>
          <cell r="AN208">
            <v>171</v>
          </cell>
          <cell r="AQ208">
            <v>21</v>
          </cell>
          <cell r="AV208">
            <v>27</v>
          </cell>
          <cell r="AW208">
            <v>26</v>
          </cell>
          <cell r="AX208" t="str">
            <v/>
          </cell>
          <cell r="AY208" t="str">
            <v/>
          </cell>
          <cell r="AZ208" t="str">
            <v/>
          </cell>
          <cell r="BA208" t="str">
            <v/>
          </cell>
          <cell r="BB208" t="str">
            <v/>
          </cell>
          <cell r="BC208">
            <v>18</v>
          </cell>
          <cell r="BD208" t="str">
            <v/>
          </cell>
          <cell r="BE208" t="str">
            <v/>
          </cell>
          <cell r="BF208" t="str">
            <v/>
          </cell>
          <cell r="BG208" t="str">
            <v/>
          </cell>
          <cell r="BH208">
            <v>220340439</v>
          </cell>
          <cell r="BI208">
            <v>212179682</v>
          </cell>
          <cell r="BJ208" t="str">
            <v/>
          </cell>
          <cell r="BK208" t="str">
            <v/>
          </cell>
          <cell r="BL208" t="str">
            <v/>
          </cell>
          <cell r="BM208" t="str">
            <v/>
          </cell>
          <cell r="BN208" t="str">
            <v/>
          </cell>
          <cell r="BO208" t="str">
            <v/>
          </cell>
          <cell r="BP208">
            <v>164933194.10526314</v>
          </cell>
          <cell r="BQ208">
            <v>164933194.10526314</v>
          </cell>
          <cell r="BR208" t="str">
            <v/>
          </cell>
          <cell r="BS208" t="str">
            <v/>
          </cell>
          <cell r="BT208" t="str">
            <v/>
          </cell>
          <cell r="BU208" t="str">
            <v/>
          </cell>
          <cell r="BV208" t="str">
            <v/>
          </cell>
          <cell r="BW208" t="str">
            <v/>
          </cell>
          <cell r="BX208">
            <v>118131048</v>
          </cell>
          <cell r="BY208">
            <v>113755824</v>
          </cell>
          <cell r="BZ208" t="str">
            <v/>
          </cell>
          <cell r="CA208" t="str">
            <v/>
          </cell>
          <cell r="CC208">
            <v>78754032</v>
          </cell>
          <cell r="CD208">
            <v>78754032</v>
          </cell>
          <cell r="CE208" t="str">
            <v/>
          </cell>
          <cell r="CF208" t="str">
            <v/>
          </cell>
        </row>
        <row r="209">
          <cell r="A209">
            <v>2028</v>
          </cell>
          <cell r="B209" t="str">
            <v>2028_ホテルグランヴェール岐山（公立共済やすらぎの里）</v>
          </cell>
          <cell r="C209" t="str">
            <v/>
          </cell>
          <cell r="D209" t="str">
            <v>技術役員</v>
          </cell>
          <cell r="E209" t="str">
            <v/>
          </cell>
          <cell r="F209" t="str">
            <v/>
          </cell>
          <cell r="G209" t="str">
            <v/>
          </cell>
          <cell r="H209">
            <v>16</v>
          </cell>
          <cell r="I209">
            <v>11</v>
          </cell>
          <cell r="J209" t="b">
            <v>0</v>
          </cell>
          <cell r="K209" t="str">
            <v/>
          </cell>
          <cell r="L209">
            <v>5399062</v>
          </cell>
          <cell r="M209">
            <v>70590</v>
          </cell>
          <cell r="N209">
            <v>0</v>
          </cell>
          <cell r="O209">
            <v>0</v>
          </cell>
          <cell r="P209">
            <v>0</v>
          </cell>
          <cell r="Q209">
            <v>6016617.2000000002</v>
          </cell>
          <cell r="R209">
            <v>6016617</v>
          </cell>
          <cell r="S209" t="b">
            <v>0</v>
          </cell>
          <cell r="T209">
            <v>546965.18181818177</v>
          </cell>
          <cell r="U209">
            <v>-363000</v>
          </cell>
          <cell r="V209">
            <v>891017</v>
          </cell>
          <cell r="W209">
            <v>1254017</v>
          </cell>
          <cell r="X209" t="b">
            <v>1</v>
          </cell>
          <cell r="Y209">
            <v>20900.283333333333</v>
          </cell>
          <cell r="AB209" t="str">
            <v/>
          </cell>
          <cell r="AE209">
            <v>60</v>
          </cell>
          <cell r="AF209">
            <v>60</v>
          </cell>
          <cell r="AG209" t="b">
            <v>1</v>
          </cell>
          <cell r="AH209">
            <v>64</v>
          </cell>
          <cell r="AI209" t="str">
            <v/>
          </cell>
          <cell r="AJ209">
            <v>60</v>
          </cell>
          <cell r="AK209" t="str">
            <v/>
          </cell>
          <cell r="AL209" t="str">
            <v/>
          </cell>
          <cell r="AM209" t="str">
            <v/>
          </cell>
          <cell r="AN209" t="str">
            <v/>
          </cell>
          <cell r="AQ209" t="str">
            <v/>
          </cell>
          <cell r="AV209" t="str">
            <v/>
          </cell>
          <cell r="AW209" t="str">
            <v/>
          </cell>
          <cell r="AX209" t="str">
            <v/>
          </cell>
          <cell r="AY209" t="str">
            <v/>
          </cell>
          <cell r="AZ209" t="str">
            <v/>
          </cell>
          <cell r="BA209">
            <v>11</v>
          </cell>
          <cell r="BB209" t="str">
            <v/>
          </cell>
          <cell r="BC209" t="str">
            <v/>
          </cell>
          <cell r="BD209" t="str">
            <v/>
          </cell>
          <cell r="BE209" t="str">
            <v/>
          </cell>
          <cell r="BF209" t="str">
            <v/>
          </cell>
          <cell r="BG209" t="str">
            <v/>
          </cell>
          <cell r="BH209" t="str">
            <v/>
          </cell>
          <cell r="BJ209" t="str">
            <v/>
          </cell>
          <cell r="BK209" t="str">
            <v/>
          </cell>
          <cell r="BL209" t="str">
            <v/>
          </cell>
          <cell r="BM209" t="str">
            <v/>
          </cell>
          <cell r="BN209">
            <v>13794187</v>
          </cell>
          <cell r="BO209" t="str">
            <v/>
          </cell>
          <cell r="BP209" t="str">
            <v/>
          </cell>
          <cell r="BQ209" t="str">
            <v/>
          </cell>
          <cell r="BR209" t="str">
            <v/>
          </cell>
          <cell r="BS209" t="str">
            <v/>
          </cell>
          <cell r="BT209" t="str">
            <v/>
          </cell>
          <cell r="BU209" t="str">
            <v/>
          </cell>
          <cell r="BV209" t="str">
            <v/>
          </cell>
          <cell r="BW209" t="str">
            <v/>
          </cell>
          <cell r="BX209" t="str">
            <v/>
          </cell>
          <cell r="BY209" t="str">
            <v/>
          </cell>
          <cell r="BZ209" t="str">
            <v/>
          </cell>
          <cell r="CA209" t="str">
            <v/>
          </cell>
          <cell r="CC209" t="str">
            <v/>
          </cell>
          <cell r="CD209" t="str">
            <v/>
          </cell>
          <cell r="CE209" t="str">
            <v/>
          </cell>
          <cell r="CF209" t="str">
            <v/>
          </cell>
        </row>
        <row r="210">
          <cell r="A210">
            <v>2030</v>
          </cell>
          <cell r="B210" t="str">
            <v>2030_ホテルリソル岐阜</v>
          </cell>
          <cell r="C210" t="str">
            <v/>
          </cell>
          <cell r="D210" t="str">
            <v>技術役員</v>
          </cell>
          <cell r="E210" t="str">
            <v/>
          </cell>
          <cell r="F210" t="str">
            <v/>
          </cell>
          <cell r="G210" t="str">
            <v/>
          </cell>
          <cell r="H210">
            <v>3</v>
          </cell>
          <cell r="I210">
            <v>1</v>
          </cell>
          <cell r="J210" t="b">
            <v>0</v>
          </cell>
          <cell r="K210" t="str">
            <v/>
          </cell>
          <cell r="L210">
            <v>398589</v>
          </cell>
          <cell r="M210">
            <v>0</v>
          </cell>
          <cell r="N210">
            <v>0</v>
          </cell>
          <cell r="O210">
            <v>0</v>
          </cell>
          <cell r="P210">
            <v>0</v>
          </cell>
          <cell r="Q210">
            <v>438447.9</v>
          </cell>
          <cell r="R210">
            <v>438447</v>
          </cell>
          <cell r="S210" t="b">
            <v>0</v>
          </cell>
          <cell r="T210">
            <v>438447</v>
          </cell>
          <cell r="U210">
            <v>0</v>
          </cell>
          <cell r="V210">
            <v>2211422</v>
          </cell>
          <cell r="W210">
            <v>2211422</v>
          </cell>
          <cell r="X210" t="b">
            <v>1</v>
          </cell>
          <cell r="Y210">
            <v>26643.638554216868</v>
          </cell>
          <cell r="AB210" t="str">
            <v/>
          </cell>
          <cell r="AE210">
            <v>120</v>
          </cell>
          <cell r="AF210">
            <v>83</v>
          </cell>
          <cell r="AG210" t="b">
            <v>1</v>
          </cell>
          <cell r="AH210">
            <v>163</v>
          </cell>
          <cell r="AI210" t="str">
            <v/>
          </cell>
          <cell r="AJ210">
            <v>76</v>
          </cell>
          <cell r="AK210" t="str">
            <v/>
          </cell>
          <cell r="AL210" t="str">
            <v/>
          </cell>
          <cell r="AM210" t="str">
            <v/>
          </cell>
          <cell r="AN210" t="str">
            <v/>
          </cell>
          <cell r="AQ210" t="str">
            <v/>
          </cell>
          <cell r="AV210" t="str">
            <v/>
          </cell>
          <cell r="AW210" t="str">
            <v/>
          </cell>
          <cell r="AX210" t="str">
            <v/>
          </cell>
          <cell r="AY210" t="str">
            <v/>
          </cell>
          <cell r="AZ210" t="str">
            <v/>
          </cell>
          <cell r="BA210">
            <v>11</v>
          </cell>
          <cell r="BB210" t="str">
            <v/>
          </cell>
          <cell r="BC210" t="str">
            <v/>
          </cell>
          <cell r="BD210" t="str">
            <v/>
          </cell>
          <cell r="BE210" t="str">
            <v/>
          </cell>
          <cell r="BF210" t="str">
            <v/>
          </cell>
          <cell r="BG210" t="str">
            <v/>
          </cell>
          <cell r="BH210" t="str">
            <v/>
          </cell>
          <cell r="BJ210" t="str">
            <v/>
          </cell>
          <cell r="BK210" t="str">
            <v/>
          </cell>
          <cell r="BL210" t="str">
            <v/>
          </cell>
          <cell r="BM210" t="str">
            <v/>
          </cell>
          <cell r="BN210">
            <v>22274081.8313253</v>
          </cell>
          <cell r="BO210" t="str">
            <v/>
          </cell>
          <cell r="BP210" t="str">
            <v/>
          </cell>
          <cell r="BQ210" t="str">
            <v/>
          </cell>
          <cell r="BR210" t="str">
            <v/>
          </cell>
          <cell r="BS210" t="str">
            <v/>
          </cell>
          <cell r="BT210" t="str">
            <v/>
          </cell>
          <cell r="BU210" t="str">
            <v/>
          </cell>
          <cell r="BV210" t="str">
            <v/>
          </cell>
          <cell r="BW210" t="str">
            <v/>
          </cell>
          <cell r="BX210" t="str">
            <v/>
          </cell>
          <cell r="BY210" t="str">
            <v/>
          </cell>
          <cell r="BZ210" t="str">
            <v/>
          </cell>
          <cell r="CA210" t="str">
            <v/>
          </cell>
          <cell r="CC210" t="str">
            <v/>
          </cell>
          <cell r="CD210" t="str">
            <v/>
          </cell>
          <cell r="CE210" t="str">
            <v/>
          </cell>
          <cell r="CF210" t="str">
            <v/>
          </cell>
        </row>
        <row r="211">
          <cell r="A211">
            <v>2032</v>
          </cell>
          <cell r="B211" t="str">
            <v>2032_大垣フォーラムホテル</v>
          </cell>
          <cell r="C211" t="str">
            <v>選手（修正案）</v>
          </cell>
          <cell r="D211" t="str">
            <v>選手12000</v>
          </cell>
          <cell r="E211" t="str">
            <v/>
          </cell>
          <cell r="F211" t="str">
            <v/>
          </cell>
          <cell r="G211" t="str">
            <v/>
          </cell>
          <cell r="H211">
            <v>23</v>
          </cell>
          <cell r="I211">
            <v>4</v>
          </cell>
          <cell r="J211" t="b">
            <v>1</v>
          </cell>
          <cell r="K211" t="str">
            <v/>
          </cell>
          <cell r="L211">
            <v>3827198</v>
          </cell>
          <cell r="M211">
            <v>51768</v>
          </cell>
          <cell r="N211">
            <v>0</v>
          </cell>
          <cell r="O211">
            <v>0</v>
          </cell>
          <cell r="P211">
            <v>0</v>
          </cell>
          <cell r="Q211">
            <v>4266862.6000000006</v>
          </cell>
          <cell r="R211">
            <v>1734933</v>
          </cell>
          <cell r="S211" t="b">
            <v>0</v>
          </cell>
          <cell r="T211">
            <v>433733.25</v>
          </cell>
          <cell r="U211">
            <v>56944</v>
          </cell>
          <cell r="V211">
            <v>1560732</v>
          </cell>
          <cell r="W211">
            <v>1503788</v>
          </cell>
          <cell r="X211" t="b">
            <v>1</v>
          </cell>
          <cell r="Y211">
            <v>23496.6875</v>
          </cell>
          <cell r="Z211">
            <v>12942</v>
          </cell>
          <cell r="AA211">
            <v>36471</v>
          </cell>
          <cell r="AB211">
            <v>13076.417391304349</v>
          </cell>
          <cell r="AC211">
            <v>1300</v>
          </cell>
          <cell r="AE211">
            <v>78</v>
          </cell>
          <cell r="AF211">
            <v>64</v>
          </cell>
          <cell r="AG211" t="b">
            <v>1</v>
          </cell>
          <cell r="AH211">
            <v>132</v>
          </cell>
          <cell r="AI211">
            <v>100</v>
          </cell>
          <cell r="AJ211" t="str">
            <v/>
          </cell>
          <cell r="AK211" t="str">
            <v/>
          </cell>
          <cell r="AL211" t="str">
            <v/>
          </cell>
          <cell r="AM211" t="str">
            <v/>
          </cell>
          <cell r="AN211">
            <v>36</v>
          </cell>
          <cell r="AQ211" t="str">
            <v/>
          </cell>
          <cell r="AV211">
            <v>13</v>
          </cell>
          <cell r="AW211">
            <v>18</v>
          </cell>
          <cell r="AX211" t="str">
            <v/>
          </cell>
          <cell r="AY211" t="str">
            <v/>
          </cell>
          <cell r="AZ211" t="str">
            <v/>
          </cell>
          <cell r="BA211" t="str">
            <v/>
          </cell>
          <cell r="BB211" t="str">
            <v/>
          </cell>
          <cell r="BC211" t="str">
            <v/>
          </cell>
          <cell r="BD211" t="str">
            <v/>
          </cell>
          <cell r="BE211" t="str">
            <v/>
          </cell>
          <cell r="BF211" t="str">
            <v/>
          </cell>
          <cell r="BG211" t="str">
            <v/>
          </cell>
          <cell r="BH211">
            <v>19549244</v>
          </cell>
          <cell r="BI211">
            <v>27068184</v>
          </cell>
          <cell r="BJ211" t="str">
            <v/>
          </cell>
          <cell r="BK211" t="str">
            <v/>
          </cell>
          <cell r="BL211" t="str">
            <v/>
          </cell>
          <cell r="BM211" t="str">
            <v/>
          </cell>
          <cell r="BN211" t="str">
            <v/>
          </cell>
          <cell r="BO211" t="str">
            <v/>
          </cell>
          <cell r="BP211" t="str">
            <v/>
          </cell>
          <cell r="BQ211" t="str">
            <v/>
          </cell>
          <cell r="BR211" t="str">
            <v/>
          </cell>
          <cell r="BS211" t="str">
            <v/>
          </cell>
          <cell r="BT211" t="str">
            <v/>
          </cell>
          <cell r="BU211" t="str">
            <v/>
          </cell>
          <cell r="BV211" t="str">
            <v/>
          </cell>
          <cell r="BW211" t="str">
            <v/>
          </cell>
          <cell r="BX211">
            <v>22554129</v>
          </cell>
          <cell r="BY211">
            <v>31228794</v>
          </cell>
          <cell r="BZ211" t="str">
            <v/>
          </cell>
          <cell r="CA211" t="str">
            <v/>
          </cell>
          <cell r="CC211" t="str">
            <v/>
          </cell>
          <cell r="CD211" t="str">
            <v/>
          </cell>
          <cell r="CE211" t="str">
            <v/>
          </cell>
          <cell r="CF211" t="str">
            <v/>
          </cell>
        </row>
        <row r="212">
          <cell r="A212">
            <v>2034</v>
          </cell>
          <cell r="B212" t="str">
            <v>2034_ホテルルートイン各務原</v>
          </cell>
          <cell r="C212" t="str">
            <v/>
          </cell>
          <cell r="D212" t="str">
            <v>技術役員</v>
          </cell>
          <cell r="E212" t="str">
            <v/>
          </cell>
          <cell r="F212" t="str">
            <v/>
          </cell>
          <cell r="G212" t="str">
            <v/>
          </cell>
          <cell r="H212">
            <v>2</v>
          </cell>
          <cell r="I212">
            <v>1</v>
          </cell>
          <cell r="J212" t="b">
            <v>0</v>
          </cell>
          <cell r="K212" t="str">
            <v/>
          </cell>
          <cell r="L212">
            <v>141177</v>
          </cell>
          <cell r="M212">
            <v>0</v>
          </cell>
          <cell r="N212">
            <v>0</v>
          </cell>
          <cell r="O212">
            <v>0</v>
          </cell>
          <cell r="P212">
            <v>0</v>
          </cell>
          <cell r="Q212">
            <v>155294.70000000001</v>
          </cell>
          <cell r="R212">
            <v>155294</v>
          </cell>
          <cell r="S212" t="b">
            <v>0</v>
          </cell>
          <cell r="T212">
            <v>155294</v>
          </cell>
          <cell r="U212">
            <v>0</v>
          </cell>
          <cell r="V212">
            <v>1309679</v>
          </cell>
          <cell r="W212">
            <v>1309679</v>
          </cell>
          <cell r="X212" t="b">
            <v>1</v>
          </cell>
          <cell r="Y212">
            <v>14551.988888888889</v>
          </cell>
          <cell r="AB212" t="str">
            <v/>
          </cell>
          <cell r="AE212">
            <v>155</v>
          </cell>
          <cell r="AF212">
            <v>90</v>
          </cell>
          <cell r="AG212" t="b">
            <v>1</v>
          </cell>
          <cell r="AH212">
            <v>155</v>
          </cell>
          <cell r="AI212" t="str">
            <v/>
          </cell>
          <cell r="AJ212">
            <v>88</v>
          </cell>
          <cell r="AK212" t="str">
            <v/>
          </cell>
          <cell r="AL212" t="str">
            <v/>
          </cell>
          <cell r="AM212" t="str">
            <v/>
          </cell>
          <cell r="AN212" t="str">
            <v/>
          </cell>
          <cell r="AQ212" t="str">
            <v/>
          </cell>
          <cell r="AV212" t="str">
            <v/>
          </cell>
          <cell r="AW212" t="str">
            <v/>
          </cell>
          <cell r="AX212" t="str">
            <v/>
          </cell>
          <cell r="AY212" t="str">
            <v/>
          </cell>
          <cell r="AZ212" t="str">
            <v/>
          </cell>
          <cell r="BA212">
            <v>11</v>
          </cell>
          <cell r="BB212" t="str">
            <v/>
          </cell>
          <cell r="BC212" t="str">
            <v/>
          </cell>
          <cell r="BD212" t="str">
            <v/>
          </cell>
          <cell r="BE212" t="str">
            <v/>
          </cell>
          <cell r="BF212" t="str">
            <v/>
          </cell>
          <cell r="BG212" t="str">
            <v/>
          </cell>
          <cell r="BH212" t="str">
            <v/>
          </cell>
          <cell r="BJ212" t="str">
            <v/>
          </cell>
          <cell r="BK212" t="str">
            <v/>
          </cell>
          <cell r="BL212" t="str">
            <v/>
          </cell>
          <cell r="BM212" t="str">
            <v/>
          </cell>
          <cell r="BN212">
            <v>14086325.244444445</v>
          </cell>
          <cell r="BO212" t="str">
            <v/>
          </cell>
          <cell r="BP212" t="str">
            <v/>
          </cell>
          <cell r="BQ212" t="str">
            <v/>
          </cell>
          <cell r="BR212" t="str">
            <v/>
          </cell>
          <cell r="BS212" t="str">
            <v/>
          </cell>
          <cell r="BT212" t="str">
            <v/>
          </cell>
          <cell r="BU212" t="str">
            <v/>
          </cell>
          <cell r="BV212" t="str">
            <v/>
          </cell>
          <cell r="BW212" t="str">
            <v/>
          </cell>
          <cell r="BX212" t="str">
            <v/>
          </cell>
          <cell r="BY212" t="str">
            <v/>
          </cell>
          <cell r="BZ212" t="str">
            <v/>
          </cell>
          <cell r="CA212" t="str">
            <v/>
          </cell>
          <cell r="CC212" t="str">
            <v/>
          </cell>
          <cell r="CD212" t="str">
            <v/>
          </cell>
          <cell r="CE212" t="str">
            <v/>
          </cell>
          <cell r="CF212" t="str">
            <v/>
          </cell>
        </row>
        <row r="213">
          <cell r="A213">
            <v>2036</v>
          </cell>
          <cell r="B213" t="str">
            <v>2036_ホテルルートイン羽島駅前</v>
          </cell>
          <cell r="C213" t="str">
            <v/>
          </cell>
          <cell r="D213" t="str">
            <v/>
          </cell>
          <cell r="E213" t="str">
            <v/>
          </cell>
          <cell r="F213" t="str">
            <v/>
          </cell>
          <cell r="G213" t="str">
            <v/>
          </cell>
          <cell r="H213">
            <v>0</v>
          </cell>
          <cell r="I213">
            <v>0</v>
          </cell>
          <cell r="J213" t="b">
            <v>0</v>
          </cell>
          <cell r="K213" t="str">
            <v/>
          </cell>
          <cell r="L213">
            <v>0</v>
          </cell>
          <cell r="M213">
            <v>0</v>
          </cell>
          <cell r="N213">
            <v>0</v>
          </cell>
          <cell r="O213">
            <v>0</v>
          </cell>
          <cell r="P213">
            <v>0</v>
          </cell>
          <cell r="Q213">
            <v>0</v>
          </cell>
          <cell r="R213">
            <v>0</v>
          </cell>
          <cell r="S213" t="b">
            <v>1</v>
          </cell>
          <cell r="T213" t="str">
            <v/>
          </cell>
          <cell r="U213">
            <v>0</v>
          </cell>
          <cell r="V213">
            <v>1720570</v>
          </cell>
          <cell r="W213">
            <v>1720570</v>
          </cell>
          <cell r="X213" t="b">
            <v>1</v>
          </cell>
          <cell r="Y213">
            <v>11470.466666666667</v>
          </cell>
          <cell r="AB213" t="str">
            <v/>
          </cell>
          <cell r="AE213">
            <v>234</v>
          </cell>
          <cell r="AF213">
            <v>150</v>
          </cell>
          <cell r="AG213" t="b">
            <v>1</v>
          </cell>
          <cell r="AH213">
            <v>234</v>
          </cell>
          <cell r="AI213" t="str">
            <v/>
          </cell>
          <cell r="AJ213" t="str">
            <v/>
          </cell>
          <cell r="AK213" t="str">
            <v/>
          </cell>
          <cell r="AL213" t="str">
            <v/>
          </cell>
          <cell r="AM213" t="str">
            <v/>
          </cell>
          <cell r="AN213" t="str">
            <v/>
          </cell>
          <cell r="AQ213" t="str">
            <v/>
          </cell>
          <cell r="AV213" t="str">
            <v/>
          </cell>
          <cell r="AW213" t="str">
            <v/>
          </cell>
          <cell r="AX213" t="str">
            <v/>
          </cell>
          <cell r="AY213" t="str">
            <v/>
          </cell>
          <cell r="AZ213" t="str">
            <v/>
          </cell>
          <cell r="BA213" t="str">
            <v/>
          </cell>
          <cell r="BB213" t="str">
            <v/>
          </cell>
          <cell r="BC213" t="str">
            <v/>
          </cell>
          <cell r="BD213" t="str">
            <v/>
          </cell>
          <cell r="BE213" t="str">
            <v/>
          </cell>
          <cell r="BF213" t="str">
            <v/>
          </cell>
          <cell r="BG213" t="str">
            <v/>
          </cell>
          <cell r="BH213" t="str">
            <v/>
          </cell>
          <cell r="BJ213" t="str">
            <v/>
          </cell>
          <cell r="BK213" t="str">
            <v/>
          </cell>
          <cell r="BL213" t="str">
            <v/>
          </cell>
          <cell r="BM213" t="str">
            <v/>
          </cell>
          <cell r="BN213" t="str">
            <v/>
          </cell>
          <cell r="BO213" t="str">
            <v/>
          </cell>
          <cell r="BP213" t="str">
            <v/>
          </cell>
          <cell r="BQ213" t="str">
            <v/>
          </cell>
          <cell r="BR213" t="str">
            <v/>
          </cell>
          <cell r="BS213" t="str">
            <v/>
          </cell>
          <cell r="BT213" t="str">
            <v/>
          </cell>
          <cell r="BU213" t="str">
            <v/>
          </cell>
          <cell r="BV213" t="str">
            <v/>
          </cell>
          <cell r="BW213" t="str">
            <v/>
          </cell>
          <cell r="BX213" t="str">
            <v/>
          </cell>
          <cell r="BY213" t="str">
            <v/>
          </cell>
          <cell r="BZ213" t="str">
            <v/>
          </cell>
          <cell r="CA213" t="str">
            <v/>
          </cell>
          <cell r="CC213" t="str">
            <v/>
          </cell>
          <cell r="CD213" t="str">
            <v/>
          </cell>
          <cell r="CE213" t="str">
            <v/>
          </cell>
          <cell r="CF213" t="str">
            <v/>
          </cell>
        </row>
        <row r="214">
          <cell r="A214">
            <v>2037</v>
          </cell>
          <cell r="B214" t="str">
            <v>2037_ホテルコーヨー</v>
          </cell>
          <cell r="C214" t="str">
            <v>選手（修正案）</v>
          </cell>
          <cell r="D214" t="str">
            <v>選手12000</v>
          </cell>
          <cell r="E214" t="str">
            <v/>
          </cell>
          <cell r="F214" t="str">
            <v>技術役員</v>
          </cell>
          <cell r="G214" t="str">
            <v/>
          </cell>
          <cell r="H214">
            <v>8</v>
          </cell>
          <cell r="I214">
            <v>6</v>
          </cell>
          <cell r="J214" t="b">
            <v>1</v>
          </cell>
          <cell r="K214" t="str">
            <v/>
          </cell>
          <cell r="L214">
            <v>423532</v>
          </cell>
          <cell r="M214">
            <v>0</v>
          </cell>
          <cell r="N214">
            <v>0</v>
          </cell>
          <cell r="O214">
            <v>0</v>
          </cell>
          <cell r="P214">
            <v>0</v>
          </cell>
          <cell r="Q214">
            <v>465885.2</v>
          </cell>
          <cell r="R214">
            <v>360002</v>
          </cell>
          <cell r="S214" t="b">
            <v>1</v>
          </cell>
          <cell r="T214">
            <v>60000.333333333336</v>
          </cell>
          <cell r="U214">
            <v>4574066</v>
          </cell>
          <cell r="V214">
            <v>6067486</v>
          </cell>
          <cell r="W214">
            <v>1493420</v>
          </cell>
          <cell r="X214" t="b">
            <v>1</v>
          </cell>
          <cell r="Y214">
            <v>20457.808219178081</v>
          </cell>
          <cell r="Z214">
            <v>11177</v>
          </cell>
          <cell r="AA214">
            <v>22353</v>
          </cell>
          <cell r="AB214">
            <v>14270.616340181559</v>
          </cell>
          <cell r="AC214">
            <v>0</v>
          </cell>
          <cell r="AE214">
            <v>265</v>
          </cell>
          <cell r="AF214">
            <v>73</v>
          </cell>
          <cell r="AG214" t="b">
            <v>1</v>
          </cell>
          <cell r="AH214">
            <v>297</v>
          </cell>
          <cell r="AI214">
            <v>91</v>
          </cell>
          <cell r="AJ214" t="str">
            <v/>
          </cell>
          <cell r="AK214" t="str">
            <v/>
          </cell>
          <cell r="AL214">
            <v>54</v>
          </cell>
          <cell r="AM214" t="str">
            <v/>
          </cell>
          <cell r="AN214">
            <v>18</v>
          </cell>
          <cell r="AQ214">
            <v>-19</v>
          </cell>
          <cell r="AV214">
            <v>13</v>
          </cell>
          <cell r="AW214">
            <v>18</v>
          </cell>
          <cell r="AX214" t="str">
            <v/>
          </cell>
          <cell r="AY214" t="str">
            <v/>
          </cell>
          <cell r="AZ214" t="str">
            <v/>
          </cell>
          <cell r="BA214" t="str">
            <v/>
          </cell>
          <cell r="BB214" t="str">
            <v/>
          </cell>
          <cell r="BC214" t="str">
            <v/>
          </cell>
          <cell r="BD214" t="str">
            <v/>
          </cell>
          <cell r="BE214" t="str">
            <v/>
          </cell>
          <cell r="BF214">
            <v>10</v>
          </cell>
          <cell r="BG214" t="str">
            <v/>
          </cell>
          <cell r="BH214">
            <v>19414460</v>
          </cell>
          <cell r="BI214">
            <v>26881560</v>
          </cell>
          <cell r="BJ214" t="str">
            <v/>
          </cell>
          <cell r="BK214" t="str">
            <v/>
          </cell>
          <cell r="BL214" t="str">
            <v/>
          </cell>
          <cell r="BM214" t="str">
            <v/>
          </cell>
          <cell r="BN214" t="str">
            <v/>
          </cell>
          <cell r="BO214" t="str">
            <v/>
          </cell>
          <cell r="BP214" t="str">
            <v/>
          </cell>
          <cell r="BQ214" t="str">
            <v/>
          </cell>
          <cell r="BR214" t="str">
            <v/>
          </cell>
          <cell r="BS214" t="str">
            <v/>
          </cell>
          <cell r="BT214" t="str">
            <v/>
          </cell>
          <cell r="BU214" t="str">
            <v/>
          </cell>
          <cell r="BV214">
            <v>11047216.438356163</v>
          </cell>
          <cell r="BW214" t="str">
            <v/>
          </cell>
          <cell r="BX214">
            <v>4680026</v>
          </cell>
          <cell r="BY214">
            <v>6480036</v>
          </cell>
          <cell r="BZ214" t="str">
            <v/>
          </cell>
          <cell r="CA214" t="str">
            <v/>
          </cell>
          <cell r="CC214" t="str">
            <v/>
          </cell>
          <cell r="CD214" t="str">
            <v/>
          </cell>
          <cell r="CE214" t="str">
            <v/>
          </cell>
          <cell r="CF214" t="str">
            <v/>
          </cell>
        </row>
        <row r="215">
          <cell r="A215">
            <v>2038</v>
          </cell>
          <cell r="B215" t="str">
            <v>2038_京都 東急ホテル</v>
          </cell>
          <cell r="C215" t="str">
            <v/>
          </cell>
          <cell r="D215" t="str">
            <v/>
          </cell>
          <cell r="E215" t="str">
            <v/>
          </cell>
          <cell r="F215" t="str">
            <v/>
          </cell>
          <cell r="G215" t="str">
            <v/>
          </cell>
          <cell r="H215">
            <v>11</v>
          </cell>
          <cell r="I215">
            <v>9</v>
          </cell>
          <cell r="J215" t="b">
            <v>0</v>
          </cell>
          <cell r="K215" t="str">
            <v/>
          </cell>
          <cell r="L215">
            <v>8339299</v>
          </cell>
          <cell r="M215">
            <v>0</v>
          </cell>
          <cell r="N215">
            <v>0</v>
          </cell>
          <cell r="O215">
            <v>0</v>
          </cell>
          <cell r="P215">
            <v>30000</v>
          </cell>
          <cell r="Q215">
            <v>9203228.9000000004</v>
          </cell>
          <cell r="R215">
            <v>9203228</v>
          </cell>
          <cell r="S215" t="b">
            <v>0</v>
          </cell>
          <cell r="T215">
            <v>1022580.8888888889</v>
          </cell>
          <cell r="U215">
            <v>0</v>
          </cell>
          <cell r="V215">
            <v>3366082</v>
          </cell>
          <cell r="W215">
            <v>3366082</v>
          </cell>
          <cell r="X215" t="b">
            <v>1</v>
          </cell>
          <cell r="Y215">
            <v>28050.683333333334</v>
          </cell>
          <cell r="AB215" t="str">
            <v/>
          </cell>
          <cell r="AE215">
            <v>408</v>
          </cell>
          <cell r="AF215">
            <v>120</v>
          </cell>
          <cell r="AG215" t="b">
            <v>1</v>
          </cell>
          <cell r="AH215">
            <v>743</v>
          </cell>
          <cell r="AI215" t="str">
            <v/>
          </cell>
          <cell r="AJ215" t="str">
            <v/>
          </cell>
          <cell r="AK215" t="str">
            <v/>
          </cell>
          <cell r="AL215" t="str">
            <v/>
          </cell>
          <cell r="AM215" t="str">
            <v/>
          </cell>
          <cell r="AN215" t="str">
            <v/>
          </cell>
          <cell r="AQ215" t="str">
            <v/>
          </cell>
          <cell r="AV215" t="str">
            <v/>
          </cell>
          <cell r="AW215" t="str">
            <v/>
          </cell>
          <cell r="AX215" t="str">
            <v/>
          </cell>
          <cell r="AY215" t="str">
            <v/>
          </cell>
          <cell r="AZ215" t="str">
            <v/>
          </cell>
          <cell r="BA215" t="str">
            <v/>
          </cell>
          <cell r="BB215" t="str">
            <v/>
          </cell>
          <cell r="BC215" t="str">
            <v/>
          </cell>
          <cell r="BD215" t="str">
            <v/>
          </cell>
          <cell r="BE215" t="str">
            <v/>
          </cell>
          <cell r="BF215" t="str">
            <v/>
          </cell>
          <cell r="BG215" t="str">
            <v/>
          </cell>
          <cell r="BH215" t="str">
            <v/>
          </cell>
          <cell r="BJ215" t="str">
            <v/>
          </cell>
          <cell r="BK215" t="str">
            <v/>
          </cell>
          <cell r="BL215" t="str">
            <v/>
          </cell>
          <cell r="BM215" t="str">
            <v/>
          </cell>
          <cell r="BN215" t="str">
            <v/>
          </cell>
          <cell r="BO215" t="str">
            <v/>
          </cell>
          <cell r="BP215" t="str">
            <v/>
          </cell>
          <cell r="BQ215" t="str">
            <v/>
          </cell>
          <cell r="BR215" t="str">
            <v/>
          </cell>
          <cell r="BS215" t="str">
            <v/>
          </cell>
          <cell r="BT215" t="str">
            <v/>
          </cell>
          <cell r="BU215" t="str">
            <v/>
          </cell>
          <cell r="BV215" t="str">
            <v/>
          </cell>
          <cell r="BW215" t="str">
            <v/>
          </cell>
          <cell r="BX215" t="str">
            <v/>
          </cell>
          <cell r="BY215" t="str">
            <v/>
          </cell>
          <cell r="BZ215" t="str">
            <v/>
          </cell>
          <cell r="CA215" t="str">
            <v/>
          </cell>
          <cell r="CC215" t="str">
            <v/>
          </cell>
          <cell r="CD215" t="str">
            <v/>
          </cell>
          <cell r="CE215" t="str">
            <v/>
          </cell>
          <cell r="CF215" t="str">
            <v/>
          </cell>
        </row>
        <row r="216">
          <cell r="A216">
            <v>2040</v>
          </cell>
          <cell r="B216" t="str">
            <v>2040_リーガロイヤルホテル京都</v>
          </cell>
          <cell r="C216" t="str">
            <v/>
          </cell>
          <cell r="D216" t="str">
            <v/>
          </cell>
          <cell r="E216" t="str">
            <v/>
          </cell>
          <cell r="F216" t="str">
            <v/>
          </cell>
          <cell r="G216" t="str">
            <v/>
          </cell>
          <cell r="H216">
            <v>0</v>
          </cell>
          <cell r="I216">
            <v>5</v>
          </cell>
          <cell r="J216" t="b">
            <v>0</v>
          </cell>
          <cell r="K216" t="str">
            <v/>
          </cell>
          <cell r="L216">
            <v>1552942</v>
          </cell>
          <cell r="M216">
            <v>82354</v>
          </cell>
          <cell r="N216">
            <v>0</v>
          </cell>
          <cell r="O216">
            <v>0</v>
          </cell>
          <cell r="P216">
            <v>15000</v>
          </cell>
          <cell r="Q216">
            <v>1813825.6</v>
          </cell>
          <cell r="R216">
            <v>3586768</v>
          </cell>
          <cell r="S216" t="b">
            <v>0</v>
          </cell>
          <cell r="T216">
            <v>717353.6</v>
          </cell>
          <cell r="U216">
            <v>0</v>
          </cell>
          <cell r="V216">
            <v>1863576</v>
          </cell>
          <cell r="W216">
            <v>1863576</v>
          </cell>
          <cell r="X216" t="b">
            <v>1</v>
          </cell>
          <cell r="Y216">
            <v>31059.599999999999</v>
          </cell>
          <cell r="AB216" t="str">
            <v/>
          </cell>
          <cell r="AE216">
            <v>489</v>
          </cell>
          <cell r="AF216">
            <v>60</v>
          </cell>
          <cell r="AG216" t="b">
            <v>1</v>
          </cell>
          <cell r="AH216">
            <v>921</v>
          </cell>
          <cell r="AI216" t="str">
            <v/>
          </cell>
          <cell r="AJ216" t="str">
            <v/>
          </cell>
          <cell r="AK216" t="str">
            <v/>
          </cell>
          <cell r="AL216" t="str">
            <v/>
          </cell>
          <cell r="AM216" t="str">
            <v/>
          </cell>
          <cell r="AN216" t="str">
            <v/>
          </cell>
          <cell r="AQ216" t="str">
            <v/>
          </cell>
          <cell r="AV216" t="str">
            <v/>
          </cell>
          <cell r="AW216" t="str">
            <v/>
          </cell>
          <cell r="AX216" t="str">
            <v/>
          </cell>
          <cell r="AY216" t="str">
            <v/>
          </cell>
          <cell r="AZ216" t="str">
            <v/>
          </cell>
          <cell r="BA216" t="str">
            <v/>
          </cell>
          <cell r="BB216" t="str">
            <v/>
          </cell>
          <cell r="BC216" t="str">
            <v/>
          </cell>
          <cell r="BD216" t="str">
            <v/>
          </cell>
          <cell r="BE216" t="str">
            <v/>
          </cell>
          <cell r="BF216" t="str">
            <v/>
          </cell>
          <cell r="BG216" t="str">
            <v/>
          </cell>
          <cell r="BH216" t="str">
            <v/>
          </cell>
          <cell r="BJ216" t="str">
            <v/>
          </cell>
          <cell r="BK216" t="str">
            <v/>
          </cell>
          <cell r="BL216" t="str">
            <v/>
          </cell>
          <cell r="BM216" t="str">
            <v/>
          </cell>
          <cell r="BN216" t="str">
            <v/>
          </cell>
          <cell r="BO216" t="str">
            <v/>
          </cell>
          <cell r="BP216" t="str">
            <v/>
          </cell>
          <cell r="BQ216" t="str">
            <v/>
          </cell>
          <cell r="BR216" t="str">
            <v/>
          </cell>
          <cell r="BS216" t="str">
            <v/>
          </cell>
          <cell r="BT216" t="str">
            <v/>
          </cell>
          <cell r="BU216" t="str">
            <v/>
          </cell>
          <cell r="BV216" t="str">
            <v/>
          </cell>
          <cell r="BW216" t="str">
            <v/>
          </cell>
          <cell r="BX216" t="str">
            <v/>
          </cell>
          <cell r="BY216" t="str">
            <v/>
          </cell>
          <cell r="BZ216" t="str">
            <v/>
          </cell>
          <cell r="CA216" t="str">
            <v/>
          </cell>
          <cell r="CC216" t="str">
            <v/>
          </cell>
          <cell r="CD216" t="str">
            <v/>
          </cell>
          <cell r="CE216" t="str">
            <v/>
          </cell>
          <cell r="CF216" t="str">
            <v/>
          </cell>
        </row>
        <row r="217">
          <cell r="A217">
            <v>2041</v>
          </cell>
          <cell r="B217" t="str">
            <v>2041_ホテルコンコルド浜松</v>
          </cell>
          <cell r="C217" t="str">
            <v>選手（修正案）</v>
          </cell>
          <cell r="D217" t="str">
            <v/>
          </cell>
          <cell r="E217" t="str">
            <v/>
          </cell>
          <cell r="F217" t="str">
            <v/>
          </cell>
          <cell r="G217" t="str">
            <v/>
          </cell>
          <cell r="H217">
            <v>9</v>
          </cell>
          <cell r="I217">
            <v>3</v>
          </cell>
          <cell r="J217" t="b">
            <v>1</v>
          </cell>
          <cell r="K217" t="str">
            <v/>
          </cell>
          <cell r="L217">
            <v>4929032</v>
          </cell>
          <cell r="M217">
            <v>0</v>
          </cell>
          <cell r="N217">
            <v>0</v>
          </cell>
          <cell r="O217">
            <v>0</v>
          </cell>
          <cell r="P217">
            <v>0</v>
          </cell>
          <cell r="Q217">
            <v>5421935.2000000002</v>
          </cell>
          <cell r="R217">
            <v>2834022</v>
          </cell>
          <cell r="S217" t="b">
            <v>1</v>
          </cell>
          <cell r="T217">
            <v>944674</v>
          </cell>
          <cell r="U217">
            <v>1388585</v>
          </cell>
          <cell r="V217">
            <v>2475693</v>
          </cell>
          <cell r="W217">
            <v>1087108</v>
          </cell>
          <cell r="X217" t="b">
            <v>1</v>
          </cell>
          <cell r="Y217">
            <v>13588.85</v>
          </cell>
          <cell r="Z217">
            <v>8236</v>
          </cell>
          <cell r="AA217">
            <v>24706</v>
          </cell>
          <cell r="AB217">
            <v>9548.5990338164247</v>
          </cell>
          <cell r="AE217">
            <v>232</v>
          </cell>
          <cell r="AF217">
            <v>80</v>
          </cell>
          <cell r="AG217" t="b">
            <v>1</v>
          </cell>
          <cell r="AH217">
            <v>306</v>
          </cell>
          <cell r="AI217">
            <v>99</v>
          </cell>
          <cell r="AJ217" t="str">
            <v/>
          </cell>
          <cell r="AK217" t="str">
            <v/>
          </cell>
          <cell r="AL217" t="str">
            <v/>
          </cell>
          <cell r="AM217" t="str">
            <v/>
          </cell>
          <cell r="AN217">
            <v>19</v>
          </cell>
          <cell r="AQ217" t="str">
            <v/>
          </cell>
          <cell r="AV217">
            <v>9</v>
          </cell>
          <cell r="AW217" t="str">
            <v/>
          </cell>
          <cell r="AX217" t="str">
            <v/>
          </cell>
          <cell r="AY217" t="str">
            <v/>
          </cell>
          <cell r="AZ217" t="str">
            <v/>
          </cell>
          <cell r="BA217" t="str">
            <v/>
          </cell>
          <cell r="BB217" t="str">
            <v/>
          </cell>
          <cell r="BC217" t="str">
            <v/>
          </cell>
          <cell r="BD217" t="str">
            <v/>
          </cell>
          <cell r="BE217" t="str">
            <v/>
          </cell>
          <cell r="BF217" t="str">
            <v/>
          </cell>
          <cell r="BG217" t="str">
            <v/>
          </cell>
          <cell r="BH217">
            <v>9783972</v>
          </cell>
          <cell r="BJ217" t="str">
            <v/>
          </cell>
          <cell r="BK217" t="str">
            <v/>
          </cell>
          <cell r="BL217" t="str">
            <v/>
          </cell>
          <cell r="BM217" t="str">
            <v/>
          </cell>
          <cell r="BN217" t="str">
            <v/>
          </cell>
          <cell r="BO217" t="str">
            <v/>
          </cell>
          <cell r="BP217" t="str">
            <v/>
          </cell>
          <cell r="BQ217" t="str">
            <v/>
          </cell>
          <cell r="BR217" t="str">
            <v/>
          </cell>
          <cell r="BS217" t="str">
            <v/>
          </cell>
          <cell r="BT217" t="str">
            <v/>
          </cell>
          <cell r="BU217" t="str">
            <v/>
          </cell>
          <cell r="BV217" t="str">
            <v/>
          </cell>
          <cell r="BW217" t="str">
            <v/>
          </cell>
          <cell r="BX217">
            <v>25506198</v>
          </cell>
          <cell r="BY217" t="str">
            <v/>
          </cell>
          <cell r="BZ217" t="str">
            <v/>
          </cell>
          <cell r="CA217" t="str">
            <v/>
          </cell>
          <cell r="CC217" t="str">
            <v/>
          </cell>
          <cell r="CD217" t="str">
            <v/>
          </cell>
          <cell r="CE217" t="str">
            <v/>
          </cell>
          <cell r="CF217" t="str">
            <v/>
          </cell>
        </row>
        <row r="218">
          <cell r="A218">
            <v>2042</v>
          </cell>
          <cell r="B218" t="str">
            <v>2042_神戸ポートピアホテル</v>
          </cell>
          <cell r="C218" t="str">
            <v>選手（修正案）</v>
          </cell>
          <cell r="D218" t="str">
            <v/>
          </cell>
          <cell r="E218" t="str">
            <v/>
          </cell>
          <cell r="F218" t="str">
            <v/>
          </cell>
          <cell r="G218" t="str">
            <v/>
          </cell>
          <cell r="H218">
            <v>10</v>
          </cell>
          <cell r="I218">
            <v>4</v>
          </cell>
          <cell r="J218" t="b">
            <v>1</v>
          </cell>
          <cell r="K218" t="str">
            <v/>
          </cell>
          <cell r="L218">
            <v>2353680</v>
          </cell>
          <cell r="M218">
            <v>388242</v>
          </cell>
          <cell r="N218">
            <v>0</v>
          </cell>
          <cell r="O218">
            <v>0</v>
          </cell>
          <cell r="P218">
            <v>0</v>
          </cell>
          <cell r="Q218">
            <v>3016114.2</v>
          </cell>
          <cell r="R218">
            <v>1589734</v>
          </cell>
          <cell r="S218" t="b">
            <v>1</v>
          </cell>
          <cell r="T218">
            <v>397433.5</v>
          </cell>
          <cell r="U218">
            <v>395993</v>
          </cell>
          <cell r="V218">
            <v>3983304</v>
          </cell>
          <cell r="W218">
            <v>3587311</v>
          </cell>
          <cell r="X218" t="b">
            <v>1</v>
          </cell>
          <cell r="Y218">
            <v>40764.897727272728</v>
          </cell>
          <cell r="Z218">
            <v>37059</v>
          </cell>
          <cell r="AA218">
            <v>37059</v>
          </cell>
          <cell r="AB218">
            <v>26891.386806596707</v>
          </cell>
          <cell r="AE218">
            <v>746</v>
          </cell>
          <cell r="AF218">
            <v>88</v>
          </cell>
          <cell r="AG218" t="b">
            <v>1</v>
          </cell>
          <cell r="AH218">
            <v>1320</v>
          </cell>
          <cell r="AI218">
            <v>116</v>
          </cell>
          <cell r="AJ218" t="str">
            <v/>
          </cell>
          <cell r="AK218" t="str">
            <v/>
          </cell>
          <cell r="AL218" t="str">
            <v/>
          </cell>
          <cell r="AM218" t="str">
            <v/>
          </cell>
          <cell r="AN218">
            <v>28</v>
          </cell>
          <cell r="AQ218" t="str">
            <v/>
          </cell>
          <cell r="AV218">
            <v>15</v>
          </cell>
          <cell r="AW218" t="str">
            <v/>
          </cell>
          <cell r="AX218" t="str">
            <v/>
          </cell>
          <cell r="AY218" t="str">
            <v/>
          </cell>
          <cell r="AZ218" t="str">
            <v/>
          </cell>
          <cell r="BA218" t="str">
            <v/>
          </cell>
          <cell r="BB218" t="str">
            <v/>
          </cell>
          <cell r="BC218" t="str">
            <v/>
          </cell>
          <cell r="BD218" t="str">
            <v/>
          </cell>
          <cell r="BE218" t="str">
            <v/>
          </cell>
          <cell r="BF218" t="str">
            <v/>
          </cell>
          <cell r="BG218" t="str">
            <v/>
          </cell>
          <cell r="BH218">
            <v>53809665</v>
          </cell>
          <cell r="BJ218" t="str">
            <v/>
          </cell>
          <cell r="BK218" t="str">
            <v/>
          </cell>
          <cell r="BL218" t="str">
            <v/>
          </cell>
          <cell r="BM218" t="str">
            <v/>
          </cell>
          <cell r="BN218" t="str">
            <v/>
          </cell>
          <cell r="BO218" t="str">
            <v/>
          </cell>
          <cell r="BP218" t="str">
            <v/>
          </cell>
          <cell r="BQ218" t="str">
            <v/>
          </cell>
          <cell r="BR218" t="str">
            <v/>
          </cell>
          <cell r="BS218" t="str">
            <v/>
          </cell>
          <cell r="BT218" t="str">
            <v/>
          </cell>
          <cell r="BU218" t="str">
            <v/>
          </cell>
          <cell r="BV218" t="str">
            <v/>
          </cell>
          <cell r="BW218" t="str">
            <v/>
          </cell>
          <cell r="BX218">
            <v>23846010</v>
          </cell>
          <cell r="BY218" t="str">
            <v/>
          </cell>
          <cell r="BZ218" t="str">
            <v/>
          </cell>
          <cell r="CA218" t="str">
            <v/>
          </cell>
          <cell r="CC218" t="str">
            <v/>
          </cell>
          <cell r="CD218" t="str">
            <v/>
          </cell>
          <cell r="CE218" t="str">
            <v/>
          </cell>
          <cell r="CF218" t="str">
            <v/>
          </cell>
        </row>
        <row r="219">
          <cell r="A219">
            <v>2043</v>
          </cell>
          <cell r="B219" t="str">
            <v>2043_パレスホテル掛川</v>
          </cell>
          <cell r="C219" t="str">
            <v/>
          </cell>
          <cell r="D219" t="str">
            <v>技術役員</v>
          </cell>
          <cell r="E219" t="str">
            <v/>
          </cell>
          <cell r="F219" t="str">
            <v/>
          </cell>
          <cell r="G219" t="str">
            <v/>
          </cell>
          <cell r="H219">
            <v>0</v>
          </cell>
          <cell r="I219">
            <v>2</v>
          </cell>
          <cell r="J219" t="b">
            <v>0</v>
          </cell>
          <cell r="K219" t="str">
            <v/>
          </cell>
          <cell r="L219">
            <v>465884</v>
          </cell>
          <cell r="M219">
            <v>0</v>
          </cell>
          <cell r="N219">
            <v>0</v>
          </cell>
          <cell r="O219">
            <v>0</v>
          </cell>
          <cell r="P219">
            <v>0</v>
          </cell>
          <cell r="Q219">
            <v>512472.4</v>
          </cell>
          <cell r="R219">
            <v>512472</v>
          </cell>
          <cell r="S219" t="b">
            <v>0</v>
          </cell>
          <cell r="T219">
            <v>256236</v>
          </cell>
          <cell r="U219">
            <v>-85413</v>
          </cell>
          <cell r="V219">
            <v>680453</v>
          </cell>
          <cell r="W219">
            <v>765866</v>
          </cell>
          <cell r="X219" t="b">
            <v>1</v>
          </cell>
          <cell r="Y219">
            <v>15317.32</v>
          </cell>
          <cell r="AB219" t="str">
            <v/>
          </cell>
          <cell r="AE219">
            <v>63</v>
          </cell>
          <cell r="AF219">
            <v>50</v>
          </cell>
          <cell r="AG219" t="b">
            <v>1</v>
          </cell>
          <cell r="AH219">
            <v>72</v>
          </cell>
          <cell r="AI219" t="str">
            <v/>
          </cell>
          <cell r="AJ219">
            <v>35</v>
          </cell>
          <cell r="AK219" t="str">
            <v/>
          </cell>
          <cell r="AL219" t="str">
            <v/>
          </cell>
          <cell r="AM219" t="str">
            <v/>
          </cell>
          <cell r="AN219" t="str">
            <v/>
          </cell>
          <cell r="AQ219" t="str">
            <v/>
          </cell>
          <cell r="AV219" t="str">
            <v/>
          </cell>
          <cell r="AW219" t="str">
            <v/>
          </cell>
          <cell r="AX219" t="str">
            <v/>
          </cell>
          <cell r="AY219" t="str">
            <v/>
          </cell>
          <cell r="AZ219" t="str">
            <v/>
          </cell>
          <cell r="BA219">
            <v>11</v>
          </cell>
          <cell r="BB219" t="str">
            <v/>
          </cell>
          <cell r="BC219" t="str">
            <v/>
          </cell>
          <cell r="BD219" t="str">
            <v/>
          </cell>
          <cell r="BE219" t="str">
            <v/>
          </cell>
          <cell r="BF219" t="str">
            <v/>
          </cell>
          <cell r="BG219" t="str">
            <v/>
          </cell>
          <cell r="BH219" t="str">
            <v/>
          </cell>
          <cell r="BJ219" t="str">
            <v/>
          </cell>
          <cell r="BK219" t="str">
            <v/>
          </cell>
          <cell r="BL219" t="str">
            <v/>
          </cell>
          <cell r="BM219" t="str">
            <v/>
          </cell>
          <cell r="BN219">
            <v>5897168.1999999993</v>
          </cell>
          <cell r="BO219" t="str">
            <v/>
          </cell>
          <cell r="BP219" t="str">
            <v/>
          </cell>
          <cell r="BQ219" t="str">
            <v/>
          </cell>
          <cell r="BR219" t="str">
            <v/>
          </cell>
          <cell r="BS219" t="str">
            <v/>
          </cell>
          <cell r="BT219" t="str">
            <v/>
          </cell>
          <cell r="BU219" t="str">
            <v/>
          </cell>
          <cell r="BV219" t="str">
            <v/>
          </cell>
          <cell r="BW219" t="str">
            <v/>
          </cell>
          <cell r="BX219" t="str">
            <v/>
          </cell>
          <cell r="BY219" t="str">
            <v/>
          </cell>
          <cell r="BZ219" t="str">
            <v/>
          </cell>
          <cell r="CA219" t="str">
            <v/>
          </cell>
          <cell r="CC219" t="str">
            <v/>
          </cell>
          <cell r="CD219" t="str">
            <v/>
          </cell>
          <cell r="CE219" t="str">
            <v/>
          </cell>
          <cell r="CF219" t="str">
            <v/>
          </cell>
        </row>
        <row r="220">
          <cell r="A220">
            <v>2044</v>
          </cell>
          <cell r="B220" t="str">
            <v>2044_くれたけインプレミアム大垣駅前</v>
          </cell>
          <cell r="C220" t="str">
            <v/>
          </cell>
          <cell r="D220" t="str">
            <v>技術役員</v>
          </cell>
          <cell r="E220" t="str">
            <v/>
          </cell>
          <cell r="F220" t="str">
            <v/>
          </cell>
          <cell r="G220" t="str">
            <v/>
          </cell>
          <cell r="H220">
            <v>0</v>
          </cell>
          <cell r="I220">
            <v>0</v>
          </cell>
          <cell r="J220" t="b">
            <v>0</v>
          </cell>
          <cell r="K220" t="str">
            <v/>
          </cell>
          <cell r="L220">
            <v>0</v>
          </cell>
          <cell r="M220">
            <v>0</v>
          </cell>
          <cell r="N220">
            <v>0</v>
          </cell>
          <cell r="O220">
            <v>0</v>
          </cell>
          <cell r="P220">
            <v>0</v>
          </cell>
          <cell r="Q220">
            <v>0</v>
          </cell>
          <cell r="R220">
            <v>0</v>
          </cell>
          <cell r="S220" t="b">
            <v>1</v>
          </cell>
          <cell r="T220" t="str">
            <v/>
          </cell>
          <cell r="U220">
            <v>0</v>
          </cell>
          <cell r="V220">
            <v>1077265</v>
          </cell>
          <cell r="W220">
            <v>1077265</v>
          </cell>
          <cell r="X220" t="b">
            <v>1</v>
          </cell>
          <cell r="Y220">
            <v>12241.647727272728</v>
          </cell>
          <cell r="AB220" t="str">
            <v/>
          </cell>
          <cell r="AE220">
            <v>158</v>
          </cell>
          <cell r="AF220">
            <v>88</v>
          </cell>
          <cell r="AG220" t="b">
            <v>1</v>
          </cell>
          <cell r="AH220">
            <v>175</v>
          </cell>
          <cell r="AI220" t="str">
            <v/>
          </cell>
          <cell r="AJ220">
            <v>70</v>
          </cell>
          <cell r="AK220" t="str">
            <v/>
          </cell>
          <cell r="AL220" t="str">
            <v/>
          </cell>
          <cell r="AM220" t="str">
            <v/>
          </cell>
          <cell r="AN220" t="str">
            <v/>
          </cell>
          <cell r="AQ220" t="str">
            <v/>
          </cell>
          <cell r="AV220" t="str">
            <v/>
          </cell>
          <cell r="AW220" t="str">
            <v/>
          </cell>
          <cell r="AX220" t="str">
            <v/>
          </cell>
          <cell r="AY220" t="str">
            <v/>
          </cell>
          <cell r="AZ220" t="str">
            <v/>
          </cell>
          <cell r="BA220">
            <v>11</v>
          </cell>
          <cell r="BB220" t="str">
            <v/>
          </cell>
          <cell r="BC220" t="str">
            <v/>
          </cell>
          <cell r="BD220" t="str">
            <v/>
          </cell>
          <cell r="BE220" t="str">
            <v/>
          </cell>
          <cell r="BF220" t="str">
            <v/>
          </cell>
          <cell r="BG220" t="str">
            <v/>
          </cell>
          <cell r="BH220" t="str">
            <v/>
          </cell>
          <cell r="BJ220" t="str">
            <v/>
          </cell>
          <cell r="BK220" t="str">
            <v/>
          </cell>
          <cell r="BL220" t="str">
            <v/>
          </cell>
          <cell r="BM220" t="str">
            <v/>
          </cell>
          <cell r="BN220">
            <v>9426068.75</v>
          </cell>
          <cell r="BO220" t="str">
            <v/>
          </cell>
          <cell r="BP220" t="str">
            <v/>
          </cell>
          <cell r="BQ220" t="str">
            <v/>
          </cell>
          <cell r="BR220" t="str">
            <v/>
          </cell>
          <cell r="BS220" t="str">
            <v/>
          </cell>
          <cell r="BT220" t="str">
            <v/>
          </cell>
          <cell r="BU220" t="str">
            <v/>
          </cell>
          <cell r="BV220" t="str">
            <v/>
          </cell>
          <cell r="BW220" t="str">
            <v/>
          </cell>
          <cell r="BX220" t="str">
            <v/>
          </cell>
          <cell r="BY220" t="str">
            <v/>
          </cell>
          <cell r="BZ220" t="str">
            <v/>
          </cell>
          <cell r="CA220" t="str">
            <v/>
          </cell>
          <cell r="CC220" t="str">
            <v/>
          </cell>
          <cell r="CD220" t="str">
            <v/>
          </cell>
          <cell r="CE220" t="str">
            <v/>
          </cell>
          <cell r="CF220" t="str">
            <v/>
          </cell>
        </row>
        <row r="221">
          <cell r="A221">
            <v>2045</v>
          </cell>
          <cell r="B221" t="str">
            <v>2045_クインテッサホテル大垣</v>
          </cell>
          <cell r="C221" t="str">
            <v>選手（修正案）</v>
          </cell>
          <cell r="D221" t="str">
            <v/>
          </cell>
          <cell r="E221" t="str">
            <v/>
          </cell>
          <cell r="F221" t="str">
            <v/>
          </cell>
          <cell r="G221" t="str">
            <v/>
          </cell>
          <cell r="H221">
            <v>0</v>
          </cell>
          <cell r="I221">
            <v>4</v>
          </cell>
          <cell r="J221" t="b">
            <v>0</v>
          </cell>
          <cell r="K221" t="str">
            <v/>
          </cell>
          <cell r="L221">
            <v>1529416</v>
          </cell>
          <cell r="M221">
            <v>0</v>
          </cell>
          <cell r="N221">
            <v>0</v>
          </cell>
          <cell r="O221">
            <v>0</v>
          </cell>
          <cell r="P221">
            <v>0</v>
          </cell>
          <cell r="Q221">
            <v>1682357.6</v>
          </cell>
          <cell r="R221">
            <v>1100003</v>
          </cell>
          <cell r="S221" t="b">
            <v>0</v>
          </cell>
          <cell r="T221">
            <v>275000.75</v>
          </cell>
          <cell r="U221">
            <v>77649</v>
          </cell>
          <cell r="V221">
            <v>1163444</v>
          </cell>
          <cell r="W221">
            <v>1085795</v>
          </cell>
          <cell r="X221" t="b">
            <v>1</v>
          </cell>
          <cell r="Y221">
            <v>11429.421052631578</v>
          </cell>
          <cell r="Z221">
            <v>9412</v>
          </cell>
          <cell r="AA221">
            <v>14118</v>
          </cell>
          <cell r="AB221">
            <v>9441.6956521739139</v>
          </cell>
          <cell r="AE221">
            <v>98</v>
          </cell>
          <cell r="AF221">
            <v>95</v>
          </cell>
          <cell r="AG221" t="b">
            <v>1</v>
          </cell>
          <cell r="AH221">
            <v>119</v>
          </cell>
          <cell r="AI221">
            <v>100</v>
          </cell>
          <cell r="AJ221" t="str">
            <v/>
          </cell>
          <cell r="AK221" t="str">
            <v/>
          </cell>
          <cell r="AL221" t="str">
            <v/>
          </cell>
          <cell r="AM221" t="str">
            <v/>
          </cell>
          <cell r="AN221">
            <v>5</v>
          </cell>
          <cell r="AQ221" t="str">
            <v/>
          </cell>
          <cell r="AV221">
            <v>13</v>
          </cell>
          <cell r="AW221" t="str">
            <v/>
          </cell>
          <cell r="AX221" t="str">
            <v/>
          </cell>
          <cell r="AY221" t="str">
            <v/>
          </cell>
          <cell r="AZ221" t="str">
            <v/>
          </cell>
          <cell r="BA221" t="str">
            <v/>
          </cell>
          <cell r="BB221" t="str">
            <v/>
          </cell>
          <cell r="BC221" t="str">
            <v/>
          </cell>
          <cell r="BD221" t="str">
            <v/>
          </cell>
          <cell r="BE221" t="str">
            <v/>
          </cell>
          <cell r="BF221" t="str">
            <v/>
          </cell>
          <cell r="BG221" t="str">
            <v/>
          </cell>
          <cell r="BH221">
            <v>14115335</v>
          </cell>
          <cell r="BJ221" t="str">
            <v/>
          </cell>
          <cell r="BK221" t="str">
            <v/>
          </cell>
          <cell r="BL221" t="str">
            <v/>
          </cell>
          <cell r="BM221" t="str">
            <v/>
          </cell>
          <cell r="BN221" t="str">
            <v/>
          </cell>
          <cell r="BO221" t="str">
            <v/>
          </cell>
          <cell r="BP221" t="str">
            <v/>
          </cell>
          <cell r="BQ221" t="str">
            <v/>
          </cell>
          <cell r="BR221" t="str">
            <v/>
          </cell>
          <cell r="BS221" t="str">
            <v/>
          </cell>
          <cell r="BT221" t="str">
            <v/>
          </cell>
          <cell r="BU221" t="str">
            <v/>
          </cell>
          <cell r="BV221" t="str">
            <v/>
          </cell>
          <cell r="BW221" t="str">
            <v/>
          </cell>
          <cell r="BX221">
            <v>14300039</v>
          </cell>
          <cell r="BY221" t="str">
            <v/>
          </cell>
          <cell r="BZ221" t="str">
            <v/>
          </cell>
          <cell r="CA221" t="str">
            <v/>
          </cell>
          <cell r="CC221" t="str">
            <v/>
          </cell>
          <cell r="CD221" t="str">
            <v/>
          </cell>
          <cell r="CE221" t="str">
            <v/>
          </cell>
          <cell r="CF221" t="str">
            <v/>
          </cell>
        </row>
        <row r="222">
          <cell r="A222">
            <v>2046</v>
          </cell>
          <cell r="B222" t="str">
            <v>2046_ホテルナガシマ</v>
          </cell>
          <cell r="C222" t="str">
            <v/>
          </cell>
          <cell r="D222" t="str">
            <v/>
          </cell>
          <cell r="E222" t="str">
            <v/>
          </cell>
          <cell r="F222" t="str">
            <v/>
          </cell>
          <cell r="G222" t="str">
            <v/>
          </cell>
          <cell r="H222">
            <v>1</v>
          </cell>
          <cell r="I222">
            <v>116</v>
          </cell>
          <cell r="J222" t="b">
            <v>0</v>
          </cell>
          <cell r="K222" t="str">
            <v/>
          </cell>
          <cell r="L222">
            <v>15011792</v>
          </cell>
          <cell r="M222">
            <v>0</v>
          </cell>
          <cell r="N222">
            <v>0</v>
          </cell>
          <cell r="O222">
            <v>0</v>
          </cell>
          <cell r="P222">
            <v>0</v>
          </cell>
          <cell r="Q222">
            <v>16512971.200000001</v>
          </cell>
          <cell r="R222">
            <v>16512971</v>
          </cell>
          <cell r="S222" t="b">
            <v>0</v>
          </cell>
          <cell r="T222">
            <v>142353.19827586206</v>
          </cell>
          <cell r="U222">
            <v>0</v>
          </cell>
          <cell r="V222">
            <v>4529412</v>
          </cell>
          <cell r="W222">
            <v>4529412</v>
          </cell>
          <cell r="X222" t="b">
            <v>1</v>
          </cell>
          <cell r="Y222">
            <v>47678.021052631579</v>
          </cell>
          <cell r="AB222" t="str">
            <v/>
          </cell>
          <cell r="AE222">
            <v>95</v>
          </cell>
          <cell r="AF222">
            <v>95</v>
          </cell>
          <cell r="AG222" t="b">
            <v>1</v>
          </cell>
          <cell r="AH222">
            <v>190</v>
          </cell>
          <cell r="AI222" t="str">
            <v/>
          </cell>
          <cell r="AJ222" t="str">
            <v/>
          </cell>
          <cell r="AK222" t="str">
            <v/>
          </cell>
          <cell r="AL222" t="str">
            <v/>
          </cell>
          <cell r="AM222" t="str">
            <v/>
          </cell>
          <cell r="AN222" t="str">
            <v/>
          </cell>
          <cell r="AQ222" t="str">
            <v/>
          </cell>
          <cell r="AV222" t="str">
            <v/>
          </cell>
          <cell r="AW222" t="str">
            <v/>
          </cell>
          <cell r="AX222" t="str">
            <v/>
          </cell>
          <cell r="AY222" t="str">
            <v/>
          </cell>
          <cell r="AZ222" t="str">
            <v/>
          </cell>
          <cell r="BA222" t="str">
            <v/>
          </cell>
          <cell r="BB222" t="str">
            <v/>
          </cell>
          <cell r="BC222" t="str">
            <v/>
          </cell>
          <cell r="BD222" t="str">
            <v/>
          </cell>
          <cell r="BE222" t="str">
            <v/>
          </cell>
          <cell r="BF222" t="str">
            <v/>
          </cell>
          <cell r="BG222" t="str">
            <v/>
          </cell>
          <cell r="BH222" t="str">
            <v/>
          </cell>
          <cell r="BJ222" t="str">
            <v/>
          </cell>
          <cell r="BK222" t="str">
            <v/>
          </cell>
          <cell r="BL222" t="str">
            <v/>
          </cell>
          <cell r="BM222" t="str">
            <v/>
          </cell>
          <cell r="BN222" t="str">
            <v/>
          </cell>
          <cell r="BO222" t="str">
            <v/>
          </cell>
          <cell r="BP222" t="str">
            <v/>
          </cell>
          <cell r="BQ222" t="str">
            <v/>
          </cell>
          <cell r="BR222" t="str">
            <v/>
          </cell>
          <cell r="BS222" t="str">
            <v/>
          </cell>
          <cell r="BT222" t="str">
            <v/>
          </cell>
          <cell r="BU222" t="str">
            <v/>
          </cell>
          <cell r="BV222" t="str">
            <v/>
          </cell>
          <cell r="BW222" t="str">
            <v/>
          </cell>
          <cell r="BX222" t="str">
            <v/>
          </cell>
          <cell r="BY222" t="str">
            <v/>
          </cell>
          <cell r="BZ222" t="str">
            <v/>
          </cell>
          <cell r="CA222" t="str">
            <v/>
          </cell>
          <cell r="CC222" t="str">
            <v/>
          </cell>
          <cell r="CD222" t="str">
            <v/>
          </cell>
          <cell r="CE222" t="str">
            <v/>
          </cell>
          <cell r="CF222" t="str">
            <v/>
          </cell>
        </row>
        <row r="223">
          <cell r="A223">
            <v>2048</v>
          </cell>
          <cell r="B223" t="str">
            <v>2048_東京イーストサイドホテル櫂会</v>
          </cell>
          <cell r="C223" t="str">
            <v/>
          </cell>
          <cell r="D223" t="str">
            <v/>
          </cell>
          <cell r="E223" t="str">
            <v/>
          </cell>
          <cell r="F223" t="str">
            <v/>
          </cell>
          <cell r="G223" t="str">
            <v/>
          </cell>
          <cell r="H223">
            <v>3</v>
          </cell>
          <cell r="I223">
            <v>0</v>
          </cell>
          <cell r="J223" t="b">
            <v>0</v>
          </cell>
          <cell r="K223" t="str">
            <v/>
          </cell>
          <cell r="L223">
            <v>0</v>
          </cell>
          <cell r="M223">
            <v>0</v>
          </cell>
          <cell r="N223">
            <v>0</v>
          </cell>
          <cell r="O223">
            <v>0</v>
          </cell>
          <cell r="P223">
            <v>0</v>
          </cell>
          <cell r="Q223">
            <v>0</v>
          </cell>
          <cell r="R223">
            <v>0</v>
          </cell>
          <cell r="S223" t="b">
            <v>1</v>
          </cell>
          <cell r="T223" t="str">
            <v/>
          </cell>
          <cell r="U223">
            <v>0</v>
          </cell>
          <cell r="V223">
            <v>12346074</v>
          </cell>
          <cell r="W223">
            <v>12346074</v>
          </cell>
          <cell r="X223" t="b">
            <v>1</v>
          </cell>
          <cell r="Y223">
            <v>58236.198113207545</v>
          </cell>
          <cell r="AB223" t="str">
            <v/>
          </cell>
          <cell r="AE223" t="str">
            <v>調査中</v>
          </cell>
          <cell r="AF223">
            <v>212</v>
          </cell>
          <cell r="AG223" t="b">
            <v>1</v>
          </cell>
          <cell r="AH223" t="str">
            <v>調査中</v>
          </cell>
          <cell r="AI223" t="str">
            <v/>
          </cell>
          <cell r="AJ223" t="str">
            <v/>
          </cell>
          <cell r="AK223" t="str">
            <v/>
          </cell>
          <cell r="AL223" t="str">
            <v/>
          </cell>
          <cell r="AM223" t="str">
            <v/>
          </cell>
          <cell r="AN223" t="str">
            <v/>
          </cell>
          <cell r="AO223" t="str">
            <v/>
          </cell>
          <cell r="AQ223" t="str">
            <v/>
          </cell>
          <cell r="AR223" t="str">
            <v/>
          </cell>
          <cell r="AV223" t="str">
            <v/>
          </cell>
          <cell r="AW223" t="str">
            <v/>
          </cell>
          <cell r="AX223" t="str">
            <v/>
          </cell>
          <cell r="AY223" t="str">
            <v/>
          </cell>
          <cell r="AZ223" t="str">
            <v/>
          </cell>
          <cell r="BA223" t="str">
            <v/>
          </cell>
          <cell r="BB223" t="str">
            <v/>
          </cell>
          <cell r="BC223" t="str">
            <v/>
          </cell>
          <cell r="BD223" t="str">
            <v/>
          </cell>
          <cell r="BE223" t="str">
            <v/>
          </cell>
          <cell r="BF223" t="str">
            <v/>
          </cell>
          <cell r="BG223" t="str">
            <v/>
          </cell>
          <cell r="BH223" t="str">
            <v/>
          </cell>
          <cell r="BJ223" t="str">
            <v/>
          </cell>
          <cell r="BK223" t="str">
            <v/>
          </cell>
          <cell r="BL223" t="str">
            <v/>
          </cell>
          <cell r="BM223" t="str">
            <v/>
          </cell>
          <cell r="BN223" t="str">
            <v/>
          </cell>
          <cell r="BO223" t="str">
            <v/>
          </cell>
          <cell r="BP223" t="str">
            <v/>
          </cell>
          <cell r="BQ223" t="str">
            <v/>
          </cell>
          <cell r="BR223" t="str">
            <v/>
          </cell>
          <cell r="BS223" t="str">
            <v/>
          </cell>
          <cell r="BT223" t="str">
            <v/>
          </cell>
          <cell r="BU223" t="str">
            <v/>
          </cell>
          <cell r="BV223" t="str">
            <v/>
          </cell>
          <cell r="BW223" t="str">
            <v/>
          </cell>
          <cell r="BX223" t="str">
            <v/>
          </cell>
          <cell r="BY223" t="str">
            <v/>
          </cell>
          <cell r="BZ223" t="str">
            <v/>
          </cell>
          <cell r="CA223" t="str">
            <v/>
          </cell>
          <cell r="CC223" t="str">
            <v/>
          </cell>
          <cell r="CD223" t="str">
            <v/>
          </cell>
          <cell r="CE223" t="str">
            <v/>
          </cell>
          <cell r="CF223" t="str">
            <v/>
          </cell>
        </row>
        <row r="224">
          <cell r="A224">
            <v>2050</v>
          </cell>
          <cell r="B224" t="str">
            <v>2050_二子玉川エクセルホテル東急</v>
          </cell>
          <cell r="C224" t="str">
            <v/>
          </cell>
          <cell r="D224" t="str">
            <v/>
          </cell>
          <cell r="E224" t="str">
            <v/>
          </cell>
          <cell r="F224" t="str">
            <v/>
          </cell>
          <cell r="G224" t="str">
            <v/>
          </cell>
          <cell r="H224">
            <v>3</v>
          </cell>
          <cell r="I224">
            <v>0</v>
          </cell>
          <cell r="J224" t="b">
            <v>0</v>
          </cell>
          <cell r="K224" t="str">
            <v/>
          </cell>
          <cell r="L224">
            <v>0</v>
          </cell>
          <cell r="M224">
            <v>0</v>
          </cell>
          <cell r="N224">
            <v>0</v>
          </cell>
          <cell r="O224">
            <v>0</v>
          </cell>
          <cell r="P224">
            <v>0</v>
          </cell>
          <cell r="Q224">
            <v>0</v>
          </cell>
          <cell r="R224">
            <v>0</v>
          </cell>
          <cell r="S224" t="b">
            <v>1</v>
          </cell>
          <cell r="T224" t="str">
            <v/>
          </cell>
          <cell r="U224">
            <v>0</v>
          </cell>
          <cell r="V224">
            <v>6173037</v>
          </cell>
          <cell r="W224">
            <v>6173037</v>
          </cell>
          <cell r="X224" t="b">
            <v>1</v>
          </cell>
          <cell r="Y224">
            <v>58236.198113207545</v>
          </cell>
          <cell r="AB224" t="str">
            <v/>
          </cell>
          <cell r="AE224" t="str">
            <v>調査中</v>
          </cell>
          <cell r="AF224">
            <v>106</v>
          </cell>
          <cell r="AG224" t="b">
            <v>1</v>
          </cell>
          <cell r="AH224" t="str">
            <v>調査中</v>
          </cell>
          <cell r="AI224" t="str">
            <v/>
          </cell>
          <cell r="AJ224" t="str">
            <v/>
          </cell>
          <cell r="AK224" t="str">
            <v/>
          </cell>
          <cell r="AL224" t="str">
            <v/>
          </cell>
          <cell r="AM224" t="str">
            <v/>
          </cell>
          <cell r="AN224" t="str">
            <v/>
          </cell>
          <cell r="AQ224" t="str">
            <v/>
          </cell>
          <cell r="AV224" t="str">
            <v/>
          </cell>
          <cell r="AW224" t="str">
            <v/>
          </cell>
          <cell r="AX224" t="str">
            <v/>
          </cell>
          <cell r="AY224" t="str">
            <v/>
          </cell>
          <cell r="AZ224" t="str">
            <v/>
          </cell>
          <cell r="BA224" t="str">
            <v/>
          </cell>
          <cell r="BB224" t="str">
            <v/>
          </cell>
          <cell r="BC224" t="str">
            <v/>
          </cell>
          <cell r="BD224" t="str">
            <v/>
          </cell>
          <cell r="BE224" t="str">
            <v/>
          </cell>
          <cell r="BF224" t="str">
            <v/>
          </cell>
          <cell r="BG224" t="str">
            <v/>
          </cell>
          <cell r="BH224" t="str">
            <v/>
          </cell>
          <cell r="BJ224" t="str">
            <v/>
          </cell>
          <cell r="BK224" t="str">
            <v/>
          </cell>
          <cell r="BL224" t="str">
            <v/>
          </cell>
          <cell r="BM224" t="str">
            <v/>
          </cell>
          <cell r="BN224" t="str">
            <v/>
          </cell>
          <cell r="BO224" t="str">
            <v/>
          </cell>
          <cell r="BP224" t="str">
            <v/>
          </cell>
          <cell r="BQ224" t="str">
            <v/>
          </cell>
          <cell r="BR224" t="str">
            <v/>
          </cell>
          <cell r="BS224" t="str">
            <v/>
          </cell>
          <cell r="BT224" t="str">
            <v/>
          </cell>
          <cell r="BU224" t="str">
            <v/>
          </cell>
          <cell r="BV224" t="str">
            <v/>
          </cell>
          <cell r="BW224" t="str">
            <v/>
          </cell>
          <cell r="BX224" t="str">
            <v/>
          </cell>
          <cell r="BY224" t="str">
            <v/>
          </cell>
          <cell r="BZ224" t="str">
            <v/>
          </cell>
          <cell r="CA224" t="str">
            <v/>
          </cell>
          <cell r="CC224" t="str">
            <v/>
          </cell>
          <cell r="CD224" t="str">
            <v/>
          </cell>
          <cell r="CE224" t="str">
            <v/>
          </cell>
          <cell r="CF224" t="str">
            <v/>
          </cell>
        </row>
        <row r="225">
          <cell r="A225">
            <v>2051</v>
          </cell>
          <cell r="B225" t="str">
            <v>2051_東京ベイ潮見プリンスホテル</v>
          </cell>
          <cell r="C225" t="str">
            <v>選手（修正案）</v>
          </cell>
          <cell r="D225" t="str">
            <v>選手12000</v>
          </cell>
          <cell r="E225" t="str">
            <v/>
          </cell>
          <cell r="F225" t="str">
            <v/>
          </cell>
          <cell r="G225" t="str">
            <v/>
          </cell>
          <cell r="H225">
            <v>3</v>
          </cell>
          <cell r="I225">
            <v>3</v>
          </cell>
          <cell r="J225" t="b">
            <v>1</v>
          </cell>
          <cell r="K225" t="str">
            <v/>
          </cell>
          <cell r="L225">
            <v>1411767</v>
          </cell>
          <cell r="M225">
            <v>0</v>
          </cell>
          <cell r="P225">
            <v>121000</v>
          </cell>
          <cell r="Q225">
            <v>1673943.7000000002</v>
          </cell>
          <cell r="R225">
            <v>1673943</v>
          </cell>
          <cell r="S225" t="b">
            <v>1</v>
          </cell>
          <cell r="T225">
            <v>557981</v>
          </cell>
          <cell r="U225">
            <v>3580497</v>
          </cell>
          <cell r="V225">
            <v>13733412</v>
          </cell>
          <cell r="W225">
            <v>10152915</v>
          </cell>
          <cell r="X225" t="b">
            <v>1</v>
          </cell>
          <cell r="Y225">
            <v>49047.89855072464</v>
          </cell>
          <cell r="Z225">
            <v>44589</v>
          </cell>
          <cell r="AA225">
            <v>44589</v>
          </cell>
          <cell r="AB225">
            <v>13645.474094482899</v>
          </cell>
          <cell r="AC225">
            <v>3277</v>
          </cell>
          <cell r="AE225">
            <v>605</v>
          </cell>
          <cell r="AF225">
            <v>207</v>
          </cell>
          <cell r="AG225" t="b">
            <v>1</v>
          </cell>
          <cell r="AH225">
            <v>2324</v>
          </cell>
          <cell r="AI225">
            <v>647</v>
          </cell>
          <cell r="AJ225" t="str">
            <v/>
          </cell>
          <cell r="AK225" t="str">
            <v/>
          </cell>
          <cell r="AL225" t="str">
            <v/>
          </cell>
          <cell r="AM225" t="str">
            <v/>
          </cell>
          <cell r="AN225">
            <v>440</v>
          </cell>
          <cell r="AQ225" t="str">
            <v/>
          </cell>
          <cell r="AV225">
            <v>22</v>
          </cell>
          <cell r="AW225">
            <v>21</v>
          </cell>
          <cell r="AX225" t="str">
            <v/>
          </cell>
          <cell r="AY225" t="str">
            <v/>
          </cell>
          <cell r="AZ225" t="str">
            <v/>
          </cell>
          <cell r="BA225" t="str">
            <v/>
          </cell>
          <cell r="BB225" t="str">
            <v/>
          </cell>
          <cell r="BC225" t="str">
            <v/>
          </cell>
          <cell r="BD225" t="str">
            <v/>
          </cell>
          <cell r="BE225" t="str">
            <v/>
          </cell>
          <cell r="BF225" t="str">
            <v/>
          </cell>
          <cell r="BG225" t="str">
            <v/>
          </cell>
          <cell r="BH225">
            <v>223364130</v>
          </cell>
          <cell r="BI225">
            <v>213211215</v>
          </cell>
          <cell r="BJ225" t="str">
            <v/>
          </cell>
          <cell r="BK225" t="str">
            <v/>
          </cell>
          <cell r="BL225" t="str">
            <v/>
          </cell>
          <cell r="BM225" t="str">
            <v/>
          </cell>
          <cell r="BN225" t="str">
            <v/>
          </cell>
          <cell r="BO225" t="str">
            <v/>
          </cell>
          <cell r="BP225" t="str">
            <v/>
          </cell>
          <cell r="BQ225" t="str">
            <v/>
          </cell>
          <cell r="BR225" t="str">
            <v/>
          </cell>
          <cell r="BS225" t="str">
            <v/>
          </cell>
          <cell r="BT225" t="str">
            <v/>
          </cell>
          <cell r="BU225" t="str">
            <v/>
          </cell>
          <cell r="BV225" t="str">
            <v/>
          </cell>
          <cell r="BW225" t="str">
            <v/>
          </cell>
          <cell r="BX225">
            <v>36826746</v>
          </cell>
          <cell r="BY225">
            <v>35152803</v>
          </cell>
          <cell r="BZ225" t="str">
            <v/>
          </cell>
          <cell r="CA225" t="str">
            <v/>
          </cell>
          <cell r="CC225" t="str">
            <v/>
          </cell>
          <cell r="CD225" t="str">
            <v/>
          </cell>
          <cell r="CE225" t="str">
            <v/>
          </cell>
          <cell r="CF225" t="str">
            <v/>
          </cell>
        </row>
        <row r="226">
          <cell r="A226">
            <v>3000</v>
          </cell>
          <cell r="B226" t="str">
            <v>3000_ホテルルートイン愛知東郷町</v>
          </cell>
          <cell r="C226" t="str">
            <v/>
          </cell>
          <cell r="D226" t="str">
            <v>選手12000</v>
          </cell>
          <cell r="E226" t="str">
            <v/>
          </cell>
          <cell r="F226" t="str">
            <v/>
          </cell>
          <cell r="G226" t="str">
            <v/>
          </cell>
          <cell r="H226">
            <v>0</v>
          </cell>
          <cell r="I226">
            <v>0</v>
          </cell>
          <cell r="J226" t="b">
            <v>1</v>
          </cell>
          <cell r="K226" t="str">
            <v/>
          </cell>
          <cell r="L226">
            <v>0</v>
          </cell>
          <cell r="M226">
            <v>0</v>
          </cell>
          <cell r="O226">
            <v>0</v>
          </cell>
          <cell r="P226">
            <v>0</v>
          </cell>
          <cell r="R226">
            <v>0</v>
          </cell>
          <cell r="S226" t="b">
            <v>1</v>
          </cell>
          <cell r="T226" t="str">
            <v/>
          </cell>
          <cell r="U226">
            <v>0</v>
          </cell>
          <cell r="V226">
            <v>2750022</v>
          </cell>
          <cell r="W226">
            <v>2750022</v>
          </cell>
          <cell r="X226" t="b">
            <v>1</v>
          </cell>
          <cell r="Y226">
            <v>16176.6</v>
          </cell>
          <cell r="AB226" t="str">
            <v/>
          </cell>
          <cell r="AC226">
            <v>0</v>
          </cell>
          <cell r="AE226" t="str">
            <v>調査中</v>
          </cell>
          <cell r="AF226">
            <v>170</v>
          </cell>
          <cell r="AG226" t="b">
            <v>1</v>
          </cell>
          <cell r="AH226" t="str">
            <v>調査中</v>
          </cell>
          <cell r="AI226" t="str">
            <v/>
          </cell>
          <cell r="AJ226" t="str">
            <v/>
          </cell>
          <cell r="AK226" t="str">
            <v/>
          </cell>
          <cell r="AL226" t="str">
            <v/>
          </cell>
          <cell r="AM226" t="str">
            <v/>
          </cell>
          <cell r="AN226" t="str">
            <v/>
          </cell>
          <cell r="AQ226" t="str">
            <v/>
          </cell>
          <cell r="AV226" t="str">
            <v/>
          </cell>
          <cell r="AW226">
            <v>30</v>
          </cell>
          <cell r="AX226" t="str">
            <v/>
          </cell>
          <cell r="AY226" t="str">
            <v/>
          </cell>
          <cell r="AZ226" t="str">
            <v/>
          </cell>
          <cell r="BA226" t="str">
            <v/>
          </cell>
          <cell r="BB226" t="str">
            <v/>
          </cell>
          <cell r="BC226" t="str">
            <v/>
          </cell>
          <cell r="BD226" t="str">
            <v/>
          </cell>
          <cell r="BE226" t="str">
            <v/>
          </cell>
          <cell r="BF226" t="str">
            <v/>
          </cell>
          <cell r="BG226" t="str">
            <v/>
          </cell>
          <cell r="BH226" t="str">
            <v/>
          </cell>
          <cell r="BI226">
            <v>82500660</v>
          </cell>
          <cell r="BJ226" t="str">
            <v/>
          </cell>
          <cell r="BK226" t="str">
            <v/>
          </cell>
          <cell r="BL226" t="str">
            <v/>
          </cell>
          <cell r="BM226" t="str">
            <v/>
          </cell>
          <cell r="BN226" t="str">
            <v/>
          </cell>
          <cell r="BO226" t="str">
            <v/>
          </cell>
          <cell r="BP226" t="str">
            <v/>
          </cell>
          <cell r="BQ226" t="str">
            <v/>
          </cell>
          <cell r="BR226" t="str">
            <v/>
          </cell>
          <cell r="BS226" t="str">
            <v/>
          </cell>
          <cell r="BT226" t="str">
            <v/>
          </cell>
          <cell r="BU226" t="str">
            <v/>
          </cell>
          <cell r="BV226" t="str">
            <v/>
          </cell>
          <cell r="BW226" t="str">
            <v/>
          </cell>
          <cell r="BX226" t="str">
            <v/>
          </cell>
          <cell r="BY226" t="str">
            <v/>
          </cell>
          <cell r="BZ226" t="str">
            <v/>
          </cell>
          <cell r="CA226" t="str">
            <v/>
          </cell>
          <cell r="CC226" t="str">
            <v/>
          </cell>
          <cell r="CD226" t="str">
            <v/>
          </cell>
          <cell r="CE226" t="str">
            <v/>
          </cell>
          <cell r="CF226" t="str">
            <v/>
          </cell>
        </row>
        <row r="227">
          <cell r="A227">
            <v>3001</v>
          </cell>
          <cell r="B227" t="str">
            <v>3001_グランドニッコー東京 台場</v>
          </cell>
          <cell r="C227" t="str">
            <v/>
          </cell>
          <cell r="D227" t="str">
            <v>ファミリー</v>
          </cell>
          <cell r="E227" t="str">
            <v/>
          </cell>
          <cell r="F227" t="str">
            <v/>
          </cell>
          <cell r="G227" t="str">
            <v/>
          </cell>
          <cell r="H227">
            <v>0</v>
          </cell>
          <cell r="I227">
            <v>0</v>
          </cell>
          <cell r="J227" t="b">
            <v>1</v>
          </cell>
          <cell r="K227">
            <v>0</v>
          </cell>
          <cell r="R227">
            <v>0</v>
          </cell>
          <cell r="S227" t="b">
            <v>1</v>
          </cell>
          <cell r="T227" t="str">
            <v/>
          </cell>
          <cell r="U227">
            <v>0</v>
          </cell>
          <cell r="V227">
            <v>9695919</v>
          </cell>
          <cell r="W227">
            <v>9695919</v>
          </cell>
          <cell r="X227" t="b">
            <v>1</v>
          </cell>
          <cell r="Y227">
            <v>96959.19</v>
          </cell>
          <cell r="AB227" t="str">
            <v/>
          </cell>
          <cell r="AE227" t="str">
            <v>Not Found</v>
          </cell>
          <cell r="AF227">
            <v>100</v>
          </cell>
          <cell r="AG227" t="b">
            <v>1</v>
          </cell>
          <cell r="AI227" t="str">
            <v/>
          </cell>
          <cell r="AJ227">
            <v>60</v>
          </cell>
          <cell r="AK227" t="str">
            <v/>
          </cell>
          <cell r="AL227" t="str">
            <v/>
          </cell>
          <cell r="AM227" t="str">
            <v/>
          </cell>
          <cell r="AN227" t="str">
            <v/>
          </cell>
          <cell r="AO227">
            <v>-40</v>
          </cell>
          <cell r="AQ227" t="str">
            <v/>
          </cell>
          <cell r="AV227" t="str">
            <v/>
          </cell>
          <cell r="AW227" t="str">
            <v/>
          </cell>
          <cell r="AX227" t="str">
            <v/>
          </cell>
          <cell r="AY227">
            <v>20</v>
          </cell>
          <cell r="AZ227" t="str">
            <v/>
          </cell>
          <cell r="BA227" t="str">
            <v/>
          </cell>
          <cell r="BB227" t="str">
            <v/>
          </cell>
          <cell r="BC227" t="str">
            <v/>
          </cell>
          <cell r="BD227" t="str">
            <v/>
          </cell>
          <cell r="BE227" t="str">
            <v/>
          </cell>
          <cell r="BF227" t="str">
            <v/>
          </cell>
          <cell r="BG227" t="str">
            <v/>
          </cell>
          <cell r="BH227" t="str">
            <v/>
          </cell>
          <cell r="BJ227">
            <v>116351028</v>
          </cell>
          <cell r="BK227" t="str">
            <v/>
          </cell>
          <cell r="BL227" t="str">
            <v/>
          </cell>
          <cell r="BM227" t="str">
            <v/>
          </cell>
          <cell r="BN227" t="str">
            <v/>
          </cell>
          <cell r="BO227" t="str">
            <v/>
          </cell>
          <cell r="BP227" t="str">
            <v/>
          </cell>
          <cell r="BQ227" t="str">
            <v/>
          </cell>
          <cell r="BR227" t="str">
            <v/>
          </cell>
          <cell r="BS227" t="str">
            <v/>
          </cell>
          <cell r="BT227" t="str">
            <v/>
          </cell>
          <cell r="BU227" t="str">
            <v/>
          </cell>
          <cell r="BV227" t="str">
            <v/>
          </cell>
          <cell r="BW227" t="str">
            <v/>
          </cell>
          <cell r="BX227" t="str">
            <v/>
          </cell>
          <cell r="BY227" t="str">
            <v/>
          </cell>
          <cell r="BZ227" t="str">
            <v/>
          </cell>
          <cell r="CA227" t="str">
            <v/>
          </cell>
          <cell r="CC227" t="str">
            <v/>
          </cell>
          <cell r="CD227" t="str">
            <v/>
          </cell>
          <cell r="CE227" t="str">
            <v/>
          </cell>
          <cell r="CF227" t="str">
            <v/>
          </cell>
        </row>
        <row r="228">
          <cell r="A228">
            <v>3002</v>
          </cell>
          <cell r="B228" t="str">
            <v>3002_長島温泉ガーデンホテルオリーブ</v>
          </cell>
          <cell r="C228" t="str">
            <v/>
          </cell>
          <cell r="D228" t="str">
            <v/>
          </cell>
          <cell r="E228" t="str">
            <v/>
          </cell>
          <cell r="F228" t="str">
            <v/>
          </cell>
          <cell r="G228" t="str">
            <v/>
          </cell>
          <cell r="H228">
            <v>0</v>
          </cell>
          <cell r="I228">
            <v>0</v>
          </cell>
          <cell r="J228" t="b">
            <v>1</v>
          </cell>
          <cell r="K228" t="str">
            <v/>
          </cell>
          <cell r="L228">
            <v>0</v>
          </cell>
          <cell r="R228">
            <v>0</v>
          </cell>
          <cell r="S228" t="b">
            <v>1</v>
          </cell>
          <cell r="T228" t="str">
            <v/>
          </cell>
          <cell r="U228">
            <v>0</v>
          </cell>
          <cell r="V228">
            <v>12096483</v>
          </cell>
          <cell r="W228">
            <v>12096483</v>
          </cell>
          <cell r="X228" t="b">
            <v>1</v>
          </cell>
          <cell r="Y228">
            <v>95247.897637795279</v>
          </cell>
          <cell r="AB228" t="str">
            <v/>
          </cell>
          <cell r="AF228">
            <v>127</v>
          </cell>
          <cell r="AG228" t="b">
            <v>1</v>
          </cell>
          <cell r="AI228" t="str">
            <v/>
          </cell>
          <cell r="AJ228" t="str">
            <v/>
          </cell>
          <cell r="AK228" t="str">
            <v/>
          </cell>
          <cell r="AL228" t="str">
            <v/>
          </cell>
          <cell r="AM228" t="str">
            <v/>
          </cell>
          <cell r="AN228" t="str">
            <v/>
          </cell>
          <cell r="AQ228" t="str">
            <v/>
          </cell>
          <cell r="AV228" t="str">
            <v/>
          </cell>
          <cell r="AW228" t="str">
            <v/>
          </cell>
          <cell r="AX228" t="str">
            <v/>
          </cell>
          <cell r="AY228" t="str">
            <v/>
          </cell>
          <cell r="AZ228" t="str">
            <v/>
          </cell>
          <cell r="BA228" t="str">
            <v/>
          </cell>
          <cell r="BB228" t="str">
            <v/>
          </cell>
          <cell r="BC228" t="str">
            <v/>
          </cell>
          <cell r="BD228" t="str">
            <v/>
          </cell>
          <cell r="BE228" t="str">
            <v/>
          </cell>
          <cell r="BF228" t="str">
            <v/>
          </cell>
          <cell r="BG228" t="str">
            <v/>
          </cell>
          <cell r="BH228" t="str">
            <v/>
          </cell>
          <cell r="BJ228" t="str">
            <v/>
          </cell>
          <cell r="BK228" t="str">
            <v/>
          </cell>
          <cell r="BL228" t="str">
            <v/>
          </cell>
          <cell r="BM228" t="str">
            <v/>
          </cell>
          <cell r="BN228" t="str">
            <v/>
          </cell>
          <cell r="BO228" t="str">
            <v/>
          </cell>
          <cell r="BP228" t="str">
            <v/>
          </cell>
          <cell r="BQ228" t="str">
            <v/>
          </cell>
          <cell r="BR228" t="str">
            <v/>
          </cell>
          <cell r="BS228" t="str">
            <v/>
          </cell>
          <cell r="BT228" t="str">
            <v/>
          </cell>
          <cell r="BU228" t="str">
            <v/>
          </cell>
          <cell r="BV228" t="str">
            <v/>
          </cell>
          <cell r="BW228" t="str">
            <v/>
          </cell>
          <cell r="BX228" t="str">
            <v/>
          </cell>
          <cell r="BY228" t="str">
            <v/>
          </cell>
          <cell r="BZ228" t="str">
            <v/>
          </cell>
          <cell r="CA228" t="str">
            <v/>
          </cell>
          <cell r="CC228" t="str">
            <v/>
          </cell>
          <cell r="CD228" t="str">
            <v/>
          </cell>
          <cell r="CE228" t="str">
            <v/>
          </cell>
          <cell r="CF228" t="str">
            <v/>
          </cell>
        </row>
        <row r="229">
          <cell r="A229">
            <v>3003</v>
          </cell>
          <cell r="B229" t="str">
            <v>3003_長島温泉 ホテル花水木</v>
          </cell>
          <cell r="C229" t="str">
            <v/>
          </cell>
          <cell r="D229" t="str">
            <v/>
          </cell>
          <cell r="E229" t="str">
            <v/>
          </cell>
          <cell r="F229" t="str">
            <v/>
          </cell>
          <cell r="G229" t="str">
            <v/>
          </cell>
          <cell r="H229">
            <v>3</v>
          </cell>
          <cell r="I229">
            <v>0</v>
          </cell>
          <cell r="J229" t="b">
            <v>1</v>
          </cell>
          <cell r="K229" t="str">
            <v/>
          </cell>
          <cell r="L229">
            <v>0</v>
          </cell>
          <cell r="R229">
            <v>0</v>
          </cell>
          <cell r="S229" t="b">
            <v>1</v>
          </cell>
          <cell r="T229" t="str">
            <v/>
          </cell>
          <cell r="U229">
            <v>0</v>
          </cell>
          <cell r="V229">
            <v>16858878</v>
          </cell>
          <cell r="W229">
            <v>16858878</v>
          </cell>
          <cell r="X229" t="b">
            <v>1</v>
          </cell>
          <cell r="Y229">
            <v>95247.898305084746</v>
          </cell>
          <cell r="AB229" t="str">
            <v/>
          </cell>
          <cell r="AF229">
            <v>177</v>
          </cell>
          <cell r="AG229" t="b">
            <v>1</v>
          </cell>
          <cell r="AI229" t="str">
            <v/>
          </cell>
          <cell r="AJ229" t="str">
            <v/>
          </cell>
          <cell r="AK229" t="str">
            <v/>
          </cell>
          <cell r="AL229" t="str">
            <v/>
          </cell>
          <cell r="AM229" t="str">
            <v/>
          </cell>
          <cell r="AN229" t="str">
            <v/>
          </cell>
          <cell r="AQ229" t="str">
            <v/>
          </cell>
          <cell r="AV229" t="str">
            <v/>
          </cell>
          <cell r="AW229" t="str">
            <v/>
          </cell>
          <cell r="AX229" t="str">
            <v/>
          </cell>
          <cell r="AY229" t="str">
            <v/>
          </cell>
          <cell r="AZ229" t="str">
            <v/>
          </cell>
          <cell r="BA229" t="str">
            <v/>
          </cell>
          <cell r="BB229" t="str">
            <v/>
          </cell>
          <cell r="BC229" t="str">
            <v/>
          </cell>
          <cell r="BD229" t="str">
            <v/>
          </cell>
          <cell r="BE229" t="str">
            <v/>
          </cell>
          <cell r="BF229" t="str">
            <v/>
          </cell>
          <cell r="BG229" t="str">
            <v/>
          </cell>
          <cell r="BH229" t="str">
            <v/>
          </cell>
          <cell r="BJ229" t="str">
            <v/>
          </cell>
          <cell r="BK229" t="str">
            <v/>
          </cell>
          <cell r="BL229" t="str">
            <v/>
          </cell>
          <cell r="BM229" t="str">
            <v/>
          </cell>
          <cell r="BN229" t="str">
            <v/>
          </cell>
          <cell r="BO229" t="str">
            <v/>
          </cell>
          <cell r="BP229" t="str">
            <v/>
          </cell>
          <cell r="BQ229" t="str">
            <v/>
          </cell>
          <cell r="BR229" t="str">
            <v/>
          </cell>
          <cell r="BS229" t="str">
            <v/>
          </cell>
          <cell r="BT229" t="str">
            <v/>
          </cell>
          <cell r="BU229" t="str">
            <v/>
          </cell>
          <cell r="BV229" t="str">
            <v/>
          </cell>
          <cell r="BW229" t="str">
            <v/>
          </cell>
          <cell r="BX229" t="str">
            <v/>
          </cell>
          <cell r="BY229" t="str">
            <v/>
          </cell>
          <cell r="BZ229" t="str">
            <v/>
          </cell>
          <cell r="CA229" t="str">
            <v/>
          </cell>
          <cell r="CC229" t="str">
            <v/>
          </cell>
          <cell r="CD229" t="str">
            <v/>
          </cell>
          <cell r="CE229" t="str">
            <v/>
          </cell>
          <cell r="CF229" t="str">
            <v/>
          </cell>
        </row>
        <row r="230">
          <cell r="A230">
            <v>3004</v>
          </cell>
          <cell r="B230" t="str">
            <v>3004_東横イン富士山三島駅</v>
          </cell>
          <cell r="C230" t="str">
            <v>メディア</v>
          </cell>
          <cell r="D230" t="str">
            <v/>
          </cell>
          <cell r="E230" t="str">
            <v/>
          </cell>
          <cell r="F230" t="str">
            <v/>
          </cell>
          <cell r="G230" t="str">
            <v/>
          </cell>
          <cell r="H230">
            <v>0</v>
          </cell>
          <cell r="I230">
            <v>0</v>
          </cell>
          <cell r="J230" t="b">
            <v>1</v>
          </cell>
          <cell r="K230" t="str">
            <v/>
          </cell>
          <cell r="R230">
            <v>0</v>
          </cell>
          <cell r="S230" t="b">
            <v>1</v>
          </cell>
          <cell r="T230" t="str">
            <v/>
          </cell>
          <cell r="U230">
            <v>0</v>
          </cell>
          <cell r="V230">
            <v>449075</v>
          </cell>
          <cell r="W230">
            <v>449075</v>
          </cell>
          <cell r="X230" t="b">
            <v>1</v>
          </cell>
          <cell r="Y230">
            <v>11226.875</v>
          </cell>
          <cell r="AB230">
            <v>7810.0000000000009</v>
          </cell>
          <cell r="AF230">
            <v>40</v>
          </cell>
          <cell r="AG230" t="b">
            <v>1</v>
          </cell>
          <cell r="AI230">
            <v>50</v>
          </cell>
          <cell r="AJ230" t="str">
            <v/>
          </cell>
          <cell r="AK230" t="str">
            <v/>
          </cell>
          <cell r="AL230" t="str">
            <v/>
          </cell>
          <cell r="AM230" t="str">
            <v/>
          </cell>
          <cell r="AN230">
            <v>10</v>
          </cell>
          <cell r="AQ230" t="str">
            <v/>
          </cell>
          <cell r="AV230" t="str">
            <v/>
          </cell>
          <cell r="AW230" t="str">
            <v/>
          </cell>
          <cell r="AX230" t="str">
            <v/>
          </cell>
          <cell r="AY230" t="str">
            <v/>
          </cell>
          <cell r="AZ230">
            <v>32</v>
          </cell>
          <cell r="BA230" t="str">
            <v/>
          </cell>
          <cell r="BB230" t="str">
            <v/>
          </cell>
          <cell r="BC230" t="str">
            <v/>
          </cell>
          <cell r="BD230" t="str">
            <v/>
          </cell>
          <cell r="BE230" t="str">
            <v/>
          </cell>
          <cell r="BF230" t="str">
            <v/>
          </cell>
          <cell r="BG230" t="str">
            <v/>
          </cell>
          <cell r="BH230" t="str">
            <v/>
          </cell>
          <cell r="BJ230" t="str">
            <v/>
          </cell>
          <cell r="BK230">
            <v>17963000</v>
          </cell>
          <cell r="BL230" t="str">
            <v/>
          </cell>
          <cell r="BM230" t="str">
            <v/>
          </cell>
          <cell r="BN230" t="str">
            <v/>
          </cell>
          <cell r="BO230" t="str">
            <v/>
          </cell>
          <cell r="BP230" t="str">
            <v/>
          </cell>
          <cell r="BQ230" t="str">
            <v/>
          </cell>
          <cell r="BR230" t="str">
            <v/>
          </cell>
          <cell r="BS230" t="str">
            <v/>
          </cell>
          <cell r="BT230" t="str">
            <v/>
          </cell>
          <cell r="BU230" t="str">
            <v/>
          </cell>
          <cell r="BV230" t="str">
            <v/>
          </cell>
          <cell r="BW230" t="str">
            <v/>
          </cell>
          <cell r="BX230" t="str">
            <v/>
          </cell>
          <cell r="BY230" t="str">
            <v/>
          </cell>
          <cell r="BZ230" t="str">
            <v/>
          </cell>
          <cell r="CA230" t="str">
            <v/>
          </cell>
          <cell r="CC230" t="str">
            <v/>
          </cell>
          <cell r="CD230" t="str">
            <v/>
          </cell>
          <cell r="CE230" t="str">
            <v/>
          </cell>
          <cell r="CF230" t="str">
            <v/>
          </cell>
        </row>
        <row r="231">
          <cell r="A231">
            <v>3005</v>
          </cell>
          <cell r="B231" t="str">
            <v>3005_アパホテル新大阪駅前</v>
          </cell>
          <cell r="C231" t="str">
            <v>メディア</v>
          </cell>
          <cell r="D231" t="str">
            <v/>
          </cell>
          <cell r="E231" t="str">
            <v/>
          </cell>
          <cell r="F231" t="str">
            <v/>
          </cell>
          <cell r="G231" t="str">
            <v/>
          </cell>
          <cell r="H231">
            <v>0</v>
          </cell>
          <cell r="I231">
            <v>0</v>
          </cell>
          <cell r="J231" t="b">
            <v>1</v>
          </cell>
          <cell r="K231" t="str">
            <v/>
          </cell>
          <cell r="R231">
            <v>0</v>
          </cell>
          <cell r="S231" t="b">
            <v>1</v>
          </cell>
          <cell r="T231" t="str">
            <v/>
          </cell>
          <cell r="U231">
            <v>0</v>
          </cell>
          <cell r="V231">
            <v>3996520</v>
          </cell>
          <cell r="W231">
            <v>3996520</v>
          </cell>
          <cell r="X231" t="b">
            <v>1</v>
          </cell>
          <cell r="Y231">
            <v>28546.571428571428</v>
          </cell>
          <cell r="AB231">
            <v>23168.231884057972</v>
          </cell>
          <cell r="AF231">
            <v>140</v>
          </cell>
          <cell r="AG231" t="b">
            <v>1</v>
          </cell>
          <cell r="AI231">
            <v>150</v>
          </cell>
          <cell r="AJ231" t="str">
            <v/>
          </cell>
          <cell r="AK231" t="str">
            <v/>
          </cell>
          <cell r="AL231" t="str">
            <v/>
          </cell>
          <cell r="AM231" t="str">
            <v/>
          </cell>
          <cell r="AN231">
            <v>10</v>
          </cell>
          <cell r="AQ231" t="str">
            <v/>
          </cell>
          <cell r="AV231" t="str">
            <v/>
          </cell>
          <cell r="AW231" t="str">
            <v/>
          </cell>
          <cell r="AX231" t="str">
            <v/>
          </cell>
          <cell r="AY231" t="str">
            <v/>
          </cell>
          <cell r="AZ231">
            <v>32</v>
          </cell>
          <cell r="BA231" t="str">
            <v/>
          </cell>
          <cell r="BB231" t="str">
            <v/>
          </cell>
          <cell r="BC231" t="str">
            <v/>
          </cell>
          <cell r="BD231" t="str">
            <v/>
          </cell>
          <cell r="BE231" t="str">
            <v/>
          </cell>
          <cell r="BF231" t="str">
            <v/>
          </cell>
          <cell r="BG231" t="str">
            <v/>
          </cell>
          <cell r="BH231" t="str">
            <v/>
          </cell>
          <cell r="BJ231" t="str">
            <v/>
          </cell>
          <cell r="BK231">
            <v>137023542.85714287</v>
          </cell>
          <cell r="BL231" t="str">
            <v/>
          </cell>
          <cell r="BM231" t="str">
            <v/>
          </cell>
          <cell r="BN231" t="str">
            <v/>
          </cell>
          <cell r="BO231" t="str">
            <v/>
          </cell>
          <cell r="BP231" t="str">
            <v/>
          </cell>
          <cell r="BQ231" t="str">
            <v/>
          </cell>
          <cell r="BR231" t="str">
            <v/>
          </cell>
          <cell r="BS231" t="str">
            <v/>
          </cell>
          <cell r="BT231" t="str">
            <v/>
          </cell>
          <cell r="BU231" t="str">
            <v/>
          </cell>
          <cell r="BV231" t="str">
            <v/>
          </cell>
          <cell r="BW231" t="str">
            <v/>
          </cell>
          <cell r="BX231" t="str">
            <v/>
          </cell>
          <cell r="BY231" t="str">
            <v/>
          </cell>
          <cell r="BZ231" t="str">
            <v/>
          </cell>
          <cell r="CA231" t="str">
            <v/>
          </cell>
          <cell r="CC231" t="str">
            <v/>
          </cell>
          <cell r="CD231" t="str">
            <v/>
          </cell>
          <cell r="CE231" t="str">
            <v/>
          </cell>
          <cell r="CF231" t="str">
            <v/>
          </cell>
        </row>
        <row r="232">
          <cell r="A232">
            <v>3006</v>
          </cell>
          <cell r="B232" t="str">
            <v>3006_アパホテル＆リゾート東京ベイ潮見</v>
          </cell>
          <cell r="C232" t="str">
            <v>メディア</v>
          </cell>
          <cell r="D232" t="str">
            <v/>
          </cell>
          <cell r="E232" t="str">
            <v/>
          </cell>
          <cell r="F232" t="str">
            <v/>
          </cell>
          <cell r="G232" t="str">
            <v/>
          </cell>
          <cell r="H232">
            <v>0</v>
          </cell>
          <cell r="I232">
            <v>0</v>
          </cell>
          <cell r="J232" t="b">
            <v>1</v>
          </cell>
          <cell r="K232" t="str">
            <v/>
          </cell>
          <cell r="R232">
            <v>0</v>
          </cell>
          <cell r="S232" t="b">
            <v>1</v>
          </cell>
          <cell r="T232" t="str">
            <v/>
          </cell>
          <cell r="U232">
            <v>0</v>
          </cell>
          <cell r="V232">
            <v>8689516</v>
          </cell>
          <cell r="W232">
            <v>8689516</v>
          </cell>
          <cell r="X232" t="b">
            <v>1</v>
          </cell>
          <cell r="Y232">
            <v>28965.053333333333</v>
          </cell>
          <cell r="AB232">
            <v>21838.441819552652</v>
          </cell>
          <cell r="AF232">
            <v>300</v>
          </cell>
          <cell r="AG232" t="b">
            <v>1</v>
          </cell>
          <cell r="AI232">
            <v>346</v>
          </cell>
          <cell r="AJ232" t="str">
            <v/>
          </cell>
          <cell r="AK232" t="str">
            <v/>
          </cell>
          <cell r="AL232" t="str">
            <v/>
          </cell>
          <cell r="AM232" t="str">
            <v/>
          </cell>
          <cell r="AN232">
            <v>46</v>
          </cell>
          <cell r="AQ232" t="str">
            <v/>
          </cell>
          <cell r="AV232" t="str">
            <v/>
          </cell>
          <cell r="AW232" t="str">
            <v/>
          </cell>
          <cell r="AX232" t="str">
            <v/>
          </cell>
          <cell r="AY232" t="str">
            <v/>
          </cell>
          <cell r="AZ232">
            <v>32</v>
          </cell>
          <cell r="BA232" t="str">
            <v/>
          </cell>
          <cell r="BB232" t="str">
            <v/>
          </cell>
          <cell r="BC232" t="str">
            <v/>
          </cell>
          <cell r="BD232" t="str">
            <v/>
          </cell>
          <cell r="BE232" t="str">
            <v/>
          </cell>
          <cell r="BF232" t="str">
            <v/>
          </cell>
          <cell r="BG232" t="str">
            <v/>
          </cell>
          <cell r="BH232" t="str">
            <v/>
          </cell>
          <cell r="BJ232" t="str">
            <v/>
          </cell>
          <cell r="BK232">
            <v>320701070.50666666</v>
          </cell>
          <cell r="BL232" t="str">
            <v/>
          </cell>
          <cell r="BM232" t="str">
            <v/>
          </cell>
          <cell r="BN232" t="str">
            <v/>
          </cell>
          <cell r="BO232" t="str">
            <v/>
          </cell>
          <cell r="BP232" t="str">
            <v/>
          </cell>
          <cell r="BQ232" t="str">
            <v/>
          </cell>
          <cell r="BR232" t="str">
            <v/>
          </cell>
          <cell r="BS232" t="str">
            <v/>
          </cell>
          <cell r="BT232" t="str">
            <v/>
          </cell>
          <cell r="BU232" t="str">
            <v/>
          </cell>
          <cell r="BV232" t="str">
            <v/>
          </cell>
          <cell r="BW232" t="str">
            <v/>
          </cell>
          <cell r="BX232" t="str">
            <v/>
          </cell>
          <cell r="BY232" t="str">
            <v/>
          </cell>
          <cell r="BZ232" t="str">
            <v/>
          </cell>
          <cell r="CA232" t="str">
            <v/>
          </cell>
          <cell r="CC232" t="str">
            <v/>
          </cell>
          <cell r="CD232" t="str">
            <v/>
          </cell>
          <cell r="CE232" t="str">
            <v/>
          </cell>
          <cell r="CF232" t="str">
            <v/>
          </cell>
        </row>
        <row r="233">
          <cell r="A233">
            <v>3007</v>
          </cell>
          <cell r="B233" t="str">
            <v>3007_the b 三軒茶屋</v>
          </cell>
          <cell r="C233" t="str">
            <v/>
          </cell>
          <cell r="D233" t="str">
            <v>技術役員</v>
          </cell>
          <cell r="E233" t="str">
            <v/>
          </cell>
          <cell r="F233" t="str">
            <v/>
          </cell>
          <cell r="G233" t="str">
            <v/>
          </cell>
          <cell r="H233">
            <v>0</v>
          </cell>
          <cell r="I233">
            <v>0</v>
          </cell>
          <cell r="J233" t="b">
            <v>1</v>
          </cell>
          <cell r="K233" t="str">
            <v/>
          </cell>
          <cell r="R233">
            <v>0</v>
          </cell>
          <cell r="S233" t="b">
            <v>1</v>
          </cell>
          <cell r="T233" t="str">
            <v/>
          </cell>
          <cell r="U233">
            <v>0</v>
          </cell>
          <cell r="V233">
            <v>1176450</v>
          </cell>
          <cell r="W233">
            <v>1176450</v>
          </cell>
          <cell r="X233" t="b">
            <v>1</v>
          </cell>
          <cell r="Y233">
            <v>12650</v>
          </cell>
          <cell r="AB233" t="str">
            <v/>
          </cell>
          <cell r="AF233">
            <v>93</v>
          </cell>
          <cell r="AG233" t="b">
            <v>1</v>
          </cell>
          <cell r="AI233" t="str">
            <v/>
          </cell>
          <cell r="AJ233">
            <v>93</v>
          </cell>
          <cell r="AK233" t="str">
            <v/>
          </cell>
          <cell r="AL233" t="str">
            <v/>
          </cell>
          <cell r="AM233" t="str">
            <v/>
          </cell>
          <cell r="AN233" t="str">
            <v/>
          </cell>
          <cell r="AQ233" t="str">
            <v/>
          </cell>
          <cell r="AV233" t="str">
            <v/>
          </cell>
          <cell r="AW233" t="str">
            <v/>
          </cell>
          <cell r="AX233" t="str">
            <v/>
          </cell>
          <cell r="AY233" t="str">
            <v/>
          </cell>
          <cell r="AZ233" t="str">
            <v/>
          </cell>
          <cell r="BA233">
            <v>11</v>
          </cell>
          <cell r="BB233" t="str">
            <v/>
          </cell>
          <cell r="BC233" t="str">
            <v/>
          </cell>
          <cell r="BD233" t="str">
            <v/>
          </cell>
          <cell r="BE233" t="str">
            <v/>
          </cell>
          <cell r="BF233" t="str">
            <v/>
          </cell>
          <cell r="BG233" t="str">
            <v/>
          </cell>
          <cell r="BH233" t="str">
            <v/>
          </cell>
          <cell r="BJ233" t="str">
            <v/>
          </cell>
          <cell r="BK233" t="str">
            <v/>
          </cell>
          <cell r="BL233" t="str">
            <v/>
          </cell>
          <cell r="BM233" t="str">
            <v/>
          </cell>
          <cell r="BN233">
            <v>12940950</v>
          </cell>
          <cell r="BO233" t="str">
            <v/>
          </cell>
          <cell r="BP233" t="str">
            <v/>
          </cell>
          <cell r="BQ233" t="str">
            <v/>
          </cell>
          <cell r="BR233" t="str">
            <v/>
          </cell>
          <cell r="BS233" t="str">
            <v/>
          </cell>
          <cell r="BT233" t="str">
            <v/>
          </cell>
          <cell r="BU233" t="str">
            <v/>
          </cell>
          <cell r="BV233" t="str">
            <v/>
          </cell>
          <cell r="BW233" t="str">
            <v/>
          </cell>
          <cell r="BX233" t="str">
            <v/>
          </cell>
          <cell r="BY233" t="str">
            <v/>
          </cell>
          <cell r="BZ233" t="str">
            <v/>
          </cell>
          <cell r="CA233" t="str">
            <v/>
          </cell>
          <cell r="CC233" t="str">
            <v/>
          </cell>
          <cell r="CD233" t="str">
            <v/>
          </cell>
          <cell r="CE233" t="str">
            <v/>
          </cell>
          <cell r="CF233" t="str">
            <v/>
          </cell>
        </row>
        <row r="234">
          <cell r="A234">
            <v>3008</v>
          </cell>
          <cell r="B234" t="str">
            <v>3008_相鉄グランドフレッサ東京ベイ有明</v>
          </cell>
          <cell r="C234" t="str">
            <v/>
          </cell>
          <cell r="D234" t="str">
            <v>技術役員</v>
          </cell>
          <cell r="E234" t="str">
            <v>DCO</v>
          </cell>
          <cell r="F234" t="str">
            <v/>
          </cell>
          <cell r="G234" t="str">
            <v/>
          </cell>
          <cell r="H234">
            <v>0</v>
          </cell>
          <cell r="I234">
            <v>0</v>
          </cell>
          <cell r="J234" t="b">
            <v>1</v>
          </cell>
          <cell r="K234" t="str">
            <v/>
          </cell>
          <cell r="R234">
            <v>0</v>
          </cell>
          <cell r="S234" t="b">
            <v>1</v>
          </cell>
          <cell r="T234" t="str">
            <v/>
          </cell>
          <cell r="U234">
            <v>0</v>
          </cell>
          <cell r="V234">
            <v>4079498.5</v>
          </cell>
          <cell r="W234">
            <v>4079498.5</v>
          </cell>
          <cell r="X234" t="b">
            <v>1</v>
          </cell>
          <cell r="Y234">
            <v>34281.5</v>
          </cell>
          <cell r="AB234" t="str">
            <v/>
          </cell>
          <cell r="AF234">
            <v>119</v>
          </cell>
          <cell r="AG234" t="b">
            <v>1</v>
          </cell>
          <cell r="AI234" t="str">
            <v/>
          </cell>
          <cell r="AJ234">
            <v>119</v>
          </cell>
          <cell r="AK234">
            <v>28</v>
          </cell>
          <cell r="AL234" t="str">
            <v/>
          </cell>
          <cell r="AM234" t="str">
            <v/>
          </cell>
          <cell r="AN234" t="str">
            <v/>
          </cell>
          <cell r="AQ234" t="str">
            <v/>
          </cell>
          <cell r="AV234" t="str">
            <v/>
          </cell>
          <cell r="AW234" t="str">
            <v/>
          </cell>
          <cell r="AX234" t="str">
            <v/>
          </cell>
          <cell r="AY234" t="str">
            <v/>
          </cell>
          <cell r="AZ234" t="str">
            <v/>
          </cell>
          <cell r="BA234">
            <v>11</v>
          </cell>
          <cell r="BB234">
            <v>32</v>
          </cell>
          <cell r="BC234" t="str">
            <v/>
          </cell>
          <cell r="BD234" t="str">
            <v/>
          </cell>
          <cell r="BE234" t="str">
            <v/>
          </cell>
          <cell r="BF234" t="str">
            <v/>
          </cell>
          <cell r="BG234" t="str">
            <v/>
          </cell>
          <cell r="BH234" t="str">
            <v/>
          </cell>
          <cell r="BJ234" t="str">
            <v/>
          </cell>
          <cell r="BK234" t="str">
            <v/>
          </cell>
          <cell r="BL234" t="str">
            <v/>
          </cell>
          <cell r="BM234" t="str">
            <v/>
          </cell>
          <cell r="BN234">
            <v>44874483.5</v>
          </cell>
          <cell r="BO234">
            <v>30716224</v>
          </cell>
          <cell r="BP234" t="str">
            <v/>
          </cell>
          <cell r="BQ234" t="str">
            <v/>
          </cell>
          <cell r="BR234" t="str">
            <v/>
          </cell>
          <cell r="BS234" t="str">
            <v/>
          </cell>
          <cell r="BT234" t="str">
            <v/>
          </cell>
          <cell r="BU234" t="str">
            <v/>
          </cell>
          <cell r="BV234" t="str">
            <v/>
          </cell>
          <cell r="BW234" t="str">
            <v/>
          </cell>
          <cell r="BX234" t="str">
            <v/>
          </cell>
          <cell r="BY234" t="str">
            <v/>
          </cell>
          <cell r="BZ234" t="str">
            <v/>
          </cell>
          <cell r="CA234" t="str">
            <v/>
          </cell>
          <cell r="CC234" t="str">
            <v/>
          </cell>
          <cell r="CD234" t="str">
            <v/>
          </cell>
          <cell r="CE234" t="str">
            <v/>
          </cell>
          <cell r="CF234" t="str">
            <v/>
          </cell>
        </row>
        <row r="235">
          <cell r="A235">
            <v>3009</v>
          </cell>
          <cell r="B235" t="str">
            <v>3009_東横イン大阪なんば日本橋</v>
          </cell>
          <cell r="C235" t="str">
            <v/>
          </cell>
          <cell r="D235" t="str">
            <v>技術役員</v>
          </cell>
          <cell r="E235" t="str">
            <v>DCO</v>
          </cell>
          <cell r="F235" t="str">
            <v/>
          </cell>
          <cell r="G235" t="str">
            <v/>
          </cell>
          <cell r="H235">
            <v>0</v>
          </cell>
          <cell r="I235">
            <v>0</v>
          </cell>
          <cell r="J235" t="b">
            <v>1</v>
          </cell>
          <cell r="K235" t="str">
            <v/>
          </cell>
          <cell r="R235">
            <v>0</v>
          </cell>
          <cell r="S235" t="b">
            <v>1</v>
          </cell>
          <cell r="T235" t="str">
            <v/>
          </cell>
          <cell r="U235">
            <v>0</v>
          </cell>
          <cell r="V235">
            <v>367482.5</v>
          </cell>
          <cell r="W235">
            <v>367482.5</v>
          </cell>
          <cell r="X235" t="b">
            <v>1</v>
          </cell>
          <cell r="Y235">
            <v>10499.5</v>
          </cell>
          <cell r="AB235" t="str">
            <v/>
          </cell>
          <cell r="AF235">
            <v>35</v>
          </cell>
          <cell r="AG235" t="b">
            <v>1</v>
          </cell>
          <cell r="AI235" t="str">
            <v/>
          </cell>
          <cell r="AJ235">
            <v>35</v>
          </cell>
          <cell r="AK235">
            <v>7</v>
          </cell>
          <cell r="AL235" t="str">
            <v/>
          </cell>
          <cell r="AM235" t="str">
            <v/>
          </cell>
          <cell r="AN235" t="str">
            <v/>
          </cell>
          <cell r="AQ235" t="str">
            <v/>
          </cell>
          <cell r="AV235" t="str">
            <v/>
          </cell>
          <cell r="AW235" t="str">
            <v/>
          </cell>
          <cell r="AX235" t="str">
            <v/>
          </cell>
          <cell r="AY235" t="str">
            <v/>
          </cell>
          <cell r="AZ235" t="str">
            <v/>
          </cell>
          <cell r="BA235">
            <v>11</v>
          </cell>
          <cell r="BB235">
            <v>32</v>
          </cell>
          <cell r="BC235" t="str">
            <v/>
          </cell>
          <cell r="BD235" t="str">
            <v/>
          </cell>
          <cell r="BE235" t="str">
            <v/>
          </cell>
          <cell r="BF235" t="str">
            <v/>
          </cell>
          <cell r="BG235" t="str">
            <v/>
          </cell>
          <cell r="BH235" t="str">
            <v/>
          </cell>
          <cell r="BJ235" t="str">
            <v/>
          </cell>
          <cell r="BK235" t="str">
            <v/>
          </cell>
          <cell r="BL235" t="str">
            <v/>
          </cell>
          <cell r="BM235" t="str">
            <v/>
          </cell>
          <cell r="BN235">
            <v>4042307.5</v>
          </cell>
          <cell r="BO235">
            <v>2351888</v>
          </cell>
          <cell r="BP235" t="str">
            <v/>
          </cell>
          <cell r="BQ235" t="str">
            <v/>
          </cell>
          <cell r="BR235" t="str">
            <v/>
          </cell>
          <cell r="BS235" t="str">
            <v/>
          </cell>
          <cell r="BT235" t="str">
            <v/>
          </cell>
          <cell r="BU235" t="str">
            <v/>
          </cell>
          <cell r="BV235" t="str">
            <v/>
          </cell>
          <cell r="BW235" t="str">
            <v/>
          </cell>
          <cell r="BX235" t="str">
            <v/>
          </cell>
          <cell r="BY235" t="str">
            <v/>
          </cell>
          <cell r="BZ235" t="str">
            <v/>
          </cell>
          <cell r="CA235" t="str">
            <v/>
          </cell>
          <cell r="CC235" t="str">
            <v/>
          </cell>
          <cell r="CD235" t="str">
            <v/>
          </cell>
          <cell r="CE235" t="str">
            <v/>
          </cell>
          <cell r="CF235" t="str">
            <v/>
          </cell>
        </row>
        <row r="236">
          <cell r="A236">
            <v>3010</v>
          </cell>
          <cell r="B236" t="str">
            <v>3010_東横イン浜松駅北口</v>
          </cell>
          <cell r="C236" t="str">
            <v/>
          </cell>
          <cell r="D236" t="str">
            <v>技術役員</v>
          </cell>
          <cell r="E236" t="str">
            <v>DCO</v>
          </cell>
          <cell r="F236" t="str">
            <v/>
          </cell>
          <cell r="G236" t="str">
            <v/>
          </cell>
          <cell r="H236">
            <v>0</v>
          </cell>
          <cell r="I236">
            <v>0</v>
          </cell>
          <cell r="J236" t="b">
            <v>1</v>
          </cell>
          <cell r="K236" t="str">
            <v/>
          </cell>
          <cell r="R236">
            <v>0</v>
          </cell>
          <cell r="S236" t="b">
            <v>1</v>
          </cell>
          <cell r="T236" t="str">
            <v/>
          </cell>
          <cell r="U236">
            <v>0</v>
          </cell>
          <cell r="V236">
            <v>356983</v>
          </cell>
          <cell r="W236">
            <v>356983</v>
          </cell>
          <cell r="X236" t="b">
            <v>1</v>
          </cell>
          <cell r="Y236">
            <v>10499.5</v>
          </cell>
          <cell r="AB236" t="str">
            <v/>
          </cell>
          <cell r="AF236">
            <v>34</v>
          </cell>
          <cell r="AG236" t="b">
            <v>1</v>
          </cell>
          <cell r="AI236" t="str">
            <v/>
          </cell>
          <cell r="AJ236">
            <v>34</v>
          </cell>
          <cell r="AK236">
            <v>14</v>
          </cell>
          <cell r="AL236" t="str">
            <v/>
          </cell>
          <cell r="AM236" t="str">
            <v/>
          </cell>
          <cell r="AN236" t="str">
            <v/>
          </cell>
          <cell r="AQ236" t="str">
            <v/>
          </cell>
          <cell r="AV236" t="str">
            <v/>
          </cell>
          <cell r="AW236" t="str">
            <v/>
          </cell>
          <cell r="AX236" t="str">
            <v/>
          </cell>
          <cell r="AY236" t="str">
            <v/>
          </cell>
          <cell r="AZ236" t="str">
            <v/>
          </cell>
          <cell r="BA236">
            <v>11</v>
          </cell>
          <cell r="BB236">
            <v>32</v>
          </cell>
          <cell r="BC236" t="str">
            <v/>
          </cell>
          <cell r="BD236" t="str">
            <v/>
          </cell>
          <cell r="BE236" t="str">
            <v/>
          </cell>
          <cell r="BF236" t="str">
            <v/>
          </cell>
          <cell r="BG236" t="str">
            <v/>
          </cell>
          <cell r="BH236" t="str">
            <v/>
          </cell>
          <cell r="BJ236" t="str">
            <v/>
          </cell>
          <cell r="BK236" t="str">
            <v/>
          </cell>
          <cell r="BL236" t="str">
            <v/>
          </cell>
          <cell r="BM236" t="str">
            <v/>
          </cell>
          <cell r="BN236">
            <v>3926813</v>
          </cell>
          <cell r="BO236">
            <v>4703776</v>
          </cell>
          <cell r="BP236" t="str">
            <v/>
          </cell>
          <cell r="BQ236" t="str">
            <v/>
          </cell>
          <cell r="BR236" t="str">
            <v/>
          </cell>
          <cell r="BS236" t="str">
            <v/>
          </cell>
          <cell r="BT236" t="str">
            <v/>
          </cell>
          <cell r="BU236" t="str">
            <v/>
          </cell>
          <cell r="BV236" t="str">
            <v/>
          </cell>
          <cell r="BW236" t="str">
            <v/>
          </cell>
          <cell r="BX236" t="str">
            <v/>
          </cell>
          <cell r="BY236" t="str">
            <v/>
          </cell>
          <cell r="BZ236" t="str">
            <v/>
          </cell>
          <cell r="CA236" t="str">
            <v/>
          </cell>
          <cell r="CC236" t="str">
            <v/>
          </cell>
          <cell r="CD236" t="str">
            <v/>
          </cell>
          <cell r="CE236" t="str">
            <v/>
          </cell>
          <cell r="CF236" t="str">
            <v/>
          </cell>
        </row>
        <row r="237">
          <cell r="A237">
            <v>3011</v>
          </cell>
          <cell r="B237" t="str">
            <v>3011_東横イン神戸三ノ宮1</v>
          </cell>
          <cell r="C237" t="str">
            <v/>
          </cell>
          <cell r="D237" t="str">
            <v>技術役員</v>
          </cell>
          <cell r="E237" t="str">
            <v>DCO</v>
          </cell>
          <cell r="F237" t="str">
            <v/>
          </cell>
          <cell r="G237" t="str">
            <v/>
          </cell>
          <cell r="H237">
            <v>0</v>
          </cell>
          <cell r="I237">
            <v>0</v>
          </cell>
          <cell r="J237" t="b">
            <v>1</v>
          </cell>
          <cell r="K237" t="str">
            <v/>
          </cell>
          <cell r="R237">
            <v>0</v>
          </cell>
          <cell r="S237" t="b">
            <v>1</v>
          </cell>
          <cell r="T237" t="str">
            <v/>
          </cell>
          <cell r="U237">
            <v>0</v>
          </cell>
          <cell r="V237">
            <v>367482.5</v>
          </cell>
          <cell r="W237">
            <v>367482.5</v>
          </cell>
          <cell r="X237" t="b">
            <v>1</v>
          </cell>
          <cell r="Y237">
            <v>10499.5</v>
          </cell>
          <cell r="AB237" t="str">
            <v/>
          </cell>
          <cell r="AF237">
            <v>35</v>
          </cell>
          <cell r="AG237" t="b">
            <v>1</v>
          </cell>
          <cell r="AI237" t="str">
            <v/>
          </cell>
          <cell r="AJ237">
            <v>35</v>
          </cell>
          <cell r="AK237">
            <v>7</v>
          </cell>
          <cell r="AL237" t="str">
            <v/>
          </cell>
          <cell r="AM237" t="str">
            <v/>
          </cell>
          <cell r="AN237" t="str">
            <v/>
          </cell>
          <cell r="AQ237" t="str">
            <v/>
          </cell>
          <cell r="AV237" t="str">
            <v/>
          </cell>
          <cell r="AW237" t="str">
            <v/>
          </cell>
          <cell r="AX237" t="str">
            <v/>
          </cell>
          <cell r="AY237" t="str">
            <v/>
          </cell>
          <cell r="AZ237" t="str">
            <v/>
          </cell>
          <cell r="BA237">
            <v>11</v>
          </cell>
          <cell r="BB237">
            <v>32</v>
          </cell>
          <cell r="BC237" t="str">
            <v/>
          </cell>
          <cell r="BD237" t="str">
            <v/>
          </cell>
          <cell r="BE237" t="str">
            <v/>
          </cell>
          <cell r="BF237" t="str">
            <v/>
          </cell>
          <cell r="BG237" t="str">
            <v/>
          </cell>
          <cell r="BH237" t="str">
            <v/>
          </cell>
          <cell r="BJ237" t="str">
            <v/>
          </cell>
          <cell r="BK237" t="str">
            <v/>
          </cell>
          <cell r="BL237" t="str">
            <v/>
          </cell>
          <cell r="BM237" t="str">
            <v/>
          </cell>
          <cell r="BN237">
            <v>4042307.5</v>
          </cell>
          <cell r="BO237">
            <v>2351888</v>
          </cell>
          <cell r="BP237" t="str">
            <v/>
          </cell>
          <cell r="BQ237" t="str">
            <v/>
          </cell>
          <cell r="BR237" t="str">
            <v/>
          </cell>
          <cell r="BS237" t="str">
            <v/>
          </cell>
          <cell r="BT237" t="str">
            <v/>
          </cell>
          <cell r="BU237" t="str">
            <v/>
          </cell>
          <cell r="BV237" t="str">
            <v/>
          </cell>
          <cell r="BW237" t="str">
            <v/>
          </cell>
          <cell r="BX237" t="str">
            <v/>
          </cell>
          <cell r="BY237" t="str">
            <v/>
          </cell>
          <cell r="BZ237" t="str">
            <v/>
          </cell>
          <cell r="CA237" t="str">
            <v/>
          </cell>
          <cell r="CC237" t="str">
            <v/>
          </cell>
          <cell r="CD237" t="str">
            <v/>
          </cell>
          <cell r="CE237" t="str">
            <v/>
          </cell>
          <cell r="CF237" t="str">
            <v/>
          </cell>
        </row>
        <row r="238">
          <cell r="A238">
            <v>3012</v>
          </cell>
          <cell r="B238" t="str">
            <v>3012_東横イン熱海駅前</v>
          </cell>
          <cell r="C238" t="str">
            <v/>
          </cell>
          <cell r="D238" t="str">
            <v>技術役員</v>
          </cell>
          <cell r="E238" t="str">
            <v>DCO</v>
          </cell>
          <cell r="F238" t="str">
            <v/>
          </cell>
          <cell r="G238" t="str">
            <v/>
          </cell>
          <cell r="H238">
            <v>0</v>
          </cell>
          <cell r="I238">
            <v>0</v>
          </cell>
          <cell r="J238" t="b">
            <v>1</v>
          </cell>
          <cell r="K238" t="str">
            <v/>
          </cell>
          <cell r="R238">
            <v>0</v>
          </cell>
          <cell r="S238" t="b">
            <v>1</v>
          </cell>
          <cell r="T238" t="str">
            <v/>
          </cell>
          <cell r="U238">
            <v>0</v>
          </cell>
          <cell r="V238">
            <v>356983</v>
          </cell>
          <cell r="W238">
            <v>356983</v>
          </cell>
          <cell r="X238" t="b">
            <v>1</v>
          </cell>
          <cell r="Y238">
            <v>10499.5</v>
          </cell>
          <cell r="AB238" t="str">
            <v/>
          </cell>
          <cell r="AF238">
            <v>34</v>
          </cell>
          <cell r="AG238" t="b">
            <v>1</v>
          </cell>
          <cell r="AI238" t="str">
            <v/>
          </cell>
          <cell r="AJ238">
            <v>34</v>
          </cell>
          <cell r="AK238">
            <v>14</v>
          </cell>
          <cell r="AL238" t="str">
            <v/>
          </cell>
          <cell r="AM238" t="str">
            <v/>
          </cell>
          <cell r="AN238" t="str">
            <v/>
          </cell>
          <cell r="AQ238" t="str">
            <v/>
          </cell>
          <cell r="AV238" t="str">
            <v/>
          </cell>
          <cell r="AW238" t="str">
            <v/>
          </cell>
          <cell r="AX238" t="str">
            <v/>
          </cell>
          <cell r="AY238" t="str">
            <v/>
          </cell>
          <cell r="AZ238" t="str">
            <v/>
          </cell>
          <cell r="BA238">
            <v>11</v>
          </cell>
          <cell r="BB238">
            <v>32</v>
          </cell>
          <cell r="BC238" t="str">
            <v/>
          </cell>
          <cell r="BD238" t="str">
            <v/>
          </cell>
          <cell r="BE238" t="str">
            <v/>
          </cell>
          <cell r="BF238" t="str">
            <v/>
          </cell>
          <cell r="BG238" t="str">
            <v/>
          </cell>
          <cell r="BH238" t="str">
            <v/>
          </cell>
          <cell r="BJ238" t="str">
            <v/>
          </cell>
          <cell r="BK238" t="str">
            <v/>
          </cell>
          <cell r="BL238" t="str">
            <v/>
          </cell>
          <cell r="BM238" t="str">
            <v/>
          </cell>
          <cell r="BN238">
            <v>3926813</v>
          </cell>
          <cell r="BO238">
            <v>4703776</v>
          </cell>
          <cell r="BP238" t="str">
            <v/>
          </cell>
          <cell r="BQ238" t="str">
            <v/>
          </cell>
          <cell r="BR238" t="str">
            <v/>
          </cell>
          <cell r="BS238" t="str">
            <v/>
          </cell>
          <cell r="BT238" t="str">
            <v/>
          </cell>
          <cell r="BU238" t="str">
            <v/>
          </cell>
          <cell r="BV238" t="str">
            <v/>
          </cell>
          <cell r="BW238" t="str">
            <v/>
          </cell>
          <cell r="BX238" t="str">
            <v/>
          </cell>
          <cell r="BY238" t="str">
            <v/>
          </cell>
          <cell r="BZ238" t="str">
            <v/>
          </cell>
          <cell r="CA238" t="str">
            <v/>
          </cell>
          <cell r="CC238" t="str">
            <v/>
          </cell>
          <cell r="CD238" t="str">
            <v/>
          </cell>
          <cell r="CE238" t="str">
            <v/>
          </cell>
          <cell r="CF238" t="str">
            <v/>
          </cell>
        </row>
        <row r="239">
          <cell r="A239">
            <v>3013</v>
          </cell>
          <cell r="B239" t="str">
            <v>3013_ウインドシティホテル</v>
          </cell>
          <cell r="C239" t="str">
            <v/>
          </cell>
          <cell r="D239" t="str">
            <v>技術役員</v>
          </cell>
          <cell r="E239" t="str">
            <v/>
          </cell>
          <cell r="F239" t="str">
            <v/>
          </cell>
          <cell r="G239" t="str">
            <v/>
          </cell>
          <cell r="H239">
            <v>0</v>
          </cell>
          <cell r="I239">
            <v>0</v>
          </cell>
          <cell r="R239">
            <v>0</v>
          </cell>
          <cell r="T239" t="str">
            <v/>
          </cell>
          <cell r="U239">
            <v>0</v>
          </cell>
          <cell r="V239">
            <v>982272.5</v>
          </cell>
          <cell r="W239">
            <v>982272.5</v>
          </cell>
          <cell r="Y239">
            <v>10126.5206185567</v>
          </cell>
          <cell r="AB239" t="str">
            <v/>
          </cell>
          <cell r="AF239">
            <v>97</v>
          </cell>
          <cell r="AI239" t="str">
            <v/>
          </cell>
          <cell r="AJ239">
            <v>97</v>
          </cell>
          <cell r="AK239" t="str">
            <v/>
          </cell>
          <cell r="AL239" t="str">
            <v/>
          </cell>
          <cell r="AM239" t="str">
            <v/>
          </cell>
          <cell r="AN239" t="str">
            <v/>
          </cell>
          <cell r="AQ239" t="str">
            <v/>
          </cell>
          <cell r="AV239" t="str">
            <v/>
          </cell>
          <cell r="AW239" t="str">
            <v/>
          </cell>
          <cell r="AX239" t="str">
            <v/>
          </cell>
          <cell r="AY239" t="str">
            <v/>
          </cell>
          <cell r="AZ239" t="str">
            <v/>
          </cell>
          <cell r="BA239">
            <v>11</v>
          </cell>
          <cell r="BB239" t="str">
            <v/>
          </cell>
          <cell r="BC239" t="str">
            <v/>
          </cell>
          <cell r="BD239" t="str">
            <v/>
          </cell>
          <cell r="BE239" t="str">
            <v/>
          </cell>
          <cell r="BF239" t="str">
            <v/>
          </cell>
          <cell r="BG239" t="str">
            <v/>
          </cell>
          <cell r="BH239" t="str">
            <v/>
          </cell>
          <cell r="BJ239" t="str">
            <v/>
          </cell>
          <cell r="BK239" t="str">
            <v/>
          </cell>
          <cell r="BL239" t="str">
            <v/>
          </cell>
          <cell r="BM239" t="str">
            <v/>
          </cell>
          <cell r="BN239">
            <v>10804997.499999998</v>
          </cell>
          <cell r="BO239" t="str">
            <v/>
          </cell>
          <cell r="BP239" t="str">
            <v/>
          </cell>
          <cell r="BQ239" t="str">
            <v/>
          </cell>
          <cell r="BR239" t="str">
            <v/>
          </cell>
          <cell r="BS239" t="str">
            <v/>
          </cell>
          <cell r="BT239" t="str">
            <v/>
          </cell>
          <cell r="BU239" t="str">
            <v/>
          </cell>
          <cell r="BV239" t="str">
            <v/>
          </cell>
          <cell r="BW239" t="str">
            <v/>
          </cell>
          <cell r="BX239" t="str">
            <v/>
          </cell>
          <cell r="BY239" t="str">
            <v/>
          </cell>
          <cell r="BZ239" t="str">
            <v/>
          </cell>
          <cell r="CA239" t="str">
            <v/>
          </cell>
          <cell r="CC239" t="str">
            <v/>
          </cell>
          <cell r="CD239" t="str">
            <v/>
          </cell>
          <cell r="CE239" t="str">
            <v/>
          </cell>
          <cell r="CF239" t="str">
            <v/>
          </cell>
        </row>
        <row r="240">
          <cell r="A240">
            <v>3014</v>
          </cell>
          <cell r="B240" t="str">
            <v>3014_コンフォートホテル浜松</v>
          </cell>
          <cell r="C240" t="str">
            <v>メディア</v>
          </cell>
          <cell r="D240" t="str">
            <v/>
          </cell>
          <cell r="E240" t="str">
            <v/>
          </cell>
          <cell r="F240" t="str">
            <v/>
          </cell>
          <cell r="G240" t="str">
            <v/>
          </cell>
          <cell r="H240">
            <v>0</v>
          </cell>
          <cell r="I240">
            <v>0</v>
          </cell>
          <cell r="R240">
            <v>0</v>
          </cell>
          <cell r="T240" t="str">
            <v/>
          </cell>
          <cell r="U240">
            <v>0</v>
          </cell>
          <cell r="V240">
            <v>2049300</v>
          </cell>
          <cell r="W240">
            <v>2049300</v>
          </cell>
          <cell r="Y240">
            <v>22770</v>
          </cell>
          <cell r="AB240">
            <v>11880</v>
          </cell>
          <cell r="AF240">
            <v>90</v>
          </cell>
          <cell r="AI240">
            <v>150</v>
          </cell>
          <cell r="AJ240" t="str">
            <v/>
          </cell>
          <cell r="AK240" t="str">
            <v/>
          </cell>
          <cell r="AL240" t="str">
            <v/>
          </cell>
          <cell r="AM240" t="str">
            <v/>
          </cell>
          <cell r="AN240" t="str">
            <v/>
          </cell>
          <cell r="AQ240" t="str">
            <v/>
          </cell>
          <cell r="AV240" t="str">
            <v/>
          </cell>
          <cell r="AW240" t="str">
            <v/>
          </cell>
          <cell r="AX240" t="str">
            <v/>
          </cell>
          <cell r="AY240" t="str">
            <v/>
          </cell>
          <cell r="AZ240">
            <v>32</v>
          </cell>
          <cell r="BA240" t="str">
            <v/>
          </cell>
          <cell r="BB240" t="str">
            <v/>
          </cell>
          <cell r="BC240" t="str">
            <v/>
          </cell>
          <cell r="BD240" t="str">
            <v/>
          </cell>
          <cell r="BE240" t="str">
            <v/>
          </cell>
          <cell r="BF240" t="str">
            <v/>
          </cell>
          <cell r="BG240" t="str">
            <v/>
          </cell>
          <cell r="BH240" t="str">
            <v/>
          </cell>
          <cell r="BJ240" t="str">
            <v/>
          </cell>
          <cell r="BK240">
            <v>109296000</v>
          </cell>
          <cell r="BL240" t="str">
            <v/>
          </cell>
          <cell r="BM240" t="str">
            <v/>
          </cell>
          <cell r="BN240" t="str">
            <v/>
          </cell>
          <cell r="BO240" t="str">
            <v/>
          </cell>
          <cell r="BP240" t="str">
            <v/>
          </cell>
          <cell r="BQ240" t="str">
            <v/>
          </cell>
          <cell r="BR240" t="str">
            <v/>
          </cell>
          <cell r="BS240" t="str">
            <v/>
          </cell>
          <cell r="BT240" t="str">
            <v/>
          </cell>
          <cell r="BU240" t="str">
            <v/>
          </cell>
          <cell r="BV240" t="str">
            <v/>
          </cell>
          <cell r="BW240" t="str">
            <v/>
          </cell>
          <cell r="BX240" t="str">
            <v/>
          </cell>
          <cell r="BY240" t="str">
            <v/>
          </cell>
          <cell r="BZ240" t="str">
            <v/>
          </cell>
          <cell r="CA240" t="str">
            <v/>
          </cell>
          <cell r="CC240" t="str">
            <v/>
          </cell>
          <cell r="CD240" t="str">
            <v/>
          </cell>
          <cell r="CE240" t="str">
            <v/>
          </cell>
          <cell r="CF240" t="str">
            <v/>
          </cell>
        </row>
        <row r="241">
          <cell r="A241">
            <v>3015</v>
          </cell>
          <cell r="B241" t="str">
            <v>3015_アパホテル＜神戸三宮＞</v>
          </cell>
          <cell r="C241" t="str">
            <v/>
          </cell>
          <cell r="D241" t="str">
            <v/>
          </cell>
          <cell r="E241" t="str">
            <v/>
          </cell>
          <cell r="F241" t="str">
            <v/>
          </cell>
          <cell r="G241" t="str">
            <v/>
          </cell>
          <cell r="H241">
            <v>0</v>
          </cell>
          <cell r="I241">
            <v>0</v>
          </cell>
          <cell r="R241">
            <v>0</v>
          </cell>
          <cell r="T241" t="str">
            <v/>
          </cell>
          <cell r="U241">
            <v>0</v>
          </cell>
          <cell r="V241">
            <v>2101067.5949999997</v>
          </cell>
          <cell r="W241">
            <v>2101067.5949999997</v>
          </cell>
          <cell r="Y241">
            <v>23345.195499999998</v>
          </cell>
          <cell r="AB241" t="str">
            <v/>
          </cell>
          <cell r="AF241">
            <v>90</v>
          </cell>
          <cell r="AI241" t="str">
            <v/>
          </cell>
          <cell r="AJ241" t="str">
            <v/>
          </cell>
          <cell r="AK241" t="str">
            <v/>
          </cell>
          <cell r="AL241" t="str">
            <v/>
          </cell>
          <cell r="AM241" t="str">
            <v/>
          </cell>
          <cell r="AN241" t="str">
            <v/>
          </cell>
          <cell r="AQ241" t="str">
            <v/>
          </cell>
          <cell r="AV241" t="str">
            <v/>
          </cell>
          <cell r="AW241" t="str">
            <v/>
          </cell>
          <cell r="AX241" t="str">
            <v/>
          </cell>
          <cell r="AY241" t="str">
            <v/>
          </cell>
          <cell r="AZ241" t="str">
            <v/>
          </cell>
          <cell r="BA241" t="str">
            <v/>
          </cell>
          <cell r="BB241" t="str">
            <v/>
          </cell>
          <cell r="BC241" t="str">
            <v/>
          </cell>
          <cell r="BD241" t="str">
            <v/>
          </cell>
          <cell r="BE241" t="str">
            <v/>
          </cell>
          <cell r="BF241" t="str">
            <v/>
          </cell>
          <cell r="BG241" t="str">
            <v/>
          </cell>
          <cell r="BH241" t="str">
            <v/>
          </cell>
          <cell r="BJ241" t="str">
            <v/>
          </cell>
          <cell r="BK241" t="str">
            <v/>
          </cell>
          <cell r="BL241" t="str">
            <v/>
          </cell>
          <cell r="BM241" t="str">
            <v/>
          </cell>
          <cell r="BN241" t="str">
            <v/>
          </cell>
          <cell r="BO241" t="str">
            <v/>
          </cell>
          <cell r="BP241" t="str">
            <v/>
          </cell>
          <cell r="BQ241" t="str">
            <v/>
          </cell>
          <cell r="BR241" t="str">
            <v/>
          </cell>
          <cell r="BS241" t="str">
            <v/>
          </cell>
          <cell r="BT241" t="str">
            <v/>
          </cell>
          <cell r="BU241" t="str">
            <v/>
          </cell>
          <cell r="BV241" t="str">
            <v/>
          </cell>
          <cell r="BW241" t="str">
            <v/>
          </cell>
          <cell r="BX241" t="str">
            <v/>
          </cell>
          <cell r="BY241" t="str">
            <v/>
          </cell>
          <cell r="BZ241" t="str">
            <v/>
          </cell>
          <cell r="CA241" t="str">
            <v/>
          </cell>
          <cell r="CC241" t="str">
            <v/>
          </cell>
          <cell r="CD241" t="str">
            <v/>
          </cell>
          <cell r="CE241" t="str">
            <v/>
          </cell>
          <cell r="CF241" t="str">
            <v/>
          </cell>
        </row>
        <row r="242">
          <cell r="A242">
            <v>3016</v>
          </cell>
          <cell r="B242" t="str">
            <v>3016_ホテルルートイン浜松駅東</v>
          </cell>
          <cell r="C242" t="str">
            <v/>
          </cell>
          <cell r="D242" t="str">
            <v/>
          </cell>
          <cell r="E242" t="str">
            <v/>
          </cell>
          <cell r="F242" t="str">
            <v/>
          </cell>
          <cell r="G242" t="str">
            <v/>
          </cell>
          <cell r="H242">
            <v>0</v>
          </cell>
          <cell r="I242">
            <v>0</v>
          </cell>
          <cell r="R242">
            <v>0</v>
          </cell>
          <cell r="T242" t="str">
            <v/>
          </cell>
          <cell r="V242">
            <v>0</v>
          </cell>
          <cell r="W242">
            <v>117645</v>
          </cell>
          <cell r="Y242">
            <v>11764.5</v>
          </cell>
          <cell r="AB242" t="str">
            <v/>
          </cell>
          <cell r="AF242">
            <v>10</v>
          </cell>
          <cell r="AI242" t="str">
            <v/>
          </cell>
          <cell r="AJ242" t="str">
            <v/>
          </cell>
          <cell r="AK242" t="str">
            <v/>
          </cell>
          <cell r="AL242" t="str">
            <v/>
          </cell>
          <cell r="AM242" t="str">
            <v/>
          </cell>
          <cell r="AN242" t="str">
            <v/>
          </cell>
          <cell r="AQ242" t="str">
            <v/>
          </cell>
          <cell r="AV242" t="str">
            <v/>
          </cell>
          <cell r="AW242" t="str">
            <v/>
          </cell>
          <cell r="AX242" t="str">
            <v/>
          </cell>
          <cell r="AY242" t="str">
            <v/>
          </cell>
          <cell r="AZ242" t="str">
            <v/>
          </cell>
          <cell r="BA242" t="str">
            <v/>
          </cell>
          <cell r="BB242" t="str">
            <v/>
          </cell>
          <cell r="BC242" t="str">
            <v/>
          </cell>
          <cell r="BD242" t="str">
            <v/>
          </cell>
          <cell r="BE242" t="str">
            <v/>
          </cell>
          <cell r="BF242" t="str">
            <v/>
          </cell>
          <cell r="BG242" t="str">
            <v/>
          </cell>
          <cell r="BH242" t="str">
            <v/>
          </cell>
          <cell r="BJ242" t="str">
            <v/>
          </cell>
          <cell r="BK242" t="str">
            <v/>
          </cell>
          <cell r="BL242" t="str">
            <v/>
          </cell>
          <cell r="BM242" t="str">
            <v/>
          </cell>
          <cell r="BN242" t="str">
            <v/>
          </cell>
          <cell r="BO242" t="str">
            <v/>
          </cell>
          <cell r="BP242" t="str">
            <v/>
          </cell>
          <cell r="BQ242" t="str">
            <v/>
          </cell>
          <cell r="BR242" t="str">
            <v/>
          </cell>
          <cell r="BS242" t="str">
            <v/>
          </cell>
          <cell r="BT242" t="str">
            <v/>
          </cell>
          <cell r="BU242" t="str">
            <v/>
          </cell>
          <cell r="BV242" t="str">
            <v/>
          </cell>
          <cell r="BW242" t="str">
            <v/>
          </cell>
          <cell r="BX242" t="str">
            <v/>
          </cell>
          <cell r="BY242" t="str">
            <v/>
          </cell>
          <cell r="BZ242" t="str">
            <v/>
          </cell>
          <cell r="CA242" t="str">
            <v/>
          </cell>
          <cell r="CC242" t="str">
            <v/>
          </cell>
          <cell r="CD242" t="str">
            <v/>
          </cell>
          <cell r="CE242" t="str">
            <v/>
          </cell>
          <cell r="CF242" t="str">
            <v/>
          </cell>
        </row>
        <row r="243">
          <cell r="A243">
            <v>3017</v>
          </cell>
          <cell r="B243" t="str">
            <v>3017_the b 神戸</v>
          </cell>
          <cell r="C243" t="str">
            <v/>
          </cell>
          <cell r="D243" t="str">
            <v/>
          </cell>
          <cell r="E243" t="str">
            <v/>
          </cell>
          <cell r="F243" t="str">
            <v/>
          </cell>
          <cell r="G243" t="str">
            <v/>
          </cell>
          <cell r="H243">
            <v>0</v>
          </cell>
          <cell r="I243">
            <v>0</v>
          </cell>
          <cell r="R243">
            <v>0</v>
          </cell>
          <cell r="T243" t="str">
            <v/>
          </cell>
          <cell r="V243">
            <v>0</v>
          </cell>
          <cell r="W243">
            <v>1138500</v>
          </cell>
          <cell r="Y243">
            <v>12650</v>
          </cell>
          <cell r="AB243" t="str">
            <v/>
          </cell>
          <cell r="AF243">
            <v>90</v>
          </cell>
          <cell r="AI243" t="str">
            <v/>
          </cell>
          <cell r="AJ243" t="str">
            <v/>
          </cell>
          <cell r="AK243" t="str">
            <v/>
          </cell>
          <cell r="AL243" t="str">
            <v/>
          </cell>
          <cell r="AM243" t="str">
            <v/>
          </cell>
          <cell r="AN243" t="str">
            <v/>
          </cell>
          <cell r="AQ243" t="str">
            <v/>
          </cell>
          <cell r="AV243" t="str">
            <v/>
          </cell>
          <cell r="AW243" t="str">
            <v/>
          </cell>
          <cell r="AX243" t="str">
            <v/>
          </cell>
          <cell r="AY243" t="str">
            <v/>
          </cell>
          <cell r="AZ243" t="str">
            <v/>
          </cell>
          <cell r="BA243" t="str">
            <v/>
          </cell>
          <cell r="BB243" t="str">
            <v/>
          </cell>
          <cell r="BC243" t="str">
            <v/>
          </cell>
          <cell r="BD243" t="str">
            <v/>
          </cell>
          <cell r="BE243" t="str">
            <v/>
          </cell>
          <cell r="BF243" t="str">
            <v/>
          </cell>
          <cell r="BG243" t="str">
            <v/>
          </cell>
          <cell r="BH243" t="str">
            <v/>
          </cell>
          <cell r="BJ243" t="str">
            <v/>
          </cell>
          <cell r="BK243" t="str">
            <v/>
          </cell>
          <cell r="BL243" t="str">
            <v/>
          </cell>
          <cell r="BM243" t="str">
            <v/>
          </cell>
          <cell r="BN243" t="str">
            <v/>
          </cell>
          <cell r="BO243" t="str">
            <v/>
          </cell>
          <cell r="BP243" t="str">
            <v/>
          </cell>
          <cell r="BQ243" t="str">
            <v/>
          </cell>
          <cell r="BR243" t="str">
            <v/>
          </cell>
          <cell r="BS243" t="str">
            <v/>
          </cell>
          <cell r="BT243" t="str">
            <v/>
          </cell>
          <cell r="BU243" t="str">
            <v/>
          </cell>
          <cell r="BV243" t="str">
            <v/>
          </cell>
          <cell r="BW243" t="str">
            <v/>
          </cell>
          <cell r="BX243" t="str">
            <v/>
          </cell>
          <cell r="BY243" t="str">
            <v/>
          </cell>
          <cell r="BZ243" t="str">
            <v/>
          </cell>
          <cell r="CA243" t="str">
            <v/>
          </cell>
          <cell r="CC243" t="str">
            <v/>
          </cell>
          <cell r="CD243" t="str">
            <v/>
          </cell>
          <cell r="CE243" t="str">
            <v/>
          </cell>
          <cell r="CF243" t="str">
            <v/>
          </cell>
        </row>
        <row r="244">
          <cell r="A244">
            <v>3018</v>
          </cell>
          <cell r="B244" t="str">
            <v>3018_R＆B東京東陽町</v>
          </cell>
          <cell r="C244" t="str">
            <v/>
          </cell>
          <cell r="D244" t="str">
            <v/>
          </cell>
          <cell r="E244" t="str">
            <v/>
          </cell>
          <cell r="F244" t="str">
            <v/>
          </cell>
          <cell r="G244" t="str">
            <v/>
          </cell>
          <cell r="H244">
            <v>0</v>
          </cell>
          <cell r="I244">
            <v>0</v>
          </cell>
          <cell r="R244">
            <v>0</v>
          </cell>
          <cell r="T244" t="str">
            <v/>
          </cell>
          <cell r="V244">
            <v>0</v>
          </cell>
          <cell r="W244">
            <v>1138500</v>
          </cell>
          <cell r="Y244">
            <v>11385</v>
          </cell>
          <cell r="AB244" t="str">
            <v/>
          </cell>
          <cell r="AF244">
            <v>100</v>
          </cell>
          <cell r="AI244" t="str">
            <v/>
          </cell>
          <cell r="AJ244" t="str">
            <v/>
          </cell>
          <cell r="AK244" t="str">
            <v/>
          </cell>
          <cell r="AL244" t="str">
            <v/>
          </cell>
          <cell r="AM244" t="str">
            <v/>
          </cell>
          <cell r="AN244" t="str">
            <v/>
          </cell>
          <cell r="AQ244" t="str">
            <v/>
          </cell>
          <cell r="AV244" t="str">
            <v/>
          </cell>
          <cell r="AW244" t="str">
            <v/>
          </cell>
          <cell r="AX244" t="str">
            <v/>
          </cell>
          <cell r="AY244" t="str">
            <v/>
          </cell>
          <cell r="AZ244" t="str">
            <v/>
          </cell>
          <cell r="BA244" t="str">
            <v/>
          </cell>
          <cell r="BB244" t="str">
            <v/>
          </cell>
          <cell r="BC244" t="str">
            <v/>
          </cell>
          <cell r="BD244" t="str">
            <v/>
          </cell>
          <cell r="BE244" t="str">
            <v/>
          </cell>
          <cell r="BF244" t="str">
            <v/>
          </cell>
          <cell r="BG244" t="str">
            <v/>
          </cell>
          <cell r="BH244" t="str">
            <v/>
          </cell>
          <cell r="BJ244" t="str">
            <v/>
          </cell>
          <cell r="BK244" t="str">
            <v/>
          </cell>
          <cell r="BL244" t="str">
            <v/>
          </cell>
          <cell r="BM244" t="str">
            <v/>
          </cell>
          <cell r="BN244" t="str">
            <v/>
          </cell>
          <cell r="BO244" t="str">
            <v/>
          </cell>
          <cell r="BP244" t="str">
            <v/>
          </cell>
          <cell r="BQ244" t="str">
            <v/>
          </cell>
          <cell r="BR244" t="str">
            <v/>
          </cell>
          <cell r="BS244" t="str">
            <v/>
          </cell>
          <cell r="BT244" t="str">
            <v/>
          </cell>
          <cell r="BU244" t="str">
            <v/>
          </cell>
          <cell r="BV244" t="str">
            <v/>
          </cell>
          <cell r="BW244" t="str">
            <v/>
          </cell>
          <cell r="BX244" t="str">
            <v/>
          </cell>
          <cell r="BY244" t="str">
            <v/>
          </cell>
          <cell r="BZ244" t="str">
            <v/>
          </cell>
          <cell r="CA244" t="str">
            <v/>
          </cell>
          <cell r="CC244" t="str">
            <v/>
          </cell>
          <cell r="CD244" t="str">
            <v/>
          </cell>
          <cell r="CE244" t="str">
            <v/>
          </cell>
          <cell r="CF244" t="str">
            <v/>
          </cell>
        </row>
        <row r="245">
          <cell r="A245">
            <v>3019</v>
          </cell>
          <cell r="B245" t="str">
            <v>3019_ヴィラフォンテーヌグランド東京有明</v>
          </cell>
          <cell r="C245" t="str">
            <v/>
          </cell>
          <cell r="D245" t="str">
            <v/>
          </cell>
          <cell r="E245" t="str">
            <v/>
          </cell>
          <cell r="F245" t="str">
            <v/>
          </cell>
          <cell r="G245" t="str">
            <v/>
          </cell>
          <cell r="H245">
            <v>0</v>
          </cell>
          <cell r="I245">
            <v>0</v>
          </cell>
          <cell r="R245">
            <v>0</v>
          </cell>
          <cell r="T245" t="str">
            <v/>
          </cell>
          <cell r="V245">
            <v>0</v>
          </cell>
          <cell r="W245">
            <v>4370069</v>
          </cell>
          <cell r="Y245">
            <v>43700.69</v>
          </cell>
          <cell r="AB245" t="str">
            <v/>
          </cell>
          <cell r="AF245">
            <v>100</v>
          </cell>
          <cell r="AI245" t="str">
            <v/>
          </cell>
          <cell r="AJ245" t="str">
            <v/>
          </cell>
          <cell r="AK245" t="str">
            <v/>
          </cell>
          <cell r="AL245" t="str">
            <v/>
          </cell>
          <cell r="AM245" t="str">
            <v/>
          </cell>
          <cell r="AN245" t="str">
            <v/>
          </cell>
          <cell r="AQ245" t="str">
            <v/>
          </cell>
          <cell r="AV245" t="str">
            <v/>
          </cell>
          <cell r="AW245" t="str">
            <v/>
          </cell>
          <cell r="AX245" t="str">
            <v/>
          </cell>
          <cell r="AY245" t="str">
            <v/>
          </cell>
          <cell r="AZ245" t="str">
            <v/>
          </cell>
          <cell r="BA245" t="str">
            <v/>
          </cell>
          <cell r="BB245" t="str">
            <v/>
          </cell>
          <cell r="BC245" t="str">
            <v/>
          </cell>
          <cell r="BD245" t="str">
            <v/>
          </cell>
          <cell r="BE245" t="str">
            <v/>
          </cell>
          <cell r="BF245" t="str">
            <v/>
          </cell>
          <cell r="BG245" t="str">
            <v/>
          </cell>
          <cell r="BH245" t="str">
            <v/>
          </cell>
          <cell r="BJ245" t="str">
            <v/>
          </cell>
          <cell r="BK245" t="str">
            <v/>
          </cell>
          <cell r="BL245" t="str">
            <v/>
          </cell>
          <cell r="BM245" t="str">
            <v/>
          </cell>
          <cell r="BN245" t="str">
            <v/>
          </cell>
          <cell r="BO245" t="str">
            <v/>
          </cell>
          <cell r="BP245" t="str">
            <v/>
          </cell>
          <cell r="BQ245" t="str">
            <v/>
          </cell>
          <cell r="BR245" t="str">
            <v/>
          </cell>
          <cell r="BS245" t="str">
            <v/>
          </cell>
          <cell r="BT245" t="str">
            <v/>
          </cell>
          <cell r="BU245" t="str">
            <v/>
          </cell>
          <cell r="BV245" t="str">
            <v/>
          </cell>
          <cell r="BW245" t="str">
            <v/>
          </cell>
          <cell r="BX245" t="str">
            <v/>
          </cell>
          <cell r="BY245" t="str">
            <v/>
          </cell>
          <cell r="BZ245" t="str">
            <v/>
          </cell>
          <cell r="CA245" t="str">
            <v/>
          </cell>
          <cell r="CC245" t="str">
            <v/>
          </cell>
          <cell r="CD245" t="str">
            <v/>
          </cell>
          <cell r="CE245" t="str">
            <v/>
          </cell>
          <cell r="CF245" t="str">
            <v/>
          </cell>
        </row>
        <row r="246">
          <cell r="A246">
            <v>3025</v>
          </cell>
          <cell r="B246" t="str">
            <v>3025_トヨタスポーツセンター</v>
          </cell>
          <cell r="C246" t="str">
            <v>選手（修正案）</v>
          </cell>
          <cell r="D246" t="str">
            <v/>
          </cell>
          <cell r="E246" t="str">
            <v/>
          </cell>
          <cell r="F246" t="str">
            <v/>
          </cell>
          <cell r="G246" t="str">
            <v/>
          </cell>
          <cell r="H246" t="str">
            <v>不明</v>
          </cell>
          <cell r="I246">
            <v>5</v>
          </cell>
          <cell r="R246">
            <v>84704</v>
          </cell>
          <cell r="T246">
            <v>16940.8</v>
          </cell>
          <cell r="V246">
            <v>0</v>
          </cell>
          <cell r="W246">
            <v>679440</v>
          </cell>
          <cell r="Y246">
            <v>16177.142857142857</v>
          </cell>
          <cell r="Z246">
            <v>11765</v>
          </cell>
          <cell r="AA246">
            <v>17648</v>
          </cell>
          <cell r="AB246">
            <v>5371.0671936758899</v>
          </cell>
          <cell r="AE246">
            <v>42</v>
          </cell>
          <cell r="AF246">
            <v>42</v>
          </cell>
          <cell r="AH246">
            <v>126</v>
          </cell>
          <cell r="AI246">
            <v>110</v>
          </cell>
          <cell r="AJ246" t="str">
            <v/>
          </cell>
          <cell r="AK246" t="str">
            <v/>
          </cell>
          <cell r="AL246" t="str">
            <v/>
          </cell>
          <cell r="AM246" t="str">
            <v/>
          </cell>
          <cell r="AN246">
            <v>68</v>
          </cell>
          <cell r="AQ246" t="str">
            <v/>
          </cell>
          <cell r="AV246">
            <v>25</v>
          </cell>
          <cell r="AW246" t="str">
            <v/>
          </cell>
          <cell r="AX246" t="str">
            <v/>
          </cell>
          <cell r="AY246" t="str">
            <v/>
          </cell>
          <cell r="AZ246" t="str">
            <v/>
          </cell>
          <cell r="BA246" t="str">
            <v/>
          </cell>
          <cell r="BB246" t="str">
            <v/>
          </cell>
          <cell r="BC246" t="str">
            <v/>
          </cell>
          <cell r="BD246" t="str">
            <v/>
          </cell>
          <cell r="BE246" t="str">
            <v/>
          </cell>
          <cell r="BF246" t="str">
            <v/>
          </cell>
          <cell r="BG246" t="str">
            <v/>
          </cell>
          <cell r="BH246">
            <v>16986000</v>
          </cell>
          <cell r="BJ246" t="str">
            <v/>
          </cell>
          <cell r="BK246" t="str">
            <v/>
          </cell>
          <cell r="BL246" t="str">
            <v/>
          </cell>
          <cell r="BM246" t="str">
            <v/>
          </cell>
          <cell r="BN246" t="str">
            <v/>
          </cell>
          <cell r="BO246" t="str">
            <v/>
          </cell>
          <cell r="BP246" t="str">
            <v/>
          </cell>
          <cell r="BQ246" t="str">
            <v/>
          </cell>
          <cell r="BR246" t="str">
            <v/>
          </cell>
          <cell r="BS246" t="str">
            <v/>
          </cell>
          <cell r="BT246" t="str">
            <v/>
          </cell>
          <cell r="BU246" t="str">
            <v/>
          </cell>
          <cell r="BV246" t="str">
            <v/>
          </cell>
          <cell r="BW246" t="str">
            <v/>
          </cell>
          <cell r="BX246">
            <v>2117600</v>
          </cell>
          <cell r="BY246" t="str">
            <v/>
          </cell>
          <cell r="BZ246" t="str">
            <v/>
          </cell>
          <cell r="CA246" t="str">
            <v/>
          </cell>
          <cell r="CC246" t="str">
            <v/>
          </cell>
          <cell r="CD246" t="str">
            <v/>
          </cell>
          <cell r="CE246" t="str">
            <v/>
          </cell>
          <cell r="CF246" t="str">
            <v/>
          </cell>
        </row>
        <row r="247">
          <cell r="A247" t="str">
            <v>a</v>
          </cell>
          <cell r="B247" t="str">
            <v>ホテルイースト21東京</v>
          </cell>
          <cell r="C247" t="str">
            <v/>
          </cell>
          <cell r="D247" t="str">
            <v/>
          </cell>
          <cell r="F247" t="str">
            <v/>
          </cell>
          <cell r="J247" t="b">
            <v>1</v>
          </cell>
          <cell r="K247" t="str">
            <v/>
          </cell>
          <cell r="R247">
            <v>0</v>
          </cell>
          <cell r="S247" t="b">
            <v>1</v>
          </cell>
          <cell r="T247" t="str">
            <v/>
          </cell>
          <cell r="V247">
            <v>0</v>
          </cell>
          <cell r="W247">
            <v>0</v>
          </cell>
          <cell r="X247" t="b">
            <v>1</v>
          </cell>
          <cell r="AB247" t="str">
            <v/>
          </cell>
          <cell r="AF247">
            <v>300</v>
          </cell>
          <cell r="AG247" t="b">
            <v>1</v>
          </cell>
          <cell r="AI247" t="str">
            <v/>
          </cell>
          <cell r="AJ247" t="str">
            <v/>
          </cell>
          <cell r="AL247" t="str">
            <v/>
          </cell>
          <cell r="AM247" t="str">
            <v/>
          </cell>
          <cell r="AN247" t="str">
            <v/>
          </cell>
          <cell r="AQ247" t="str">
            <v/>
          </cell>
          <cell r="AV247" t="str">
            <v/>
          </cell>
          <cell r="AW247" t="str">
            <v/>
          </cell>
          <cell r="AX247" t="str">
            <v/>
          </cell>
          <cell r="AY247" t="str">
            <v/>
          </cell>
          <cell r="AZ247" t="str">
            <v/>
          </cell>
          <cell r="BA247" t="str">
            <v/>
          </cell>
          <cell r="BB247" t="str">
            <v/>
          </cell>
          <cell r="BC247" t="str">
            <v/>
          </cell>
          <cell r="BD247" t="str">
            <v/>
          </cell>
          <cell r="BE247" t="str">
            <v/>
          </cell>
          <cell r="BF247" t="str">
            <v/>
          </cell>
          <cell r="BG247" t="str">
            <v/>
          </cell>
          <cell r="BH247" t="str">
            <v/>
          </cell>
          <cell r="BJ247" t="str">
            <v/>
          </cell>
          <cell r="BK247" t="str">
            <v/>
          </cell>
          <cell r="BL247" t="str">
            <v/>
          </cell>
          <cell r="BM247" t="str">
            <v/>
          </cell>
          <cell r="BN247" t="str">
            <v/>
          </cell>
          <cell r="BO247" t="str">
            <v/>
          </cell>
          <cell r="BP247" t="str">
            <v/>
          </cell>
          <cell r="BQ247" t="str">
            <v/>
          </cell>
          <cell r="BR247" t="str">
            <v/>
          </cell>
          <cell r="BS247" t="str">
            <v/>
          </cell>
          <cell r="BT247" t="str">
            <v/>
          </cell>
          <cell r="BU247" t="str">
            <v/>
          </cell>
          <cell r="BV247" t="str">
            <v/>
          </cell>
          <cell r="BW247" t="str">
            <v/>
          </cell>
          <cell r="BX247" t="str">
            <v/>
          </cell>
          <cell r="BY247" t="str">
            <v/>
          </cell>
          <cell r="BZ247" t="str">
            <v/>
          </cell>
          <cell r="CA247" t="str">
            <v/>
          </cell>
          <cell r="CC247" t="str">
            <v/>
          </cell>
          <cell r="CD247" t="str">
            <v/>
          </cell>
          <cell r="CE247" t="str">
            <v/>
          </cell>
          <cell r="CF247" t="str">
            <v/>
          </cell>
        </row>
        <row r="248">
          <cell r="A248" t="str">
            <v>a</v>
          </cell>
          <cell r="B248" t="str">
            <v>_オースタット国際ホテル多治見</v>
          </cell>
          <cell r="C248" t="str">
            <v/>
          </cell>
          <cell r="D248" t="str">
            <v/>
          </cell>
          <cell r="F248" t="str">
            <v/>
          </cell>
          <cell r="J248" t="b">
            <v>1</v>
          </cell>
          <cell r="K248" t="str">
            <v/>
          </cell>
          <cell r="S248" t="b">
            <v>1</v>
          </cell>
          <cell r="T248" t="str">
            <v/>
          </cell>
          <cell r="V248">
            <v>0</v>
          </cell>
          <cell r="W248">
            <v>0</v>
          </cell>
          <cell r="X248" t="b">
            <v>1</v>
          </cell>
          <cell r="AB248" t="str">
            <v/>
          </cell>
          <cell r="AE248" t="str">
            <v>Not Found</v>
          </cell>
          <cell r="AF248">
            <v>300</v>
          </cell>
          <cell r="AG248" t="b">
            <v>1</v>
          </cell>
          <cell r="AH248" t="str">
            <v>Not Found</v>
          </cell>
          <cell r="AI248" t="str">
            <v/>
          </cell>
          <cell r="AJ248" t="str">
            <v/>
          </cell>
          <cell r="AL248" t="str">
            <v/>
          </cell>
          <cell r="AM248" t="str">
            <v/>
          </cell>
          <cell r="AN248" t="str">
            <v/>
          </cell>
          <cell r="AQ248" t="str">
            <v/>
          </cell>
          <cell r="AV248" t="str">
            <v/>
          </cell>
          <cell r="AW248" t="str">
            <v/>
          </cell>
          <cell r="AX248" t="str">
            <v/>
          </cell>
          <cell r="AY248" t="str">
            <v/>
          </cell>
          <cell r="AZ248" t="str">
            <v/>
          </cell>
          <cell r="BA248" t="str">
            <v/>
          </cell>
          <cell r="BB248" t="str">
            <v/>
          </cell>
          <cell r="BC248" t="str">
            <v/>
          </cell>
          <cell r="BD248" t="str">
            <v/>
          </cell>
          <cell r="BE248" t="str">
            <v/>
          </cell>
          <cell r="BF248" t="str">
            <v/>
          </cell>
          <cell r="BG248" t="str">
            <v/>
          </cell>
          <cell r="BH248" t="str">
            <v/>
          </cell>
          <cell r="BJ248" t="str">
            <v/>
          </cell>
          <cell r="BK248" t="str">
            <v/>
          </cell>
          <cell r="BL248" t="str">
            <v/>
          </cell>
          <cell r="BM248" t="str">
            <v/>
          </cell>
          <cell r="BN248" t="str">
            <v/>
          </cell>
          <cell r="BO248" t="str">
            <v/>
          </cell>
          <cell r="BP248" t="str">
            <v/>
          </cell>
          <cell r="BQ248" t="str">
            <v/>
          </cell>
          <cell r="BR248" t="str">
            <v/>
          </cell>
          <cell r="BS248" t="str">
            <v/>
          </cell>
          <cell r="BT248" t="str">
            <v/>
          </cell>
          <cell r="BU248" t="str">
            <v/>
          </cell>
          <cell r="BV248" t="str">
            <v/>
          </cell>
          <cell r="BW248" t="str">
            <v/>
          </cell>
          <cell r="BX248" t="str">
            <v/>
          </cell>
          <cell r="BY248" t="str">
            <v/>
          </cell>
          <cell r="BZ248" t="str">
            <v/>
          </cell>
          <cell r="CA248" t="str">
            <v/>
          </cell>
          <cell r="CC248" t="str">
            <v/>
          </cell>
          <cell r="CD248" t="str">
            <v/>
          </cell>
          <cell r="CE248" t="str">
            <v/>
          </cell>
          <cell r="CF248" t="str">
            <v/>
          </cell>
        </row>
        <row r="249">
          <cell r="A249" t="str">
            <v>a</v>
          </cell>
          <cell r="B249" t="str">
            <v>THE OKURA TOKYO</v>
          </cell>
          <cell r="C249" t="str">
            <v/>
          </cell>
          <cell r="D249" t="str">
            <v/>
          </cell>
          <cell r="F249" t="str">
            <v/>
          </cell>
          <cell r="J249" t="b">
            <v>1</v>
          </cell>
          <cell r="K249" t="str">
            <v/>
          </cell>
          <cell r="S249" t="b">
            <v>1</v>
          </cell>
          <cell r="T249" t="str">
            <v/>
          </cell>
          <cell r="V249">
            <v>0</v>
          </cell>
          <cell r="W249">
            <v>0</v>
          </cell>
          <cell r="X249" t="b">
            <v>1</v>
          </cell>
          <cell r="AB249" t="str">
            <v/>
          </cell>
          <cell r="AF249">
            <v>300</v>
          </cell>
          <cell r="AG249" t="b">
            <v>1</v>
          </cell>
          <cell r="AI249" t="str">
            <v/>
          </cell>
          <cell r="AJ249" t="str">
            <v/>
          </cell>
          <cell r="AL249" t="str">
            <v/>
          </cell>
          <cell r="AM249" t="str">
            <v/>
          </cell>
          <cell r="AN249" t="str">
            <v/>
          </cell>
          <cell r="AQ249" t="str">
            <v/>
          </cell>
          <cell r="AV249" t="str">
            <v/>
          </cell>
          <cell r="AW249" t="str">
            <v/>
          </cell>
          <cell r="AX249" t="str">
            <v/>
          </cell>
          <cell r="AY249" t="str">
            <v/>
          </cell>
          <cell r="AZ249" t="str">
            <v/>
          </cell>
          <cell r="BA249" t="str">
            <v/>
          </cell>
          <cell r="BB249" t="str">
            <v/>
          </cell>
          <cell r="BC249" t="str">
            <v/>
          </cell>
          <cell r="BD249" t="str">
            <v/>
          </cell>
          <cell r="BE249" t="str">
            <v/>
          </cell>
          <cell r="BF249" t="str">
            <v/>
          </cell>
          <cell r="BG249" t="str">
            <v/>
          </cell>
          <cell r="BH249" t="str">
            <v/>
          </cell>
          <cell r="BJ249" t="str">
            <v/>
          </cell>
          <cell r="BK249" t="str">
            <v/>
          </cell>
          <cell r="BL249" t="str">
            <v/>
          </cell>
          <cell r="BM249" t="str">
            <v/>
          </cell>
          <cell r="BN249" t="str">
            <v/>
          </cell>
          <cell r="BO249" t="str">
            <v/>
          </cell>
          <cell r="BP249" t="str">
            <v/>
          </cell>
          <cell r="BQ249" t="str">
            <v/>
          </cell>
          <cell r="BR249" t="str">
            <v/>
          </cell>
          <cell r="BS249" t="str">
            <v/>
          </cell>
          <cell r="BT249" t="str">
            <v/>
          </cell>
          <cell r="BU249" t="str">
            <v/>
          </cell>
          <cell r="BV249" t="str">
            <v/>
          </cell>
          <cell r="BW249" t="str">
            <v/>
          </cell>
          <cell r="BX249" t="str">
            <v/>
          </cell>
          <cell r="BY249" t="str">
            <v/>
          </cell>
          <cell r="BZ249" t="str">
            <v/>
          </cell>
          <cell r="CA249" t="str">
            <v/>
          </cell>
          <cell r="CC249" t="str">
            <v/>
          </cell>
          <cell r="CD249" t="str">
            <v/>
          </cell>
          <cell r="CE249" t="str">
            <v/>
          </cell>
          <cell r="CF249" t="str">
            <v/>
          </cell>
        </row>
        <row r="250">
          <cell r="A250" t="str">
            <v>a</v>
          </cell>
          <cell r="B250" t="str">
            <v>帝国ホテル 東京</v>
          </cell>
          <cell r="C250" t="str">
            <v/>
          </cell>
          <cell r="D250" t="str">
            <v/>
          </cell>
          <cell r="F250" t="str">
            <v/>
          </cell>
          <cell r="J250" t="b">
            <v>1</v>
          </cell>
          <cell r="K250" t="str">
            <v/>
          </cell>
          <cell r="S250" t="b">
            <v>1</v>
          </cell>
          <cell r="T250" t="str">
            <v/>
          </cell>
          <cell r="V250">
            <v>0</v>
          </cell>
          <cell r="W250">
            <v>0</v>
          </cell>
          <cell r="X250" t="b">
            <v>1</v>
          </cell>
          <cell r="AB250" t="str">
            <v/>
          </cell>
          <cell r="AF250">
            <v>300</v>
          </cell>
          <cell r="AG250" t="b">
            <v>1</v>
          </cell>
          <cell r="AI250" t="str">
            <v/>
          </cell>
          <cell r="AJ250" t="str">
            <v/>
          </cell>
          <cell r="AL250" t="str">
            <v/>
          </cell>
          <cell r="AM250" t="str">
            <v/>
          </cell>
          <cell r="AN250" t="str">
            <v/>
          </cell>
          <cell r="AQ250" t="str">
            <v/>
          </cell>
          <cell r="AV250" t="str">
            <v/>
          </cell>
          <cell r="AW250" t="str">
            <v/>
          </cell>
          <cell r="AX250" t="str">
            <v/>
          </cell>
          <cell r="AY250" t="str">
            <v/>
          </cell>
          <cell r="AZ250" t="str">
            <v/>
          </cell>
          <cell r="BA250" t="str">
            <v/>
          </cell>
          <cell r="BB250" t="str">
            <v/>
          </cell>
          <cell r="BC250" t="str">
            <v/>
          </cell>
          <cell r="BD250" t="str">
            <v/>
          </cell>
          <cell r="BE250" t="str">
            <v/>
          </cell>
          <cell r="BF250" t="str">
            <v/>
          </cell>
          <cell r="BG250" t="str">
            <v/>
          </cell>
          <cell r="BH250" t="str">
            <v/>
          </cell>
          <cell r="BJ250" t="str">
            <v/>
          </cell>
          <cell r="BK250" t="str">
            <v/>
          </cell>
          <cell r="BL250" t="str">
            <v/>
          </cell>
          <cell r="BM250" t="str">
            <v/>
          </cell>
          <cell r="BN250" t="str">
            <v/>
          </cell>
          <cell r="BO250" t="str">
            <v/>
          </cell>
          <cell r="BP250" t="str">
            <v/>
          </cell>
          <cell r="BQ250" t="str">
            <v/>
          </cell>
          <cell r="BR250" t="str">
            <v/>
          </cell>
          <cell r="BS250" t="str">
            <v/>
          </cell>
          <cell r="BT250" t="str">
            <v/>
          </cell>
          <cell r="BU250" t="str">
            <v/>
          </cell>
          <cell r="BV250" t="str">
            <v/>
          </cell>
          <cell r="BW250" t="str">
            <v/>
          </cell>
          <cell r="BX250" t="str">
            <v/>
          </cell>
          <cell r="BY250" t="str">
            <v/>
          </cell>
          <cell r="BZ250" t="str">
            <v/>
          </cell>
          <cell r="CA250" t="str">
            <v/>
          </cell>
          <cell r="CC250" t="str">
            <v/>
          </cell>
          <cell r="CD250" t="str">
            <v/>
          </cell>
          <cell r="CE250" t="str">
            <v/>
          </cell>
          <cell r="CF250" t="str">
            <v/>
          </cell>
        </row>
        <row r="251">
          <cell r="A251" t="str">
            <v>a</v>
          </cell>
          <cell r="B251" t="str">
            <v>ルートイン愛知東郷町</v>
          </cell>
          <cell r="C251" t="str">
            <v/>
          </cell>
          <cell r="D251" t="str">
            <v/>
          </cell>
          <cell r="F251" t="str">
            <v/>
          </cell>
          <cell r="J251" t="b">
            <v>1</v>
          </cell>
          <cell r="K251" t="str">
            <v/>
          </cell>
          <cell r="S251" t="b">
            <v>1</v>
          </cell>
          <cell r="T251" t="str">
            <v/>
          </cell>
          <cell r="V251">
            <v>0</v>
          </cell>
          <cell r="W251">
            <v>0</v>
          </cell>
          <cell r="X251" t="b">
            <v>1</v>
          </cell>
          <cell r="AB251" t="str">
            <v/>
          </cell>
          <cell r="AF251">
            <v>300</v>
          </cell>
          <cell r="AG251" t="b">
            <v>1</v>
          </cell>
          <cell r="AI251" t="str">
            <v/>
          </cell>
          <cell r="AJ251" t="str">
            <v/>
          </cell>
          <cell r="AL251" t="str">
            <v/>
          </cell>
          <cell r="AM251" t="str">
            <v/>
          </cell>
          <cell r="AN251" t="str">
            <v/>
          </cell>
          <cell r="AQ251" t="str">
            <v/>
          </cell>
          <cell r="AV251" t="str">
            <v/>
          </cell>
          <cell r="AW251" t="str">
            <v/>
          </cell>
          <cell r="AX251" t="str">
            <v/>
          </cell>
          <cell r="AY251" t="str">
            <v/>
          </cell>
          <cell r="AZ251" t="str">
            <v/>
          </cell>
          <cell r="BA251" t="str">
            <v/>
          </cell>
          <cell r="BB251" t="str">
            <v/>
          </cell>
          <cell r="BC251" t="str">
            <v/>
          </cell>
          <cell r="BD251" t="str">
            <v/>
          </cell>
          <cell r="BE251" t="str">
            <v/>
          </cell>
          <cell r="BF251" t="str">
            <v/>
          </cell>
          <cell r="BG251" t="str">
            <v/>
          </cell>
          <cell r="BH251" t="str">
            <v/>
          </cell>
          <cell r="BJ251" t="str">
            <v/>
          </cell>
          <cell r="BK251" t="str">
            <v/>
          </cell>
          <cell r="BL251" t="str">
            <v/>
          </cell>
          <cell r="BM251" t="str">
            <v/>
          </cell>
          <cell r="BN251" t="str">
            <v/>
          </cell>
          <cell r="BO251" t="str">
            <v/>
          </cell>
          <cell r="BP251" t="str">
            <v/>
          </cell>
          <cell r="BQ251" t="str">
            <v/>
          </cell>
          <cell r="BR251" t="str">
            <v/>
          </cell>
          <cell r="BS251" t="str">
            <v/>
          </cell>
          <cell r="BT251" t="str">
            <v/>
          </cell>
          <cell r="BU251" t="str">
            <v/>
          </cell>
          <cell r="BV251" t="str">
            <v/>
          </cell>
          <cell r="BW251" t="str">
            <v/>
          </cell>
          <cell r="BX251" t="str">
            <v/>
          </cell>
          <cell r="BY251" t="str">
            <v/>
          </cell>
          <cell r="BZ251" t="str">
            <v/>
          </cell>
          <cell r="CA251" t="str">
            <v/>
          </cell>
          <cell r="CC251" t="str">
            <v/>
          </cell>
          <cell r="CD251" t="str">
            <v/>
          </cell>
          <cell r="CE251" t="str">
            <v/>
          </cell>
          <cell r="CF251" t="str">
            <v/>
          </cell>
        </row>
        <row r="252">
          <cell r="A252" t="str">
            <v>a</v>
          </cell>
          <cell r="B252" t="str">
            <v>東横イン浜松駅北口</v>
          </cell>
          <cell r="C252" t="str">
            <v/>
          </cell>
          <cell r="D252" t="str">
            <v/>
          </cell>
          <cell r="F252" t="str">
            <v/>
          </cell>
          <cell r="J252" t="b">
            <v>1</v>
          </cell>
          <cell r="K252" t="str">
            <v/>
          </cell>
          <cell r="S252" t="b">
            <v>1</v>
          </cell>
          <cell r="T252" t="str">
            <v/>
          </cell>
          <cell r="V252">
            <v>0</v>
          </cell>
          <cell r="W252">
            <v>0</v>
          </cell>
          <cell r="X252" t="b">
            <v>1</v>
          </cell>
          <cell r="AB252" t="str">
            <v/>
          </cell>
          <cell r="AF252">
            <v>300</v>
          </cell>
          <cell r="AG252" t="b">
            <v>1</v>
          </cell>
          <cell r="AI252" t="str">
            <v/>
          </cell>
          <cell r="AJ252" t="str">
            <v/>
          </cell>
          <cell r="AL252" t="str">
            <v/>
          </cell>
          <cell r="AM252" t="str">
            <v/>
          </cell>
          <cell r="AN252" t="str">
            <v/>
          </cell>
          <cell r="AQ252" t="str">
            <v/>
          </cell>
          <cell r="AV252" t="str">
            <v/>
          </cell>
          <cell r="AW252" t="str">
            <v/>
          </cell>
          <cell r="AX252" t="str">
            <v/>
          </cell>
          <cell r="AY252" t="str">
            <v/>
          </cell>
          <cell r="AZ252" t="str">
            <v/>
          </cell>
          <cell r="BA252" t="str">
            <v/>
          </cell>
          <cell r="BB252" t="str">
            <v/>
          </cell>
          <cell r="BC252" t="str">
            <v/>
          </cell>
          <cell r="BD252" t="str">
            <v/>
          </cell>
          <cell r="BE252" t="str">
            <v/>
          </cell>
          <cell r="BF252" t="str">
            <v/>
          </cell>
          <cell r="BG252" t="str">
            <v/>
          </cell>
          <cell r="BH252" t="str">
            <v/>
          </cell>
          <cell r="BJ252" t="str">
            <v/>
          </cell>
          <cell r="BK252" t="str">
            <v/>
          </cell>
          <cell r="BL252" t="str">
            <v/>
          </cell>
          <cell r="BM252" t="str">
            <v/>
          </cell>
          <cell r="BN252" t="str">
            <v/>
          </cell>
          <cell r="BO252" t="str">
            <v/>
          </cell>
          <cell r="BP252" t="str">
            <v/>
          </cell>
          <cell r="BQ252" t="str">
            <v/>
          </cell>
          <cell r="BR252" t="str">
            <v/>
          </cell>
          <cell r="BS252" t="str">
            <v/>
          </cell>
          <cell r="BT252" t="str">
            <v/>
          </cell>
          <cell r="BU252" t="str">
            <v/>
          </cell>
          <cell r="BV252" t="str">
            <v/>
          </cell>
          <cell r="BW252" t="str">
            <v/>
          </cell>
          <cell r="BX252" t="str">
            <v/>
          </cell>
          <cell r="BY252" t="str">
            <v/>
          </cell>
          <cell r="BZ252" t="str">
            <v/>
          </cell>
          <cell r="CA252" t="str">
            <v/>
          </cell>
          <cell r="CC252" t="str">
            <v/>
          </cell>
          <cell r="CD252" t="str">
            <v/>
          </cell>
          <cell r="CE252" t="str">
            <v/>
          </cell>
          <cell r="CF252" t="str">
            <v/>
          </cell>
        </row>
        <row r="253">
          <cell r="A253" t="str">
            <v>a</v>
          </cell>
          <cell r="B253" t="str">
            <v>東横イン京都四条烏丸</v>
          </cell>
          <cell r="C253" t="str">
            <v/>
          </cell>
          <cell r="D253" t="str">
            <v/>
          </cell>
          <cell r="F253" t="str">
            <v/>
          </cell>
          <cell r="J253" t="b">
            <v>1</v>
          </cell>
          <cell r="K253" t="str">
            <v/>
          </cell>
          <cell r="S253" t="b">
            <v>1</v>
          </cell>
          <cell r="T253" t="str">
            <v/>
          </cell>
          <cell r="W253">
            <v>0</v>
          </cell>
          <cell r="X253" t="b">
            <v>1</v>
          </cell>
          <cell r="AB253" t="str">
            <v/>
          </cell>
          <cell r="AF253">
            <v>300</v>
          </cell>
          <cell r="AG253" t="b">
            <v>1</v>
          </cell>
          <cell r="AI253" t="str">
            <v/>
          </cell>
          <cell r="AJ253" t="str">
            <v/>
          </cell>
          <cell r="AL253" t="str">
            <v/>
          </cell>
          <cell r="AM253" t="str">
            <v/>
          </cell>
          <cell r="AN253" t="str">
            <v/>
          </cell>
          <cell r="AQ253" t="str">
            <v/>
          </cell>
          <cell r="AV253" t="str">
            <v/>
          </cell>
          <cell r="AW253" t="str">
            <v/>
          </cell>
          <cell r="AX253" t="str">
            <v/>
          </cell>
          <cell r="AY253" t="str">
            <v/>
          </cell>
          <cell r="AZ253" t="str">
            <v/>
          </cell>
          <cell r="BA253" t="str">
            <v/>
          </cell>
          <cell r="BB253" t="str">
            <v/>
          </cell>
          <cell r="BC253" t="str">
            <v/>
          </cell>
          <cell r="BD253" t="str">
            <v/>
          </cell>
          <cell r="BE253" t="str">
            <v/>
          </cell>
          <cell r="BF253" t="str">
            <v/>
          </cell>
          <cell r="BG253" t="str">
            <v/>
          </cell>
          <cell r="BH253" t="str">
            <v/>
          </cell>
          <cell r="BJ253" t="str">
            <v/>
          </cell>
          <cell r="BK253" t="str">
            <v/>
          </cell>
          <cell r="BL253" t="str">
            <v/>
          </cell>
          <cell r="BM253" t="str">
            <v/>
          </cell>
          <cell r="BN253" t="str">
            <v/>
          </cell>
          <cell r="BO253" t="str">
            <v/>
          </cell>
          <cell r="BP253" t="str">
            <v/>
          </cell>
          <cell r="BQ253" t="str">
            <v/>
          </cell>
          <cell r="BR253" t="str">
            <v/>
          </cell>
          <cell r="BS253" t="str">
            <v/>
          </cell>
          <cell r="BT253" t="str">
            <v/>
          </cell>
          <cell r="BU253" t="str">
            <v/>
          </cell>
          <cell r="BV253" t="str">
            <v/>
          </cell>
          <cell r="BW253" t="str">
            <v/>
          </cell>
          <cell r="BX253" t="str">
            <v/>
          </cell>
          <cell r="BY253" t="str">
            <v/>
          </cell>
          <cell r="BZ253" t="str">
            <v/>
          </cell>
          <cell r="CA253" t="str">
            <v/>
          </cell>
          <cell r="CC253" t="str">
            <v/>
          </cell>
          <cell r="CD253" t="str">
            <v/>
          </cell>
          <cell r="CE253" t="str">
            <v/>
          </cell>
          <cell r="CF253" t="str">
            <v/>
          </cell>
        </row>
        <row r="254">
          <cell r="A254" t="str">
            <v>a</v>
          </cell>
          <cell r="B254" t="str">
            <v>東横イン神戸三ノ宮1</v>
          </cell>
          <cell r="C254" t="str">
            <v/>
          </cell>
          <cell r="D254" t="str">
            <v/>
          </cell>
          <cell r="F254" t="str">
            <v/>
          </cell>
          <cell r="J254" t="b">
            <v>1</v>
          </cell>
          <cell r="K254" t="str">
            <v/>
          </cell>
          <cell r="S254" t="b">
            <v>1</v>
          </cell>
          <cell r="T254" t="str">
            <v/>
          </cell>
          <cell r="W254">
            <v>0</v>
          </cell>
          <cell r="X254" t="b">
            <v>1</v>
          </cell>
          <cell r="AB254" t="str">
            <v/>
          </cell>
          <cell r="AF254">
            <v>300</v>
          </cell>
          <cell r="AG254" t="b">
            <v>1</v>
          </cell>
          <cell r="AI254" t="str">
            <v/>
          </cell>
          <cell r="AJ254" t="str">
            <v/>
          </cell>
          <cell r="AL254" t="str">
            <v/>
          </cell>
          <cell r="AM254" t="str">
            <v/>
          </cell>
          <cell r="AN254" t="str">
            <v/>
          </cell>
          <cell r="AQ254" t="str">
            <v/>
          </cell>
          <cell r="AV254" t="str">
            <v/>
          </cell>
          <cell r="AW254" t="str">
            <v/>
          </cell>
          <cell r="AX254" t="str">
            <v/>
          </cell>
          <cell r="AY254" t="str">
            <v/>
          </cell>
          <cell r="AZ254" t="str">
            <v/>
          </cell>
          <cell r="BA254" t="str">
            <v/>
          </cell>
          <cell r="BB254" t="str">
            <v/>
          </cell>
          <cell r="BC254" t="str">
            <v/>
          </cell>
          <cell r="BD254" t="str">
            <v/>
          </cell>
          <cell r="BE254" t="str">
            <v/>
          </cell>
          <cell r="BF254" t="str">
            <v/>
          </cell>
          <cell r="BG254" t="str">
            <v/>
          </cell>
          <cell r="BH254" t="str">
            <v/>
          </cell>
          <cell r="BJ254" t="str">
            <v/>
          </cell>
          <cell r="BK254" t="str">
            <v/>
          </cell>
          <cell r="BL254" t="str">
            <v/>
          </cell>
          <cell r="BM254" t="str">
            <v/>
          </cell>
          <cell r="BN254" t="str">
            <v/>
          </cell>
          <cell r="BO254" t="str">
            <v/>
          </cell>
          <cell r="BP254" t="str">
            <v/>
          </cell>
          <cell r="BQ254" t="str">
            <v/>
          </cell>
          <cell r="BR254" t="str">
            <v/>
          </cell>
          <cell r="BS254" t="str">
            <v/>
          </cell>
          <cell r="BT254" t="str">
            <v/>
          </cell>
          <cell r="BU254" t="str">
            <v/>
          </cell>
          <cell r="BV254" t="str">
            <v/>
          </cell>
          <cell r="BW254" t="str">
            <v/>
          </cell>
          <cell r="BX254" t="str">
            <v/>
          </cell>
          <cell r="BY254" t="str">
            <v/>
          </cell>
          <cell r="BZ254" t="str">
            <v/>
          </cell>
          <cell r="CA254" t="str">
            <v/>
          </cell>
          <cell r="CC254" t="str">
            <v/>
          </cell>
          <cell r="CD254" t="str">
            <v/>
          </cell>
          <cell r="CE254" t="str">
            <v/>
          </cell>
          <cell r="CF254" t="str">
            <v/>
          </cell>
        </row>
        <row r="255">
          <cell r="A255" t="str">
            <v>a</v>
          </cell>
          <cell r="B255" t="str">
            <v>東横イン大阪なんば日本橋</v>
          </cell>
          <cell r="C255" t="str">
            <v/>
          </cell>
          <cell r="D255" t="str">
            <v/>
          </cell>
          <cell r="F255" t="str">
            <v/>
          </cell>
          <cell r="J255" t="b">
            <v>1</v>
          </cell>
          <cell r="K255" t="str">
            <v/>
          </cell>
          <cell r="S255" t="b">
            <v>1</v>
          </cell>
          <cell r="T255" t="str">
            <v/>
          </cell>
          <cell r="W255">
            <v>0</v>
          </cell>
          <cell r="X255" t="b">
            <v>1</v>
          </cell>
          <cell r="AB255" t="str">
            <v/>
          </cell>
          <cell r="AG255" t="b">
            <v>1</v>
          </cell>
          <cell r="AI255" t="str">
            <v/>
          </cell>
          <cell r="AJ255" t="str">
            <v/>
          </cell>
          <cell r="AL255" t="str">
            <v/>
          </cell>
          <cell r="AM255" t="str">
            <v/>
          </cell>
          <cell r="AN255" t="str">
            <v/>
          </cell>
          <cell r="AQ255" t="str">
            <v/>
          </cell>
          <cell r="AV255" t="str">
            <v/>
          </cell>
          <cell r="AW255" t="str">
            <v/>
          </cell>
          <cell r="AX255" t="str">
            <v/>
          </cell>
          <cell r="AY255" t="str">
            <v/>
          </cell>
          <cell r="AZ255" t="str">
            <v/>
          </cell>
          <cell r="BA255" t="str">
            <v/>
          </cell>
          <cell r="BB255" t="str">
            <v/>
          </cell>
          <cell r="BC255" t="str">
            <v/>
          </cell>
          <cell r="BD255" t="str">
            <v/>
          </cell>
          <cell r="BE255" t="str">
            <v/>
          </cell>
          <cell r="BF255" t="str">
            <v/>
          </cell>
          <cell r="BG255" t="str">
            <v/>
          </cell>
          <cell r="BH255" t="str">
            <v/>
          </cell>
          <cell r="BJ255" t="str">
            <v/>
          </cell>
          <cell r="BK255" t="str">
            <v/>
          </cell>
          <cell r="BL255" t="str">
            <v/>
          </cell>
          <cell r="BM255" t="str">
            <v/>
          </cell>
          <cell r="BN255" t="str">
            <v/>
          </cell>
          <cell r="BO255" t="str">
            <v/>
          </cell>
          <cell r="BP255" t="str">
            <v/>
          </cell>
          <cell r="BQ255" t="str">
            <v/>
          </cell>
          <cell r="BR255" t="str">
            <v/>
          </cell>
          <cell r="BS255" t="str">
            <v/>
          </cell>
          <cell r="BT255" t="str">
            <v/>
          </cell>
          <cell r="BU255" t="str">
            <v/>
          </cell>
          <cell r="BV255" t="str">
            <v/>
          </cell>
          <cell r="BW255" t="str">
            <v/>
          </cell>
          <cell r="BX255" t="str">
            <v/>
          </cell>
          <cell r="BY255" t="str">
            <v/>
          </cell>
          <cell r="BZ255" t="str">
            <v/>
          </cell>
          <cell r="CA255" t="str">
            <v/>
          </cell>
          <cell r="CC255" t="str">
            <v/>
          </cell>
          <cell r="CD255" t="str">
            <v/>
          </cell>
          <cell r="CE255" t="str">
            <v/>
          </cell>
          <cell r="CF255" t="str">
            <v/>
          </cell>
        </row>
        <row r="256">
          <cell r="A256" t="str">
            <v>a</v>
          </cell>
          <cell r="B256" t="str">
            <v>オリジナル</v>
          </cell>
          <cell r="C256" t="str">
            <v/>
          </cell>
          <cell r="D256" t="str">
            <v/>
          </cell>
          <cell r="F256" t="str">
            <v/>
          </cell>
          <cell r="I256">
            <v>0</v>
          </cell>
          <cell r="J256" t="b">
            <v>1</v>
          </cell>
          <cell r="K256" t="str">
            <v/>
          </cell>
          <cell r="L256">
            <v>0</v>
          </cell>
          <cell r="M256">
            <v>0</v>
          </cell>
          <cell r="N256">
            <v>0</v>
          </cell>
          <cell r="O256">
            <v>0</v>
          </cell>
          <cell r="P256">
            <v>0</v>
          </cell>
          <cell r="R256">
            <v>0</v>
          </cell>
          <cell r="S256" t="b">
            <v>1</v>
          </cell>
          <cell r="T256" t="str">
            <v/>
          </cell>
          <cell r="W256">
            <v>0</v>
          </cell>
          <cell r="X256" t="b">
            <v>1</v>
          </cell>
          <cell r="AB256" t="str">
            <v/>
          </cell>
          <cell r="AG256" t="b">
            <v>1</v>
          </cell>
          <cell r="AI256" t="str">
            <v/>
          </cell>
          <cell r="AJ256" t="str">
            <v/>
          </cell>
          <cell r="AL256" t="str">
            <v/>
          </cell>
          <cell r="AM256" t="str">
            <v/>
          </cell>
          <cell r="AN256" t="str">
            <v/>
          </cell>
          <cell r="AQ256" t="str">
            <v/>
          </cell>
          <cell r="AV256" t="str">
            <v/>
          </cell>
          <cell r="AW256" t="str">
            <v/>
          </cell>
          <cell r="AX256" t="str">
            <v/>
          </cell>
          <cell r="AY256" t="str">
            <v/>
          </cell>
          <cell r="AZ256" t="str">
            <v/>
          </cell>
          <cell r="BA256" t="str">
            <v/>
          </cell>
          <cell r="BB256" t="str">
            <v/>
          </cell>
          <cell r="BC256" t="str">
            <v/>
          </cell>
          <cell r="BD256" t="str">
            <v/>
          </cell>
          <cell r="BE256" t="str">
            <v/>
          </cell>
          <cell r="BF256" t="str">
            <v/>
          </cell>
          <cell r="BG256" t="str">
            <v/>
          </cell>
          <cell r="BH256" t="str">
            <v/>
          </cell>
          <cell r="BJ256" t="str">
            <v/>
          </cell>
          <cell r="BK256" t="str">
            <v/>
          </cell>
          <cell r="BL256" t="str">
            <v/>
          </cell>
          <cell r="BM256" t="str">
            <v/>
          </cell>
          <cell r="BN256" t="str">
            <v/>
          </cell>
          <cell r="BO256" t="str">
            <v/>
          </cell>
          <cell r="BP256" t="str">
            <v/>
          </cell>
          <cell r="BQ256" t="str">
            <v/>
          </cell>
          <cell r="BR256" t="str">
            <v/>
          </cell>
          <cell r="BS256" t="str">
            <v/>
          </cell>
          <cell r="BT256" t="str">
            <v/>
          </cell>
          <cell r="BU256" t="str">
            <v/>
          </cell>
          <cell r="BV256" t="str">
            <v/>
          </cell>
          <cell r="BW256" t="str">
            <v/>
          </cell>
          <cell r="BX256" t="str">
            <v/>
          </cell>
          <cell r="BY256" t="str">
            <v/>
          </cell>
          <cell r="BZ256" t="str">
            <v/>
          </cell>
          <cell r="CA256" t="str">
            <v/>
          </cell>
          <cell r="CC256" t="str">
            <v/>
          </cell>
          <cell r="CD256" t="str">
            <v/>
          </cell>
          <cell r="CE256" t="str">
            <v/>
          </cell>
          <cell r="CF256" t="str">
            <v/>
          </cell>
        </row>
        <row r="257">
          <cell r="B257" t="str">
            <v>合計</v>
          </cell>
          <cell r="K257">
            <v>139</v>
          </cell>
          <cell r="BH257">
            <v>3042691395</v>
          </cell>
          <cell r="BI257">
            <v>5506126875</v>
          </cell>
          <cell r="BJ257">
            <v>3379277619.4275527</v>
          </cell>
          <cell r="BK257">
            <v>2080882425.4238429</v>
          </cell>
          <cell r="BL257">
            <v>2448924768.7822442</v>
          </cell>
          <cell r="BM257">
            <v>719947332</v>
          </cell>
          <cell r="BN257">
            <v>593701950.09868622</v>
          </cell>
          <cell r="BO257">
            <v>130072714.04830918</v>
          </cell>
          <cell r="BP257">
            <v>5404529372.9522943</v>
          </cell>
          <cell r="BQ257">
            <v>5404529372.9522943</v>
          </cell>
          <cell r="BR257">
            <v>784511087.65375853</v>
          </cell>
          <cell r="BS257">
            <v>118991015</v>
          </cell>
          <cell r="BT257">
            <v>541238089.38434672</v>
          </cell>
          <cell r="BU257">
            <v>832732970.40405285</v>
          </cell>
          <cell r="BV257">
            <v>194576630.76641858</v>
          </cell>
          <cell r="BW257">
            <v>48264462.264274493</v>
          </cell>
          <cell r="BX257">
            <v>858587762</v>
          </cell>
          <cell r="BY257">
            <v>1733045690</v>
          </cell>
          <cell r="BZ257">
            <v>2719647871</v>
          </cell>
          <cell r="CA257">
            <v>417750228</v>
          </cell>
          <cell r="CC257">
            <v>2383378452</v>
          </cell>
          <cell r="CD257">
            <v>2383378452</v>
          </cell>
          <cell r="CE257">
            <v>526117761</v>
          </cell>
          <cell r="CF257">
            <v>19984542</v>
          </cell>
        </row>
      </sheetData>
      <sheetData sheetId="440"/>
      <sheetData sheetId="441">
        <row r="8">
          <cell r="C8">
            <v>46287</v>
          </cell>
          <cell r="D8">
            <v>46294</v>
          </cell>
        </row>
        <row r="20">
          <cell r="I20">
            <v>1375651.2000000002</v>
          </cell>
        </row>
        <row r="22">
          <cell r="D22">
            <v>9629558</v>
          </cell>
        </row>
      </sheetData>
      <sheetData sheetId="442"/>
      <sheetData sheetId="443"/>
      <sheetData sheetId="444"/>
      <sheetData sheetId="445"/>
      <sheetData sheetId="446"/>
      <sheetData sheetId="44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容量_はじめに"/>
      <sheetName val="容量_sub"/>
      <sheetName val="容量_mst"/>
      <sheetName val="表STD工事費"/>
      <sheetName val="mst_FB000"/>
      <sheetName val="mst_FB600"/>
      <sheetName val="はじめに"/>
      <sheetName val="【入力】概要"/>
      <sheetName val="&quot;概算工事費&quot;マクロについて"/>
      <sheetName val="mst_単価"/>
      <sheetName val="mst_労務"/>
      <sheetName val="【入力】標準組立図"/>
      <sheetName val="mst_営業所"/>
      <sheetName val="工事価格算出"/>
      <sheetName val="参_底版鉄筋"/>
      <sheetName val="【追加入力】異形平面の場合"/>
      <sheetName val="mst_土被り毎"/>
      <sheetName val="【入力】詳細"/>
      <sheetName val="容量_出力"/>
      <sheetName val="数量計算書"/>
      <sheetName val="部材名一覧"/>
      <sheetName val="数量計算書_組立図ツール連動用"/>
      <sheetName val="参考_より線"/>
      <sheetName val="参考_PC鋼棒"/>
      <sheetName val="mst"/>
      <sheetName val="mst製品質量"/>
      <sheetName val="表紙甲"/>
      <sheetName val="表紙乙【入力】"/>
      <sheetName val="本工事内訳書【入力】"/>
      <sheetName val="本工事内訳書【入力】 (2)"/>
      <sheetName val="内訳表"/>
      <sheetName val="単価表"/>
      <sheetName val="参_単価表(非公開)"/>
      <sheetName val="施工日数(入力)"/>
      <sheetName val="施工日数(出力)"/>
      <sheetName val="Sheet1"/>
      <sheetName val="技開用_概略図"/>
      <sheetName val="参_縦締め材数量"/>
      <sheetName val="参_ふた、端面D規格"/>
      <sheetName val="参_ふた部材重量"/>
    </sheetNames>
    <sheetDataSet>
      <sheetData sheetId="0" refreshError="1"/>
      <sheetData sheetId="1" refreshError="1"/>
      <sheetData sheetId="2" refreshError="1"/>
      <sheetData sheetId="3" refreshError="1"/>
      <sheetData sheetId="4" refreshError="1">
        <row r="3">
          <cell r="B3" t="str">
            <v>容量</v>
          </cell>
          <cell r="C3" t="str">
            <v>規格高</v>
          </cell>
          <cell r="D3" t="str">
            <v>ふた幅</v>
          </cell>
          <cell r="E3" t="str">
            <v>列当り本体数</v>
          </cell>
          <cell r="F3" t="str">
            <v>ふた列数</v>
          </cell>
          <cell r="G3" t="str">
            <v>連通管数</v>
          </cell>
          <cell r="H3" t="str">
            <v>底版厚</v>
          </cell>
          <cell r="I3" t="str">
            <v>レッカー</v>
          </cell>
          <cell r="J3" t="str">
            <v>実容量m3</v>
          </cell>
          <cell r="K3" t="str">
            <v>新図番</v>
          </cell>
          <cell r="L3" t="str">
            <v>pdf</v>
          </cell>
          <cell r="M3" t="str">
            <v>青森</v>
          </cell>
          <cell r="N3" t="str">
            <v>岩手</v>
          </cell>
          <cell r="O3" t="str">
            <v>宮城</v>
          </cell>
          <cell r="P3" t="str">
            <v>宮城(豪雪地)</v>
          </cell>
          <cell r="Q3" t="str">
            <v>秋田</v>
          </cell>
          <cell r="R3" t="str">
            <v>山形</v>
          </cell>
          <cell r="S3" t="str">
            <v>福島</v>
          </cell>
          <cell r="T3" t="str">
            <v>福島(豪雪地)</v>
          </cell>
          <cell r="U3" t="str">
            <v>茨城</v>
          </cell>
          <cell r="V3" t="str">
            <v>栃木</v>
          </cell>
          <cell r="W3" t="str">
            <v>群馬</v>
          </cell>
          <cell r="X3" t="str">
            <v>埼玉</v>
          </cell>
          <cell r="Y3" t="str">
            <v>千葉</v>
          </cell>
          <cell r="Z3" t="str">
            <v>東京</v>
          </cell>
          <cell r="AA3" t="str">
            <v>神奈川</v>
          </cell>
          <cell r="AB3" t="str">
            <v>山梨</v>
          </cell>
          <cell r="AC3" t="str">
            <v>長野</v>
          </cell>
          <cell r="AD3" t="str">
            <v>新潟</v>
          </cell>
          <cell r="AE3" t="str">
            <v>富山</v>
          </cell>
          <cell r="AF3" t="str">
            <v>石川</v>
          </cell>
          <cell r="AG3" t="str">
            <v>岐阜</v>
          </cell>
          <cell r="AH3" t="str">
            <v>静岡</v>
          </cell>
          <cell r="AI3" t="str">
            <v>愛知</v>
          </cell>
          <cell r="AJ3" t="str">
            <v>三重</v>
          </cell>
          <cell r="AK3" t="str">
            <v>福井</v>
          </cell>
          <cell r="AL3" t="str">
            <v>滋賀</v>
          </cell>
          <cell r="AM3" t="str">
            <v>京都</v>
          </cell>
          <cell r="AN3" t="str">
            <v>大阪</v>
          </cell>
          <cell r="AO3" t="str">
            <v>兵庫</v>
          </cell>
          <cell r="AP3" t="str">
            <v>奈良</v>
          </cell>
          <cell r="AQ3" t="str">
            <v>和歌山</v>
          </cell>
          <cell r="AR3" t="str">
            <v>鳥取</v>
          </cell>
          <cell r="AS3" t="str">
            <v>島根</v>
          </cell>
          <cell r="AT3" t="str">
            <v>岡山</v>
          </cell>
          <cell r="AU3" t="str">
            <v>広島</v>
          </cell>
          <cell r="AV3" t="str">
            <v>山口</v>
          </cell>
          <cell r="AW3" t="str">
            <v>徳島</v>
          </cell>
          <cell r="AX3" t="str">
            <v>香川</v>
          </cell>
          <cell r="AY3" t="str">
            <v>愛媛</v>
          </cell>
          <cell r="AZ3" t="str">
            <v>高知</v>
          </cell>
        </row>
        <row r="4">
          <cell r="A4" t="str">
            <v>V0500H15B30</v>
          </cell>
          <cell r="B4">
            <v>500</v>
          </cell>
          <cell r="C4">
            <v>1500</v>
          </cell>
          <cell r="D4">
            <v>3000</v>
          </cell>
          <cell r="E4">
            <v>11</v>
          </cell>
          <cell r="F4">
            <v>2</v>
          </cell>
          <cell r="G4">
            <v>1</v>
          </cell>
          <cell r="H4">
            <v>350</v>
          </cell>
          <cell r="I4">
            <v>50</v>
          </cell>
          <cell r="J4">
            <v>529.1</v>
          </cell>
          <cell r="K4" t="str">
            <v>Q-11002853</v>
          </cell>
          <cell r="L4" t="str">
            <v>\\hokukon-net2\hop\Program\01_MVPシステム_容量別組立図\.\01_余裕高0_0m\pdf\FB0_0500m3-MVP-1500-組-B3000_Q-11002853.pdf</v>
          </cell>
          <cell r="M4">
            <v>2458.4499999999998</v>
          </cell>
          <cell r="N4">
            <v>2494.84</v>
          </cell>
          <cell r="O4">
            <v>2411.41</v>
          </cell>
          <cell r="P4">
            <v>2412.66</v>
          </cell>
          <cell r="Q4">
            <v>2476.6999999999998</v>
          </cell>
          <cell r="R4">
            <v>2449.7199999999998</v>
          </cell>
          <cell r="S4">
            <v>2443.0300000000002</v>
          </cell>
          <cell r="T4">
            <v>2444.56</v>
          </cell>
          <cell r="U4">
            <v>2432.21</v>
          </cell>
          <cell r="V4">
            <v>2418.7199999999998</v>
          </cell>
          <cell r="W4">
            <v>2436.37</v>
          </cell>
          <cell r="X4">
            <v>2446.9299999999998</v>
          </cell>
          <cell r="Y4">
            <v>2448.02</v>
          </cell>
          <cell r="Z4">
            <v>2528.96</v>
          </cell>
          <cell r="AA4">
            <v>2459.34</v>
          </cell>
          <cell r="AB4">
            <v>2466.8200000000002</v>
          </cell>
          <cell r="AC4">
            <v>2572.69</v>
          </cell>
          <cell r="AD4">
            <v>2428.86</v>
          </cell>
          <cell r="AE4">
            <v>2464.1999999999998</v>
          </cell>
          <cell r="AF4">
            <v>2559.77</v>
          </cell>
          <cell r="AG4">
            <v>2432.25</v>
          </cell>
          <cell r="AH4">
            <v>2458.2199999999998</v>
          </cell>
          <cell r="AI4">
            <v>2409.66</v>
          </cell>
          <cell r="AJ4">
            <v>2463.81</v>
          </cell>
          <cell r="AK4">
            <v>2355.2800000000002</v>
          </cell>
          <cell r="AL4">
            <v>2459.98</v>
          </cell>
          <cell r="AM4">
            <v>2577.54</v>
          </cell>
          <cell r="AN4">
            <v>2491.96</v>
          </cell>
          <cell r="AO4">
            <v>2521.85</v>
          </cell>
          <cell r="AP4">
            <v>2516.58</v>
          </cell>
          <cell r="AQ4">
            <v>2543.2199999999998</v>
          </cell>
          <cell r="AR4">
            <v>2444.66</v>
          </cell>
          <cell r="AS4">
            <v>2585.42</v>
          </cell>
          <cell r="AT4">
            <v>2507.42</v>
          </cell>
          <cell r="AU4">
            <v>2519.04</v>
          </cell>
          <cell r="AV4">
            <v>2552.13</v>
          </cell>
          <cell r="AW4">
            <v>2484.1999999999998</v>
          </cell>
          <cell r="AX4">
            <v>2349.1</v>
          </cell>
          <cell r="AY4">
            <v>2436.35</v>
          </cell>
          <cell r="AZ4">
            <v>2313.6799999999998</v>
          </cell>
          <cell r="BA4">
            <v>2683.9</v>
          </cell>
        </row>
        <row r="5">
          <cell r="A5" t="str">
            <v>V0500H15B25</v>
          </cell>
          <cell r="B5">
            <v>500</v>
          </cell>
          <cell r="C5">
            <v>1500</v>
          </cell>
          <cell r="D5">
            <v>2500</v>
          </cell>
          <cell r="E5">
            <v>12</v>
          </cell>
          <cell r="F5">
            <v>2</v>
          </cell>
          <cell r="G5">
            <v>1</v>
          </cell>
          <cell r="H5">
            <v>350</v>
          </cell>
          <cell r="I5">
            <v>50</v>
          </cell>
          <cell r="J5">
            <v>535.9</v>
          </cell>
          <cell r="K5" t="str">
            <v>Q-11002852</v>
          </cell>
          <cell r="L5" t="str">
            <v>\\hokukon-net2\hop\Program\01_MVPシステム_容量別組立図\.\01_余裕高0_0m\pdf\FB0_0500m3-MVP-1500-組-B2500_Q-11002852.pdf</v>
          </cell>
          <cell r="M5">
            <v>2523.21</v>
          </cell>
          <cell r="N5">
            <v>2560.11</v>
          </cell>
          <cell r="O5">
            <v>2475.6</v>
          </cell>
          <cell r="P5">
            <v>2476.87</v>
          </cell>
          <cell r="Q5">
            <v>2541.63</v>
          </cell>
          <cell r="R5">
            <v>2514.25</v>
          </cell>
          <cell r="S5">
            <v>2507.35</v>
          </cell>
          <cell r="T5">
            <v>2508.9</v>
          </cell>
          <cell r="U5">
            <v>2496.92</v>
          </cell>
          <cell r="V5">
            <v>2483.16</v>
          </cell>
          <cell r="W5">
            <v>2501.13</v>
          </cell>
          <cell r="X5">
            <v>2512.0500000000002</v>
          </cell>
          <cell r="Y5">
            <v>2513.1999999999998</v>
          </cell>
          <cell r="Z5">
            <v>2595.56</v>
          </cell>
          <cell r="AA5">
            <v>2525</v>
          </cell>
          <cell r="AB5">
            <v>2532.34</v>
          </cell>
          <cell r="AC5">
            <v>2639.56</v>
          </cell>
          <cell r="AD5">
            <v>2493.4299999999998</v>
          </cell>
          <cell r="AE5">
            <v>2529.48</v>
          </cell>
          <cell r="AF5">
            <v>2626.63</v>
          </cell>
          <cell r="AG5">
            <v>2497.3000000000002</v>
          </cell>
          <cell r="AH5">
            <v>2523.63</v>
          </cell>
          <cell r="AI5">
            <v>2474.4899999999998</v>
          </cell>
          <cell r="AJ5">
            <v>2529.21</v>
          </cell>
          <cell r="AK5">
            <v>2418.94</v>
          </cell>
          <cell r="AL5">
            <v>2525.06</v>
          </cell>
          <cell r="AM5">
            <v>2644.43</v>
          </cell>
          <cell r="AN5">
            <v>2557.59</v>
          </cell>
          <cell r="AO5">
            <v>2587.77</v>
          </cell>
          <cell r="AP5">
            <v>2582.5100000000002</v>
          </cell>
          <cell r="AQ5">
            <v>2609.62</v>
          </cell>
          <cell r="AR5">
            <v>2509.17</v>
          </cell>
          <cell r="AS5">
            <v>2652.12</v>
          </cell>
          <cell r="AT5">
            <v>2573.23</v>
          </cell>
          <cell r="AU5">
            <v>2585.08</v>
          </cell>
          <cell r="AV5">
            <v>2618.4</v>
          </cell>
          <cell r="AW5">
            <v>2549.52</v>
          </cell>
          <cell r="AX5">
            <v>2412.62</v>
          </cell>
          <cell r="AY5">
            <v>2500.88</v>
          </cell>
          <cell r="AZ5">
            <v>2376.5300000000002</v>
          </cell>
          <cell r="BA5">
            <v>2767.81</v>
          </cell>
        </row>
        <row r="6">
          <cell r="A6" t="str">
            <v>V0500H15B20</v>
          </cell>
          <cell r="B6">
            <v>500</v>
          </cell>
          <cell r="C6">
            <v>1500</v>
          </cell>
          <cell r="D6">
            <v>2000</v>
          </cell>
          <cell r="E6">
            <v>13</v>
          </cell>
          <cell r="F6">
            <v>2</v>
          </cell>
          <cell r="G6">
            <v>1</v>
          </cell>
          <cell r="H6">
            <v>350</v>
          </cell>
          <cell r="I6">
            <v>50</v>
          </cell>
          <cell r="J6">
            <v>536.70000000000005</v>
          </cell>
          <cell r="K6" t="str">
            <v>Q-11002851</v>
          </cell>
          <cell r="L6" t="str">
            <v>\\hokukon-net2\hop\Program\01_MVPシステム_容量別組立図\.\01_余裕高0_0m\pdf\FB0_0500m3-MVP-1500-組-B2000_Q-11002851.pdf</v>
          </cell>
          <cell r="M6">
            <v>2569.06</v>
          </cell>
          <cell r="N6">
            <v>2606.13</v>
          </cell>
          <cell r="O6">
            <v>2521.4</v>
          </cell>
          <cell r="P6">
            <v>2522.69</v>
          </cell>
          <cell r="Q6">
            <v>2587.4699999999998</v>
          </cell>
          <cell r="R6">
            <v>2559.92</v>
          </cell>
          <cell r="S6">
            <v>2552.83</v>
          </cell>
          <cell r="T6">
            <v>2554.38</v>
          </cell>
          <cell r="U6">
            <v>2543.15</v>
          </cell>
          <cell r="V6">
            <v>2529.1999999999998</v>
          </cell>
          <cell r="W6">
            <v>2547.35</v>
          </cell>
          <cell r="X6">
            <v>2558.6</v>
          </cell>
          <cell r="Y6">
            <v>2559.7800000000002</v>
          </cell>
          <cell r="Z6">
            <v>2642.86</v>
          </cell>
          <cell r="AA6">
            <v>2572.06</v>
          </cell>
          <cell r="AB6">
            <v>2579.09</v>
          </cell>
          <cell r="AC6">
            <v>2686.55</v>
          </cell>
          <cell r="AD6">
            <v>2539.39</v>
          </cell>
          <cell r="AE6">
            <v>2575.9</v>
          </cell>
          <cell r="AF6">
            <v>2673.74</v>
          </cell>
          <cell r="AG6">
            <v>2543.88</v>
          </cell>
          <cell r="AH6">
            <v>2570.36</v>
          </cell>
          <cell r="AI6">
            <v>2521.12</v>
          </cell>
          <cell r="AJ6">
            <v>2575.83</v>
          </cell>
          <cell r="AK6">
            <v>2464.81</v>
          </cell>
          <cell r="AL6">
            <v>2571.33</v>
          </cell>
          <cell r="AM6">
            <v>2691.45</v>
          </cell>
          <cell r="AN6">
            <v>2604.1799999999998</v>
          </cell>
          <cell r="AO6">
            <v>2634.28</v>
          </cell>
          <cell r="AP6">
            <v>2629.14</v>
          </cell>
          <cell r="AQ6">
            <v>2656.46</v>
          </cell>
          <cell r="AR6">
            <v>2554.89</v>
          </cell>
          <cell r="AS6">
            <v>2698.72</v>
          </cell>
          <cell r="AT6">
            <v>2619.75</v>
          </cell>
          <cell r="AU6">
            <v>2631.73</v>
          </cell>
          <cell r="AV6">
            <v>2664.91</v>
          </cell>
          <cell r="AW6">
            <v>2595.7199999999998</v>
          </cell>
          <cell r="AX6">
            <v>2458.33</v>
          </cell>
          <cell r="AY6">
            <v>2546.7199999999998</v>
          </cell>
          <cell r="AZ6">
            <v>2421.88</v>
          </cell>
          <cell r="BA6">
            <v>2830.45</v>
          </cell>
        </row>
        <row r="7">
          <cell r="A7" t="str">
            <v>V0500H20B30</v>
          </cell>
          <cell r="B7">
            <v>500</v>
          </cell>
          <cell r="C7">
            <v>2000</v>
          </cell>
          <cell r="D7">
            <v>3000</v>
          </cell>
          <cell r="E7">
            <v>14</v>
          </cell>
          <cell r="F7">
            <v>1</v>
          </cell>
          <cell r="G7">
            <v>1</v>
          </cell>
          <cell r="H7">
            <v>350</v>
          </cell>
          <cell r="I7">
            <v>50</v>
          </cell>
          <cell r="J7">
            <v>533.29999999999995</v>
          </cell>
          <cell r="K7" t="str">
            <v>Q-11002856</v>
          </cell>
          <cell r="L7" t="str">
            <v>\\hokukon-net2\hop\Program\01_MVPシステム_容量別組立図\.\01_余裕高0_0m\pdf\FB0_0500m3-MVP-2000-組-B3000_Q-11002856.pdf</v>
          </cell>
          <cell r="M7">
            <v>1998.01</v>
          </cell>
          <cell r="N7">
            <v>2026</v>
          </cell>
          <cell r="O7">
            <v>1961.9</v>
          </cell>
          <cell r="P7">
            <v>1962.87</v>
          </cell>
          <cell r="Q7">
            <v>2011.74</v>
          </cell>
          <cell r="R7">
            <v>1991.08</v>
          </cell>
          <cell r="S7">
            <v>1985.87</v>
          </cell>
          <cell r="T7">
            <v>1987.05</v>
          </cell>
          <cell r="U7">
            <v>1977.81</v>
          </cell>
          <cell r="V7">
            <v>1967.37</v>
          </cell>
          <cell r="W7">
            <v>1981.07</v>
          </cell>
          <cell r="X7">
            <v>1989.28</v>
          </cell>
          <cell r="Y7">
            <v>1990.05</v>
          </cell>
          <cell r="Z7">
            <v>2052.4</v>
          </cell>
          <cell r="AA7">
            <v>1998.87</v>
          </cell>
          <cell r="AB7">
            <v>2004.61</v>
          </cell>
          <cell r="AC7">
            <v>2085.89</v>
          </cell>
          <cell r="AD7">
            <v>1975.11</v>
          </cell>
          <cell r="AE7">
            <v>2002.49</v>
          </cell>
          <cell r="AF7">
            <v>2075.9899999999998</v>
          </cell>
          <cell r="AG7">
            <v>1977.95</v>
          </cell>
          <cell r="AH7">
            <v>1997.82</v>
          </cell>
          <cell r="AI7">
            <v>1960.67</v>
          </cell>
          <cell r="AJ7">
            <v>2002.19</v>
          </cell>
          <cell r="AK7">
            <v>1918.65</v>
          </cell>
          <cell r="AL7">
            <v>1999.2</v>
          </cell>
          <cell r="AM7">
            <v>2089.77</v>
          </cell>
          <cell r="AN7">
            <v>2023.98</v>
          </cell>
          <cell r="AO7">
            <v>2046.91</v>
          </cell>
          <cell r="AP7">
            <v>2042.88</v>
          </cell>
          <cell r="AQ7">
            <v>2063.46</v>
          </cell>
          <cell r="AR7">
            <v>1987.26</v>
          </cell>
          <cell r="AS7">
            <v>2095.59</v>
          </cell>
          <cell r="AT7">
            <v>2035.66</v>
          </cell>
          <cell r="AU7">
            <v>2044.59</v>
          </cell>
          <cell r="AV7">
            <v>2069.89</v>
          </cell>
          <cell r="AW7">
            <v>2017.65</v>
          </cell>
          <cell r="AX7">
            <v>1913.72</v>
          </cell>
          <cell r="AY7">
            <v>1980.77</v>
          </cell>
          <cell r="AZ7">
            <v>1886.35</v>
          </cell>
          <cell r="BA7">
            <v>2198.94</v>
          </cell>
        </row>
        <row r="8">
          <cell r="A8" t="str">
            <v>V0500H20B25</v>
          </cell>
          <cell r="B8">
            <v>500</v>
          </cell>
          <cell r="C8">
            <v>2000</v>
          </cell>
          <cell r="D8">
            <v>2500</v>
          </cell>
          <cell r="E8">
            <v>14</v>
          </cell>
          <cell r="F8">
            <v>1</v>
          </cell>
          <cell r="G8">
            <v>1</v>
          </cell>
          <cell r="H8">
            <v>350</v>
          </cell>
          <cell r="I8">
            <v>50</v>
          </cell>
          <cell r="J8">
            <v>503.8</v>
          </cell>
          <cell r="K8" t="str">
            <v>Q-11002855</v>
          </cell>
          <cell r="L8" t="str">
            <v>\\hokukon-net2\hop\Program\01_MVPシステム_容量別組立図\.\01_余裕高0_0m\pdf\FB0_0500m3-MVP-2000-組-B2500_Q-11002855.pdf</v>
          </cell>
          <cell r="M8">
            <v>1928.85</v>
          </cell>
          <cell r="N8">
            <v>1955.51</v>
          </cell>
          <cell r="O8">
            <v>1894.78</v>
          </cell>
          <cell r="P8">
            <v>1895.71</v>
          </cell>
          <cell r="Q8">
            <v>1941.84</v>
          </cell>
          <cell r="R8">
            <v>1922.19</v>
          </cell>
          <cell r="S8">
            <v>1917.08</v>
          </cell>
          <cell r="T8">
            <v>1918.21</v>
          </cell>
          <cell r="U8">
            <v>1910.26</v>
          </cell>
          <cell r="V8">
            <v>1900.23</v>
          </cell>
          <cell r="W8">
            <v>1913.29</v>
          </cell>
          <cell r="X8">
            <v>1921.4</v>
          </cell>
          <cell r="Y8">
            <v>1922.17</v>
          </cell>
          <cell r="Z8">
            <v>1981.68</v>
          </cell>
          <cell r="AA8">
            <v>1930.83</v>
          </cell>
          <cell r="AB8">
            <v>1936.03</v>
          </cell>
          <cell r="AC8">
            <v>2012.92</v>
          </cell>
          <cell r="AD8">
            <v>1907.22</v>
          </cell>
          <cell r="AE8">
            <v>1933.54</v>
          </cell>
          <cell r="AF8">
            <v>2003.61</v>
          </cell>
          <cell r="AG8">
            <v>1910.6</v>
          </cell>
          <cell r="AH8">
            <v>1929.51</v>
          </cell>
          <cell r="AI8">
            <v>1894.3</v>
          </cell>
          <cell r="AJ8">
            <v>1933.51</v>
          </cell>
          <cell r="AK8">
            <v>1853.97</v>
          </cell>
          <cell r="AL8">
            <v>1930.46</v>
          </cell>
          <cell r="AM8">
            <v>2016.71</v>
          </cell>
          <cell r="AN8">
            <v>1954.22</v>
          </cell>
          <cell r="AO8">
            <v>1975.81</v>
          </cell>
          <cell r="AP8">
            <v>1972.13</v>
          </cell>
          <cell r="AQ8">
            <v>1991.76</v>
          </cell>
          <cell r="AR8">
            <v>1918.59</v>
          </cell>
          <cell r="AS8">
            <v>2021.67</v>
          </cell>
          <cell r="AT8">
            <v>1965.03</v>
          </cell>
          <cell r="AU8">
            <v>1973.53</v>
          </cell>
          <cell r="AV8">
            <v>1997.32</v>
          </cell>
          <cell r="AW8">
            <v>1947.65</v>
          </cell>
          <cell r="AX8">
            <v>1848.95</v>
          </cell>
          <cell r="AY8">
            <v>1912.5</v>
          </cell>
          <cell r="AZ8">
            <v>1822.8</v>
          </cell>
          <cell r="BA8">
            <v>2130.6999999999998</v>
          </cell>
        </row>
        <row r="9">
          <cell r="A9" t="str">
            <v>V0500H20B20</v>
          </cell>
          <cell r="B9">
            <v>500</v>
          </cell>
          <cell r="C9">
            <v>2000</v>
          </cell>
          <cell r="D9">
            <v>2000</v>
          </cell>
          <cell r="E9">
            <v>15</v>
          </cell>
          <cell r="F9">
            <v>1</v>
          </cell>
          <cell r="G9">
            <v>1</v>
          </cell>
          <cell r="H9">
            <v>350</v>
          </cell>
          <cell r="I9">
            <v>50</v>
          </cell>
          <cell r="J9">
            <v>506.5</v>
          </cell>
          <cell r="K9" t="str">
            <v>Q-11002854</v>
          </cell>
          <cell r="L9" t="str">
            <v>\\hokukon-net2\hop\Program\01_MVPシステム_容量別組立図\.\01_余裕高0_0m\pdf\FB0_0500m3-MVP-2000-組-B2000_Q-11002854.pdf</v>
          </cell>
          <cell r="M9">
            <v>1973.83</v>
          </cell>
          <cell r="N9">
            <v>2000.74</v>
          </cell>
          <cell r="O9">
            <v>1939.52</v>
          </cell>
          <cell r="P9">
            <v>1940.46</v>
          </cell>
          <cell r="Q9">
            <v>1986.87</v>
          </cell>
          <cell r="R9">
            <v>1967.01</v>
          </cell>
          <cell r="S9">
            <v>1961.73</v>
          </cell>
          <cell r="T9">
            <v>1962.87</v>
          </cell>
          <cell r="U9">
            <v>1955.39</v>
          </cell>
          <cell r="V9">
            <v>1945.17</v>
          </cell>
          <cell r="W9">
            <v>1958.4</v>
          </cell>
          <cell r="X9">
            <v>1966.79</v>
          </cell>
          <cell r="Y9">
            <v>1967.59</v>
          </cell>
          <cell r="Z9">
            <v>2027.9</v>
          </cell>
          <cell r="AA9">
            <v>1976.59</v>
          </cell>
          <cell r="AB9">
            <v>1981.64</v>
          </cell>
          <cell r="AC9">
            <v>2059.09</v>
          </cell>
          <cell r="AD9">
            <v>1952.1</v>
          </cell>
          <cell r="AE9">
            <v>1978.86</v>
          </cell>
          <cell r="AF9">
            <v>2049.79</v>
          </cell>
          <cell r="AG9">
            <v>1955.92</v>
          </cell>
          <cell r="AH9">
            <v>1975.05</v>
          </cell>
          <cell r="AI9">
            <v>1939.57</v>
          </cell>
          <cell r="AJ9">
            <v>1978.99</v>
          </cell>
          <cell r="AK9">
            <v>1898.51</v>
          </cell>
          <cell r="AL9">
            <v>1975.73</v>
          </cell>
          <cell r="AM9">
            <v>2062.94</v>
          </cell>
          <cell r="AN9">
            <v>1999.84</v>
          </cell>
          <cell r="AO9">
            <v>2021.51</v>
          </cell>
          <cell r="AP9">
            <v>2017.88</v>
          </cell>
          <cell r="AQ9">
            <v>2037.77</v>
          </cell>
          <cell r="AR9">
            <v>1963.42</v>
          </cell>
          <cell r="AS9">
            <v>2067.63</v>
          </cell>
          <cell r="AT9">
            <v>2010.63</v>
          </cell>
          <cell r="AU9">
            <v>2019.26</v>
          </cell>
          <cell r="AV9">
            <v>2043.1</v>
          </cell>
          <cell r="AW9">
            <v>1992.92</v>
          </cell>
          <cell r="AX9">
            <v>1893.35</v>
          </cell>
          <cell r="AY9">
            <v>1957.34</v>
          </cell>
          <cell r="AZ9">
            <v>1866.79</v>
          </cell>
          <cell r="BA9">
            <v>2189.77</v>
          </cell>
        </row>
        <row r="10">
          <cell r="A10" t="str">
            <v>V0500H25B30</v>
          </cell>
          <cell r="B10">
            <v>500</v>
          </cell>
          <cell r="C10">
            <v>2500</v>
          </cell>
          <cell r="D10">
            <v>3000</v>
          </cell>
          <cell r="E10">
            <v>11</v>
          </cell>
          <cell r="F10">
            <v>2</v>
          </cell>
          <cell r="G10">
            <v>1</v>
          </cell>
          <cell r="H10">
            <v>300</v>
          </cell>
          <cell r="I10">
            <v>50</v>
          </cell>
          <cell r="J10">
            <v>532.9</v>
          </cell>
          <cell r="K10" t="str">
            <v>Q-11002859</v>
          </cell>
          <cell r="L10" t="str">
            <v>\\hokukon-net2\hop\Program\01_MVPシステム_容量別組立図\.\01_余裕高0_0m\pdf\FB0_0500m3-MVP-2500-組-B3000_Q-11002859.pdf</v>
          </cell>
          <cell r="M10">
            <v>2077.73</v>
          </cell>
          <cell r="N10">
            <v>2099.33</v>
          </cell>
          <cell r="O10">
            <v>2053.41</v>
          </cell>
          <cell r="P10">
            <v>2054.15</v>
          </cell>
          <cell r="Q10">
            <v>2088.13</v>
          </cell>
          <cell r="R10">
            <v>2072.41</v>
          </cell>
          <cell r="S10">
            <v>2067.19</v>
          </cell>
          <cell r="T10">
            <v>2068.08</v>
          </cell>
          <cell r="U10">
            <v>2071.44</v>
          </cell>
          <cell r="V10">
            <v>2062.35</v>
          </cell>
          <cell r="W10">
            <v>2072.9</v>
          </cell>
          <cell r="X10">
            <v>2083.0500000000002</v>
          </cell>
          <cell r="Y10">
            <v>2084.5300000000002</v>
          </cell>
          <cell r="Z10">
            <v>2134.35</v>
          </cell>
          <cell r="AA10">
            <v>2093.77</v>
          </cell>
          <cell r="AB10">
            <v>2094.88</v>
          </cell>
          <cell r="AC10">
            <v>2151.29</v>
          </cell>
          <cell r="AD10">
            <v>2062.6799999999998</v>
          </cell>
          <cell r="AE10">
            <v>2085.6</v>
          </cell>
          <cell r="AF10">
            <v>2143.29</v>
          </cell>
          <cell r="AG10">
            <v>2072.87</v>
          </cell>
          <cell r="AH10">
            <v>2089.06</v>
          </cell>
          <cell r="AI10">
            <v>2061.39</v>
          </cell>
          <cell r="AJ10">
            <v>2090.06</v>
          </cell>
          <cell r="AK10">
            <v>2025.73</v>
          </cell>
          <cell r="AL10">
            <v>2084.8000000000002</v>
          </cell>
          <cell r="AM10">
            <v>2154.0300000000002</v>
          </cell>
          <cell r="AN10">
            <v>2105.4299999999998</v>
          </cell>
          <cell r="AO10">
            <v>2120.17</v>
          </cell>
          <cell r="AP10">
            <v>2119.21</v>
          </cell>
          <cell r="AQ10">
            <v>2134.77</v>
          </cell>
          <cell r="AR10">
            <v>2071.2600000000002</v>
          </cell>
          <cell r="AS10">
            <v>2153.04</v>
          </cell>
          <cell r="AT10">
            <v>2110.81</v>
          </cell>
          <cell r="AU10">
            <v>2117.46</v>
          </cell>
          <cell r="AV10">
            <v>2134.7199999999998</v>
          </cell>
          <cell r="AW10">
            <v>2093.83</v>
          </cell>
          <cell r="AX10">
            <v>2017.99</v>
          </cell>
          <cell r="AY10">
            <v>2065.6999999999998</v>
          </cell>
          <cell r="AZ10">
            <v>1995.27</v>
          </cell>
          <cell r="BA10">
            <v>2294.42</v>
          </cell>
        </row>
        <row r="11">
          <cell r="A11" t="str">
            <v>V0500H25B25</v>
          </cell>
          <cell r="B11">
            <v>500</v>
          </cell>
          <cell r="C11">
            <v>2500</v>
          </cell>
          <cell r="D11">
            <v>2500</v>
          </cell>
          <cell r="E11">
            <v>12</v>
          </cell>
          <cell r="F11">
            <v>2</v>
          </cell>
          <cell r="G11">
            <v>1</v>
          </cell>
          <cell r="H11">
            <v>300</v>
          </cell>
          <cell r="I11">
            <v>50</v>
          </cell>
          <cell r="J11">
            <v>531.1</v>
          </cell>
          <cell r="K11" t="str">
            <v>Q-11002858</v>
          </cell>
          <cell r="L11" t="str">
            <v>\\hokukon-net2\hop\Program\01_MVPシステム_容量別組立図\.\01_余裕高0_0m\pdf\FB0_0500m3-MVP-2500-組-B2500_Q-11002858.pdf</v>
          </cell>
          <cell r="M11">
            <v>2130.67</v>
          </cell>
          <cell r="N11">
            <v>2152.2800000000002</v>
          </cell>
          <cell r="O11">
            <v>2106.54</v>
          </cell>
          <cell r="P11">
            <v>2107.29</v>
          </cell>
          <cell r="Q11">
            <v>2141.0100000000002</v>
          </cell>
          <cell r="R11">
            <v>2125.2600000000002</v>
          </cell>
          <cell r="S11">
            <v>2119.84</v>
          </cell>
          <cell r="T11">
            <v>2120.7399999999998</v>
          </cell>
          <cell r="U11">
            <v>2124.94</v>
          </cell>
          <cell r="V11">
            <v>2115.7399999999998</v>
          </cell>
          <cell r="W11">
            <v>2126.36</v>
          </cell>
          <cell r="X11">
            <v>2136.8200000000002</v>
          </cell>
          <cell r="Y11">
            <v>2138.33</v>
          </cell>
          <cell r="Z11">
            <v>2188.52</v>
          </cell>
          <cell r="AA11">
            <v>2147.98</v>
          </cell>
          <cell r="AB11">
            <v>2148.7800000000002</v>
          </cell>
          <cell r="AC11">
            <v>2204.9</v>
          </cell>
          <cell r="AD11">
            <v>2115.89</v>
          </cell>
          <cell r="AE11">
            <v>2139.13</v>
          </cell>
          <cell r="AF11">
            <v>2197.08</v>
          </cell>
          <cell r="AG11">
            <v>2126.73</v>
          </cell>
          <cell r="AH11">
            <v>2142.9499999999998</v>
          </cell>
          <cell r="AI11">
            <v>2115.39</v>
          </cell>
          <cell r="AJ11">
            <v>2143.79</v>
          </cell>
          <cell r="AK11">
            <v>2079.23</v>
          </cell>
          <cell r="AL11">
            <v>2138.21</v>
          </cell>
          <cell r="AM11">
            <v>2207.63</v>
          </cell>
          <cell r="AN11">
            <v>2159.02</v>
          </cell>
          <cell r="AO11">
            <v>2173.5300000000002</v>
          </cell>
          <cell r="AP11">
            <v>2172.73</v>
          </cell>
          <cell r="AQ11">
            <v>2188.38</v>
          </cell>
          <cell r="AR11">
            <v>2124.1799999999998</v>
          </cell>
          <cell r="AS11">
            <v>2206.17</v>
          </cell>
          <cell r="AT11">
            <v>2164.2399999999998</v>
          </cell>
          <cell r="AU11">
            <v>2170.96</v>
          </cell>
          <cell r="AV11">
            <v>2187.9299999999998</v>
          </cell>
          <cell r="AW11">
            <v>2147.0300000000002</v>
          </cell>
          <cell r="AX11">
            <v>2071.34</v>
          </cell>
          <cell r="AY11">
            <v>2118.7600000000002</v>
          </cell>
          <cell r="AZ11">
            <v>2048.4</v>
          </cell>
          <cell r="BA11">
            <v>2363.56</v>
          </cell>
        </row>
        <row r="12">
          <cell r="A12" t="str">
            <v>V0500H25B20</v>
          </cell>
          <cell r="B12">
            <v>500</v>
          </cell>
          <cell r="C12">
            <v>2500</v>
          </cell>
          <cell r="D12">
            <v>2000</v>
          </cell>
          <cell r="E12">
            <v>13</v>
          </cell>
          <cell r="F12">
            <v>2</v>
          </cell>
          <cell r="G12">
            <v>1</v>
          </cell>
          <cell r="H12">
            <v>300</v>
          </cell>
          <cell r="I12">
            <v>50</v>
          </cell>
          <cell r="J12">
            <v>521.9</v>
          </cell>
          <cell r="K12" t="str">
            <v>Q-11002857</v>
          </cell>
          <cell r="L12" t="str">
            <v>\\hokukon-net2\hop\Program\01_MVPシステム_容量別組立図\.\01_余裕高0_0m\pdf\FB0_0500m3-MVP-2500-組-B2000_Q-11002857.pdf</v>
          </cell>
          <cell r="M12">
            <v>2167.15</v>
          </cell>
          <cell r="N12">
            <v>2188.52</v>
          </cell>
          <cell r="O12">
            <v>2143.58</v>
          </cell>
          <cell r="P12">
            <v>2144.3200000000002</v>
          </cell>
          <cell r="Q12">
            <v>2177.2600000000002</v>
          </cell>
          <cell r="R12">
            <v>2161.64</v>
          </cell>
          <cell r="S12">
            <v>2156.11</v>
          </cell>
          <cell r="T12">
            <v>2157</v>
          </cell>
          <cell r="U12">
            <v>2162.2600000000002</v>
          </cell>
          <cell r="V12">
            <v>2153</v>
          </cell>
          <cell r="W12">
            <v>2163.6</v>
          </cell>
          <cell r="X12">
            <v>2174.33</v>
          </cell>
          <cell r="Y12">
            <v>2175.88</v>
          </cell>
          <cell r="Z12">
            <v>2225.89</v>
          </cell>
          <cell r="AA12">
            <v>2185.92</v>
          </cell>
          <cell r="AB12">
            <v>2186.27</v>
          </cell>
          <cell r="AC12">
            <v>2241.33</v>
          </cell>
          <cell r="AD12">
            <v>2152.86</v>
          </cell>
          <cell r="AE12">
            <v>2176.1999999999998</v>
          </cell>
          <cell r="AF12">
            <v>2233.79</v>
          </cell>
          <cell r="AG12">
            <v>2164.42</v>
          </cell>
          <cell r="AH12">
            <v>2180.52</v>
          </cell>
          <cell r="AI12">
            <v>2153.4499999999998</v>
          </cell>
          <cell r="AJ12">
            <v>2181.15</v>
          </cell>
          <cell r="AK12">
            <v>2117.08</v>
          </cell>
          <cell r="AL12">
            <v>2175.23</v>
          </cell>
          <cell r="AM12">
            <v>2244.0500000000002</v>
          </cell>
          <cell r="AN12">
            <v>2195.9899999999998</v>
          </cell>
          <cell r="AO12">
            <v>2210.08</v>
          </cell>
          <cell r="AP12">
            <v>2209.5</v>
          </cell>
          <cell r="AQ12">
            <v>2225.06</v>
          </cell>
          <cell r="AR12">
            <v>2160.6799999999998</v>
          </cell>
          <cell r="AS12">
            <v>2241.91</v>
          </cell>
          <cell r="AT12">
            <v>2200.9299999999998</v>
          </cell>
          <cell r="AU12">
            <v>2207.63</v>
          </cell>
          <cell r="AV12">
            <v>2224.02</v>
          </cell>
          <cell r="AW12">
            <v>2183.6</v>
          </cell>
          <cell r="AX12">
            <v>2109.0100000000002</v>
          </cell>
          <cell r="AY12">
            <v>2155.5100000000002</v>
          </cell>
          <cell r="AZ12">
            <v>2086.09</v>
          </cell>
          <cell r="BA12" t="e">
            <v>#N/A</v>
          </cell>
        </row>
        <row r="13">
          <cell r="A13" t="str">
            <v>V0500H30B30</v>
          </cell>
          <cell r="B13">
            <v>500</v>
          </cell>
          <cell r="C13">
            <v>3000</v>
          </cell>
          <cell r="D13">
            <v>3000</v>
          </cell>
          <cell r="E13">
            <v>9</v>
          </cell>
          <cell r="F13">
            <v>2</v>
          </cell>
          <cell r="G13">
            <v>1</v>
          </cell>
          <cell r="H13">
            <v>300</v>
          </cell>
          <cell r="I13">
            <v>50</v>
          </cell>
          <cell r="J13">
            <v>531.79999999999995</v>
          </cell>
          <cell r="K13" t="str">
            <v>Q-11002862</v>
          </cell>
          <cell r="L13" t="str">
            <v>\\hokukon-net2\hop\Program\01_MVPシステム_容量別組立図\.\01_余裕高0_0m\pdf\FB0_0500m3-MVP-3000-組-B3000_Q-11002862.pdf</v>
          </cell>
          <cell r="M13">
            <v>1914.43</v>
          </cell>
          <cell r="N13">
            <v>1932.96</v>
          </cell>
          <cell r="O13">
            <v>1895.01</v>
          </cell>
          <cell r="P13">
            <v>1895.64</v>
          </cell>
          <cell r="Q13">
            <v>1923.06</v>
          </cell>
          <cell r="R13">
            <v>1909.67</v>
          </cell>
          <cell r="S13">
            <v>1904.7</v>
          </cell>
          <cell r="T13">
            <v>1905.45</v>
          </cell>
          <cell r="U13">
            <v>1911.74</v>
          </cell>
          <cell r="V13">
            <v>1903.77</v>
          </cell>
          <cell r="W13">
            <v>1912.4</v>
          </cell>
          <cell r="X13">
            <v>1922.21</v>
          </cell>
          <cell r="Y13">
            <v>1923.72</v>
          </cell>
          <cell r="Z13">
            <v>1966.39</v>
          </cell>
          <cell r="AA13">
            <v>1932.32</v>
          </cell>
          <cell r="AB13">
            <v>1932.29</v>
          </cell>
          <cell r="AC13">
            <v>1978.11</v>
          </cell>
          <cell r="AD13">
            <v>1902.02</v>
          </cell>
          <cell r="AE13">
            <v>1922.42</v>
          </cell>
          <cell r="AF13">
            <v>1971.45</v>
          </cell>
          <cell r="AG13">
            <v>1913.23</v>
          </cell>
          <cell r="AH13">
            <v>1927.03</v>
          </cell>
          <cell r="AI13">
            <v>1904.15</v>
          </cell>
          <cell r="AJ13">
            <v>1927.13</v>
          </cell>
          <cell r="AK13">
            <v>1872.94</v>
          </cell>
          <cell r="AL13">
            <v>1922.33</v>
          </cell>
          <cell r="AM13">
            <v>1980.85</v>
          </cell>
          <cell r="AN13">
            <v>1940.54</v>
          </cell>
          <cell r="AO13">
            <v>1952.09</v>
          </cell>
          <cell r="AP13">
            <v>1951.7</v>
          </cell>
          <cell r="AQ13">
            <v>1964.98</v>
          </cell>
          <cell r="AR13">
            <v>1908.84</v>
          </cell>
          <cell r="AS13">
            <v>1977.5</v>
          </cell>
          <cell r="AT13">
            <v>1943.45</v>
          </cell>
          <cell r="AU13">
            <v>1948.95</v>
          </cell>
          <cell r="AV13">
            <v>1962.63</v>
          </cell>
          <cell r="AW13">
            <v>1928.18</v>
          </cell>
          <cell r="AX13">
            <v>1864.75</v>
          </cell>
          <cell r="AY13">
            <v>1904.23</v>
          </cell>
          <cell r="AZ13">
            <v>1845.26</v>
          </cell>
          <cell r="BA13" t="e">
            <v>#N/A</v>
          </cell>
        </row>
        <row r="14">
          <cell r="A14" t="str">
            <v>V0500H30B25</v>
          </cell>
          <cell r="B14">
            <v>500</v>
          </cell>
          <cell r="C14">
            <v>3000</v>
          </cell>
          <cell r="D14">
            <v>2500</v>
          </cell>
          <cell r="E14">
            <v>10</v>
          </cell>
          <cell r="F14">
            <v>2</v>
          </cell>
          <cell r="G14">
            <v>1</v>
          </cell>
          <cell r="H14">
            <v>300</v>
          </cell>
          <cell r="I14">
            <v>50</v>
          </cell>
          <cell r="J14">
            <v>538.9</v>
          </cell>
          <cell r="K14" t="str">
            <v>Q-11002861</v>
          </cell>
          <cell r="L14" t="str">
            <v>\\hokukon-net2\hop\Program\01_MVPシステム_容量別組立図\.\01_余裕高0_0m\pdf\FB0_0500m3-MVP-3000-組-B2500_Q-11002861.pdf</v>
          </cell>
          <cell r="M14">
            <v>1979.69</v>
          </cell>
          <cell r="N14">
            <v>1998.45</v>
          </cell>
          <cell r="O14">
            <v>1960.06</v>
          </cell>
          <cell r="P14">
            <v>1960.7</v>
          </cell>
          <cell r="Q14">
            <v>1988.41</v>
          </cell>
          <cell r="R14">
            <v>1974.83</v>
          </cell>
          <cell r="S14">
            <v>1969.7</v>
          </cell>
          <cell r="T14">
            <v>1970.48</v>
          </cell>
          <cell r="U14">
            <v>1977.21</v>
          </cell>
          <cell r="V14">
            <v>1969.06</v>
          </cell>
          <cell r="W14">
            <v>1977.91</v>
          </cell>
          <cell r="X14">
            <v>1987.98</v>
          </cell>
          <cell r="Y14">
            <v>1989.51</v>
          </cell>
          <cell r="Z14">
            <v>2032.98</v>
          </cell>
          <cell r="AA14">
            <v>1998.46</v>
          </cell>
          <cell r="AB14">
            <v>1998.29</v>
          </cell>
          <cell r="AC14">
            <v>2044.65</v>
          </cell>
          <cell r="AD14">
            <v>1967.26</v>
          </cell>
          <cell r="AE14">
            <v>1988.09</v>
          </cell>
          <cell r="AF14">
            <v>2037.97</v>
          </cell>
          <cell r="AG14">
            <v>1978.92</v>
          </cell>
          <cell r="AH14">
            <v>1992.99</v>
          </cell>
          <cell r="AI14">
            <v>1969.8</v>
          </cell>
          <cell r="AJ14">
            <v>1993.02</v>
          </cell>
          <cell r="AK14">
            <v>1937.86</v>
          </cell>
          <cell r="AL14">
            <v>1987.93</v>
          </cell>
          <cell r="AM14">
            <v>2047.37</v>
          </cell>
          <cell r="AN14">
            <v>2006.44</v>
          </cell>
          <cell r="AO14">
            <v>2018.07</v>
          </cell>
          <cell r="AP14">
            <v>2017.78</v>
          </cell>
          <cell r="AQ14">
            <v>2031.27</v>
          </cell>
          <cell r="AR14">
            <v>1974.02</v>
          </cell>
          <cell r="AS14">
            <v>2043.83</v>
          </cell>
          <cell r="AT14">
            <v>2009.41</v>
          </cell>
          <cell r="AU14">
            <v>2015.03</v>
          </cell>
          <cell r="AV14">
            <v>2028.77</v>
          </cell>
          <cell r="AW14">
            <v>1993.8</v>
          </cell>
          <cell r="AX14">
            <v>1929.58</v>
          </cell>
          <cell r="AY14">
            <v>1969.45</v>
          </cell>
          <cell r="AZ14">
            <v>1909.64</v>
          </cell>
          <cell r="BA14" t="e">
            <v>#N/A</v>
          </cell>
        </row>
        <row r="15">
          <cell r="A15" t="str">
            <v>V0500H30B20</v>
          </cell>
          <cell r="B15">
            <v>500</v>
          </cell>
          <cell r="C15">
            <v>3000</v>
          </cell>
          <cell r="D15">
            <v>2000</v>
          </cell>
          <cell r="E15">
            <v>11</v>
          </cell>
          <cell r="F15">
            <v>2</v>
          </cell>
          <cell r="G15">
            <v>1</v>
          </cell>
          <cell r="H15">
            <v>300</v>
          </cell>
          <cell r="I15">
            <v>50</v>
          </cell>
          <cell r="J15">
            <v>537</v>
          </cell>
          <cell r="K15" t="str">
            <v>Q-11002860</v>
          </cell>
          <cell r="L15" t="str">
            <v>\\hokukon-net2\hop\Program\01_MVPシステム_容量別組立図\.\01_余裕高0_0m\pdf\FB0_0500m3-MVP-3000-組-B2000_Q-11002860.pdf</v>
          </cell>
          <cell r="M15">
            <v>2034.64</v>
          </cell>
          <cell r="N15">
            <v>2053.39</v>
          </cell>
          <cell r="O15">
            <v>2015.24</v>
          </cell>
          <cell r="P15">
            <v>2015.88</v>
          </cell>
          <cell r="Q15">
            <v>2043.27</v>
          </cell>
          <cell r="R15">
            <v>2029.67</v>
          </cell>
          <cell r="S15">
            <v>2024.37</v>
          </cell>
          <cell r="T15">
            <v>2025.14</v>
          </cell>
          <cell r="U15">
            <v>2032.8</v>
          </cell>
          <cell r="V15">
            <v>2024.51</v>
          </cell>
          <cell r="W15">
            <v>2033.45</v>
          </cell>
          <cell r="X15">
            <v>2043.85</v>
          </cell>
          <cell r="Y15">
            <v>2045.42</v>
          </cell>
          <cell r="Z15">
            <v>2089.2600000000002</v>
          </cell>
          <cell r="AA15">
            <v>2054.83</v>
          </cell>
          <cell r="AB15">
            <v>2054.2800000000002</v>
          </cell>
          <cell r="AC15">
            <v>2100.2800000000002</v>
          </cell>
          <cell r="AD15">
            <v>2022.53</v>
          </cell>
          <cell r="AE15">
            <v>2043.67</v>
          </cell>
          <cell r="AF15">
            <v>2093.8200000000002</v>
          </cell>
          <cell r="AG15">
            <v>2034.89</v>
          </cell>
          <cell r="AH15">
            <v>2048.9899999999998</v>
          </cell>
          <cell r="AI15">
            <v>2025.95</v>
          </cell>
          <cell r="AJ15">
            <v>2048.84</v>
          </cell>
          <cell r="AK15">
            <v>1993.47</v>
          </cell>
          <cell r="AL15">
            <v>2043.4</v>
          </cell>
          <cell r="AM15">
            <v>2103.02</v>
          </cell>
          <cell r="AN15">
            <v>2062.09</v>
          </cell>
          <cell r="AO15">
            <v>2073.46</v>
          </cell>
          <cell r="AP15">
            <v>2073.34</v>
          </cell>
          <cell r="AQ15">
            <v>2086.92</v>
          </cell>
          <cell r="AR15">
            <v>2028.94</v>
          </cell>
          <cell r="AS15">
            <v>2098.92</v>
          </cell>
          <cell r="AT15">
            <v>2064.88</v>
          </cell>
          <cell r="AU15">
            <v>2070.56</v>
          </cell>
          <cell r="AV15">
            <v>2083.96</v>
          </cell>
          <cell r="AW15">
            <v>2049.02</v>
          </cell>
          <cell r="AX15">
            <v>1985</v>
          </cell>
          <cell r="AY15">
            <v>2024.54</v>
          </cell>
          <cell r="AZ15">
            <v>1964.86</v>
          </cell>
          <cell r="BA15" t="e">
            <v>#N/A</v>
          </cell>
        </row>
        <row r="16">
          <cell r="A16" t="str">
            <v>V0500H35B30</v>
          </cell>
          <cell r="B16">
            <v>500</v>
          </cell>
          <cell r="C16">
            <v>3500</v>
          </cell>
          <cell r="D16">
            <v>3000</v>
          </cell>
          <cell r="E16">
            <v>8</v>
          </cell>
          <cell r="F16">
            <v>2</v>
          </cell>
          <cell r="G16">
            <v>1</v>
          </cell>
          <cell r="H16">
            <v>300</v>
          </cell>
          <cell r="I16">
            <v>50</v>
          </cell>
          <cell r="J16">
            <v>557.70000000000005</v>
          </cell>
          <cell r="K16" t="str">
            <v>Q-11002865</v>
          </cell>
          <cell r="L16" t="str">
            <v>\\hokukon-net2\hop\Program\01_MVPシステム_容量別組立図\.\01_余裕高0_0m\pdf\FB0_0500m3-MVP-3500-組-B3000_Q-11002865.pdf</v>
          </cell>
          <cell r="M16">
            <v>1873.67</v>
          </cell>
          <cell r="N16">
            <v>1890.8</v>
          </cell>
          <cell r="O16">
            <v>1856.91</v>
          </cell>
          <cell r="P16">
            <v>1857.47</v>
          </cell>
          <cell r="Q16">
            <v>1881.41</v>
          </cell>
          <cell r="R16">
            <v>1869.24</v>
          </cell>
          <cell r="S16">
            <v>1864.35</v>
          </cell>
          <cell r="T16">
            <v>1865.04</v>
          </cell>
          <cell r="U16">
            <v>1873.1</v>
          </cell>
          <cell r="V16">
            <v>1865.62</v>
          </cell>
          <cell r="W16">
            <v>1873.34</v>
          </cell>
          <cell r="X16">
            <v>1883.05</v>
          </cell>
          <cell r="Y16">
            <v>1884.54</v>
          </cell>
          <cell r="Z16">
            <v>1923.71</v>
          </cell>
          <cell r="AA16">
            <v>1892.93</v>
          </cell>
          <cell r="AB16">
            <v>1892.26</v>
          </cell>
          <cell r="AC16">
            <v>1932.56</v>
          </cell>
          <cell r="AD16">
            <v>1862.47</v>
          </cell>
          <cell r="AE16">
            <v>1881.68</v>
          </cell>
          <cell r="AF16">
            <v>1926.49</v>
          </cell>
          <cell r="AG16">
            <v>1874.47</v>
          </cell>
          <cell r="AH16">
            <v>1887.31</v>
          </cell>
          <cell r="AI16">
            <v>1866.64</v>
          </cell>
          <cell r="AJ16">
            <v>1886.75</v>
          </cell>
          <cell r="AK16">
            <v>1837.53</v>
          </cell>
          <cell r="AL16">
            <v>1882.18</v>
          </cell>
          <cell r="AM16">
            <v>1935.31</v>
          </cell>
          <cell r="AN16">
            <v>1899.27</v>
          </cell>
          <cell r="AO16">
            <v>1909.12</v>
          </cell>
          <cell r="AP16">
            <v>1909.22</v>
          </cell>
          <cell r="AQ16">
            <v>1921.32</v>
          </cell>
          <cell r="AR16">
            <v>1868.49</v>
          </cell>
          <cell r="AS16">
            <v>1930.63</v>
          </cell>
          <cell r="AT16">
            <v>1900.74</v>
          </cell>
          <cell r="AU16">
            <v>1905.65</v>
          </cell>
          <cell r="AV16">
            <v>1917.57</v>
          </cell>
          <cell r="AW16">
            <v>1886.24</v>
          </cell>
          <cell r="AX16">
            <v>1829.02</v>
          </cell>
          <cell r="AY16">
            <v>1864.36</v>
          </cell>
          <cell r="AZ16">
            <v>1811.05</v>
          </cell>
          <cell r="BA16" t="e">
            <v>#N/A</v>
          </cell>
        </row>
        <row r="17">
          <cell r="A17" t="str">
            <v>V0500H35B25</v>
          </cell>
          <cell r="B17">
            <v>500</v>
          </cell>
          <cell r="C17">
            <v>3500</v>
          </cell>
          <cell r="D17">
            <v>2500</v>
          </cell>
          <cell r="E17">
            <v>14</v>
          </cell>
          <cell r="F17">
            <v>1</v>
          </cell>
          <cell r="G17">
            <v>1</v>
          </cell>
          <cell r="H17">
            <v>300</v>
          </cell>
          <cell r="I17">
            <v>50</v>
          </cell>
          <cell r="J17">
            <v>509.9</v>
          </cell>
          <cell r="K17" t="str">
            <v>Q-11002864</v>
          </cell>
          <cell r="L17" t="str">
            <v>\\hokukon-net2\hop\Program\01_MVPシステム_容量別組立図\.\01_余裕高0_0m\pdf\FB0_0500m3-MVP-3500-組-B2500_Q-11002864.pdf</v>
          </cell>
          <cell r="M17">
            <v>1771.55</v>
          </cell>
          <cell r="N17">
            <v>1787.13</v>
          </cell>
          <cell r="O17">
            <v>1755.15</v>
          </cell>
          <cell r="P17">
            <v>1755.67</v>
          </cell>
          <cell r="Q17">
            <v>1778.64</v>
          </cell>
          <cell r="R17">
            <v>1767.43</v>
          </cell>
          <cell r="S17">
            <v>1763.15</v>
          </cell>
          <cell r="T17">
            <v>1763.78</v>
          </cell>
          <cell r="U17">
            <v>1769.29</v>
          </cell>
          <cell r="V17">
            <v>1762.45</v>
          </cell>
          <cell r="W17">
            <v>1770</v>
          </cell>
          <cell r="X17">
            <v>1778.29</v>
          </cell>
          <cell r="Y17">
            <v>1779.53</v>
          </cell>
          <cell r="Z17">
            <v>1815.82</v>
          </cell>
          <cell r="AA17">
            <v>1787.11</v>
          </cell>
          <cell r="AB17">
            <v>1786.93</v>
          </cell>
          <cell r="AC17">
            <v>1825.64</v>
          </cell>
          <cell r="AD17">
            <v>1761.37</v>
          </cell>
          <cell r="AE17">
            <v>1778.68</v>
          </cell>
          <cell r="AF17">
            <v>1820.26</v>
          </cell>
          <cell r="AG17">
            <v>1770.92</v>
          </cell>
          <cell r="AH17">
            <v>1782.54</v>
          </cell>
          <cell r="AI17">
            <v>1763.39</v>
          </cell>
          <cell r="AJ17">
            <v>1782.64</v>
          </cell>
          <cell r="AK17">
            <v>1736.72</v>
          </cell>
          <cell r="AL17">
            <v>1778.3</v>
          </cell>
          <cell r="AM17">
            <v>1827.89</v>
          </cell>
          <cell r="AN17">
            <v>1793.75</v>
          </cell>
          <cell r="AO17">
            <v>1803.41</v>
          </cell>
          <cell r="AP17">
            <v>1803.18</v>
          </cell>
          <cell r="AQ17">
            <v>1814.52</v>
          </cell>
          <cell r="AR17">
            <v>1766.89</v>
          </cell>
          <cell r="AS17">
            <v>1825.12</v>
          </cell>
          <cell r="AT17">
            <v>1796.35</v>
          </cell>
          <cell r="AU17">
            <v>1801.18</v>
          </cell>
          <cell r="AV17">
            <v>1812.48</v>
          </cell>
          <cell r="AW17">
            <v>1783.42</v>
          </cell>
          <cell r="AX17">
            <v>1729.95</v>
          </cell>
          <cell r="AY17">
            <v>1763.03</v>
          </cell>
          <cell r="AZ17">
            <v>1713.36</v>
          </cell>
          <cell r="BA17" t="e">
            <v>#N/A</v>
          </cell>
        </row>
        <row r="18">
          <cell r="A18" t="str">
            <v>V0500H35B20</v>
          </cell>
          <cell r="B18">
            <v>500</v>
          </cell>
          <cell r="C18">
            <v>3500</v>
          </cell>
          <cell r="D18">
            <v>2000</v>
          </cell>
          <cell r="E18">
            <v>9</v>
          </cell>
          <cell r="F18">
            <v>2</v>
          </cell>
          <cell r="G18">
            <v>1</v>
          </cell>
          <cell r="H18">
            <v>300</v>
          </cell>
          <cell r="I18">
            <v>50</v>
          </cell>
          <cell r="J18">
            <v>520.70000000000005</v>
          </cell>
          <cell r="K18" t="str">
            <v>Q-11002863</v>
          </cell>
          <cell r="L18" t="str">
            <v>\\hokukon-net2\hop\Program\01_MVPシステム_容量別組立図\.\01_余裕高0_0m\pdf\FB0_0500m3-MVP-3500-組-B2000_Q-11002863.pdf</v>
          </cell>
          <cell r="M18">
            <v>1869.55</v>
          </cell>
          <cell r="N18">
            <v>1885.75</v>
          </cell>
          <cell r="O18">
            <v>1854.27</v>
          </cell>
          <cell r="P18">
            <v>1854.81</v>
          </cell>
          <cell r="Q18">
            <v>1876.73</v>
          </cell>
          <cell r="R18">
            <v>1865.22</v>
          </cell>
          <cell r="S18">
            <v>1860.29</v>
          </cell>
          <cell r="T18">
            <v>1860.93</v>
          </cell>
          <cell r="U18">
            <v>1870.38</v>
          </cell>
          <cell r="V18">
            <v>1863.11</v>
          </cell>
          <cell r="W18">
            <v>1870.47</v>
          </cell>
          <cell r="X18">
            <v>1880.28</v>
          </cell>
          <cell r="Y18">
            <v>1881.74</v>
          </cell>
          <cell r="Z18">
            <v>1919.27</v>
          </cell>
          <cell r="AA18">
            <v>1890.36</v>
          </cell>
          <cell r="AB18">
            <v>1889.12</v>
          </cell>
          <cell r="AC18">
            <v>1926.3</v>
          </cell>
          <cell r="AD18">
            <v>1859.41</v>
          </cell>
          <cell r="AE18">
            <v>1878.11</v>
          </cell>
          <cell r="AF18">
            <v>1920.78</v>
          </cell>
          <cell r="AG18">
            <v>1872.13</v>
          </cell>
          <cell r="AH18">
            <v>1884.39</v>
          </cell>
          <cell r="AI18">
            <v>1865.13</v>
          </cell>
          <cell r="AJ18">
            <v>1883.5</v>
          </cell>
          <cell r="AK18">
            <v>1836.77</v>
          </cell>
          <cell r="AL18">
            <v>1878.68</v>
          </cell>
          <cell r="AM18">
            <v>1928.99</v>
          </cell>
          <cell r="AN18">
            <v>1895.12</v>
          </cell>
          <cell r="AO18">
            <v>1903.94</v>
          </cell>
          <cell r="AP18">
            <v>1904.4</v>
          </cell>
          <cell r="AQ18">
            <v>1915.91</v>
          </cell>
          <cell r="AR18">
            <v>1864.63</v>
          </cell>
          <cell r="AS18">
            <v>1923.41</v>
          </cell>
          <cell r="AT18">
            <v>1895.98</v>
          </cell>
          <cell r="AU18">
            <v>1900.65</v>
          </cell>
          <cell r="AV18">
            <v>1911.35</v>
          </cell>
          <cell r="AW18">
            <v>1881.77</v>
          </cell>
          <cell r="AX18">
            <v>1828.2</v>
          </cell>
          <cell r="AY18">
            <v>1860.96</v>
          </cell>
          <cell r="AZ18">
            <v>1810.88</v>
          </cell>
          <cell r="BA18" t="e">
            <v>#N/A</v>
          </cell>
        </row>
        <row r="19">
          <cell r="A19" t="str">
            <v>V0500H40B30</v>
          </cell>
          <cell r="B19">
            <v>500</v>
          </cell>
          <cell r="C19">
            <v>4000</v>
          </cell>
          <cell r="D19">
            <v>3000</v>
          </cell>
          <cell r="E19">
            <v>7</v>
          </cell>
          <cell r="F19">
            <v>2</v>
          </cell>
          <cell r="G19">
            <v>1</v>
          </cell>
          <cell r="H19">
            <v>350</v>
          </cell>
          <cell r="I19">
            <v>70</v>
          </cell>
          <cell r="J19">
            <v>568.5</v>
          </cell>
          <cell r="K19" t="str">
            <v>Q-11002868</v>
          </cell>
          <cell r="L19" t="str">
            <v>\\hokukon-net2\hop\Program\01_MVPシステム_容量別組立図\.\01_余裕高0_0m\pdf\FB0_0500m3-MVP-4000-組-B3000_Q-11002868.pdf</v>
          </cell>
          <cell r="M19">
            <v>2048.8200000000002</v>
          </cell>
          <cell r="N19">
            <v>2066.33</v>
          </cell>
          <cell r="O19">
            <v>2032.83</v>
          </cell>
          <cell r="P19">
            <v>2033.39</v>
          </cell>
          <cell r="Q19">
            <v>2056.58</v>
          </cell>
          <cell r="R19">
            <v>2044.39</v>
          </cell>
          <cell r="S19">
            <v>2039.22</v>
          </cell>
          <cell r="T19">
            <v>2039.89</v>
          </cell>
          <cell r="U19">
            <v>2048.21</v>
          </cell>
          <cell r="V19">
            <v>2040.94</v>
          </cell>
          <cell r="W19">
            <v>2048.4699999999998</v>
          </cell>
          <cell r="X19">
            <v>2058.06</v>
          </cell>
          <cell r="Y19">
            <v>2059.23</v>
          </cell>
          <cell r="Z19">
            <v>2098.27</v>
          </cell>
          <cell r="AA19">
            <v>2067.81</v>
          </cell>
          <cell r="AB19">
            <v>2067.3000000000002</v>
          </cell>
          <cell r="AC19">
            <v>2106.54</v>
          </cell>
          <cell r="AD19">
            <v>2035.12</v>
          </cell>
          <cell r="AE19">
            <v>2054.96</v>
          </cell>
          <cell r="AF19">
            <v>2099.23</v>
          </cell>
          <cell r="AG19">
            <v>2046.96</v>
          </cell>
          <cell r="AH19">
            <v>2059.9299999999998</v>
          </cell>
          <cell r="AI19">
            <v>2039.52</v>
          </cell>
          <cell r="AJ19">
            <v>2058.88</v>
          </cell>
          <cell r="AK19">
            <v>2014.41</v>
          </cell>
          <cell r="AL19">
            <v>2059.0500000000002</v>
          </cell>
          <cell r="AM19">
            <v>2111.54</v>
          </cell>
          <cell r="AN19">
            <v>2076.12</v>
          </cell>
          <cell r="AO19">
            <v>2085.87</v>
          </cell>
          <cell r="AP19">
            <v>2086.04</v>
          </cell>
          <cell r="AQ19">
            <v>2098.31</v>
          </cell>
          <cell r="AR19">
            <v>2040.89</v>
          </cell>
          <cell r="AS19">
            <v>2102.3200000000002</v>
          </cell>
          <cell r="AT19">
            <v>2073.7600000000002</v>
          </cell>
          <cell r="AU19">
            <v>2078.37</v>
          </cell>
          <cell r="AV19">
            <v>2089.67</v>
          </cell>
          <cell r="AW19">
            <v>2058.16</v>
          </cell>
          <cell r="AX19">
            <v>2001.08</v>
          </cell>
          <cell r="AY19">
            <v>2036.1</v>
          </cell>
          <cell r="AZ19">
            <v>1983.06</v>
          </cell>
          <cell r="BA19" t="e">
            <v>#N/A</v>
          </cell>
        </row>
        <row r="20">
          <cell r="A20" t="str">
            <v>V0500H40B25</v>
          </cell>
          <cell r="B20">
            <v>500</v>
          </cell>
          <cell r="C20">
            <v>4000</v>
          </cell>
          <cell r="D20">
            <v>2500</v>
          </cell>
          <cell r="E20">
            <v>7</v>
          </cell>
          <cell r="F20">
            <v>2</v>
          </cell>
          <cell r="G20">
            <v>1</v>
          </cell>
          <cell r="H20">
            <v>350</v>
          </cell>
          <cell r="I20">
            <v>70</v>
          </cell>
          <cell r="J20">
            <v>522.5</v>
          </cell>
          <cell r="K20" t="str">
            <v>Q-11002867</v>
          </cell>
          <cell r="L20" t="str">
            <v>\\hokukon-net2\hop\Program\01_MVPシステム_容量別組立図\.\01_余裕高0_0m\pdf\FB0_0500m3-MVP-4000-組-B2500_Q-11002867.pdf</v>
          </cell>
          <cell r="M20">
            <v>1973.87</v>
          </cell>
          <cell r="N20">
            <v>1990.22</v>
          </cell>
          <cell r="O20">
            <v>1959.48</v>
          </cell>
          <cell r="P20">
            <v>1960.01</v>
          </cell>
          <cell r="Q20">
            <v>1981</v>
          </cell>
          <cell r="R20">
            <v>1969.62</v>
          </cell>
          <cell r="S20">
            <v>1964.59</v>
          </cell>
          <cell r="T20">
            <v>1965.2</v>
          </cell>
          <cell r="U20">
            <v>1974.39</v>
          </cell>
          <cell r="V20">
            <v>1967.49</v>
          </cell>
          <cell r="W20">
            <v>1974.47</v>
          </cell>
          <cell r="X20">
            <v>1983.9</v>
          </cell>
          <cell r="Y20">
            <v>1985.06</v>
          </cell>
          <cell r="Z20">
            <v>2021.73</v>
          </cell>
          <cell r="AA20">
            <v>1993.5</v>
          </cell>
          <cell r="AB20">
            <v>1992.59</v>
          </cell>
          <cell r="AC20">
            <v>2028.29</v>
          </cell>
          <cell r="AD20">
            <v>1961.19</v>
          </cell>
          <cell r="AE20">
            <v>1980.11</v>
          </cell>
          <cell r="AF20">
            <v>2021.5</v>
          </cell>
          <cell r="AG20">
            <v>1973.31</v>
          </cell>
          <cell r="AH20">
            <v>1985.47</v>
          </cell>
          <cell r="AI20">
            <v>1966.69</v>
          </cell>
          <cell r="AJ20">
            <v>1984.16</v>
          </cell>
          <cell r="AK20">
            <v>1943.01</v>
          </cell>
          <cell r="AL20">
            <v>1984.32</v>
          </cell>
          <cell r="AM20">
            <v>2033.18</v>
          </cell>
          <cell r="AN20">
            <v>2000.49</v>
          </cell>
          <cell r="AO20">
            <v>2009.15</v>
          </cell>
          <cell r="AP20">
            <v>2009.58</v>
          </cell>
          <cell r="AQ20">
            <v>2021.05</v>
          </cell>
          <cell r="AR20">
            <v>1966.28</v>
          </cell>
          <cell r="AS20">
            <v>2023.37</v>
          </cell>
          <cell r="AT20">
            <v>1997.48</v>
          </cell>
          <cell r="AU20">
            <v>2001.74</v>
          </cell>
          <cell r="AV20">
            <v>2011.84</v>
          </cell>
          <cell r="AW20">
            <v>1982.48</v>
          </cell>
          <cell r="AX20">
            <v>1929.73</v>
          </cell>
          <cell r="AY20">
            <v>1961.86</v>
          </cell>
          <cell r="AZ20">
            <v>1912.73</v>
          </cell>
          <cell r="BA20" t="e">
            <v>#N/A</v>
          </cell>
        </row>
        <row r="21">
          <cell r="A21" t="str">
            <v>V0500H40B20</v>
          </cell>
          <cell r="B21">
            <v>500</v>
          </cell>
          <cell r="C21">
            <v>4000</v>
          </cell>
          <cell r="D21">
            <v>2000</v>
          </cell>
          <cell r="E21">
            <v>8</v>
          </cell>
          <cell r="F21">
            <v>2</v>
          </cell>
          <cell r="G21">
            <v>1</v>
          </cell>
          <cell r="H21">
            <v>350</v>
          </cell>
          <cell r="I21">
            <v>70</v>
          </cell>
          <cell r="J21">
            <v>539</v>
          </cell>
          <cell r="K21" t="str">
            <v>Q-11002866</v>
          </cell>
          <cell r="L21" t="str">
            <v>\\hokukon-net2\hop\Program\01_MVPシステム_容量別組立図\.\01_余裕高0_0m\pdf\FB0_0500m3-MVP-4000-組-B2000_Q-11002866.pdf</v>
          </cell>
          <cell r="M21">
            <v>2082.59</v>
          </cell>
          <cell r="N21">
            <v>2099.37</v>
          </cell>
          <cell r="O21">
            <v>2067.73</v>
          </cell>
          <cell r="P21">
            <v>2068.2600000000002</v>
          </cell>
          <cell r="Q21">
            <v>2089.9</v>
          </cell>
          <cell r="R21">
            <v>2078.17</v>
          </cell>
          <cell r="S21">
            <v>2072.94</v>
          </cell>
          <cell r="T21">
            <v>2073.59</v>
          </cell>
          <cell r="U21">
            <v>2083.14</v>
          </cell>
          <cell r="V21">
            <v>2076</v>
          </cell>
          <cell r="W21">
            <v>2083.2600000000002</v>
          </cell>
          <cell r="X21">
            <v>2093.0100000000002</v>
          </cell>
          <cell r="Y21">
            <v>2094.2399999999998</v>
          </cell>
          <cell r="Z21">
            <v>2132.13</v>
          </cell>
          <cell r="AA21">
            <v>2103.08</v>
          </cell>
          <cell r="AB21">
            <v>2102.0500000000002</v>
          </cell>
          <cell r="AC21">
            <v>2138.84</v>
          </cell>
          <cell r="AD21">
            <v>2069.62</v>
          </cell>
          <cell r="AE21">
            <v>2089.14</v>
          </cell>
          <cell r="AF21">
            <v>2131.87</v>
          </cell>
          <cell r="AG21">
            <v>2082.11</v>
          </cell>
          <cell r="AH21">
            <v>2094.62</v>
          </cell>
          <cell r="AI21">
            <v>2075.33</v>
          </cell>
          <cell r="AJ21">
            <v>2093.3000000000002</v>
          </cell>
          <cell r="AK21">
            <v>2050.96</v>
          </cell>
          <cell r="AL21">
            <v>2093.4699999999998</v>
          </cell>
          <cell r="AM21">
            <v>2143.88</v>
          </cell>
          <cell r="AN21">
            <v>2110.1</v>
          </cell>
          <cell r="AO21">
            <v>2119.02</v>
          </cell>
          <cell r="AP21">
            <v>2119.48</v>
          </cell>
          <cell r="AQ21">
            <v>2131.35</v>
          </cell>
          <cell r="AR21">
            <v>2074.6999999999998</v>
          </cell>
          <cell r="AS21">
            <v>2133.62</v>
          </cell>
          <cell r="AT21">
            <v>2106.96</v>
          </cell>
          <cell r="AU21">
            <v>2111.4</v>
          </cell>
          <cell r="AV21">
            <v>2121.73</v>
          </cell>
          <cell r="AW21">
            <v>2091.4499999999998</v>
          </cell>
          <cell r="AX21">
            <v>2037.2</v>
          </cell>
          <cell r="AY21">
            <v>2070.16</v>
          </cell>
          <cell r="AZ21">
            <v>2019.58</v>
          </cell>
          <cell r="BA21" t="e">
            <v>#N/A</v>
          </cell>
        </row>
        <row r="22">
          <cell r="A22" t="str">
            <v>V0500H45B30</v>
          </cell>
          <cell r="B22">
            <v>500</v>
          </cell>
          <cell r="C22">
            <v>4500</v>
          </cell>
          <cell r="D22">
            <v>3000</v>
          </cell>
          <cell r="E22">
            <v>6</v>
          </cell>
          <cell r="F22">
            <v>2</v>
          </cell>
          <cell r="G22">
            <v>1</v>
          </cell>
          <cell r="H22">
            <v>350</v>
          </cell>
          <cell r="I22">
            <v>70</v>
          </cell>
          <cell r="J22">
            <v>556.9</v>
          </cell>
          <cell r="K22" t="str">
            <v>Q-11002871</v>
          </cell>
          <cell r="L22" t="str">
            <v>\\hokukon-net2\hop\Program\01_MVPシステム_容量別組立図\.\01_余裕高0_0m\pdf\FB0_0500m3-MVP-4500-組-B3000_Q-11002871.pdf</v>
          </cell>
          <cell r="M22">
            <v>1972.11</v>
          </cell>
          <cell r="N22">
            <v>1987.87</v>
          </cell>
          <cell r="O22">
            <v>1958.92</v>
          </cell>
          <cell r="P22">
            <v>1959.42</v>
          </cell>
          <cell r="Q22">
            <v>1978.82</v>
          </cell>
          <cell r="R22">
            <v>1967.86</v>
          </cell>
          <cell r="S22">
            <v>1962.76</v>
          </cell>
          <cell r="T22">
            <v>1963.34</v>
          </cell>
          <cell r="U22">
            <v>1973.88</v>
          </cell>
          <cell r="V22">
            <v>1967.18</v>
          </cell>
          <cell r="W22">
            <v>1973.67</v>
          </cell>
          <cell r="X22">
            <v>1983.31</v>
          </cell>
          <cell r="Y22">
            <v>1984.47</v>
          </cell>
          <cell r="Z22">
            <v>2019.79</v>
          </cell>
          <cell r="AA22">
            <v>1992.96</v>
          </cell>
          <cell r="AB22">
            <v>1991.68</v>
          </cell>
          <cell r="AC22">
            <v>2024.71</v>
          </cell>
          <cell r="AD22">
            <v>1959.92</v>
          </cell>
          <cell r="AE22">
            <v>1978.48</v>
          </cell>
          <cell r="AF22">
            <v>2018.2</v>
          </cell>
          <cell r="AG22">
            <v>1972.85</v>
          </cell>
          <cell r="AH22">
            <v>1984.54</v>
          </cell>
          <cell r="AI22">
            <v>1966.75</v>
          </cell>
          <cell r="AJ22">
            <v>1982.95</v>
          </cell>
          <cell r="AK22">
            <v>1943.77</v>
          </cell>
          <cell r="AL22">
            <v>1982.96</v>
          </cell>
          <cell r="AM22">
            <v>2029.66</v>
          </cell>
          <cell r="AN22">
            <v>1998.86</v>
          </cell>
          <cell r="AO22">
            <v>2006.76</v>
          </cell>
          <cell r="AP22">
            <v>2007.36</v>
          </cell>
          <cell r="AQ22">
            <v>2018.37</v>
          </cell>
          <cell r="AR22">
            <v>1964.55</v>
          </cell>
          <cell r="AS22">
            <v>2018.87</v>
          </cell>
          <cell r="AT22">
            <v>1994.91</v>
          </cell>
          <cell r="AU22">
            <v>1998.88</v>
          </cell>
          <cell r="AV22">
            <v>2008.23</v>
          </cell>
          <cell r="AW22">
            <v>1980.19</v>
          </cell>
          <cell r="AX22">
            <v>1930.14</v>
          </cell>
          <cell r="AY22">
            <v>1960.32</v>
          </cell>
          <cell r="AZ22">
            <v>1913.7</v>
          </cell>
          <cell r="BA22" t="e">
            <v>#N/A</v>
          </cell>
        </row>
        <row r="23">
          <cell r="A23" t="str">
            <v>V0500H45B25</v>
          </cell>
          <cell r="B23">
            <v>500</v>
          </cell>
          <cell r="C23">
            <v>4500</v>
          </cell>
          <cell r="D23">
            <v>2500</v>
          </cell>
          <cell r="E23">
            <v>11</v>
          </cell>
          <cell r="F23">
            <v>1</v>
          </cell>
          <cell r="G23">
            <v>1</v>
          </cell>
          <cell r="H23">
            <v>350</v>
          </cell>
          <cell r="I23">
            <v>70</v>
          </cell>
          <cell r="J23">
            <v>526.70000000000005</v>
          </cell>
          <cell r="K23" t="str">
            <v>Q-11002870</v>
          </cell>
          <cell r="L23" t="str">
            <v>\\hokukon-net2\hop\Program\01_MVPシステム_容量別組立図\.\01_余裕高0_0m\pdf\FB0_0500m3-MVP-4500-組-B2500_Q-11002870.pdf</v>
          </cell>
          <cell r="M23">
            <v>1901.17</v>
          </cell>
          <cell r="N23">
            <v>1915.65</v>
          </cell>
          <cell r="O23">
            <v>1887.37</v>
          </cell>
          <cell r="P23">
            <v>1887.84</v>
          </cell>
          <cell r="Q23">
            <v>1907.56</v>
          </cell>
          <cell r="R23">
            <v>1897.32</v>
          </cell>
          <cell r="S23">
            <v>1892.97</v>
          </cell>
          <cell r="T23">
            <v>1893.54</v>
          </cell>
          <cell r="U23">
            <v>1900.1</v>
          </cell>
          <cell r="V23">
            <v>1894</v>
          </cell>
          <cell r="W23">
            <v>1900.66</v>
          </cell>
          <cell r="X23">
            <v>1908.57</v>
          </cell>
          <cell r="Y23">
            <v>1909.47</v>
          </cell>
          <cell r="Z23">
            <v>1942.56</v>
          </cell>
          <cell r="AA23">
            <v>1916.88</v>
          </cell>
          <cell r="AB23">
            <v>1916.5</v>
          </cell>
          <cell r="AC23">
            <v>1949.87</v>
          </cell>
          <cell r="AD23">
            <v>1889.82</v>
          </cell>
          <cell r="AE23">
            <v>1906.44</v>
          </cell>
          <cell r="AF23">
            <v>1943.89</v>
          </cell>
          <cell r="AG23">
            <v>1899.4</v>
          </cell>
          <cell r="AH23">
            <v>1910.15</v>
          </cell>
          <cell r="AI23">
            <v>1893.12</v>
          </cell>
          <cell r="AJ23">
            <v>1909.49</v>
          </cell>
          <cell r="AK23">
            <v>1872.23</v>
          </cell>
          <cell r="AL23">
            <v>1909.63</v>
          </cell>
          <cell r="AM23">
            <v>1954.02</v>
          </cell>
          <cell r="AN23">
            <v>1923.97</v>
          </cell>
          <cell r="AO23">
            <v>1932.24</v>
          </cell>
          <cell r="AP23">
            <v>1932.29</v>
          </cell>
          <cell r="AQ23">
            <v>1942.79</v>
          </cell>
          <cell r="AR23">
            <v>1894.33</v>
          </cell>
          <cell r="AS23">
            <v>1946.46</v>
          </cell>
          <cell r="AT23">
            <v>1922.13</v>
          </cell>
          <cell r="AU23">
            <v>1926.19</v>
          </cell>
          <cell r="AV23">
            <v>1935.64</v>
          </cell>
          <cell r="AW23">
            <v>1909.05</v>
          </cell>
          <cell r="AX23">
            <v>1861.07</v>
          </cell>
          <cell r="AY23">
            <v>1890.27</v>
          </cell>
          <cell r="AZ23">
            <v>1845.75</v>
          </cell>
          <cell r="BA23" t="e">
            <v>#N/A</v>
          </cell>
        </row>
        <row r="24">
          <cell r="A24" t="str">
            <v>V0500H45B20</v>
          </cell>
          <cell r="B24">
            <v>500</v>
          </cell>
          <cell r="C24">
            <v>4500</v>
          </cell>
          <cell r="D24">
            <v>2000</v>
          </cell>
          <cell r="E24">
            <v>7</v>
          </cell>
          <cell r="F24">
            <v>2</v>
          </cell>
          <cell r="G24">
            <v>1</v>
          </cell>
          <cell r="H24">
            <v>350</v>
          </cell>
          <cell r="I24">
            <v>70</v>
          </cell>
          <cell r="J24">
            <v>537.20000000000005</v>
          </cell>
          <cell r="K24" t="str">
            <v>Q-11002869</v>
          </cell>
          <cell r="L24" t="str">
            <v>\\hokukon-net2\hop\Program\01_MVPシステム_容量別組立図\.\01_余裕高0_0m\pdf\FB0_0500m3-MVP-4500-組-B2000_Q-11002869.pdf</v>
          </cell>
          <cell r="M24">
            <v>2021.22</v>
          </cell>
          <cell r="N24">
            <v>2036.59</v>
          </cell>
          <cell r="O24">
            <v>2008.87</v>
          </cell>
          <cell r="P24">
            <v>2009.34</v>
          </cell>
          <cell r="Q24">
            <v>2027.65</v>
          </cell>
          <cell r="R24">
            <v>2016.97</v>
          </cell>
          <cell r="S24">
            <v>2011.77</v>
          </cell>
          <cell r="T24">
            <v>2012.34</v>
          </cell>
          <cell r="U24">
            <v>2023.98</v>
          </cell>
          <cell r="V24">
            <v>2017.28</v>
          </cell>
          <cell r="W24">
            <v>2023.65</v>
          </cell>
          <cell r="X24">
            <v>2033.54</v>
          </cell>
          <cell r="Y24">
            <v>2034.76</v>
          </cell>
          <cell r="Z24">
            <v>2069.48</v>
          </cell>
          <cell r="AA24">
            <v>2043.59</v>
          </cell>
          <cell r="AB24">
            <v>2041.79</v>
          </cell>
          <cell r="AC24">
            <v>2073.19</v>
          </cell>
          <cell r="AD24">
            <v>2009.55</v>
          </cell>
          <cell r="AE24">
            <v>2028.07</v>
          </cell>
          <cell r="AF24">
            <v>2066.9</v>
          </cell>
          <cell r="AG24">
            <v>2023.16</v>
          </cell>
          <cell r="AH24">
            <v>2034.61</v>
          </cell>
          <cell r="AI24">
            <v>2017.55</v>
          </cell>
          <cell r="AJ24">
            <v>2032.72</v>
          </cell>
          <cell r="AK24">
            <v>1994.94</v>
          </cell>
          <cell r="AL24">
            <v>2032.78</v>
          </cell>
          <cell r="AM24">
            <v>2078.2399999999998</v>
          </cell>
          <cell r="AN24">
            <v>2048.44</v>
          </cell>
          <cell r="AO24">
            <v>2055.71</v>
          </cell>
          <cell r="AP24">
            <v>2056.61</v>
          </cell>
          <cell r="AQ24">
            <v>2067.39</v>
          </cell>
          <cell r="AR24">
            <v>2013.65</v>
          </cell>
          <cell r="AS24">
            <v>2066.4699999999998</v>
          </cell>
          <cell r="AT24">
            <v>2043.85</v>
          </cell>
          <cell r="AU24">
            <v>2047.77</v>
          </cell>
          <cell r="AV24">
            <v>2056.33</v>
          </cell>
          <cell r="AW24">
            <v>2029.05</v>
          </cell>
          <cell r="AX24">
            <v>1980.82</v>
          </cell>
          <cell r="AY24">
            <v>2009.6</v>
          </cell>
          <cell r="AZ24">
            <v>1964.56</v>
          </cell>
          <cell r="BA24" t="e">
            <v>#N/A</v>
          </cell>
        </row>
        <row r="25">
          <cell r="A25" t="str">
            <v>V1000H15B30</v>
          </cell>
          <cell r="B25">
            <v>1000</v>
          </cell>
          <cell r="C25">
            <v>1500</v>
          </cell>
          <cell r="D25">
            <v>3000</v>
          </cell>
          <cell r="E25">
            <v>22</v>
          </cell>
          <cell r="F25">
            <v>2</v>
          </cell>
          <cell r="G25">
            <v>2</v>
          </cell>
          <cell r="H25">
            <v>350</v>
          </cell>
          <cell r="I25">
            <v>50</v>
          </cell>
          <cell r="J25">
            <v>1024.8</v>
          </cell>
          <cell r="K25" t="str">
            <v>Q-11002874</v>
          </cell>
          <cell r="L25" t="str">
            <v>\\hokukon-net2\hop\Program\01_MVPシステム_容量別組立図\.\01_余裕高0_0m\pdf\FB0_1000m3-MVP-1500-組-B3000_Q-11002874.pdf</v>
          </cell>
          <cell r="M25">
            <v>4468.57</v>
          </cell>
          <cell r="N25">
            <v>4536.1400000000003</v>
          </cell>
          <cell r="O25">
            <v>4376.9399999999996</v>
          </cell>
          <cell r="P25">
            <v>4379.32</v>
          </cell>
          <cell r="Q25">
            <v>4503.3</v>
          </cell>
          <cell r="R25">
            <v>4452.42</v>
          </cell>
          <cell r="S25">
            <v>4441.28</v>
          </cell>
          <cell r="T25">
            <v>4444.16</v>
          </cell>
          <cell r="U25">
            <v>4411.74</v>
          </cell>
          <cell r="V25">
            <v>4387.2</v>
          </cell>
          <cell r="W25">
            <v>4420.9799999999996</v>
          </cell>
          <cell r="X25">
            <v>4437.5200000000004</v>
          </cell>
          <cell r="Y25">
            <v>4439.2299999999996</v>
          </cell>
          <cell r="Z25">
            <v>4589.8</v>
          </cell>
          <cell r="AA25">
            <v>4458.84</v>
          </cell>
          <cell r="AB25">
            <v>4475.04</v>
          </cell>
          <cell r="AC25">
            <v>4679.12</v>
          </cell>
          <cell r="AD25">
            <v>4412.84</v>
          </cell>
          <cell r="AE25">
            <v>4476.5600000000004</v>
          </cell>
          <cell r="AF25">
            <v>4655.1899999999996</v>
          </cell>
          <cell r="AG25">
            <v>4411.9799999999996</v>
          </cell>
          <cell r="AH25">
            <v>4459.84</v>
          </cell>
          <cell r="AI25">
            <v>4367.91</v>
          </cell>
          <cell r="AJ25">
            <v>4472.46</v>
          </cell>
          <cell r="AK25">
            <v>4268.49</v>
          </cell>
          <cell r="AL25">
            <v>4465.96</v>
          </cell>
          <cell r="AM25">
            <v>4686.6400000000003</v>
          </cell>
          <cell r="AN25">
            <v>4523.9399999999996</v>
          </cell>
          <cell r="AO25">
            <v>4582.37</v>
          </cell>
          <cell r="AP25">
            <v>4570.8900000000003</v>
          </cell>
          <cell r="AQ25">
            <v>4620.88</v>
          </cell>
          <cell r="AR25">
            <v>4442.66</v>
          </cell>
          <cell r="AS25">
            <v>4708.32</v>
          </cell>
          <cell r="AT25">
            <v>4557.62</v>
          </cell>
          <cell r="AU25">
            <v>4580.22</v>
          </cell>
          <cell r="AV25">
            <v>4644.1499999999996</v>
          </cell>
          <cell r="AW25">
            <v>4516.8500000000004</v>
          </cell>
          <cell r="AX25">
            <v>4261.58</v>
          </cell>
          <cell r="AY25">
            <v>4427.2299999999996</v>
          </cell>
          <cell r="AZ25">
            <v>4196.04</v>
          </cell>
          <cell r="BA25" t="e">
            <v>#N/A</v>
          </cell>
        </row>
        <row r="26">
          <cell r="A26" t="str">
            <v>V1000H15B25</v>
          </cell>
          <cell r="B26">
            <v>1000</v>
          </cell>
          <cell r="C26">
            <v>1500</v>
          </cell>
          <cell r="D26">
            <v>2500</v>
          </cell>
          <cell r="E26">
            <v>24</v>
          </cell>
          <cell r="F26">
            <v>2</v>
          </cell>
          <cell r="G26">
            <v>2</v>
          </cell>
          <cell r="H26">
            <v>350</v>
          </cell>
          <cell r="I26">
            <v>50</v>
          </cell>
          <cell r="J26">
            <v>1040.7</v>
          </cell>
          <cell r="K26" t="str">
            <v>Q-11002873</v>
          </cell>
          <cell r="L26" t="str">
            <v>\\hokukon-net2\hop\Program\01_MVPシステム_容量別組立図\.\01_余裕高0_0m\pdf\FB0_1000m3-MVP-1500-組-B2500_Q-11002873.pdf</v>
          </cell>
          <cell r="M26">
            <v>4614.67</v>
          </cell>
          <cell r="N26">
            <v>4683.5200000000004</v>
          </cell>
          <cell r="O26">
            <v>4521.5600000000004</v>
          </cell>
          <cell r="P26">
            <v>4524</v>
          </cell>
          <cell r="Q26">
            <v>4649.91</v>
          </cell>
          <cell r="R26">
            <v>4598.0200000000004</v>
          </cell>
          <cell r="S26">
            <v>4586.3999999999996</v>
          </cell>
          <cell r="T26">
            <v>4589.34</v>
          </cell>
          <cell r="U26">
            <v>4557.6099999999997</v>
          </cell>
          <cell r="V26">
            <v>4532.3999999999996</v>
          </cell>
          <cell r="W26">
            <v>4566.95</v>
          </cell>
          <cell r="X26">
            <v>4584.29</v>
          </cell>
          <cell r="Y26">
            <v>4586.09</v>
          </cell>
          <cell r="Z26">
            <v>4740.12</v>
          </cell>
          <cell r="AA26">
            <v>4606.74</v>
          </cell>
          <cell r="AB26">
            <v>4622.7</v>
          </cell>
          <cell r="AC26">
            <v>4830.2700000000004</v>
          </cell>
          <cell r="AD26">
            <v>4558.32</v>
          </cell>
          <cell r="AE26">
            <v>4623.72</v>
          </cell>
          <cell r="AF26">
            <v>4806.1899999999996</v>
          </cell>
          <cell r="AG26">
            <v>4558.42</v>
          </cell>
          <cell r="AH26">
            <v>4607.2299999999996</v>
          </cell>
          <cell r="AI26">
            <v>4513.76</v>
          </cell>
          <cell r="AJ26">
            <v>4619.87</v>
          </cell>
          <cell r="AK26">
            <v>4411.6099999999997</v>
          </cell>
          <cell r="AL26">
            <v>4612.71</v>
          </cell>
          <cell r="AM26">
            <v>4837.92</v>
          </cell>
          <cell r="AN26">
            <v>4672.05</v>
          </cell>
          <cell r="AO26">
            <v>4731.29</v>
          </cell>
          <cell r="AP26">
            <v>4719.8</v>
          </cell>
          <cell r="AQ26">
            <v>4770.92</v>
          </cell>
          <cell r="AR26">
            <v>4588.2</v>
          </cell>
          <cell r="AS26">
            <v>4859.28</v>
          </cell>
          <cell r="AT26">
            <v>4706.17</v>
          </cell>
          <cell r="AU26">
            <v>4729.34</v>
          </cell>
          <cell r="AV26">
            <v>4793.99</v>
          </cell>
          <cell r="AW26">
            <v>4664.26</v>
          </cell>
          <cell r="AX26">
            <v>4404.3599999999997</v>
          </cell>
          <cell r="AY26">
            <v>4572.71</v>
          </cell>
          <cell r="AZ26">
            <v>4337.24</v>
          </cell>
          <cell r="BA26">
            <v>3671.63</v>
          </cell>
        </row>
        <row r="27">
          <cell r="A27" t="str">
            <v>V1000H15B20</v>
          </cell>
          <cell r="B27">
            <v>1000</v>
          </cell>
          <cell r="C27">
            <v>1500</v>
          </cell>
          <cell r="D27">
            <v>2000</v>
          </cell>
          <cell r="E27">
            <v>25</v>
          </cell>
          <cell r="F27">
            <v>2</v>
          </cell>
          <cell r="G27">
            <v>2</v>
          </cell>
          <cell r="H27">
            <v>350</v>
          </cell>
          <cell r="I27">
            <v>50</v>
          </cell>
          <cell r="J27">
            <v>1005.6</v>
          </cell>
          <cell r="K27" t="str">
            <v>Q-11002872</v>
          </cell>
          <cell r="L27" t="str">
            <v>\\hokukon-net2\hop\Program\01_MVPシステム_容量別組立図\.\01_余裕高0_0m\pdf\FB0_1000m3-MVP-1500-組-B2000_Q-11002872.pdf</v>
          </cell>
          <cell r="M27">
            <v>4560.78</v>
          </cell>
          <cell r="N27">
            <v>4627.76</v>
          </cell>
          <cell r="O27">
            <v>4470.8100000000004</v>
          </cell>
          <cell r="P27">
            <v>4473.17</v>
          </cell>
          <cell r="Q27">
            <v>4594.82</v>
          </cell>
          <cell r="R27">
            <v>4544.3500000000004</v>
          </cell>
          <cell r="S27">
            <v>4532.68</v>
          </cell>
          <cell r="T27">
            <v>4535.5200000000004</v>
          </cell>
          <cell r="U27">
            <v>4506.6899999999996</v>
          </cell>
          <cell r="V27">
            <v>4481.91</v>
          </cell>
          <cell r="W27">
            <v>4515.6499999999996</v>
          </cell>
          <cell r="X27">
            <v>4533.21</v>
          </cell>
          <cell r="Y27">
            <v>4535.04</v>
          </cell>
          <cell r="Z27">
            <v>4685.41</v>
          </cell>
          <cell r="AA27">
            <v>4555.93</v>
          </cell>
          <cell r="AB27">
            <v>4570.75</v>
          </cell>
          <cell r="AC27">
            <v>4771.67</v>
          </cell>
          <cell r="AD27">
            <v>4506.5</v>
          </cell>
          <cell r="AE27">
            <v>4570.74</v>
          </cell>
          <cell r="AF27">
            <v>4748.6000000000004</v>
          </cell>
          <cell r="AG27">
            <v>4508.1400000000003</v>
          </cell>
          <cell r="AH27">
            <v>4555.6499999999996</v>
          </cell>
          <cell r="AI27">
            <v>4465.08</v>
          </cell>
          <cell r="AJ27">
            <v>4567.58</v>
          </cell>
          <cell r="AK27">
            <v>4364.78</v>
          </cell>
          <cell r="AL27">
            <v>4559.97</v>
          </cell>
          <cell r="AM27">
            <v>4779.2</v>
          </cell>
          <cell r="AN27">
            <v>4618.09</v>
          </cell>
          <cell r="AO27">
            <v>4675.1499999999996</v>
          </cell>
          <cell r="AP27">
            <v>4664.33</v>
          </cell>
          <cell r="AQ27">
            <v>4714.17</v>
          </cell>
          <cell r="AR27">
            <v>4534.95</v>
          </cell>
          <cell r="AS27">
            <v>4798.71</v>
          </cell>
          <cell r="AT27">
            <v>4650.7</v>
          </cell>
          <cell r="AU27">
            <v>4673.29</v>
          </cell>
          <cell r="AV27">
            <v>4735.5</v>
          </cell>
          <cell r="AW27">
            <v>4609.41</v>
          </cell>
          <cell r="AX27">
            <v>4357.1499999999996</v>
          </cell>
          <cell r="AY27">
            <v>4520.16</v>
          </cell>
          <cell r="AZ27">
            <v>4291.5</v>
          </cell>
          <cell r="BA27">
            <v>3647.58</v>
          </cell>
        </row>
        <row r="28">
          <cell r="A28" t="str">
            <v>V1000H20B30</v>
          </cell>
          <cell r="B28">
            <v>1000</v>
          </cell>
          <cell r="C28">
            <v>2000</v>
          </cell>
          <cell r="D28">
            <v>3000</v>
          </cell>
          <cell r="E28">
            <v>16</v>
          </cell>
          <cell r="F28">
            <v>2</v>
          </cell>
          <cell r="G28">
            <v>1</v>
          </cell>
          <cell r="H28">
            <v>350</v>
          </cell>
          <cell r="I28">
            <v>50</v>
          </cell>
          <cell r="J28">
            <v>1012.1</v>
          </cell>
          <cell r="K28" t="str">
            <v>Q-11002877</v>
          </cell>
          <cell r="L28" t="str">
            <v>\\hokukon-net2\hop\Program\01_MVPシステム_容量別組立図\.\01_余裕高0_0m\pdf\FB0_1000m3-MVP-2000-組-B3000_Q-11002877.pdf</v>
          </cell>
          <cell r="M28">
            <v>3564.23</v>
          </cell>
          <cell r="N28">
            <v>3614.99</v>
          </cell>
          <cell r="O28">
            <v>3497.41</v>
          </cell>
          <cell r="P28">
            <v>3499.18</v>
          </cell>
          <cell r="Q28">
            <v>3590</v>
          </cell>
          <cell r="R28">
            <v>3552.13</v>
          </cell>
          <cell r="S28">
            <v>3543.25</v>
          </cell>
          <cell r="T28">
            <v>3545.39</v>
          </cell>
          <cell r="U28">
            <v>3525.36</v>
          </cell>
          <cell r="V28">
            <v>3506.7</v>
          </cell>
          <cell r="W28">
            <v>3531.58</v>
          </cell>
          <cell r="X28">
            <v>3545.36</v>
          </cell>
          <cell r="Y28">
            <v>3546.83</v>
          </cell>
          <cell r="Z28">
            <v>3659.69</v>
          </cell>
          <cell r="AA28">
            <v>3562.18</v>
          </cell>
          <cell r="AB28">
            <v>3573.28</v>
          </cell>
          <cell r="AC28">
            <v>3723.09</v>
          </cell>
          <cell r="AD28">
            <v>3522.82</v>
          </cell>
          <cell r="AE28">
            <v>3571.46</v>
          </cell>
          <cell r="AF28">
            <v>3704.97</v>
          </cell>
          <cell r="AG28">
            <v>3525.4</v>
          </cell>
          <cell r="AH28">
            <v>3561.49</v>
          </cell>
          <cell r="AI28">
            <v>3493.25</v>
          </cell>
          <cell r="AJ28">
            <v>3569.92</v>
          </cell>
          <cell r="AK28">
            <v>3417.99</v>
          </cell>
          <cell r="AL28">
            <v>3564.85</v>
          </cell>
          <cell r="AM28">
            <v>3729.33</v>
          </cell>
          <cell r="AN28">
            <v>3608.95</v>
          </cell>
          <cell r="AO28">
            <v>3651.52</v>
          </cell>
          <cell r="AP28">
            <v>3643.63</v>
          </cell>
          <cell r="AQ28">
            <v>3680.91</v>
          </cell>
          <cell r="AR28">
            <v>3544.98</v>
          </cell>
          <cell r="AS28">
            <v>3742.37</v>
          </cell>
          <cell r="AT28">
            <v>3671.46</v>
          </cell>
          <cell r="AU28">
            <v>3648.43</v>
          </cell>
          <cell r="AV28">
            <v>3695.32</v>
          </cell>
          <cell r="AW28">
            <v>3600.27</v>
          </cell>
          <cell r="AX28">
            <v>3410.74</v>
          </cell>
          <cell r="AY28">
            <v>3533.4</v>
          </cell>
          <cell r="AZ28">
            <v>3361.42</v>
          </cell>
          <cell r="BA28">
            <v>2827.23</v>
          </cell>
        </row>
        <row r="29">
          <cell r="A29" t="str">
            <v>V1000H20B25</v>
          </cell>
          <cell r="B29">
            <v>1000</v>
          </cell>
          <cell r="C29">
            <v>2000</v>
          </cell>
          <cell r="D29">
            <v>2500</v>
          </cell>
          <cell r="E29">
            <v>17</v>
          </cell>
          <cell r="F29">
            <v>2</v>
          </cell>
          <cell r="G29">
            <v>1</v>
          </cell>
          <cell r="H29">
            <v>350</v>
          </cell>
          <cell r="I29">
            <v>50</v>
          </cell>
          <cell r="J29">
            <v>1001.6</v>
          </cell>
          <cell r="K29" t="str">
            <v>Q-11002876</v>
          </cell>
          <cell r="L29" t="str">
            <v>\\hokukon-net2\hop\Program\01_MVPシステム_容量別組立図\.\01_余裕高0_0m\pdf\FB0_1000m3-MVP-2000-組-B2500_Q-11002876.pdf</v>
          </cell>
          <cell r="M29">
            <v>3590.22</v>
          </cell>
          <cell r="N29">
            <v>3640.67</v>
          </cell>
          <cell r="O29">
            <v>3524.14</v>
          </cell>
          <cell r="P29">
            <v>3525.91</v>
          </cell>
          <cell r="Q29">
            <v>3615.69</v>
          </cell>
          <cell r="R29">
            <v>3578.05</v>
          </cell>
          <cell r="S29">
            <v>3569.01</v>
          </cell>
          <cell r="T29">
            <v>3571.14</v>
          </cell>
          <cell r="U29">
            <v>3552.4</v>
          </cell>
          <cell r="V29">
            <v>3533.73</v>
          </cell>
          <cell r="W29">
            <v>3558.51</v>
          </cell>
          <cell r="X29">
            <v>3572.63</v>
          </cell>
          <cell r="Y29">
            <v>3574.13</v>
          </cell>
          <cell r="Z29">
            <v>3686.64</v>
          </cell>
          <cell r="AA29">
            <v>3589.88</v>
          </cell>
          <cell r="AB29">
            <v>3600.47</v>
          </cell>
          <cell r="AC29">
            <v>3748.81</v>
          </cell>
          <cell r="AD29">
            <v>3549.43</v>
          </cell>
          <cell r="AE29">
            <v>3598.14</v>
          </cell>
          <cell r="AF29">
            <v>3731.04</v>
          </cell>
          <cell r="AG29">
            <v>3552.85</v>
          </cell>
          <cell r="AH29">
            <v>3588.76</v>
          </cell>
          <cell r="AI29">
            <v>3521.17</v>
          </cell>
          <cell r="AJ29">
            <v>3596.91</v>
          </cell>
          <cell r="AK29">
            <v>3445.78</v>
          </cell>
          <cell r="AL29">
            <v>3591.47</v>
          </cell>
          <cell r="AM29">
            <v>3755.04</v>
          </cell>
          <cell r="AN29">
            <v>3635.51</v>
          </cell>
          <cell r="AO29">
            <v>3677.49</v>
          </cell>
          <cell r="AP29">
            <v>3669.87</v>
          </cell>
          <cell r="AQ29">
            <v>3707.01</v>
          </cell>
          <cell r="AR29">
            <v>3571.05</v>
          </cell>
          <cell r="AS29">
            <v>3767.28</v>
          </cell>
          <cell r="AT29">
            <v>3658.13</v>
          </cell>
          <cell r="AU29">
            <v>3674.53</v>
          </cell>
          <cell r="AV29">
            <v>3720.68</v>
          </cell>
          <cell r="AW29">
            <v>3626.3</v>
          </cell>
          <cell r="AX29">
            <v>3438.28</v>
          </cell>
          <cell r="AY29">
            <v>3559.73</v>
          </cell>
          <cell r="AZ29">
            <v>3389.04</v>
          </cell>
          <cell r="BA29">
            <v>2861.17</v>
          </cell>
        </row>
        <row r="30">
          <cell r="A30" t="str">
            <v>V1000H20B20</v>
          </cell>
          <cell r="B30">
            <v>1000</v>
          </cell>
          <cell r="C30">
            <v>2000</v>
          </cell>
          <cell r="D30">
            <v>2000</v>
          </cell>
          <cell r="E30">
            <v>19</v>
          </cell>
          <cell r="F30">
            <v>2</v>
          </cell>
          <cell r="G30">
            <v>1</v>
          </cell>
          <cell r="H30">
            <v>350</v>
          </cell>
          <cell r="I30">
            <v>50</v>
          </cell>
          <cell r="J30">
            <v>1035.5</v>
          </cell>
          <cell r="K30" t="str">
            <v>Q-11002875</v>
          </cell>
          <cell r="L30" t="str">
            <v>\\hokukon-net2\hop\Program\01_MVPシステム_容量別組立図\.\01_余裕高0_0m\pdf\FB0_1000m3-MVP-2000-組-B2000_Q-11002875.pdf</v>
          </cell>
          <cell r="M30">
            <v>3775.97</v>
          </cell>
          <cell r="N30">
            <v>3828.22</v>
          </cell>
          <cell r="O30">
            <v>3707.65</v>
          </cell>
          <cell r="P30">
            <v>3709.47</v>
          </cell>
          <cell r="Q30">
            <v>3802.23</v>
          </cell>
          <cell r="R30">
            <v>3763.18</v>
          </cell>
          <cell r="S30">
            <v>3753.63</v>
          </cell>
          <cell r="T30">
            <v>3755.84</v>
          </cell>
          <cell r="U30">
            <v>3737.3</v>
          </cell>
          <cell r="V30">
            <v>3717.79</v>
          </cell>
          <cell r="W30">
            <v>3743.62</v>
          </cell>
          <cell r="X30">
            <v>3758.56</v>
          </cell>
          <cell r="Y30">
            <v>3760.17</v>
          </cell>
          <cell r="Z30">
            <v>3877.2</v>
          </cell>
          <cell r="AA30">
            <v>3777.02</v>
          </cell>
          <cell r="AB30">
            <v>3787.59</v>
          </cell>
          <cell r="AC30">
            <v>3941.07</v>
          </cell>
          <cell r="AD30">
            <v>3734.07</v>
          </cell>
          <cell r="AE30">
            <v>3784.87</v>
          </cell>
          <cell r="AF30">
            <v>3922.93</v>
          </cell>
          <cell r="AG30">
            <v>3738.29</v>
          </cell>
          <cell r="AH30">
            <v>3775.49</v>
          </cell>
          <cell r="AI30">
            <v>3705.6</v>
          </cell>
          <cell r="AJ30">
            <v>3783.8</v>
          </cell>
          <cell r="AK30">
            <v>3626.86</v>
          </cell>
          <cell r="AL30">
            <v>3777.72</v>
          </cell>
          <cell r="AM30">
            <v>3947.48</v>
          </cell>
          <cell r="AN30">
            <v>3823.54</v>
          </cell>
          <cell r="AO30">
            <v>3866.81</v>
          </cell>
          <cell r="AP30">
            <v>3859.06</v>
          </cell>
          <cell r="AQ30">
            <v>3897.67</v>
          </cell>
          <cell r="AR30">
            <v>3756.03</v>
          </cell>
          <cell r="AS30">
            <v>3959.71</v>
          </cell>
          <cell r="AT30">
            <v>3846.89</v>
          </cell>
          <cell r="AU30">
            <v>3864.01</v>
          </cell>
          <cell r="AV30">
            <v>3911.47</v>
          </cell>
          <cell r="AW30">
            <v>3813.7</v>
          </cell>
          <cell r="AX30">
            <v>3619.01</v>
          </cell>
          <cell r="AY30">
            <v>3744.51</v>
          </cell>
          <cell r="AZ30">
            <v>3567.74</v>
          </cell>
          <cell r="BA30">
            <v>3021.8</v>
          </cell>
        </row>
        <row r="31">
          <cell r="A31" t="str">
            <v>V1000H25B30</v>
          </cell>
          <cell r="B31">
            <v>1000</v>
          </cell>
          <cell r="C31">
            <v>2500</v>
          </cell>
          <cell r="D31">
            <v>3000</v>
          </cell>
          <cell r="E31">
            <v>15</v>
          </cell>
          <cell r="F31">
            <v>3</v>
          </cell>
          <cell r="G31">
            <v>1</v>
          </cell>
          <cell r="H31">
            <v>300</v>
          </cell>
          <cell r="I31">
            <v>50</v>
          </cell>
          <cell r="J31">
            <v>1016.1</v>
          </cell>
          <cell r="K31" t="str">
            <v>Q-11002880</v>
          </cell>
          <cell r="L31" t="str">
            <v>\\hokukon-net2\hop\Program\01_MVPシステム_容量別組立図\.\01_余裕高0_0m\pdf\FB0_1000m3-MVP-2500-組-B3000_Q-11002880.pdf</v>
          </cell>
          <cell r="M31">
            <v>3634.21</v>
          </cell>
          <cell r="N31">
            <v>3673.26</v>
          </cell>
          <cell r="O31">
            <v>3587.55</v>
          </cell>
          <cell r="P31">
            <v>3588.91</v>
          </cell>
          <cell r="Q31">
            <v>3653.79</v>
          </cell>
          <cell r="R31">
            <v>3625.23</v>
          </cell>
          <cell r="S31">
            <v>3616.38</v>
          </cell>
          <cell r="T31">
            <v>3618.02</v>
          </cell>
          <cell r="U31">
            <v>3618.06</v>
          </cell>
          <cell r="V31">
            <v>3602.08</v>
          </cell>
          <cell r="W31">
            <v>3621.55</v>
          </cell>
          <cell r="X31">
            <v>3637.93</v>
          </cell>
          <cell r="Y31">
            <v>3640.41</v>
          </cell>
          <cell r="Z31">
            <v>3730.22</v>
          </cell>
          <cell r="AA31">
            <v>3655.94</v>
          </cell>
          <cell r="AB31">
            <v>3659.52</v>
          </cell>
          <cell r="AC31">
            <v>3766.07</v>
          </cell>
          <cell r="AD31">
            <v>3606.65</v>
          </cell>
          <cell r="AE31">
            <v>3646.95</v>
          </cell>
          <cell r="AF31">
            <v>3751.65</v>
          </cell>
          <cell r="AG31">
            <v>3620.87</v>
          </cell>
          <cell r="AH31">
            <v>3650.04</v>
          </cell>
          <cell r="AI31">
            <v>3598.97</v>
          </cell>
          <cell r="AJ31">
            <v>3653.12</v>
          </cell>
          <cell r="AK31">
            <v>3535.89</v>
          </cell>
          <cell r="AL31">
            <v>3644.96</v>
          </cell>
          <cell r="AM31">
            <v>3771.04</v>
          </cell>
          <cell r="AN31">
            <v>3681.14</v>
          </cell>
          <cell r="AO31">
            <v>3709.63</v>
          </cell>
          <cell r="AP31">
            <v>3706.92</v>
          </cell>
          <cell r="AQ31">
            <v>3735.12</v>
          </cell>
          <cell r="AR31">
            <v>3621.98</v>
          </cell>
          <cell r="AS31">
            <v>3771.95</v>
          </cell>
          <cell r="AT31">
            <v>3693.12</v>
          </cell>
          <cell r="AU31">
            <v>3705.58</v>
          </cell>
          <cell r="AV31">
            <v>3738.31</v>
          </cell>
          <cell r="AW31">
            <v>3663.99</v>
          </cell>
          <cell r="AX31">
            <v>3524.25</v>
          </cell>
          <cell r="AY31">
            <v>3612.93</v>
          </cell>
          <cell r="AZ31">
            <v>3483.68</v>
          </cell>
          <cell r="BA31">
            <v>2896.64</v>
          </cell>
        </row>
        <row r="32">
          <cell r="A32" t="str">
            <v>V1000H25B25</v>
          </cell>
          <cell r="B32">
            <v>1000</v>
          </cell>
          <cell r="C32">
            <v>2500</v>
          </cell>
          <cell r="D32">
            <v>2500</v>
          </cell>
          <cell r="E32">
            <v>17</v>
          </cell>
          <cell r="F32">
            <v>3</v>
          </cell>
          <cell r="G32">
            <v>1</v>
          </cell>
          <cell r="H32">
            <v>300</v>
          </cell>
          <cell r="I32">
            <v>50</v>
          </cell>
          <cell r="J32">
            <v>1046.5999999999999</v>
          </cell>
          <cell r="K32" t="str">
            <v>Q-11002879</v>
          </cell>
          <cell r="L32" t="str">
            <v>\\hokukon-net2\hop\Program\01_MVPシステム_容量別組立図\.\01_余裕高0_0m\pdf\FB0_1000m3-MVP-2500-組-B2500_Q-11002879.pdf</v>
          </cell>
          <cell r="M32">
            <v>3839.57</v>
          </cell>
          <cell r="N32">
            <v>3879.81</v>
          </cell>
          <cell r="O32">
            <v>3791.67</v>
          </cell>
          <cell r="P32">
            <v>3793.07</v>
          </cell>
          <cell r="Q32">
            <v>3859.64</v>
          </cell>
          <cell r="R32">
            <v>3830.1</v>
          </cell>
          <cell r="S32">
            <v>3820.72</v>
          </cell>
          <cell r="T32">
            <v>3822.42</v>
          </cell>
          <cell r="U32">
            <v>3823.61</v>
          </cell>
          <cell r="V32">
            <v>3806.92</v>
          </cell>
          <cell r="W32">
            <v>3827.2</v>
          </cell>
          <cell r="X32">
            <v>3844.53</v>
          </cell>
          <cell r="Y32">
            <v>3847.15</v>
          </cell>
          <cell r="Z32">
            <v>3940.35</v>
          </cell>
          <cell r="AA32">
            <v>3863.87</v>
          </cell>
          <cell r="AB32">
            <v>3867.03</v>
          </cell>
          <cell r="AC32">
            <v>3976.62</v>
          </cell>
          <cell r="AD32">
            <v>3811.66</v>
          </cell>
          <cell r="AE32">
            <v>3853.64</v>
          </cell>
          <cell r="AF32">
            <v>3962.11</v>
          </cell>
          <cell r="AG32">
            <v>3827.2</v>
          </cell>
          <cell r="AH32">
            <v>3857.3</v>
          </cell>
          <cell r="AI32">
            <v>3804.83</v>
          </cell>
          <cell r="AJ32">
            <v>3860.31</v>
          </cell>
          <cell r="AK32">
            <v>3738.93</v>
          </cell>
          <cell r="AL32">
            <v>3851.27</v>
          </cell>
          <cell r="AM32">
            <v>3981.65</v>
          </cell>
          <cell r="AN32">
            <v>3888.78</v>
          </cell>
          <cell r="AO32">
            <v>3917.88</v>
          </cell>
          <cell r="AP32">
            <v>3915.31</v>
          </cell>
          <cell r="AQ32">
            <v>3944.57</v>
          </cell>
          <cell r="AR32">
            <v>3826.87</v>
          </cell>
          <cell r="AS32">
            <v>3981.99</v>
          </cell>
          <cell r="AT32">
            <v>3901.09</v>
          </cell>
          <cell r="AU32">
            <v>3914.11</v>
          </cell>
          <cell r="AV32">
            <v>3947.4</v>
          </cell>
          <cell r="AW32">
            <v>3870.76</v>
          </cell>
          <cell r="AX32">
            <v>3726.88</v>
          </cell>
          <cell r="AY32">
            <v>3817.85</v>
          </cell>
          <cell r="AZ32">
            <v>3684.67</v>
          </cell>
          <cell r="BA32">
            <v>3071.57</v>
          </cell>
        </row>
        <row r="33">
          <cell r="A33" t="str">
            <v>V1000H25B20</v>
          </cell>
          <cell r="B33">
            <v>1000</v>
          </cell>
          <cell r="C33">
            <v>2500</v>
          </cell>
          <cell r="D33">
            <v>2000</v>
          </cell>
          <cell r="E33">
            <v>18</v>
          </cell>
          <cell r="F33">
            <v>3</v>
          </cell>
          <cell r="G33">
            <v>1</v>
          </cell>
          <cell r="H33">
            <v>300</v>
          </cell>
          <cell r="I33">
            <v>50</v>
          </cell>
          <cell r="J33">
            <v>1000.9</v>
          </cell>
          <cell r="K33" t="str">
            <v>Q-11002878</v>
          </cell>
          <cell r="L33" t="str">
            <v>\\hokukon-net2\hop\Program\01_MVPシステム_容量別組立図\.\01_余裕高0_0m\pdf\FB0_1000m3-MVP-2500-組-B2000_Q-11002878.pdf</v>
          </cell>
          <cell r="M33">
            <v>3830.93</v>
          </cell>
          <cell r="N33">
            <v>3869.71</v>
          </cell>
          <cell r="O33">
            <v>3785.46</v>
          </cell>
          <cell r="P33">
            <v>3786.8</v>
          </cell>
          <cell r="Q33">
            <v>3850.04</v>
          </cell>
          <cell r="R33">
            <v>3821.55</v>
          </cell>
          <cell r="S33">
            <v>3812.08</v>
          </cell>
          <cell r="T33">
            <v>3813.72</v>
          </cell>
          <cell r="U33">
            <v>3817.29</v>
          </cell>
          <cell r="V33">
            <v>3800.91</v>
          </cell>
          <cell r="W33">
            <v>3820.6</v>
          </cell>
          <cell r="X33">
            <v>3838.14</v>
          </cell>
          <cell r="Y33">
            <v>3840.75</v>
          </cell>
          <cell r="Z33">
            <v>3931.34</v>
          </cell>
          <cell r="AA33">
            <v>3857.88</v>
          </cell>
          <cell r="AB33">
            <v>3860.05</v>
          </cell>
          <cell r="AC33">
            <v>3964.56</v>
          </cell>
          <cell r="AD33">
            <v>3804.67</v>
          </cell>
          <cell r="AE33">
            <v>3845.89</v>
          </cell>
          <cell r="AF33">
            <v>3950.95</v>
          </cell>
          <cell r="AG33">
            <v>3821.53</v>
          </cell>
          <cell r="AH33">
            <v>3850.65</v>
          </cell>
          <cell r="AI33">
            <v>3800.43</v>
          </cell>
          <cell r="AJ33">
            <v>3853.07</v>
          </cell>
          <cell r="AK33">
            <v>3735.72</v>
          </cell>
          <cell r="AL33">
            <v>3843.58</v>
          </cell>
          <cell r="AM33">
            <v>3969.49</v>
          </cell>
          <cell r="AN33">
            <v>3880.15</v>
          </cell>
          <cell r="AO33">
            <v>3907.54</v>
          </cell>
          <cell r="AP33">
            <v>3905.56</v>
          </cell>
          <cell r="AQ33">
            <v>3933.9</v>
          </cell>
          <cell r="AR33">
            <v>3818.64</v>
          </cell>
          <cell r="AS33">
            <v>3968.32</v>
          </cell>
          <cell r="AT33">
            <v>3891.4</v>
          </cell>
          <cell r="AU33">
            <v>3904.05</v>
          </cell>
          <cell r="AV33">
            <v>3935.33</v>
          </cell>
          <cell r="AW33">
            <v>3861.5</v>
          </cell>
          <cell r="AX33">
            <v>3723.48</v>
          </cell>
          <cell r="AY33">
            <v>3810.26</v>
          </cell>
          <cell r="AZ33">
            <v>3682.3</v>
          </cell>
          <cell r="BA33">
            <v>3080.77</v>
          </cell>
        </row>
        <row r="34">
          <cell r="A34" t="str">
            <v>V1000H30B30</v>
          </cell>
          <cell r="B34">
            <v>1000</v>
          </cell>
          <cell r="C34">
            <v>3000</v>
          </cell>
          <cell r="D34">
            <v>3000</v>
          </cell>
          <cell r="E34">
            <v>13</v>
          </cell>
          <cell r="F34">
            <v>3</v>
          </cell>
          <cell r="G34">
            <v>1</v>
          </cell>
          <cell r="H34">
            <v>300</v>
          </cell>
          <cell r="I34">
            <v>50</v>
          </cell>
          <cell r="J34">
            <v>1067.7</v>
          </cell>
          <cell r="K34" t="str">
            <v>Q-11002883</v>
          </cell>
          <cell r="L34" t="str">
            <v>\\hokukon-net2\hop\Program\01_MVPシステム_容量別組立図\.\01_余裕高0_0m\pdf\FB0_1000m3-MVP-3000-組-B3000_Q-11002883.pdf</v>
          </cell>
          <cell r="M34">
            <v>3452.96</v>
          </cell>
          <cell r="N34">
            <v>3487.77</v>
          </cell>
          <cell r="O34">
            <v>3413.36</v>
          </cell>
          <cell r="P34">
            <v>3414.57</v>
          </cell>
          <cell r="Q34">
            <v>3469.91</v>
          </cell>
          <cell r="R34">
            <v>3444.41</v>
          </cell>
          <cell r="S34">
            <v>3435.73</v>
          </cell>
          <cell r="T34">
            <v>3437.17</v>
          </cell>
          <cell r="U34">
            <v>3442.5</v>
          </cell>
          <cell r="V34">
            <v>3427.89</v>
          </cell>
          <cell r="W34">
            <v>3444.69</v>
          </cell>
          <cell r="X34">
            <v>3461.02</v>
          </cell>
          <cell r="Y34">
            <v>3463.68</v>
          </cell>
          <cell r="Z34">
            <v>3543.96</v>
          </cell>
          <cell r="AA34">
            <v>3478.87</v>
          </cell>
          <cell r="AB34">
            <v>3480.34</v>
          </cell>
          <cell r="AC34">
            <v>3571.69</v>
          </cell>
          <cell r="AD34">
            <v>3429.35</v>
          </cell>
          <cell r="AE34">
            <v>3466.53</v>
          </cell>
          <cell r="AF34">
            <v>3559.39</v>
          </cell>
          <cell r="AG34">
            <v>3445.77</v>
          </cell>
          <cell r="AH34">
            <v>3471.53</v>
          </cell>
          <cell r="AI34">
            <v>3427.42</v>
          </cell>
          <cell r="AJ34">
            <v>3473.15</v>
          </cell>
          <cell r="AK34">
            <v>3369.93</v>
          </cell>
          <cell r="AL34">
            <v>3465.19</v>
          </cell>
          <cell r="AM34">
            <v>3576.62</v>
          </cell>
          <cell r="AN34">
            <v>3498.39</v>
          </cell>
          <cell r="AO34">
            <v>3522.07</v>
          </cell>
          <cell r="AP34">
            <v>3520.22</v>
          </cell>
          <cell r="AQ34">
            <v>3545.41</v>
          </cell>
          <cell r="AR34">
            <v>3441.84</v>
          </cell>
          <cell r="AS34">
            <v>3573.63</v>
          </cell>
          <cell r="AT34">
            <v>3506.59</v>
          </cell>
          <cell r="AU34">
            <v>3517.6</v>
          </cell>
          <cell r="AV34">
            <v>3544.88</v>
          </cell>
          <cell r="AW34">
            <v>3479.59</v>
          </cell>
          <cell r="AX34">
            <v>3357.3</v>
          </cell>
          <cell r="AY34">
            <v>3434.14</v>
          </cell>
          <cell r="AZ34">
            <v>3321.12</v>
          </cell>
          <cell r="BA34">
            <v>2760.88</v>
          </cell>
        </row>
        <row r="35">
          <cell r="A35" t="str">
            <v>V1000H30B25</v>
          </cell>
          <cell r="B35">
            <v>1000</v>
          </cell>
          <cell r="C35">
            <v>3000</v>
          </cell>
          <cell r="D35">
            <v>2500</v>
          </cell>
          <cell r="E35">
            <v>20</v>
          </cell>
          <cell r="F35">
            <v>2</v>
          </cell>
          <cell r="G35">
            <v>1</v>
          </cell>
          <cell r="H35">
            <v>300</v>
          </cell>
          <cell r="I35">
            <v>50</v>
          </cell>
          <cell r="J35">
            <v>1045.2</v>
          </cell>
          <cell r="K35" t="str">
            <v>Q-11002882</v>
          </cell>
          <cell r="L35" t="str">
            <v>\\hokukon-net2\hop\Program\01_MVPシステム_容量別組立図\.\01_余裕高0_0m\pdf\FB0_1000m3-MVP-3000-組-B2500_Q-11002882.pdf</v>
          </cell>
          <cell r="M35">
            <v>3468.21</v>
          </cell>
          <cell r="N35">
            <v>3502.14</v>
          </cell>
          <cell r="O35">
            <v>3428.48</v>
          </cell>
          <cell r="P35">
            <v>3429.67</v>
          </cell>
          <cell r="Q35">
            <v>3484.72</v>
          </cell>
          <cell r="R35">
            <v>3459.65</v>
          </cell>
          <cell r="S35">
            <v>3451.29</v>
          </cell>
          <cell r="T35">
            <v>3452.71</v>
          </cell>
          <cell r="U35">
            <v>3456.35</v>
          </cell>
          <cell r="V35">
            <v>3441.98</v>
          </cell>
          <cell r="W35">
            <v>3459.02</v>
          </cell>
          <cell r="X35">
            <v>3474.51</v>
          </cell>
          <cell r="Y35">
            <v>3476.98</v>
          </cell>
          <cell r="Z35">
            <v>3556.14</v>
          </cell>
          <cell r="AA35">
            <v>3492.05</v>
          </cell>
          <cell r="AB35">
            <v>3493.71</v>
          </cell>
          <cell r="AC35">
            <v>3584.8</v>
          </cell>
          <cell r="AD35">
            <v>3445.32</v>
          </cell>
          <cell r="AE35">
            <v>3481.57</v>
          </cell>
          <cell r="AF35">
            <v>3573.14</v>
          </cell>
          <cell r="AG35">
            <v>3460.23</v>
          </cell>
          <cell r="AH35">
            <v>3485.32</v>
          </cell>
          <cell r="AI35">
            <v>3441.94</v>
          </cell>
          <cell r="AJ35">
            <v>3487.43</v>
          </cell>
          <cell r="AK35">
            <v>3385.37</v>
          </cell>
          <cell r="AL35">
            <v>3479.24</v>
          </cell>
          <cell r="AM35">
            <v>3589.27</v>
          </cell>
          <cell r="AN35">
            <v>3511.55</v>
          </cell>
          <cell r="AO35">
            <v>3535.26</v>
          </cell>
          <cell r="AP35">
            <v>3533.23</v>
          </cell>
          <cell r="AQ35">
            <v>3558.2</v>
          </cell>
          <cell r="AR35">
            <v>3457.26</v>
          </cell>
          <cell r="AS35">
            <v>3587.77</v>
          </cell>
          <cell r="AT35">
            <v>3520.87</v>
          </cell>
          <cell r="AU35">
            <v>3532.09</v>
          </cell>
          <cell r="AV35">
            <v>3559</v>
          </cell>
          <cell r="AW35">
            <v>3494.76</v>
          </cell>
          <cell r="AX35">
            <v>3374.17</v>
          </cell>
          <cell r="AY35">
            <v>3449.85</v>
          </cell>
          <cell r="AZ35">
            <v>3338.48</v>
          </cell>
          <cell r="BA35">
            <v>2777.07</v>
          </cell>
        </row>
        <row r="36">
          <cell r="A36" t="str">
            <v>V1000H30B20</v>
          </cell>
          <cell r="B36">
            <v>1000</v>
          </cell>
          <cell r="C36">
            <v>3000</v>
          </cell>
          <cell r="D36">
            <v>2000</v>
          </cell>
          <cell r="E36">
            <v>22</v>
          </cell>
          <cell r="F36">
            <v>2</v>
          </cell>
          <cell r="G36">
            <v>1</v>
          </cell>
          <cell r="H36">
            <v>300</v>
          </cell>
          <cell r="I36">
            <v>50</v>
          </cell>
          <cell r="J36">
            <v>1044.4000000000001</v>
          </cell>
          <cell r="K36" t="str">
            <v>Q-11002881</v>
          </cell>
          <cell r="L36" t="str">
            <v>\\hokukon-net2\hop\Program\01_MVPシステム_容量別組立図\.\01_余裕高0_0m\pdf\FB0_1000m3-MVP-3000-組-B2000_Q-11002881.pdf</v>
          </cell>
          <cell r="M36">
            <v>3606.32</v>
          </cell>
          <cell r="N36">
            <v>3640.44</v>
          </cell>
          <cell r="O36">
            <v>3566.82</v>
          </cell>
          <cell r="P36">
            <v>3568.01</v>
          </cell>
          <cell r="Q36">
            <v>3622.74</v>
          </cell>
          <cell r="R36">
            <v>3597.46</v>
          </cell>
          <cell r="S36">
            <v>3588.73</v>
          </cell>
          <cell r="T36">
            <v>3590.17</v>
          </cell>
          <cell r="U36">
            <v>3595.66</v>
          </cell>
          <cell r="V36">
            <v>3580.94</v>
          </cell>
          <cell r="W36">
            <v>3598.24</v>
          </cell>
          <cell r="X36">
            <v>3614.47</v>
          </cell>
          <cell r="Y36">
            <v>3617.06</v>
          </cell>
          <cell r="Z36">
            <v>3697.36</v>
          </cell>
          <cell r="AA36">
            <v>3633.04</v>
          </cell>
          <cell r="AB36">
            <v>3634.01</v>
          </cell>
          <cell r="AC36">
            <v>3724.94</v>
          </cell>
          <cell r="AD36">
            <v>3583.87</v>
          </cell>
          <cell r="AE36">
            <v>3620.94</v>
          </cell>
          <cell r="AF36">
            <v>3713.55</v>
          </cell>
          <cell r="AG36">
            <v>3600.26</v>
          </cell>
          <cell r="AH36">
            <v>3625.57</v>
          </cell>
          <cell r="AI36">
            <v>3582.22</v>
          </cell>
          <cell r="AJ36">
            <v>3627.35</v>
          </cell>
          <cell r="AK36">
            <v>3524.3</v>
          </cell>
          <cell r="AL36">
            <v>3618.46</v>
          </cell>
          <cell r="AM36">
            <v>3729.45</v>
          </cell>
          <cell r="AN36">
            <v>3651.32</v>
          </cell>
          <cell r="AO36">
            <v>3674.7</v>
          </cell>
          <cell r="AP36">
            <v>3672.97</v>
          </cell>
          <cell r="AQ36">
            <v>3698.27</v>
          </cell>
          <cell r="AR36">
            <v>3595.26</v>
          </cell>
          <cell r="AS36">
            <v>3726.82</v>
          </cell>
          <cell r="AT36">
            <v>3660.27</v>
          </cell>
          <cell r="AU36">
            <v>3671.69</v>
          </cell>
          <cell r="AV36">
            <v>3698.11</v>
          </cell>
          <cell r="AW36">
            <v>3633.49</v>
          </cell>
          <cell r="AX36">
            <v>3512.6</v>
          </cell>
          <cell r="AY36">
            <v>3588.09</v>
          </cell>
          <cell r="AZ36">
            <v>3476.29</v>
          </cell>
          <cell r="BA36">
            <v>2899.58</v>
          </cell>
        </row>
        <row r="37">
          <cell r="A37" t="str">
            <v>V1000H35B30</v>
          </cell>
          <cell r="B37">
            <v>1000</v>
          </cell>
          <cell r="C37">
            <v>3500</v>
          </cell>
          <cell r="D37">
            <v>3000</v>
          </cell>
          <cell r="E37">
            <v>15</v>
          </cell>
          <cell r="F37">
            <v>2</v>
          </cell>
          <cell r="G37">
            <v>1</v>
          </cell>
          <cell r="H37">
            <v>300</v>
          </cell>
          <cell r="I37">
            <v>50</v>
          </cell>
          <cell r="J37">
            <v>1009.1</v>
          </cell>
          <cell r="K37" t="str">
            <v>Q-11002886</v>
          </cell>
          <cell r="L37" t="str">
            <v>\\hokukon-net2\hop\Program\01_MVPシステム_容量別組立図\.\01_余裕高0_0m\pdf\FB0_1000m3-MVP-3500-組-B3000_Q-11002886.pdf</v>
          </cell>
          <cell r="M37">
            <v>3014.93</v>
          </cell>
          <cell r="N37">
            <v>3043.51</v>
          </cell>
          <cell r="O37">
            <v>2982.83</v>
          </cell>
          <cell r="P37">
            <v>2983.8</v>
          </cell>
          <cell r="Q37">
            <v>3028.63</v>
          </cell>
          <cell r="R37">
            <v>3007.81</v>
          </cell>
          <cell r="S37">
            <v>3000.55</v>
          </cell>
          <cell r="T37">
            <v>3001.74</v>
          </cell>
          <cell r="U37">
            <v>3007</v>
          </cell>
          <cell r="V37">
            <v>2994.9</v>
          </cell>
          <cell r="W37">
            <v>3008.75</v>
          </cell>
          <cell r="X37">
            <v>3022.38</v>
          </cell>
          <cell r="Y37">
            <v>3024.55</v>
          </cell>
          <cell r="Z37">
            <v>3090.54</v>
          </cell>
          <cell r="AA37">
            <v>3037.31</v>
          </cell>
          <cell r="AB37">
            <v>3038.25</v>
          </cell>
          <cell r="AC37">
            <v>3112.55</v>
          </cell>
          <cell r="AD37">
            <v>2995.7</v>
          </cell>
          <cell r="AE37">
            <v>3026.38</v>
          </cell>
          <cell r="AF37">
            <v>3102.59</v>
          </cell>
          <cell r="AG37">
            <v>3009.78</v>
          </cell>
          <cell r="AH37">
            <v>3030.99</v>
          </cell>
          <cell r="AI37">
            <v>2994.96</v>
          </cell>
          <cell r="AJ37">
            <v>3032.08</v>
          </cell>
          <cell r="AK37">
            <v>2947.55</v>
          </cell>
          <cell r="AL37">
            <v>3025.4</v>
          </cell>
          <cell r="AM37">
            <v>3116.68</v>
          </cell>
          <cell r="AN37">
            <v>3052.83</v>
          </cell>
          <cell r="AO37">
            <v>3071.94</v>
          </cell>
          <cell r="AP37">
            <v>3070.63</v>
          </cell>
          <cell r="AQ37">
            <v>3091.36</v>
          </cell>
          <cell r="AR37">
            <v>3005.79</v>
          </cell>
          <cell r="AS37">
            <v>3113.71</v>
          </cell>
          <cell r="AT37">
            <v>3059.15</v>
          </cell>
          <cell r="AU37">
            <v>3068.25</v>
          </cell>
          <cell r="AV37">
            <v>3090.29</v>
          </cell>
          <cell r="AW37">
            <v>3036.81</v>
          </cell>
          <cell r="AX37">
            <v>2936.86</v>
          </cell>
          <cell r="AY37">
            <v>2999.48</v>
          </cell>
          <cell r="AZ37">
            <v>2907.11</v>
          </cell>
          <cell r="BA37">
            <v>2408.63</v>
          </cell>
        </row>
        <row r="38">
          <cell r="A38" t="str">
            <v>V1000H35B25</v>
          </cell>
          <cell r="B38">
            <v>1000</v>
          </cell>
          <cell r="C38">
            <v>3500</v>
          </cell>
          <cell r="D38">
            <v>2500</v>
          </cell>
          <cell r="E38">
            <v>17</v>
          </cell>
          <cell r="F38">
            <v>2</v>
          </cell>
          <cell r="G38">
            <v>1</v>
          </cell>
          <cell r="H38">
            <v>300</v>
          </cell>
          <cell r="I38">
            <v>50</v>
          </cell>
          <cell r="J38">
            <v>1045.4000000000001</v>
          </cell>
          <cell r="K38" t="str">
            <v>Q-11002885</v>
          </cell>
          <cell r="L38" t="str">
            <v>\\hokukon-net2\hop\Program\01_MVPシステム_容量別組立図\.\01_余裕高0_0m\pdf\FB0_1000m3-MVP-3500-組-B2500_Q-11002885.pdf</v>
          </cell>
          <cell r="M38">
            <v>3206.51</v>
          </cell>
          <cell r="N38">
            <v>3236.14</v>
          </cell>
          <cell r="O38">
            <v>3173.38</v>
          </cell>
          <cell r="P38">
            <v>3174.41</v>
          </cell>
          <cell r="Q38">
            <v>3220.65</v>
          </cell>
          <cell r="R38">
            <v>3199</v>
          </cell>
          <cell r="S38">
            <v>3191.28</v>
          </cell>
          <cell r="T38">
            <v>3192.5</v>
          </cell>
          <cell r="U38">
            <v>3198.89</v>
          </cell>
          <cell r="V38">
            <v>3186.18</v>
          </cell>
          <cell r="W38">
            <v>3200.7</v>
          </cell>
          <cell r="X38">
            <v>3215.17</v>
          </cell>
          <cell r="Y38">
            <v>3217.49</v>
          </cell>
          <cell r="Z38">
            <v>3286.38</v>
          </cell>
          <cell r="AA38">
            <v>3231.25</v>
          </cell>
          <cell r="AB38">
            <v>3231.81</v>
          </cell>
          <cell r="AC38">
            <v>3308.63</v>
          </cell>
          <cell r="AD38">
            <v>3187</v>
          </cell>
          <cell r="AE38">
            <v>3219.16</v>
          </cell>
          <cell r="AF38">
            <v>3298.55</v>
          </cell>
          <cell r="AG38">
            <v>3202.3</v>
          </cell>
          <cell r="AH38">
            <v>3224.31</v>
          </cell>
          <cell r="AI38">
            <v>3187.12</v>
          </cell>
          <cell r="AJ38">
            <v>3225.29</v>
          </cell>
          <cell r="AK38">
            <v>3137.28</v>
          </cell>
          <cell r="AL38">
            <v>3217.92</v>
          </cell>
          <cell r="AM38">
            <v>3312.85</v>
          </cell>
          <cell r="AN38">
            <v>3246.54</v>
          </cell>
          <cell r="AO38">
            <v>3266.12</v>
          </cell>
          <cell r="AP38">
            <v>3264.93</v>
          </cell>
          <cell r="AQ38">
            <v>3286.56</v>
          </cell>
          <cell r="AR38">
            <v>3197.03</v>
          </cell>
          <cell r="AS38">
            <v>3309.27</v>
          </cell>
          <cell r="AT38">
            <v>3253.01</v>
          </cell>
          <cell r="AU38">
            <v>3262.57</v>
          </cell>
          <cell r="AV38">
            <v>3285.07</v>
          </cell>
          <cell r="AW38">
            <v>3229.58</v>
          </cell>
          <cell r="AX38">
            <v>3126.09</v>
          </cell>
          <cell r="AY38">
            <v>3190.67</v>
          </cell>
          <cell r="AZ38">
            <v>3094.98</v>
          </cell>
          <cell r="BA38">
            <v>2569.5700000000002</v>
          </cell>
        </row>
        <row r="39">
          <cell r="A39" t="str">
            <v>V1000H35B20</v>
          </cell>
          <cell r="B39">
            <v>1000</v>
          </cell>
          <cell r="C39">
            <v>3500</v>
          </cell>
          <cell r="D39">
            <v>2000</v>
          </cell>
          <cell r="E39">
            <v>18</v>
          </cell>
          <cell r="F39">
            <v>2</v>
          </cell>
          <cell r="G39">
            <v>1</v>
          </cell>
          <cell r="H39">
            <v>300</v>
          </cell>
          <cell r="I39">
            <v>50</v>
          </cell>
          <cell r="J39">
            <v>1006.6</v>
          </cell>
          <cell r="K39" t="str">
            <v>Q-11002884</v>
          </cell>
          <cell r="L39" t="str">
            <v>\\hokukon-net2\hop\Program\01_MVPシステム_容量別組立図\.\01_余裕高0_0m\pdf\FB0_1000m3-MVP-3500-組-B2000_Q-11002884.pdf</v>
          </cell>
          <cell r="M39">
            <v>3223.55</v>
          </cell>
          <cell r="N39">
            <v>3252.36</v>
          </cell>
          <cell r="O39">
            <v>3191.88</v>
          </cell>
          <cell r="P39">
            <v>3192.87</v>
          </cell>
          <cell r="Q39">
            <v>3237.14</v>
          </cell>
          <cell r="R39">
            <v>3216.14</v>
          </cell>
          <cell r="S39">
            <v>3208.35</v>
          </cell>
          <cell r="T39">
            <v>3209.55</v>
          </cell>
          <cell r="U39">
            <v>3217.43</v>
          </cell>
          <cell r="V39">
            <v>3204.87</v>
          </cell>
          <cell r="W39">
            <v>3219.07</v>
          </cell>
          <cell r="X39">
            <v>3233.72</v>
          </cell>
          <cell r="Y39">
            <v>3236.03</v>
          </cell>
          <cell r="Z39">
            <v>3303.44</v>
          </cell>
          <cell r="AA39">
            <v>3250.04</v>
          </cell>
          <cell r="AB39">
            <v>3250.01</v>
          </cell>
          <cell r="AC39">
            <v>3323.83</v>
          </cell>
          <cell r="AD39">
            <v>3205.03</v>
          </cell>
          <cell r="AE39">
            <v>3236.77</v>
          </cell>
          <cell r="AF39">
            <v>3314.23</v>
          </cell>
          <cell r="AG39">
            <v>3221.18</v>
          </cell>
          <cell r="AH39">
            <v>3242.69</v>
          </cell>
          <cell r="AI39">
            <v>3206.78</v>
          </cell>
          <cell r="AJ39">
            <v>3243.28</v>
          </cell>
          <cell r="AK39">
            <v>3157.58</v>
          </cell>
          <cell r="AL39">
            <v>3235.65</v>
          </cell>
          <cell r="AM39">
            <v>3328</v>
          </cell>
          <cell r="AN39">
            <v>3263.73</v>
          </cell>
          <cell r="AO39">
            <v>3282.31</v>
          </cell>
          <cell r="AP39">
            <v>3281.5</v>
          </cell>
          <cell r="AQ39">
            <v>3302.58</v>
          </cell>
          <cell r="AR39">
            <v>3214.34</v>
          </cell>
          <cell r="AS39">
            <v>3323.49</v>
          </cell>
          <cell r="AT39">
            <v>3269.56</v>
          </cell>
          <cell r="AU39">
            <v>3278.88</v>
          </cell>
          <cell r="AV39">
            <v>3300.2</v>
          </cell>
          <cell r="AW39">
            <v>3246.32</v>
          </cell>
          <cell r="AX39">
            <v>3146.22</v>
          </cell>
          <cell r="AY39">
            <v>3208.38</v>
          </cell>
          <cell r="AZ39">
            <v>3115.65</v>
          </cell>
          <cell r="BA39">
            <v>2593</v>
          </cell>
        </row>
        <row r="40">
          <cell r="A40" t="str">
            <v>V1000H40B30</v>
          </cell>
          <cell r="B40">
            <v>1000</v>
          </cell>
          <cell r="C40">
            <v>4000</v>
          </cell>
          <cell r="D40">
            <v>3000</v>
          </cell>
          <cell r="E40">
            <v>13</v>
          </cell>
          <cell r="F40">
            <v>2</v>
          </cell>
          <cell r="G40">
            <v>1</v>
          </cell>
          <cell r="H40">
            <v>350</v>
          </cell>
          <cell r="I40">
            <v>70</v>
          </cell>
          <cell r="J40">
            <v>1015</v>
          </cell>
          <cell r="K40" t="str">
            <v>Q-11002889</v>
          </cell>
          <cell r="L40" t="str">
            <v>\\hokukon-net2\hop\Program\01_MVPシステム_容量別組立図\.\01_余裕高0_0m\pdf\FB0_1000m3-MVP-4000-組-B3000_Q-11002889.pdf</v>
          </cell>
          <cell r="M40">
            <v>3232.35</v>
          </cell>
          <cell r="N40">
            <v>3260.95</v>
          </cell>
          <cell r="O40">
            <v>3201.97</v>
          </cell>
          <cell r="P40">
            <v>3202.91</v>
          </cell>
          <cell r="Q40">
            <v>3245.88</v>
          </cell>
          <cell r="R40">
            <v>3225.46</v>
          </cell>
          <cell r="S40">
            <v>3217.97</v>
          </cell>
          <cell r="T40">
            <v>3219.11</v>
          </cell>
          <cell r="U40">
            <v>3224.16</v>
          </cell>
          <cell r="V40">
            <v>3212.72</v>
          </cell>
          <cell r="W40">
            <v>3226.02</v>
          </cell>
          <cell r="X40">
            <v>3239.02</v>
          </cell>
          <cell r="Y40">
            <v>3240.62</v>
          </cell>
          <cell r="Z40">
            <v>3305.02</v>
          </cell>
          <cell r="AA40">
            <v>3253.31</v>
          </cell>
          <cell r="AB40">
            <v>3254.61</v>
          </cell>
          <cell r="AC40">
            <v>3326.04</v>
          </cell>
          <cell r="AD40">
            <v>3209.62</v>
          </cell>
          <cell r="AE40">
            <v>3240.54</v>
          </cell>
          <cell r="AF40">
            <v>3314.4</v>
          </cell>
          <cell r="AG40">
            <v>3222.68</v>
          </cell>
          <cell r="AH40">
            <v>3243.73</v>
          </cell>
          <cell r="AI40">
            <v>3208.79</v>
          </cell>
          <cell r="AJ40">
            <v>3244.08</v>
          </cell>
          <cell r="AK40">
            <v>3168.74</v>
          </cell>
          <cell r="AL40">
            <v>3245.09</v>
          </cell>
          <cell r="AM40">
            <v>3333.48</v>
          </cell>
          <cell r="AN40">
            <v>3271.84</v>
          </cell>
          <cell r="AO40">
            <v>3290.47</v>
          </cell>
          <cell r="AP40">
            <v>3289.24</v>
          </cell>
          <cell r="AQ40">
            <v>3309.85</v>
          </cell>
          <cell r="AR40">
            <v>3219.18</v>
          </cell>
          <cell r="AS40">
            <v>3323.95</v>
          </cell>
          <cell r="AT40">
            <v>3272.27</v>
          </cell>
          <cell r="AU40">
            <v>3280.77</v>
          </cell>
          <cell r="AV40">
            <v>3301.51</v>
          </cell>
          <cell r="AW40">
            <v>3248.79</v>
          </cell>
          <cell r="AX40">
            <v>3150.95</v>
          </cell>
          <cell r="AY40">
            <v>3211.92</v>
          </cell>
          <cell r="AZ40">
            <v>3121.72</v>
          </cell>
          <cell r="BA40">
            <v>2583.7800000000002</v>
          </cell>
        </row>
        <row r="41">
          <cell r="A41" t="str">
            <v>V1000H40B25</v>
          </cell>
          <cell r="B41">
            <v>1000</v>
          </cell>
          <cell r="C41">
            <v>4000</v>
          </cell>
          <cell r="D41">
            <v>2500</v>
          </cell>
          <cell r="E41">
            <v>14</v>
          </cell>
          <cell r="F41">
            <v>2</v>
          </cell>
          <cell r="G41">
            <v>1</v>
          </cell>
          <cell r="H41">
            <v>350</v>
          </cell>
          <cell r="I41">
            <v>70</v>
          </cell>
          <cell r="J41">
            <v>1001.5</v>
          </cell>
          <cell r="K41" t="str">
            <v>Q-11002888</v>
          </cell>
          <cell r="L41" t="str">
            <v>\\hokukon-net2\hop\Program\01_MVPシステム_容量別組立図\.\01_余裕高0_0m\pdf\FB0_1000m3-MVP-4000-組-B2500_Q-11002888.pdf</v>
          </cell>
          <cell r="M41">
            <v>3313.01</v>
          </cell>
          <cell r="N41">
            <v>3341.41</v>
          </cell>
          <cell r="O41">
            <v>3283.25</v>
          </cell>
          <cell r="P41">
            <v>3284.18</v>
          </cell>
          <cell r="Q41">
            <v>3326.33</v>
          </cell>
          <cell r="R41">
            <v>3306.03</v>
          </cell>
          <cell r="S41">
            <v>3298.37</v>
          </cell>
          <cell r="T41">
            <v>3299.5</v>
          </cell>
          <cell r="U41">
            <v>3305.76</v>
          </cell>
          <cell r="V41">
            <v>3294.25</v>
          </cell>
          <cell r="W41">
            <v>3307.55</v>
          </cell>
          <cell r="X41">
            <v>3320.9</v>
          </cell>
          <cell r="Y41">
            <v>3322.55</v>
          </cell>
          <cell r="Z41">
            <v>3386.87</v>
          </cell>
          <cell r="AA41">
            <v>3335.69</v>
          </cell>
          <cell r="AB41">
            <v>3336.51</v>
          </cell>
          <cell r="AC41">
            <v>3406.77</v>
          </cell>
          <cell r="AD41">
            <v>3290.61</v>
          </cell>
          <cell r="AE41">
            <v>3321.72</v>
          </cell>
          <cell r="AF41">
            <v>3395.26</v>
          </cell>
          <cell r="AG41">
            <v>3304.52</v>
          </cell>
          <cell r="AH41">
            <v>3325.46</v>
          </cell>
          <cell r="AI41">
            <v>3291.01</v>
          </cell>
          <cell r="AJ41">
            <v>3325.52</v>
          </cell>
          <cell r="AK41">
            <v>3251.02</v>
          </cell>
          <cell r="AL41">
            <v>3326.54</v>
          </cell>
          <cell r="AM41">
            <v>3414.35</v>
          </cell>
          <cell r="AN41">
            <v>3353.33</v>
          </cell>
          <cell r="AO41">
            <v>3371.44</v>
          </cell>
          <cell r="AP41">
            <v>3370.48</v>
          </cell>
          <cell r="AQ41">
            <v>3391.03</v>
          </cell>
          <cell r="AR41">
            <v>3299.68</v>
          </cell>
          <cell r="AS41">
            <v>3403.74</v>
          </cell>
          <cell r="AT41">
            <v>3353.03</v>
          </cell>
          <cell r="AU41">
            <v>3361.54</v>
          </cell>
          <cell r="AV41">
            <v>3381.64</v>
          </cell>
          <cell r="AW41">
            <v>3329.27</v>
          </cell>
          <cell r="AX41">
            <v>3232.54</v>
          </cell>
          <cell r="AY41">
            <v>3292.54</v>
          </cell>
          <cell r="AZ41">
            <v>3203.26</v>
          </cell>
          <cell r="BA41">
            <v>2656.57</v>
          </cell>
        </row>
        <row r="42">
          <cell r="A42" t="str">
            <v>V1000H40B20</v>
          </cell>
          <cell r="B42">
            <v>1000</v>
          </cell>
          <cell r="C42">
            <v>4000</v>
          </cell>
          <cell r="D42">
            <v>2000</v>
          </cell>
          <cell r="E42">
            <v>16</v>
          </cell>
          <cell r="F42">
            <v>2</v>
          </cell>
          <cell r="G42">
            <v>1</v>
          </cell>
          <cell r="H42">
            <v>350</v>
          </cell>
          <cell r="I42">
            <v>70</v>
          </cell>
          <cell r="J42">
            <v>1038.3</v>
          </cell>
          <cell r="K42" t="str">
            <v>Q-11002887</v>
          </cell>
          <cell r="L42" t="str">
            <v>\\hokukon-net2\hop\Program\01_MVPシステム_容量別組立図\.\01_余裕高0_0m\pdf\FB0_1000m3-MVP-4000-組-B2000_Q-11002887.pdf</v>
          </cell>
          <cell r="M42">
            <v>3561.65</v>
          </cell>
          <cell r="N42">
            <v>3591.14</v>
          </cell>
          <cell r="O42">
            <v>3530.81</v>
          </cell>
          <cell r="P42">
            <v>3531.78</v>
          </cell>
          <cell r="Q42">
            <v>3575.42</v>
          </cell>
          <cell r="R42">
            <v>3554.27</v>
          </cell>
          <cell r="S42">
            <v>3546.15</v>
          </cell>
          <cell r="T42">
            <v>3547.31</v>
          </cell>
          <cell r="U42">
            <v>3554.57</v>
          </cell>
          <cell r="V42">
            <v>3542.48</v>
          </cell>
          <cell r="W42">
            <v>3556.45</v>
          </cell>
          <cell r="X42">
            <v>3570.6</v>
          </cell>
          <cell r="Y42">
            <v>3572.37</v>
          </cell>
          <cell r="Z42">
            <v>3639.67</v>
          </cell>
          <cell r="AA42">
            <v>3586.49</v>
          </cell>
          <cell r="AB42">
            <v>3587.01</v>
          </cell>
          <cell r="AC42">
            <v>3659.83</v>
          </cell>
          <cell r="AD42">
            <v>3538.52</v>
          </cell>
          <cell r="AE42">
            <v>3571.14</v>
          </cell>
          <cell r="AF42">
            <v>3647.92</v>
          </cell>
          <cell r="AG42">
            <v>3553.47</v>
          </cell>
          <cell r="AH42">
            <v>3575.27</v>
          </cell>
          <cell r="AI42">
            <v>3539.58</v>
          </cell>
          <cell r="AJ42">
            <v>3575.22</v>
          </cell>
          <cell r="AK42">
            <v>3497.88</v>
          </cell>
          <cell r="AL42">
            <v>3576.28</v>
          </cell>
          <cell r="AM42">
            <v>3667.83</v>
          </cell>
          <cell r="AN42">
            <v>3604.27</v>
          </cell>
          <cell r="AO42">
            <v>3622.92</v>
          </cell>
          <cell r="AP42">
            <v>3622.08</v>
          </cell>
          <cell r="AQ42">
            <v>3643.57</v>
          </cell>
          <cell r="AR42">
            <v>3547.57</v>
          </cell>
          <cell r="AS42">
            <v>3656.06</v>
          </cell>
          <cell r="AT42">
            <v>3603.55</v>
          </cell>
          <cell r="AU42">
            <v>3612.52</v>
          </cell>
          <cell r="AV42">
            <v>3633.11</v>
          </cell>
          <cell r="AW42">
            <v>3578.55</v>
          </cell>
          <cell r="AX42">
            <v>3478.14</v>
          </cell>
          <cell r="AY42">
            <v>3540.18</v>
          </cell>
          <cell r="AZ42">
            <v>3447.42</v>
          </cell>
          <cell r="BA42">
            <v>2861.69</v>
          </cell>
        </row>
        <row r="43">
          <cell r="A43" t="str">
            <v>V1000H45B30</v>
          </cell>
          <cell r="B43">
            <v>1000</v>
          </cell>
          <cell r="C43">
            <v>4500</v>
          </cell>
          <cell r="D43">
            <v>3000</v>
          </cell>
          <cell r="E43">
            <v>12</v>
          </cell>
          <cell r="F43">
            <v>2</v>
          </cell>
          <cell r="G43">
            <v>1</v>
          </cell>
          <cell r="H43">
            <v>350</v>
          </cell>
          <cell r="I43">
            <v>70</v>
          </cell>
          <cell r="J43">
            <v>1060.0999999999999</v>
          </cell>
          <cell r="K43" t="str">
            <v>Q-11002892</v>
          </cell>
          <cell r="L43" t="str">
            <v>\\hokukon-net2\hop\Program\01_MVPシステム_容量別組立図\.\01_余裕高0_0m\pdf\FB0_1000m3-MVP-4500-組-B3000_Q-11002892.pdf</v>
          </cell>
          <cell r="M43">
            <v>3215.85</v>
          </cell>
          <cell r="N43">
            <v>3242.66</v>
          </cell>
          <cell r="O43">
            <v>3188.33</v>
          </cell>
          <cell r="P43">
            <v>3189.21</v>
          </cell>
          <cell r="Q43">
            <v>3228.29</v>
          </cell>
          <cell r="R43">
            <v>3209.04</v>
          </cell>
          <cell r="S43">
            <v>3201.54</v>
          </cell>
          <cell r="T43">
            <v>3202.6</v>
          </cell>
          <cell r="U43">
            <v>3210.26</v>
          </cell>
          <cell r="V43">
            <v>3199.38</v>
          </cell>
          <cell r="W43">
            <v>3211.72</v>
          </cell>
          <cell r="X43">
            <v>3224.87</v>
          </cell>
          <cell r="Y43">
            <v>3226.47</v>
          </cell>
          <cell r="Z43">
            <v>3287.28</v>
          </cell>
          <cell r="AA43">
            <v>3239.17</v>
          </cell>
          <cell r="AB43">
            <v>3239.62</v>
          </cell>
          <cell r="AC43">
            <v>3304.66</v>
          </cell>
          <cell r="AD43">
            <v>3194.66</v>
          </cell>
          <cell r="AE43">
            <v>3224.36</v>
          </cell>
          <cell r="AF43">
            <v>3293.82</v>
          </cell>
          <cell r="AG43">
            <v>3209.09</v>
          </cell>
          <cell r="AH43">
            <v>3228.84</v>
          </cell>
          <cell r="AI43">
            <v>3196.54</v>
          </cell>
          <cell r="AJ43">
            <v>3228.6</v>
          </cell>
          <cell r="AK43">
            <v>3158.59</v>
          </cell>
          <cell r="AL43">
            <v>3229.34</v>
          </cell>
          <cell r="AM43">
            <v>3312.03</v>
          </cell>
          <cell r="AN43">
            <v>3255.07</v>
          </cell>
          <cell r="AO43">
            <v>3271.77</v>
          </cell>
          <cell r="AP43">
            <v>3271</v>
          </cell>
          <cell r="AQ43">
            <v>3290.41</v>
          </cell>
          <cell r="AR43">
            <v>3202.97</v>
          </cell>
          <cell r="AS43">
            <v>3300.67</v>
          </cell>
          <cell r="AT43">
            <v>3253.72</v>
          </cell>
          <cell r="AU43">
            <v>3261.55</v>
          </cell>
          <cell r="AV43">
            <v>3280.27</v>
          </cell>
          <cell r="AW43">
            <v>3231</v>
          </cell>
          <cell r="AX43">
            <v>3140.25</v>
          </cell>
          <cell r="AY43">
            <v>3196.25</v>
          </cell>
          <cell r="AZ43">
            <v>3112.55</v>
          </cell>
          <cell r="BA43">
            <v>2574.16</v>
          </cell>
        </row>
        <row r="44">
          <cell r="A44" t="str">
            <v>V1000H45B25</v>
          </cell>
          <cell r="B44">
            <v>1000</v>
          </cell>
          <cell r="C44">
            <v>4500</v>
          </cell>
          <cell r="D44">
            <v>2500</v>
          </cell>
          <cell r="E44">
            <v>13</v>
          </cell>
          <cell r="F44">
            <v>2</v>
          </cell>
          <cell r="G44">
            <v>1</v>
          </cell>
          <cell r="H44">
            <v>350</v>
          </cell>
          <cell r="I44">
            <v>70</v>
          </cell>
          <cell r="J44">
            <v>1051.7</v>
          </cell>
          <cell r="K44" t="str">
            <v>Q-11002891</v>
          </cell>
          <cell r="L44" t="str">
            <v>\\hokukon-net2\hop\Program\01_MVPシステム_容量別組立図\.\01_余裕高0_0m\pdf\FB0_1000m3-MVP-4500-組-B2500_Q-11002891.pdf</v>
          </cell>
          <cell r="M44">
            <v>3304.57</v>
          </cell>
          <cell r="N44">
            <v>3331.38</v>
          </cell>
          <cell r="O44">
            <v>3277.48</v>
          </cell>
          <cell r="P44">
            <v>3278.34</v>
          </cell>
          <cell r="Q44">
            <v>3316.92</v>
          </cell>
          <cell r="R44">
            <v>3297.72</v>
          </cell>
          <cell r="S44">
            <v>3290.07</v>
          </cell>
          <cell r="T44">
            <v>3291.13</v>
          </cell>
          <cell r="U44">
            <v>3299.77</v>
          </cell>
          <cell r="V44">
            <v>3288.78</v>
          </cell>
          <cell r="W44">
            <v>3301.15</v>
          </cell>
          <cell r="X44">
            <v>3314.64</v>
          </cell>
          <cell r="Y44">
            <v>3316.28</v>
          </cell>
          <cell r="Z44">
            <v>3377.25</v>
          </cell>
          <cell r="AA44">
            <v>3329.4</v>
          </cell>
          <cell r="AB44">
            <v>3329.44</v>
          </cell>
          <cell r="AC44">
            <v>3393.79</v>
          </cell>
          <cell r="AD44">
            <v>3283.6</v>
          </cell>
          <cell r="AE44">
            <v>3313.58</v>
          </cell>
          <cell r="AF44">
            <v>3383.03</v>
          </cell>
          <cell r="AG44">
            <v>3298.74</v>
          </cell>
          <cell r="AH44">
            <v>3318.51</v>
          </cell>
          <cell r="AI44">
            <v>3286.48</v>
          </cell>
          <cell r="AJ44">
            <v>3318.01</v>
          </cell>
          <cell r="AK44">
            <v>3248.43</v>
          </cell>
          <cell r="AL44">
            <v>3318.81</v>
          </cell>
          <cell r="AM44">
            <v>3401.33</v>
          </cell>
          <cell r="AN44">
            <v>3344.63</v>
          </cell>
          <cell r="AO44">
            <v>3360.98</v>
          </cell>
          <cell r="AP44">
            <v>3360.43</v>
          </cell>
          <cell r="AQ44">
            <v>3379.84</v>
          </cell>
          <cell r="AR44">
            <v>3291.58</v>
          </cell>
          <cell r="AS44">
            <v>3389.07</v>
          </cell>
          <cell r="AT44">
            <v>3342.73</v>
          </cell>
          <cell r="AU44">
            <v>3350.61</v>
          </cell>
          <cell r="AV44">
            <v>3368.86</v>
          </cell>
          <cell r="AW44">
            <v>3319.69</v>
          </cell>
          <cell r="AX44">
            <v>3229.49</v>
          </cell>
          <cell r="AY44">
            <v>3284.93</v>
          </cell>
          <cell r="AZ44">
            <v>3201.63</v>
          </cell>
          <cell r="BA44">
            <v>2651.06</v>
          </cell>
        </row>
        <row r="45">
          <cell r="A45" t="str">
            <v>V1000H45B20</v>
          </cell>
          <cell r="B45">
            <v>1000</v>
          </cell>
          <cell r="C45">
            <v>4500</v>
          </cell>
          <cell r="D45">
            <v>2000</v>
          </cell>
          <cell r="E45">
            <v>14</v>
          </cell>
          <cell r="F45">
            <v>2</v>
          </cell>
          <cell r="G45">
            <v>1</v>
          </cell>
          <cell r="H45">
            <v>350</v>
          </cell>
          <cell r="I45">
            <v>70</v>
          </cell>
          <cell r="J45">
            <v>1029.8</v>
          </cell>
          <cell r="K45" t="str">
            <v>Q-11002890</v>
          </cell>
          <cell r="L45" t="str">
            <v>\\hokukon-net2\hop\Program\01_MVPシステム_容量別組立図\.\01_余裕高0_0m\pdf\FB0_1000m3-MVP-4500-組-B2000_Q-11002890.pdf</v>
          </cell>
          <cell r="M45">
            <v>3385.9</v>
          </cell>
          <cell r="N45">
            <v>3412.35</v>
          </cell>
          <cell r="O45">
            <v>3359.61</v>
          </cell>
          <cell r="P45">
            <v>3360.47</v>
          </cell>
          <cell r="Q45">
            <v>3397.95</v>
          </cell>
          <cell r="R45">
            <v>3378.96</v>
          </cell>
          <cell r="S45">
            <v>3371.13</v>
          </cell>
          <cell r="T45">
            <v>3372.17</v>
          </cell>
          <cell r="U45">
            <v>3382.23</v>
          </cell>
          <cell r="V45">
            <v>3371.2</v>
          </cell>
          <cell r="W45">
            <v>3383.5</v>
          </cell>
          <cell r="X45">
            <v>3397.36</v>
          </cell>
          <cell r="Y45">
            <v>3399.07</v>
          </cell>
          <cell r="Z45">
            <v>3459.7</v>
          </cell>
          <cell r="AA45">
            <v>3412.64</v>
          </cell>
          <cell r="AB45">
            <v>3412.11</v>
          </cell>
          <cell r="AC45">
            <v>3474.83</v>
          </cell>
          <cell r="AD45">
            <v>3365.37</v>
          </cell>
          <cell r="AE45">
            <v>3395.45</v>
          </cell>
          <cell r="AF45">
            <v>3464.26</v>
          </cell>
          <cell r="AG45">
            <v>3381.45</v>
          </cell>
          <cell r="AH45">
            <v>3401.02</v>
          </cell>
          <cell r="AI45">
            <v>3369.67</v>
          </cell>
          <cell r="AJ45">
            <v>3400.19</v>
          </cell>
          <cell r="AK45">
            <v>3331.87</v>
          </cell>
          <cell r="AL45">
            <v>3400.98</v>
          </cell>
          <cell r="AM45">
            <v>3482.5</v>
          </cell>
          <cell r="AN45">
            <v>3426.74</v>
          </cell>
          <cell r="AO45">
            <v>3442.44</v>
          </cell>
          <cell r="AP45">
            <v>3442.18</v>
          </cell>
          <cell r="AQ45">
            <v>3461.47</v>
          </cell>
          <cell r="AR45">
            <v>3372.76</v>
          </cell>
          <cell r="AS45">
            <v>3469.02</v>
          </cell>
          <cell r="AT45">
            <v>3423.99</v>
          </cell>
          <cell r="AU45">
            <v>3431.85</v>
          </cell>
          <cell r="AV45">
            <v>3449.3</v>
          </cell>
          <cell r="AW45">
            <v>3400.73</v>
          </cell>
          <cell r="AX45">
            <v>3312.21</v>
          </cell>
          <cell r="AY45">
            <v>3366.28</v>
          </cell>
          <cell r="AZ45">
            <v>3284.39</v>
          </cell>
          <cell r="BA45">
            <v>2724.43</v>
          </cell>
        </row>
        <row r="46">
          <cell r="A46" t="str">
            <v>V2000H15B30</v>
          </cell>
          <cell r="B46">
            <v>2000</v>
          </cell>
          <cell r="C46">
            <v>1500</v>
          </cell>
          <cell r="D46">
            <v>3000</v>
          </cell>
          <cell r="E46">
            <v>31</v>
          </cell>
          <cell r="F46">
            <v>3</v>
          </cell>
          <cell r="G46">
            <v>2</v>
          </cell>
          <cell r="H46">
            <v>350</v>
          </cell>
          <cell r="I46">
            <v>50</v>
          </cell>
          <cell r="J46">
            <v>2004.5</v>
          </cell>
          <cell r="K46" t="str">
            <v>Q-11002895</v>
          </cell>
          <cell r="L46" t="str">
            <v>\\hokukon-net2\hop\Program\01_MVPシステム_容量別組立図\.\01_余裕高0_0m\pdf\FB0_2000m3-MVP-1500-組-B3000_Q-11002895.pdf</v>
          </cell>
          <cell r="M46">
            <v>8394.1299999999992</v>
          </cell>
          <cell r="N46">
            <v>8522.44</v>
          </cell>
          <cell r="O46">
            <v>8216.2900000000009</v>
          </cell>
          <cell r="P46">
            <v>8220.84</v>
          </cell>
          <cell r="Q46">
            <v>8461.57</v>
          </cell>
          <cell r="R46">
            <v>8364.1200000000008</v>
          </cell>
          <cell r="S46">
            <v>8344.33</v>
          </cell>
          <cell r="T46">
            <v>8349.83</v>
          </cell>
          <cell r="U46">
            <v>8279.39</v>
          </cell>
          <cell r="V46">
            <v>8233.41</v>
          </cell>
          <cell r="W46">
            <v>8298.1299999999992</v>
          </cell>
          <cell r="X46">
            <v>8326.6299999999992</v>
          </cell>
          <cell r="Y46">
            <v>8329.7900000000009</v>
          </cell>
          <cell r="Z46">
            <v>8615.6200000000008</v>
          </cell>
          <cell r="AA46">
            <v>8365.48</v>
          </cell>
          <cell r="AB46">
            <v>8398.24</v>
          </cell>
          <cell r="AC46">
            <v>8792.58</v>
          </cell>
          <cell r="AD46">
            <v>8288.2000000000007</v>
          </cell>
          <cell r="AE46">
            <v>8406.98</v>
          </cell>
          <cell r="AF46">
            <v>8747.0400000000009</v>
          </cell>
          <cell r="AG46">
            <v>8279.65</v>
          </cell>
          <cell r="AH46">
            <v>8370.42</v>
          </cell>
          <cell r="AI46">
            <v>8193.9500000000007</v>
          </cell>
          <cell r="AJ46">
            <v>8396.23</v>
          </cell>
          <cell r="AK46">
            <v>8007.1</v>
          </cell>
          <cell r="AL46">
            <v>8384.58</v>
          </cell>
          <cell r="AM46">
            <v>8805.1200000000008</v>
          </cell>
          <cell r="AN46">
            <v>8492.9599999999991</v>
          </cell>
          <cell r="AO46">
            <v>8606.65</v>
          </cell>
          <cell r="AP46">
            <v>8583.2000000000007</v>
          </cell>
          <cell r="AQ46">
            <v>8678.3700000000008</v>
          </cell>
          <cell r="AR46">
            <v>8345.24</v>
          </cell>
          <cell r="AS46">
            <v>8853.01</v>
          </cell>
          <cell r="AT46">
            <v>8561.74</v>
          </cell>
          <cell r="AU46">
            <v>8605.4699999999993</v>
          </cell>
          <cell r="AV46">
            <v>8729.4</v>
          </cell>
          <cell r="AW46">
            <v>8486.68</v>
          </cell>
          <cell r="AX46">
            <v>7998.39</v>
          </cell>
          <cell r="AY46">
            <v>8316.07</v>
          </cell>
          <cell r="AZ46">
            <v>7874.48</v>
          </cell>
          <cell r="BA46">
            <v>6602.13</v>
          </cell>
        </row>
        <row r="47">
          <cell r="A47" t="str">
            <v>V2000H15B25</v>
          </cell>
          <cell r="B47">
            <v>2000</v>
          </cell>
          <cell r="C47">
            <v>1500</v>
          </cell>
          <cell r="D47">
            <v>2500</v>
          </cell>
          <cell r="E47">
            <v>34</v>
          </cell>
          <cell r="F47">
            <v>3</v>
          </cell>
          <cell r="G47">
            <v>2</v>
          </cell>
          <cell r="H47">
            <v>350</v>
          </cell>
          <cell r="I47">
            <v>50</v>
          </cell>
          <cell r="J47">
            <v>2037.7</v>
          </cell>
          <cell r="K47" t="str">
            <v>Q-11002894</v>
          </cell>
          <cell r="L47" t="str">
            <v>\\hokukon-net2\hop\Program\01_MVPシステム_容量別組立図\.\01_余裕高0_0m\pdf\FB0_2000m3-MVP-1500-組-B2500_Q-11002894.pdf</v>
          </cell>
          <cell r="M47">
            <v>8690.35</v>
          </cell>
          <cell r="N47">
            <v>8821.2199999999993</v>
          </cell>
          <cell r="O47">
            <v>8509.57</v>
          </cell>
          <cell r="P47">
            <v>8514.2000000000007</v>
          </cell>
          <cell r="Q47">
            <v>8758.83</v>
          </cell>
          <cell r="R47">
            <v>8659.32</v>
          </cell>
          <cell r="S47">
            <v>8638.61</v>
          </cell>
          <cell r="T47">
            <v>8644.2099999999991</v>
          </cell>
          <cell r="U47">
            <v>8575.08</v>
          </cell>
          <cell r="V47">
            <v>8527.77</v>
          </cell>
          <cell r="W47">
            <v>8594.06</v>
          </cell>
          <cell r="X47">
            <v>8624.14</v>
          </cell>
          <cell r="Y47">
            <v>8627.49</v>
          </cell>
          <cell r="Z47">
            <v>8920.17</v>
          </cell>
          <cell r="AA47">
            <v>8665.25</v>
          </cell>
          <cell r="AB47">
            <v>8697.56</v>
          </cell>
          <cell r="AC47">
            <v>9098.8700000000008</v>
          </cell>
          <cell r="AD47">
            <v>8583.2099999999991</v>
          </cell>
          <cell r="AE47">
            <v>8705.31</v>
          </cell>
          <cell r="AF47">
            <v>9053.02</v>
          </cell>
          <cell r="AG47">
            <v>8576.58</v>
          </cell>
          <cell r="AH47">
            <v>8669.23</v>
          </cell>
          <cell r="AI47">
            <v>8489.64</v>
          </cell>
          <cell r="AJ47">
            <v>8695.07</v>
          </cell>
          <cell r="AK47">
            <v>8297.4</v>
          </cell>
          <cell r="AL47">
            <v>8682.0499999999993</v>
          </cell>
          <cell r="AM47">
            <v>9111.64</v>
          </cell>
          <cell r="AN47">
            <v>8793.18</v>
          </cell>
          <cell r="AO47">
            <v>8908.43</v>
          </cell>
          <cell r="AP47">
            <v>8885</v>
          </cell>
          <cell r="AQ47">
            <v>8982.36</v>
          </cell>
          <cell r="AR47">
            <v>8640.34</v>
          </cell>
          <cell r="AS47">
            <v>9158.91</v>
          </cell>
          <cell r="AT47">
            <v>8862.83</v>
          </cell>
          <cell r="AU47">
            <v>8907.7099999999991</v>
          </cell>
          <cell r="AV47">
            <v>9033.1</v>
          </cell>
          <cell r="AW47">
            <v>8785.5300000000007</v>
          </cell>
          <cell r="AX47">
            <v>8288.02</v>
          </cell>
          <cell r="AY47">
            <v>8611.1</v>
          </cell>
          <cell r="AZ47">
            <v>8160.96</v>
          </cell>
          <cell r="BA47">
            <v>6873.61</v>
          </cell>
        </row>
        <row r="48">
          <cell r="A48" t="str">
            <v>V2000H15B20</v>
          </cell>
          <cell r="B48">
            <v>2000</v>
          </cell>
          <cell r="C48">
            <v>1500</v>
          </cell>
          <cell r="D48">
            <v>2000</v>
          </cell>
          <cell r="E48">
            <v>37</v>
          </cell>
          <cell r="F48">
            <v>3</v>
          </cell>
          <cell r="G48">
            <v>2</v>
          </cell>
          <cell r="H48">
            <v>350</v>
          </cell>
          <cell r="I48">
            <v>50</v>
          </cell>
          <cell r="J48">
            <v>2043.7</v>
          </cell>
          <cell r="K48" t="str">
            <v>Q-11002893</v>
          </cell>
          <cell r="L48" t="str">
            <v>\\hokukon-net2\hop\Program\01_MVPシステム_容量別組立図\.\01_余裕高0_0m\pdf\FB0_2000m3-MVP-1500-組-B2000_Q-11002893.pdf</v>
          </cell>
          <cell r="M48">
            <v>8914.59</v>
          </cell>
          <cell r="N48">
            <v>9046.48</v>
          </cell>
          <cell r="O48">
            <v>8733.2000000000007</v>
          </cell>
          <cell r="P48">
            <v>8737.8799999999992</v>
          </cell>
          <cell r="Q48">
            <v>8983.2099999999991</v>
          </cell>
          <cell r="R48">
            <v>8882.82</v>
          </cell>
          <cell r="S48">
            <v>8861.2800000000007</v>
          </cell>
          <cell r="T48">
            <v>8866.94</v>
          </cell>
          <cell r="U48">
            <v>8800.73</v>
          </cell>
          <cell r="V48">
            <v>8752.5300000000007</v>
          </cell>
          <cell r="W48">
            <v>8819.66</v>
          </cell>
          <cell r="X48">
            <v>8851.19</v>
          </cell>
          <cell r="Y48">
            <v>8854.75</v>
          </cell>
          <cell r="Z48">
            <v>9151.0499999999993</v>
          </cell>
          <cell r="AA48">
            <v>8894.44</v>
          </cell>
          <cell r="AB48">
            <v>8925.66</v>
          </cell>
          <cell r="AC48">
            <v>9328.84</v>
          </cell>
          <cell r="AD48">
            <v>8807.67</v>
          </cell>
          <cell r="AE48">
            <v>8931.94</v>
          </cell>
          <cell r="AF48">
            <v>9283.35</v>
          </cell>
          <cell r="AG48">
            <v>8803.6299999999992</v>
          </cell>
          <cell r="AH48">
            <v>8897.11</v>
          </cell>
          <cell r="AI48">
            <v>8716.69</v>
          </cell>
          <cell r="AJ48">
            <v>8922.5300000000007</v>
          </cell>
          <cell r="AK48">
            <v>8520.93</v>
          </cell>
          <cell r="AL48">
            <v>8908.1299999999992</v>
          </cell>
          <cell r="AM48">
            <v>9341.76</v>
          </cell>
          <cell r="AN48">
            <v>9020.82</v>
          </cell>
          <cell r="AO48">
            <v>9136.09</v>
          </cell>
          <cell r="AP48">
            <v>9113.09</v>
          </cell>
          <cell r="AQ48">
            <v>9211.58</v>
          </cell>
          <cell r="AR48">
            <v>8864</v>
          </cell>
          <cell r="AS48">
            <v>9387.32</v>
          </cell>
          <cell r="AT48">
            <v>9090.2999999999993</v>
          </cell>
          <cell r="AU48">
            <v>9135.81</v>
          </cell>
          <cell r="AV48">
            <v>9260.94</v>
          </cell>
          <cell r="AW48">
            <v>9011.4599999999991</v>
          </cell>
          <cell r="AX48">
            <v>8510.7199999999993</v>
          </cell>
          <cell r="AY48">
            <v>8835.1200000000008</v>
          </cell>
          <cell r="AZ48">
            <v>8381.8799999999992</v>
          </cell>
          <cell r="BA48">
            <v>7088.96</v>
          </cell>
        </row>
        <row r="49">
          <cell r="A49" t="str">
            <v>V2000H20B30</v>
          </cell>
          <cell r="B49">
            <v>2000</v>
          </cell>
          <cell r="C49">
            <v>2000</v>
          </cell>
          <cell r="D49">
            <v>3000</v>
          </cell>
          <cell r="E49">
            <v>23</v>
          </cell>
          <cell r="F49">
            <v>3</v>
          </cell>
          <cell r="G49">
            <v>2</v>
          </cell>
          <cell r="H49">
            <v>350</v>
          </cell>
          <cell r="I49">
            <v>50</v>
          </cell>
          <cell r="J49">
            <v>2011.8</v>
          </cell>
          <cell r="K49" t="str">
            <v>Q-11002898</v>
          </cell>
          <cell r="L49" t="str">
            <v>\\hokukon-net2\hop\Program\01_MVPシステム_容量別組立図\.\01_余裕高0_0m\pdf\FB0_2000m3-MVP-2000-組-B3000_Q-11002898.pdf</v>
          </cell>
          <cell r="M49">
            <v>6715.18</v>
          </cell>
          <cell r="N49">
            <v>6812.61</v>
          </cell>
          <cell r="O49">
            <v>6583.32</v>
          </cell>
          <cell r="P49">
            <v>6586.74</v>
          </cell>
          <cell r="Q49">
            <v>6765.72</v>
          </cell>
          <cell r="R49">
            <v>6692.29</v>
          </cell>
          <cell r="S49">
            <v>6676.44</v>
          </cell>
          <cell r="T49">
            <v>6680.59</v>
          </cell>
          <cell r="U49">
            <v>6633.71</v>
          </cell>
          <cell r="V49">
            <v>6598.49</v>
          </cell>
          <cell r="W49">
            <v>6646.89</v>
          </cell>
          <cell r="X49">
            <v>6670.58</v>
          </cell>
          <cell r="Y49">
            <v>6673.21</v>
          </cell>
          <cell r="Z49">
            <v>6889.75</v>
          </cell>
          <cell r="AA49">
            <v>6701.28</v>
          </cell>
          <cell r="AB49">
            <v>6724.57</v>
          </cell>
          <cell r="AC49">
            <v>7018.47</v>
          </cell>
          <cell r="AD49">
            <v>6635.25</v>
          </cell>
          <cell r="AE49">
            <v>6726.7</v>
          </cell>
          <cell r="AF49">
            <v>6983.75</v>
          </cell>
          <cell r="AG49">
            <v>6633.76</v>
          </cell>
          <cell r="AH49">
            <v>6702.8</v>
          </cell>
          <cell r="AI49">
            <v>6570.19</v>
          </cell>
          <cell r="AJ49">
            <v>6720.8</v>
          </cell>
          <cell r="AK49">
            <v>6427.41</v>
          </cell>
          <cell r="AL49">
            <v>6711.68</v>
          </cell>
          <cell r="AM49">
            <v>7028.97</v>
          </cell>
          <cell r="AN49">
            <v>6794.87</v>
          </cell>
          <cell r="AO49">
            <v>6879.11</v>
          </cell>
          <cell r="AP49">
            <v>6862.48</v>
          </cell>
          <cell r="AQ49">
            <v>6934.31</v>
          </cell>
          <cell r="AR49">
            <v>6678.15</v>
          </cell>
          <cell r="AS49">
            <v>7060.3</v>
          </cell>
          <cell r="AT49">
            <v>6843.53</v>
          </cell>
          <cell r="AU49">
            <v>6875.91</v>
          </cell>
          <cell r="AV49">
            <v>6968.16</v>
          </cell>
          <cell r="AW49">
            <v>6784.89</v>
          </cell>
          <cell r="AX49">
            <v>6417.6</v>
          </cell>
          <cell r="AY49">
            <v>6656.05</v>
          </cell>
          <cell r="AZ49">
            <v>6323.38</v>
          </cell>
          <cell r="BA49">
            <v>5291.29</v>
          </cell>
        </row>
        <row r="50">
          <cell r="A50" t="str">
            <v>V2000H20B25</v>
          </cell>
          <cell r="B50">
            <v>2000</v>
          </cell>
          <cell r="C50">
            <v>2000</v>
          </cell>
          <cell r="D50">
            <v>2500</v>
          </cell>
          <cell r="E50">
            <v>25</v>
          </cell>
          <cell r="F50">
            <v>3</v>
          </cell>
          <cell r="G50">
            <v>2</v>
          </cell>
          <cell r="H50">
            <v>350</v>
          </cell>
          <cell r="I50">
            <v>50</v>
          </cell>
          <cell r="J50">
            <v>2026.8</v>
          </cell>
          <cell r="K50" t="str">
            <v>Q-11002897</v>
          </cell>
          <cell r="L50" t="str">
            <v>\\hokukon-net2\hop\Program\01_MVPシステム_容量別組立図\.\01_余裕高0_0m\pdf\FB0_2000m3-MVP-2000-組-B2500_Q-11002897.pdf</v>
          </cell>
          <cell r="M50">
            <v>6891.37</v>
          </cell>
          <cell r="N50">
            <v>6989.77</v>
          </cell>
          <cell r="O50">
            <v>6758.63</v>
          </cell>
          <cell r="P50">
            <v>6762.09</v>
          </cell>
          <cell r="Q50">
            <v>6942.21</v>
          </cell>
          <cell r="R50">
            <v>6867.94</v>
          </cell>
          <cell r="S50">
            <v>6851.56</v>
          </cell>
          <cell r="T50">
            <v>6855.74</v>
          </cell>
          <cell r="U50">
            <v>6810.42</v>
          </cell>
          <cell r="V50">
            <v>6774.55</v>
          </cell>
          <cell r="W50">
            <v>6823.63</v>
          </cell>
          <cell r="X50">
            <v>6848.31</v>
          </cell>
          <cell r="Y50">
            <v>6851.08</v>
          </cell>
          <cell r="Z50">
            <v>7070.65</v>
          </cell>
          <cell r="AA50">
            <v>6880.44</v>
          </cell>
          <cell r="AB50">
            <v>6903.12</v>
          </cell>
          <cell r="AC50">
            <v>7199.33</v>
          </cell>
          <cell r="AD50">
            <v>6811.34</v>
          </cell>
          <cell r="AE50">
            <v>6904.42</v>
          </cell>
          <cell r="AF50">
            <v>7164.69</v>
          </cell>
          <cell r="AG50">
            <v>6811.38</v>
          </cell>
          <cell r="AH50">
            <v>6881.19</v>
          </cell>
          <cell r="AI50">
            <v>6747.53</v>
          </cell>
          <cell r="AJ50">
            <v>6899</v>
          </cell>
          <cell r="AK50">
            <v>6602.09</v>
          </cell>
          <cell r="AL50">
            <v>6888.95</v>
          </cell>
          <cell r="AM50">
            <v>7209.91</v>
          </cell>
          <cell r="AN50">
            <v>6973.4</v>
          </cell>
          <cell r="AO50">
            <v>7057.96</v>
          </cell>
          <cell r="AP50">
            <v>7041.52</v>
          </cell>
          <cell r="AQ50">
            <v>7114.29</v>
          </cell>
          <cell r="AR50">
            <v>6853.88</v>
          </cell>
          <cell r="AS50">
            <v>7240.37</v>
          </cell>
          <cell r="AT50">
            <v>7022.18</v>
          </cell>
          <cell r="AU50">
            <v>7055.1</v>
          </cell>
          <cell r="AV50">
            <v>7147.52</v>
          </cell>
          <cell r="AW50">
            <v>6962.41</v>
          </cell>
          <cell r="AX50">
            <v>6591.81</v>
          </cell>
          <cell r="AY50">
            <v>6831.95</v>
          </cell>
          <cell r="AZ50">
            <v>6496.13</v>
          </cell>
          <cell r="BA50">
            <v>5458.68</v>
          </cell>
        </row>
        <row r="51">
          <cell r="A51" t="str">
            <v>V2000H20B20</v>
          </cell>
          <cell r="B51">
            <v>2000</v>
          </cell>
          <cell r="C51">
            <v>2000</v>
          </cell>
          <cell r="D51">
            <v>2000</v>
          </cell>
          <cell r="E51">
            <v>27</v>
          </cell>
          <cell r="F51">
            <v>3</v>
          </cell>
          <cell r="G51">
            <v>2</v>
          </cell>
          <cell r="H51">
            <v>350</v>
          </cell>
          <cell r="I51">
            <v>50</v>
          </cell>
          <cell r="J51">
            <v>2017.9</v>
          </cell>
          <cell r="K51" t="str">
            <v>Q-11002896</v>
          </cell>
          <cell r="L51" t="str">
            <v>\\hokukon-net2\hop\Program\01_MVPシステム_容量別組立図\.\01_余裕高0_0m\pdf\FB0_2000m3-MVP-2000-組-B2000_Q-11002896.pdf</v>
          </cell>
          <cell r="M51">
            <v>7020.22</v>
          </cell>
          <cell r="N51">
            <v>7118.6</v>
          </cell>
          <cell r="O51">
            <v>6888.17</v>
          </cell>
          <cell r="P51">
            <v>6891.64</v>
          </cell>
          <cell r="Q51">
            <v>7070.76</v>
          </cell>
          <cell r="R51">
            <v>6996.45</v>
          </cell>
          <cell r="S51">
            <v>6979.58</v>
          </cell>
          <cell r="T51">
            <v>6983.76</v>
          </cell>
          <cell r="U51">
            <v>6941.09</v>
          </cell>
          <cell r="V51">
            <v>6904.84</v>
          </cell>
          <cell r="W51">
            <v>6954.14</v>
          </cell>
          <cell r="X51">
            <v>6979.73</v>
          </cell>
          <cell r="Y51">
            <v>6982.63</v>
          </cell>
          <cell r="Z51">
            <v>7203.07</v>
          </cell>
          <cell r="AA51">
            <v>7013.19</v>
          </cell>
          <cell r="AB51">
            <v>7034.85</v>
          </cell>
          <cell r="AC51">
            <v>7329.94</v>
          </cell>
          <cell r="AD51">
            <v>6941.02</v>
          </cell>
          <cell r="AE51">
            <v>7034.94</v>
          </cell>
          <cell r="AF51">
            <v>7295.84</v>
          </cell>
          <cell r="AG51">
            <v>6943.07</v>
          </cell>
          <cell r="AH51">
            <v>7012.93</v>
          </cell>
          <cell r="AI51">
            <v>6879.75</v>
          </cell>
          <cell r="AJ51">
            <v>7030.25</v>
          </cell>
          <cell r="AK51">
            <v>6732.89</v>
          </cell>
          <cell r="AL51">
            <v>7019.24</v>
          </cell>
          <cell r="AM51">
            <v>7340.54</v>
          </cell>
          <cell r="AN51">
            <v>7104.19</v>
          </cell>
          <cell r="AO51">
            <v>7188.02</v>
          </cell>
          <cell r="AP51">
            <v>7172.04</v>
          </cell>
          <cell r="AQ51">
            <v>7245.05</v>
          </cell>
          <cell r="AR51">
            <v>6982.65</v>
          </cell>
          <cell r="AS51">
            <v>7369.43</v>
          </cell>
          <cell r="AT51">
            <v>7152.37</v>
          </cell>
          <cell r="AU51">
            <v>7185.48</v>
          </cell>
          <cell r="AV51">
            <v>7276.93</v>
          </cell>
          <cell r="AW51">
            <v>7091.92</v>
          </cell>
          <cell r="AX51">
            <v>6722.03</v>
          </cell>
          <cell r="AY51">
            <v>6961.14</v>
          </cell>
          <cell r="AZ51">
            <v>6625.81</v>
          </cell>
          <cell r="BA51">
            <v>5588.49</v>
          </cell>
        </row>
        <row r="52">
          <cell r="A52" t="str">
            <v>V2000H25B30</v>
          </cell>
          <cell r="B52">
            <v>2000</v>
          </cell>
          <cell r="C52">
            <v>2500</v>
          </cell>
          <cell r="D52">
            <v>3000</v>
          </cell>
          <cell r="E52">
            <v>24</v>
          </cell>
          <cell r="F52">
            <v>4</v>
          </cell>
          <cell r="G52">
            <v>1</v>
          </cell>
          <cell r="H52">
            <v>300</v>
          </cell>
          <cell r="I52">
            <v>50</v>
          </cell>
          <cell r="J52">
            <v>2073.6</v>
          </cell>
          <cell r="K52" t="str">
            <v>Q-11002901</v>
          </cell>
          <cell r="L52" t="str">
            <v>\\hokukon-net2\hop\Program\01_MVPシステム_容量別組立図\.\01_余裕高0_0m\pdf\FB0_2000m3-MVP-2500-組-B3000_Q-11002901.pdf</v>
          </cell>
          <cell r="M52">
            <v>6874.56</v>
          </cell>
          <cell r="N52">
            <v>6950.54</v>
          </cell>
          <cell r="O52">
            <v>6778.54</v>
          </cell>
          <cell r="P52">
            <v>6781.23</v>
          </cell>
          <cell r="Q52">
            <v>6913.99</v>
          </cell>
          <cell r="R52">
            <v>6857.41</v>
          </cell>
          <cell r="S52">
            <v>6841.88</v>
          </cell>
          <cell r="T52">
            <v>6845.12</v>
          </cell>
          <cell r="U52">
            <v>6832.88</v>
          </cell>
          <cell r="V52">
            <v>6802.58</v>
          </cell>
          <cell r="W52">
            <v>6841.5</v>
          </cell>
          <cell r="X52">
            <v>6869.45</v>
          </cell>
          <cell r="Y52">
            <v>6873.83</v>
          </cell>
          <cell r="Z52">
            <v>7048.52</v>
          </cell>
          <cell r="AA52">
            <v>6902.02</v>
          </cell>
          <cell r="AB52">
            <v>6912.06</v>
          </cell>
          <cell r="AC52">
            <v>7128.59</v>
          </cell>
          <cell r="AD52">
            <v>6819.65</v>
          </cell>
          <cell r="AE52">
            <v>6895.53</v>
          </cell>
          <cell r="AF52">
            <v>7100.45</v>
          </cell>
          <cell r="AG52">
            <v>6838.24</v>
          </cell>
          <cell r="AH52">
            <v>6894.58</v>
          </cell>
          <cell r="AI52">
            <v>6792.75</v>
          </cell>
          <cell r="AJ52">
            <v>6903.41</v>
          </cell>
          <cell r="AK52">
            <v>6672.4</v>
          </cell>
          <cell r="AL52">
            <v>6888.48</v>
          </cell>
          <cell r="AM52">
            <v>7136.41</v>
          </cell>
          <cell r="AN52">
            <v>6956.83</v>
          </cell>
          <cell r="AO52">
            <v>7016.05</v>
          </cell>
          <cell r="AP52">
            <v>7008.76</v>
          </cell>
          <cell r="AQ52">
            <v>7064.11</v>
          </cell>
          <cell r="AR52">
            <v>6850.32</v>
          </cell>
          <cell r="AS52">
            <v>7147.23</v>
          </cell>
          <cell r="AT52">
            <v>6986.38</v>
          </cell>
          <cell r="AU52">
            <v>7011.81</v>
          </cell>
          <cell r="AV52">
            <v>7078.95</v>
          </cell>
          <cell r="AW52">
            <v>6932.88</v>
          </cell>
          <cell r="AX52">
            <v>6655.68</v>
          </cell>
          <cell r="AY52">
            <v>6832.75</v>
          </cell>
          <cell r="AZ52">
            <v>6577.08</v>
          </cell>
          <cell r="BA52">
            <v>5437.93</v>
          </cell>
        </row>
        <row r="53">
          <cell r="A53" t="str">
            <v>V2000H25B25</v>
          </cell>
          <cell r="B53">
            <v>2000</v>
          </cell>
          <cell r="C53">
            <v>2500</v>
          </cell>
          <cell r="D53">
            <v>2500</v>
          </cell>
          <cell r="E53">
            <v>26</v>
          </cell>
          <cell r="F53">
            <v>4</v>
          </cell>
          <cell r="G53">
            <v>1</v>
          </cell>
          <cell r="H53">
            <v>300</v>
          </cell>
          <cell r="I53">
            <v>50</v>
          </cell>
          <cell r="J53">
            <v>2041.8</v>
          </cell>
          <cell r="K53" t="str">
            <v>Q-11002900</v>
          </cell>
          <cell r="L53" t="str">
            <v>\\hokukon-net2\hop\Program\01_MVPシステム_容量別組立図\.\01_余裕高0_0m\pdf\FB0_2000m3-MVP-2500-組-B2500_Q-11002900.pdf</v>
          </cell>
          <cell r="M53">
            <v>7009.04</v>
          </cell>
          <cell r="N53">
            <v>7084.19</v>
          </cell>
          <cell r="O53">
            <v>6914.91</v>
          </cell>
          <cell r="P53">
            <v>6917.58</v>
          </cell>
          <cell r="Q53">
            <v>7047.74</v>
          </cell>
          <cell r="R53">
            <v>6991.69</v>
          </cell>
          <cell r="S53">
            <v>6975.7</v>
          </cell>
          <cell r="T53">
            <v>6978.9</v>
          </cell>
          <cell r="U53">
            <v>6970.13</v>
          </cell>
          <cell r="V53">
            <v>6939.68</v>
          </cell>
          <cell r="W53">
            <v>6978.5</v>
          </cell>
          <cell r="X53">
            <v>7007.34</v>
          </cell>
          <cell r="Y53">
            <v>7011.81</v>
          </cell>
          <cell r="Z53">
            <v>7185.83</v>
          </cell>
          <cell r="AA53">
            <v>7041.23</v>
          </cell>
          <cell r="AB53">
            <v>7049.91</v>
          </cell>
          <cell r="AC53">
            <v>7262.77</v>
          </cell>
          <cell r="AD53">
            <v>6955.76</v>
          </cell>
          <cell r="AE53">
            <v>7031.94</v>
          </cell>
          <cell r="AF53">
            <v>7235.56</v>
          </cell>
          <cell r="AG53">
            <v>6976.75</v>
          </cell>
          <cell r="AH53">
            <v>7032.63</v>
          </cell>
          <cell r="AI53">
            <v>6932.39</v>
          </cell>
          <cell r="AJ53">
            <v>7040.75</v>
          </cell>
          <cell r="AK53">
            <v>6811.42</v>
          </cell>
          <cell r="AL53">
            <v>7024.7</v>
          </cell>
          <cell r="AM53">
            <v>7270.51</v>
          </cell>
          <cell r="AN53">
            <v>7092.91</v>
          </cell>
          <cell r="AO53">
            <v>7150.64</v>
          </cell>
          <cell r="AP53">
            <v>7144.1</v>
          </cell>
          <cell r="AQ53">
            <v>7199.11</v>
          </cell>
          <cell r="AR53">
            <v>6984.94</v>
          </cell>
          <cell r="AS53">
            <v>7279.24</v>
          </cell>
          <cell r="AT53">
            <v>7121.48</v>
          </cell>
          <cell r="AU53">
            <v>7146.85</v>
          </cell>
          <cell r="AV53">
            <v>7212.12</v>
          </cell>
          <cell r="AW53">
            <v>7067.63</v>
          </cell>
          <cell r="AX53">
            <v>6794.24</v>
          </cell>
          <cell r="AY53">
            <v>6968.16</v>
          </cell>
          <cell r="AZ53">
            <v>6715.66</v>
          </cell>
          <cell r="BA53">
            <v>5571.24</v>
          </cell>
        </row>
        <row r="54">
          <cell r="A54" t="str">
            <v>V2000H25B20</v>
          </cell>
          <cell r="B54">
            <v>2000</v>
          </cell>
          <cell r="C54">
            <v>2500</v>
          </cell>
          <cell r="D54">
            <v>2000</v>
          </cell>
          <cell r="E54">
            <v>29</v>
          </cell>
          <cell r="F54">
            <v>4</v>
          </cell>
          <cell r="G54">
            <v>2</v>
          </cell>
          <cell r="H54">
            <v>300</v>
          </cell>
          <cell r="I54">
            <v>50</v>
          </cell>
          <cell r="J54">
            <v>2049.1999999999998</v>
          </cell>
          <cell r="K54" t="str">
            <v>Q-11002899</v>
          </cell>
          <cell r="L54" t="str">
            <v>\\hokukon-net2\hop\Program\01_MVPシステム_容量別組立図\.\01_余裕高0_0m\pdf\FB0_2000m3-MVP-2500-組-B2000_Q-11002899.pdf</v>
          </cell>
          <cell r="M54">
            <v>7329.83</v>
          </cell>
          <cell r="N54">
            <v>7405.67</v>
          </cell>
          <cell r="O54">
            <v>7235.99</v>
          </cell>
          <cell r="P54">
            <v>7238.68</v>
          </cell>
          <cell r="Q54">
            <v>7368.28</v>
          </cell>
          <cell r="R54">
            <v>7311.69</v>
          </cell>
          <cell r="S54">
            <v>7294.67</v>
          </cell>
          <cell r="T54">
            <v>7297.92</v>
          </cell>
          <cell r="U54">
            <v>7293.22</v>
          </cell>
          <cell r="V54">
            <v>7261.91</v>
          </cell>
          <cell r="W54">
            <v>7301.5</v>
          </cell>
          <cell r="X54">
            <v>7332.07</v>
          </cell>
          <cell r="Y54">
            <v>7336.67</v>
          </cell>
          <cell r="Z54">
            <v>7513.7</v>
          </cell>
          <cell r="AA54">
            <v>7368.3</v>
          </cell>
          <cell r="AB54">
            <v>7375.54</v>
          </cell>
          <cell r="AC54">
            <v>7588.53</v>
          </cell>
          <cell r="AD54">
            <v>7277.08</v>
          </cell>
          <cell r="AE54">
            <v>7355.41</v>
          </cell>
          <cell r="AF54">
            <v>7561.9</v>
          </cell>
          <cell r="AG54">
            <v>7301.58</v>
          </cell>
          <cell r="AH54">
            <v>7358.04</v>
          </cell>
          <cell r="AI54">
            <v>7257.57</v>
          </cell>
          <cell r="AJ54">
            <v>7365.48</v>
          </cell>
          <cell r="AK54">
            <v>7133.15</v>
          </cell>
          <cell r="AL54">
            <v>7347.73</v>
          </cell>
          <cell r="AM54">
            <v>7596.46</v>
          </cell>
          <cell r="AN54">
            <v>7417.39</v>
          </cell>
          <cell r="AO54">
            <v>7474.55</v>
          </cell>
          <cell r="AP54">
            <v>7468.8</v>
          </cell>
          <cell r="AQ54">
            <v>7524.69</v>
          </cell>
          <cell r="AR54">
            <v>7305.08</v>
          </cell>
          <cell r="AS54">
            <v>7602.76</v>
          </cell>
          <cell r="AT54">
            <v>7445.26</v>
          </cell>
          <cell r="AU54">
            <v>7471.11</v>
          </cell>
          <cell r="AV54">
            <v>7535.51</v>
          </cell>
          <cell r="AW54">
            <v>7389.78</v>
          </cell>
          <cell r="AX54">
            <v>7114.92</v>
          </cell>
          <cell r="AY54">
            <v>7288.87</v>
          </cell>
          <cell r="AZ54">
            <v>7034.63</v>
          </cell>
          <cell r="BA54">
            <v>5857.01</v>
          </cell>
        </row>
        <row r="55">
          <cell r="A55" t="str">
            <v>V2000H30B30</v>
          </cell>
          <cell r="B55">
            <v>2000</v>
          </cell>
          <cell r="C55">
            <v>3000</v>
          </cell>
          <cell r="D55">
            <v>3000</v>
          </cell>
          <cell r="E55">
            <v>20</v>
          </cell>
          <cell r="F55">
            <v>4</v>
          </cell>
          <cell r="G55">
            <v>1</v>
          </cell>
          <cell r="H55">
            <v>300</v>
          </cell>
          <cell r="I55">
            <v>50</v>
          </cell>
          <cell r="J55">
            <v>2093</v>
          </cell>
          <cell r="K55" t="str">
            <v>Q-11002904</v>
          </cell>
          <cell r="L55" t="str">
            <v>\\hokukon-net2\hop\Program\01_MVPシステム_容量別組立図\.\01_余裕高0_0m\pdf\FB0_2000m3-MVP-3000-組-B3000_Q-11002904.pdf</v>
          </cell>
          <cell r="M55">
            <v>6231.59</v>
          </cell>
          <cell r="N55">
            <v>6296.37</v>
          </cell>
          <cell r="O55">
            <v>6152.99</v>
          </cell>
          <cell r="P55">
            <v>6155.27</v>
          </cell>
          <cell r="Q55">
            <v>6264.22</v>
          </cell>
          <cell r="R55">
            <v>6215.75</v>
          </cell>
          <cell r="S55">
            <v>6201.1</v>
          </cell>
          <cell r="T55">
            <v>6203.85</v>
          </cell>
          <cell r="U55">
            <v>6202.81</v>
          </cell>
          <cell r="V55">
            <v>6176.17</v>
          </cell>
          <cell r="W55">
            <v>6208.53</v>
          </cell>
          <cell r="X55">
            <v>6235.4</v>
          </cell>
          <cell r="Y55">
            <v>6240.07</v>
          </cell>
          <cell r="Z55">
            <v>6389.76</v>
          </cell>
          <cell r="AA55">
            <v>6266.73</v>
          </cell>
          <cell r="AB55">
            <v>6272.07</v>
          </cell>
          <cell r="AC55">
            <v>6450.71</v>
          </cell>
          <cell r="AD55">
            <v>6186.66</v>
          </cell>
          <cell r="AE55">
            <v>6253.67</v>
          </cell>
          <cell r="AF55">
            <v>6427.92</v>
          </cell>
          <cell r="AG55">
            <v>6209.11</v>
          </cell>
          <cell r="AH55">
            <v>6256.64</v>
          </cell>
          <cell r="AI55">
            <v>6172.33</v>
          </cell>
          <cell r="AJ55">
            <v>6262.2</v>
          </cell>
          <cell r="AK55">
            <v>6067.15</v>
          </cell>
          <cell r="AL55">
            <v>6247.98</v>
          </cell>
          <cell r="AM55">
            <v>6458.11</v>
          </cell>
          <cell r="AN55">
            <v>6308.13</v>
          </cell>
          <cell r="AO55">
            <v>6355.62</v>
          </cell>
          <cell r="AP55">
            <v>6350.29</v>
          </cell>
          <cell r="AQ55">
            <v>6397.73</v>
          </cell>
          <cell r="AR55">
            <v>6210.47</v>
          </cell>
          <cell r="AS55">
            <v>6460.7</v>
          </cell>
          <cell r="AT55">
            <v>6329.14</v>
          </cell>
          <cell r="AU55">
            <v>6350.84</v>
          </cell>
          <cell r="AV55">
            <v>6404.59</v>
          </cell>
          <cell r="AW55">
            <v>6281.63</v>
          </cell>
          <cell r="AX55">
            <v>6048.97</v>
          </cell>
          <cell r="AY55">
            <v>6196.23</v>
          </cell>
          <cell r="AZ55">
            <v>5981.92</v>
          </cell>
          <cell r="BA55">
            <v>4948.32</v>
          </cell>
        </row>
        <row r="56">
          <cell r="A56" t="str">
            <v>V2000H30B25</v>
          </cell>
          <cell r="B56">
            <v>2000</v>
          </cell>
          <cell r="C56">
            <v>3000</v>
          </cell>
          <cell r="D56">
            <v>2500</v>
          </cell>
          <cell r="E56">
            <v>22</v>
          </cell>
          <cell r="F56">
            <v>4</v>
          </cell>
          <cell r="G56">
            <v>1</v>
          </cell>
          <cell r="H56">
            <v>300</v>
          </cell>
          <cell r="I56">
            <v>50</v>
          </cell>
          <cell r="J56">
            <v>2091.8000000000002</v>
          </cell>
          <cell r="K56" t="str">
            <v>Q-11002903</v>
          </cell>
          <cell r="L56" t="str">
            <v>\\hokukon-net2\hop\Program\01_MVPシステム_容量別組立図\.\01_余裕高0_0m\pdf\FB0_2000m3-MVP-3000-組-B2500_Q-11002903.pdf</v>
          </cell>
          <cell r="M56">
            <v>6437.21</v>
          </cell>
          <cell r="N56">
            <v>6502.12</v>
          </cell>
          <cell r="O56">
            <v>6359.04</v>
          </cell>
          <cell r="P56">
            <v>6361.32</v>
          </cell>
          <cell r="Q56">
            <v>6469.69</v>
          </cell>
          <cell r="R56">
            <v>6421.05</v>
          </cell>
          <cell r="S56">
            <v>6405.9</v>
          </cell>
          <cell r="T56">
            <v>6408.64</v>
          </cell>
          <cell r="U56">
            <v>6410.08</v>
          </cell>
          <cell r="V56">
            <v>6383.02</v>
          </cell>
          <cell r="W56">
            <v>6415.75</v>
          </cell>
          <cell r="X56">
            <v>6443.59</v>
          </cell>
          <cell r="Y56">
            <v>6448.33</v>
          </cell>
          <cell r="Z56">
            <v>6599.37</v>
          </cell>
          <cell r="AA56">
            <v>6476.27</v>
          </cell>
          <cell r="AB56">
            <v>6480.66</v>
          </cell>
          <cell r="AC56">
            <v>6658.8</v>
          </cell>
          <cell r="AD56">
            <v>6393.03</v>
          </cell>
          <cell r="AE56">
            <v>6461.02</v>
          </cell>
          <cell r="AF56">
            <v>6636.45</v>
          </cell>
          <cell r="AG56">
            <v>6417.45</v>
          </cell>
          <cell r="AH56">
            <v>6465.24</v>
          </cell>
          <cell r="AI56">
            <v>6381.06</v>
          </cell>
          <cell r="AJ56">
            <v>6470.35</v>
          </cell>
          <cell r="AK56">
            <v>6274.14</v>
          </cell>
          <cell r="AL56">
            <v>6455.09</v>
          </cell>
          <cell r="AM56">
            <v>6666.18</v>
          </cell>
          <cell r="AN56">
            <v>6515.79</v>
          </cell>
          <cell r="AO56">
            <v>6562.75</v>
          </cell>
          <cell r="AP56">
            <v>6557.94</v>
          </cell>
          <cell r="AQ56">
            <v>6605.71</v>
          </cell>
          <cell r="AR56">
            <v>6415.95</v>
          </cell>
          <cell r="AS56">
            <v>6667.36</v>
          </cell>
          <cell r="AT56">
            <v>6536.43</v>
          </cell>
          <cell r="AU56">
            <v>6558.39</v>
          </cell>
          <cell r="AV56">
            <v>6611.4</v>
          </cell>
          <cell r="AW56">
            <v>6488.13</v>
          </cell>
          <cell r="AX56">
            <v>6255.51</v>
          </cell>
          <cell r="AY56">
            <v>6402.16</v>
          </cell>
          <cell r="AZ56">
            <v>6187.61</v>
          </cell>
          <cell r="BA56">
            <v>5133.4799999999996</v>
          </cell>
        </row>
        <row r="57">
          <cell r="A57" t="str">
            <v>V2000H30B20</v>
          </cell>
          <cell r="B57">
            <v>2000</v>
          </cell>
          <cell r="C57">
            <v>3000</v>
          </cell>
          <cell r="D57">
            <v>2000</v>
          </cell>
          <cell r="E57">
            <v>24</v>
          </cell>
          <cell r="F57">
            <v>4</v>
          </cell>
          <cell r="G57">
            <v>1</v>
          </cell>
          <cell r="H57">
            <v>300</v>
          </cell>
          <cell r="I57">
            <v>50</v>
          </cell>
          <cell r="J57">
            <v>2054.6</v>
          </cell>
          <cell r="K57" t="str">
            <v>Q-11002902</v>
          </cell>
          <cell r="L57" t="str">
            <v>\\hokukon-net2\hop\Program\01_MVPシステム_容量別組立図\.\01_余裕高0_0m\pdf\FB0_2000m3-MVP-3000-組-B2000_Q-11002902.pdf</v>
          </cell>
          <cell r="M57">
            <v>6596.55</v>
          </cell>
          <cell r="N57">
            <v>6660.66</v>
          </cell>
          <cell r="O57">
            <v>6520.36</v>
          </cell>
          <cell r="P57">
            <v>6522.6</v>
          </cell>
          <cell r="Q57">
            <v>6628.25</v>
          </cell>
          <cell r="R57">
            <v>6580.09</v>
          </cell>
          <cell r="S57">
            <v>6564.4</v>
          </cell>
          <cell r="T57">
            <v>6567.11</v>
          </cell>
          <cell r="U57">
            <v>6572.42</v>
          </cell>
          <cell r="V57">
            <v>6545.16</v>
          </cell>
          <cell r="W57">
            <v>6577.79</v>
          </cell>
          <cell r="X57">
            <v>6606.66</v>
          </cell>
          <cell r="Y57">
            <v>6611.55</v>
          </cell>
          <cell r="Z57">
            <v>6762.07</v>
          </cell>
          <cell r="AA57">
            <v>6640.89</v>
          </cell>
          <cell r="AB57">
            <v>6643.73</v>
          </cell>
          <cell r="AC57">
            <v>6818.08</v>
          </cell>
          <cell r="AD57">
            <v>6554.12</v>
          </cell>
          <cell r="AE57">
            <v>6622.54</v>
          </cell>
          <cell r="AF57">
            <v>6796.79</v>
          </cell>
          <cell r="AG57">
            <v>6581.23</v>
          </cell>
          <cell r="AH57">
            <v>6628.53</v>
          </cell>
          <cell r="AI57">
            <v>6546.03</v>
          </cell>
          <cell r="AJ57">
            <v>6632.82</v>
          </cell>
          <cell r="AK57">
            <v>6438.31</v>
          </cell>
          <cell r="AL57">
            <v>6616.34</v>
          </cell>
          <cell r="AM57">
            <v>6825.39</v>
          </cell>
          <cell r="AN57">
            <v>6677.04</v>
          </cell>
          <cell r="AO57">
            <v>6722.37</v>
          </cell>
          <cell r="AP57">
            <v>6718.32</v>
          </cell>
          <cell r="AQ57">
            <v>6765.83</v>
          </cell>
          <cell r="AR57">
            <v>6575.39</v>
          </cell>
          <cell r="AS57">
            <v>6824.21</v>
          </cell>
          <cell r="AT57">
            <v>6696.57</v>
          </cell>
          <cell r="AU57">
            <v>6718.5</v>
          </cell>
          <cell r="AV57">
            <v>6769.46</v>
          </cell>
          <cell r="AW57">
            <v>6647.83</v>
          </cell>
          <cell r="AX57">
            <v>6419.05</v>
          </cell>
          <cell r="AY57">
            <v>6562.44</v>
          </cell>
          <cell r="AZ57">
            <v>6351.2</v>
          </cell>
          <cell r="BA57">
            <v>5285.73</v>
          </cell>
        </row>
        <row r="58">
          <cell r="A58" t="str">
            <v>V2000H35B30</v>
          </cell>
          <cell r="B58">
            <v>2000</v>
          </cell>
          <cell r="C58">
            <v>3500</v>
          </cell>
          <cell r="D58">
            <v>3000</v>
          </cell>
          <cell r="E58">
            <v>22</v>
          </cell>
          <cell r="F58">
            <v>3</v>
          </cell>
          <cell r="G58">
            <v>1</v>
          </cell>
          <cell r="H58">
            <v>300</v>
          </cell>
          <cell r="I58">
            <v>50</v>
          </cell>
          <cell r="J58">
            <v>2073.4</v>
          </cell>
          <cell r="K58" t="str">
            <v>Q-11002907</v>
          </cell>
          <cell r="L58" t="str">
            <v>\\hokukon-net2\hop\Program\01_MVPシステム_容量別組立図\.\01_余裕高0_0m\pdf\FB0_2000m3-MVP-3500-組-B3000_Q-11002907.pdf</v>
          </cell>
          <cell r="M58">
            <v>5636.58</v>
          </cell>
          <cell r="N58">
            <v>5692.11</v>
          </cell>
          <cell r="O58">
            <v>5570.17</v>
          </cell>
          <cell r="P58">
            <v>5572.11</v>
          </cell>
          <cell r="Q58">
            <v>5664.28</v>
          </cell>
          <cell r="R58">
            <v>5622.97</v>
          </cell>
          <cell r="S58">
            <v>5610.15</v>
          </cell>
          <cell r="T58">
            <v>5612.5</v>
          </cell>
          <cell r="U58">
            <v>5613.53</v>
          </cell>
          <cell r="V58">
            <v>5590.54</v>
          </cell>
          <cell r="W58">
            <v>5618.22</v>
          </cell>
          <cell r="X58">
            <v>5641.78</v>
          </cell>
          <cell r="Y58">
            <v>5645.79</v>
          </cell>
          <cell r="Z58">
            <v>5774.07</v>
          </cell>
          <cell r="AA58">
            <v>5669.13</v>
          </cell>
          <cell r="AB58">
            <v>5673.13</v>
          </cell>
          <cell r="AC58">
            <v>5824.64</v>
          </cell>
          <cell r="AD58">
            <v>5598.42</v>
          </cell>
          <cell r="AE58">
            <v>5656.16</v>
          </cell>
          <cell r="AF58">
            <v>5805.2</v>
          </cell>
          <cell r="AG58">
            <v>5619.01</v>
          </cell>
          <cell r="AH58">
            <v>5659.83</v>
          </cell>
          <cell r="AI58">
            <v>5588.01</v>
          </cell>
          <cell r="AJ58">
            <v>5664.07</v>
          </cell>
          <cell r="AK58">
            <v>5497.53</v>
          </cell>
          <cell r="AL58">
            <v>5651.71</v>
          </cell>
          <cell r="AM58">
            <v>5831.17</v>
          </cell>
          <cell r="AN58">
            <v>5703.55</v>
          </cell>
          <cell r="AO58">
            <v>5743.51</v>
          </cell>
          <cell r="AP58">
            <v>5739.37</v>
          </cell>
          <cell r="AQ58">
            <v>5779.97</v>
          </cell>
          <cell r="AR58">
            <v>5618.57</v>
          </cell>
          <cell r="AS58">
            <v>5832.11</v>
          </cell>
          <cell r="AT58">
            <v>5720.56</v>
          </cell>
          <cell r="AU58">
            <v>5739.12</v>
          </cell>
          <cell r="AV58">
            <v>5784.53</v>
          </cell>
          <cell r="AW58">
            <v>5679.49</v>
          </cell>
          <cell r="AX58">
            <v>5481.17</v>
          </cell>
          <cell r="AY58">
            <v>5606.38</v>
          </cell>
          <cell r="AZ58">
            <v>5423.71</v>
          </cell>
          <cell r="BA58">
            <v>4474.03</v>
          </cell>
        </row>
        <row r="59">
          <cell r="A59" t="str">
            <v>V2000H35B25</v>
          </cell>
          <cell r="B59">
            <v>2000</v>
          </cell>
          <cell r="C59">
            <v>3500</v>
          </cell>
          <cell r="D59">
            <v>2500</v>
          </cell>
          <cell r="E59">
            <v>24</v>
          </cell>
          <cell r="F59">
            <v>3</v>
          </cell>
          <cell r="G59">
            <v>1</v>
          </cell>
          <cell r="H59">
            <v>300</v>
          </cell>
          <cell r="I59">
            <v>50</v>
          </cell>
          <cell r="J59">
            <v>2062.3000000000002</v>
          </cell>
          <cell r="K59" t="str">
            <v>Q-11002906</v>
          </cell>
          <cell r="L59" t="str">
            <v>\\hokukon-net2\hop\Program\01_MVPシステム_容量別組立図\.\01_余裕高0_0m\pdf\FB0_2000m3-MVP-3500-組-B2500_Q-11002906.pdf</v>
          </cell>
          <cell r="M59">
            <v>5814.68</v>
          </cell>
          <cell r="N59">
            <v>5870.15</v>
          </cell>
          <cell r="O59">
            <v>5748.99</v>
          </cell>
          <cell r="P59">
            <v>5750.93</v>
          </cell>
          <cell r="Q59">
            <v>5842.08</v>
          </cell>
          <cell r="R59">
            <v>5800.74</v>
          </cell>
          <cell r="S59">
            <v>5787.42</v>
          </cell>
          <cell r="T59">
            <v>5789.76</v>
          </cell>
          <cell r="U59">
            <v>5793.47</v>
          </cell>
          <cell r="V59">
            <v>5770.15</v>
          </cell>
          <cell r="W59">
            <v>5798</v>
          </cell>
          <cell r="X59">
            <v>5822.51</v>
          </cell>
          <cell r="Y59">
            <v>5826.66</v>
          </cell>
          <cell r="Z59">
            <v>5955.78</v>
          </cell>
          <cell r="AA59">
            <v>5851.18</v>
          </cell>
          <cell r="AB59">
            <v>5854.13</v>
          </cell>
          <cell r="AC59">
            <v>6004.47</v>
          </cell>
          <cell r="AD59">
            <v>5777.41</v>
          </cell>
          <cell r="AE59">
            <v>5835.95</v>
          </cell>
          <cell r="AF59">
            <v>5985.58</v>
          </cell>
          <cell r="AG59">
            <v>5799.99</v>
          </cell>
          <cell r="AH59">
            <v>5840.87</v>
          </cell>
          <cell r="AI59">
            <v>5769.54</v>
          </cell>
          <cell r="AJ59">
            <v>5844.59</v>
          </cell>
          <cell r="AK59">
            <v>5677.68</v>
          </cell>
          <cell r="AL59">
            <v>5831.27</v>
          </cell>
          <cell r="AM59">
            <v>6011</v>
          </cell>
          <cell r="AN59">
            <v>5883.58</v>
          </cell>
          <cell r="AO59">
            <v>5922.81</v>
          </cell>
          <cell r="AP59">
            <v>5919.14</v>
          </cell>
          <cell r="AQ59">
            <v>5959.94</v>
          </cell>
          <cell r="AR59">
            <v>5796.57</v>
          </cell>
          <cell r="AS59">
            <v>6010.35</v>
          </cell>
          <cell r="AT59">
            <v>5900.01</v>
          </cell>
          <cell r="AU59">
            <v>5918.73</v>
          </cell>
          <cell r="AV59">
            <v>5963.14</v>
          </cell>
          <cell r="AW59">
            <v>5858.25</v>
          </cell>
          <cell r="AX59">
            <v>5660.72</v>
          </cell>
          <cell r="AY59">
            <v>5784.86</v>
          </cell>
          <cell r="AZ59">
            <v>5602.73</v>
          </cell>
          <cell r="BA59">
            <v>4634.72</v>
          </cell>
        </row>
        <row r="60">
          <cell r="A60" t="str">
            <v>V2000H35B20</v>
          </cell>
          <cell r="B60">
            <v>2000</v>
          </cell>
          <cell r="C60">
            <v>3500</v>
          </cell>
          <cell r="D60">
            <v>2000</v>
          </cell>
          <cell r="E60">
            <v>20</v>
          </cell>
          <cell r="F60">
            <v>4</v>
          </cell>
          <cell r="G60">
            <v>1</v>
          </cell>
          <cell r="H60">
            <v>300</v>
          </cell>
          <cell r="I60">
            <v>50</v>
          </cell>
          <cell r="J60">
            <v>2015</v>
          </cell>
          <cell r="K60" t="str">
            <v>Q-11002905</v>
          </cell>
          <cell r="L60" t="str">
            <v>\\hokukon-net2\hop\Program\01_MVPシステム_容量別組立図\.\01_余裕高0_0m\pdf\FB0_2000m3-MVP-3500-組-B2000_Q-11002905.pdf</v>
          </cell>
          <cell r="M60">
            <v>5949.83</v>
          </cell>
          <cell r="N60">
            <v>6004.69</v>
          </cell>
          <cell r="O60">
            <v>5887.51</v>
          </cell>
          <cell r="P60">
            <v>5889.4</v>
          </cell>
          <cell r="Q60">
            <v>5976.48</v>
          </cell>
          <cell r="R60">
            <v>5935.78</v>
          </cell>
          <cell r="S60">
            <v>5921.63</v>
          </cell>
          <cell r="T60">
            <v>5923.92</v>
          </cell>
          <cell r="U60">
            <v>5934.1</v>
          </cell>
          <cell r="V60">
            <v>5910.56</v>
          </cell>
          <cell r="W60">
            <v>5937.75</v>
          </cell>
          <cell r="X60">
            <v>5964.11</v>
          </cell>
          <cell r="Y60">
            <v>5968.5</v>
          </cell>
          <cell r="Z60">
            <v>6096.75</v>
          </cell>
          <cell r="AA60">
            <v>5994.62</v>
          </cell>
          <cell r="AB60">
            <v>5995.51</v>
          </cell>
          <cell r="AC60">
            <v>6139.73</v>
          </cell>
          <cell r="AD60">
            <v>5914.15</v>
          </cell>
          <cell r="AE60">
            <v>5973.58</v>
          </cell>
          <cell r="AF60">
            <v>6121.52</v>
          </cell>
          <cell r="AG60">
            <v>5941.43</v>
          </cell>
          <cell r="AH60">
            <v>5982.15</v>
          </cell>
          <cell r="AI60">
            <v>5912.72</v>
          </cell>
          <cell r="AJ60">
            <v>5984.28</v>
          </cell>
          <cell r="AK60">
            <v>5819.93</v>
          </cell>
          <cell r="AL60">
            <v>5969.93</v>
          </cell>
          <cell r="AM60">
            <v>6146.62</v>
          </cell>
          <cell r="AN60">
            <v>6022.52</v>
          </cell>
          <cell r="AO60">
            <v>6059.32</v>
          </cell>
          <cell r="AP60">
            <v>6056.95</v>
          </cell>
          <cell r="AQ60">
            <v>6097.18</v>
          </cell>
          <cell r="AR60">
            <v>5931.86</v>
          </cell>
          <cell r="AS60">
            <v>6141.55</v>
          </cell>
          <cell r="AT60">
            <v>6036.19</v>
          </cell>
          <cell r="AU60">
            <v>6054.41</v>
          </cell>
          <cell r="AV60">
            <v>6096.35</v>
          </cell>
          <cell r="AW60">
            <v>5993.37</v>
          </cell>
          <cell r="AX60">
            <v>5800.9</v>
          </cell>
          <cell r="AY60">
            <v>5920.95</v>
          </cell>
          <cell r="AZ60">
            <v>5742.95</v>
          </cell>
          <cell r="BA60">
            <v>4769.8900000000003</v>
          </cell>
        </row>
        <row r="61">
          <cell r="A61" t="str">
            <v>V2000H40B30</v>
          </cell>
          <cell r="B61">
            <v>2000</v>
          </cell>
          <cell r="C61">
            <v>4000</v>
          </cell>
          <cell r="D61">
            <v>3000</v>
          </cell>
          <cell r="E61">
            <v>19</v>
          </cell>
          <cell r="F61">
            <v>3</v>
          </cell>
          <cell r="G61">
            <v>1</v>
          </cell>
          <cell r="H61">
            <v>350</v>
          </cell>
          <cell r="I61">
            <v>70</v>
          </cell>
          <cell r="J61">
            <v>2075.6</v>
          </cell>
          <cell r="K61" t="str">
            <v>Q-11002910</v>
          </cell>
          <cell r="L61" t="str">
            <v>\\hokukon-net2\hop\Program\01_MVPシステム_容量別組立図\.\01_余裕高0_0m\pdf\FB0_2000m3-MVP-4000-組-B3000_Q-11002910.pdf</v>
          </cell>
          <cell r="M61">
            <v>5951.72</v>
          </cell>
          <cell r="N61">
            <v>6006.92</v>
          </cell>
          <cell r="O61">
            <v>5889.09</v>
          </cell>
          <cell r="P61">
            <v>5890.93</v>
          </cell>
          <cell r="Q61">
            <v>5978.96</v>
          </cell>
          <cell r="R61">
            <v>5938.96</v>
          </cell>
          <cell r="S61">
            <v>5925.96</v>
          </cell>
          <cell r="T61">
            <v>5928.18</v>
          </cell>
          <cell r="U61">
            <v>5928.11</v>
          </cell>
          <cell r="V61">
            <v>5906.63</v>
          </cell>
          <cell r="W61">
            <v>5932.91</v>
          </cell>
          <cell r="X61">
            <v>5954.84</v>
          </cell>
          <cell r="Y61">
            <v>5957.65</v>
          </cell>
          <cell r="Z61">
            <v>6081.5</v>
          </cell>
          <cell r="AA61">
            <v>5980.36</v>
          </cell>
          <cell r="AB61">
            <v>5985.2</v>
          </cell>
          <cell r="AC61">
            <v>6130.19</v>
          </cell>
          <cell r="AD61">
            <v>5907.46</v>
          </cell>
          <cell r="AE61">
            <v>5964.86</v>
          </cell>
          <cell r="AF61">
            <v>6107.89</v>
          </cell>
          <cell r="AG61">
            <v>5925.22</v>
          </cell>
          <cell r="AH61">
            <v>5965.59</v>
          </cell>
          <cell r="AI61">
            <v>5896.39</v>
          </cell>
          <cell r="AJ61">
            <v>5968.38</v>
          </cell>
          <cell r="AK61">
            <v>5820.54</v>
          </cell>
          <cell r="AL61">
            <v>5970.71</v>
          </cell>
          <cell r="AM61">
            <v>6142.91</v>
          </cell>
          <cell r="AN61">
            <v>6020.49</v>
          </cell>
          <cell r="AO61">
            <v>6059.31</v>
          </cell>
          <cell r="AP61">
            <v>6055.32</v>
          </cell>
          <cell r="AQ61">
            <v>6095.25</v>
          </cell>
          <cell r="AR61">
            <v>5926.78</v>
          </cell>
          <cell r="AS61">
            <v>6132.34</v>
          </cell>
          <cell r="AT61">
            <v>6026.84</v>
          </cell>
          <cell r="AU61">
            <v>6044.23</v>
          </cell>
          <cell r="AV61">
            <v>6086.77</v>
          </cell>
          <cell r="AW61">
            <v>5984.29</v>
          </cell>
          <cell r="AX61">
            <v>5791.62</v>
          </cell>
          <cell r="AY61">
            <v>5912.82</v>
          </cell>
          <cell r="AZ61">
            <v>5735.85</v>
          </cell>
          <cell r="BA61">
            <v>4728.2299999999996</v>
          </cell>
        </row>
        <row r="62">
          <cell r="A62" t="str">
            <v>V2000H40B25</v>
          </cell>
          <cell r="B62">
            <v>2000</v>
          </cell>
          <cell r="C62">
            <v>4000</v>
          </cell>
          <cell r="D62">
            <v>2500</v>
          </cell>
          <cell r="E62">
            <v>16</v>
          </cell>
          <cell r="F62">
            <v>4</v>
          </cell>
          <cell r="G62">
            <v>1</v>
          </cell>
          <cell r="H62">
            <v>350</v>
          </cell>
          <cell r="I62">
            <v>70</v>
          </cell>
          <cell r="J62">
            <v>2078.6999999999998</v>
          </cell>
          <cell r="K62" t="str">
            <v>Q-11002909</v>
          </cell>
          <cell r="L62" t="str">
            <v>\\hokukon-net2\hop\Program\01_MVPシステム_容量別組立図\.\01_余裕高0_0m\pdf\FB0_2000m3-MVP-4000-組-B2500_Q-11002909.pdf</v>
          </cell>
          <cell r="M62">
            <v>6230.87</v>
          </cell>
          <cell r="N62">
            <v>6287.1</v>
          </cell>
          <cell r="O62">
            <v>6169.98</v>
          </cell>
          <cell r="P62">
            <v>6171.83</v>
          </cell>
          <cell r="Q62">
            <v>6258.14</v>
          </cell>
          <cell r="R62">
            <v>6217.7</v>
          </cell>
          <cell r="S62">
            <v>6203.64</v>
          </cell>
          <cell r="T62">
            <v>6205.88</v>
          </cell>
          <cell r="U62">
            <v>6211.9</v>
          </cell>
          <cell r="V62">
            <v>6189.61</v>
          </cell>
          <cell r="W62">
            <v>6215.77</v>
          </cell>
          <cell r="X62">
            <v>6240.09</v>
          </cell>
          <cell r="Y62">
            <v>6243.28</v>
          </cell>
          <cell r="Z62">
            <v>6369.31</v>
          </cell>
          <cell r="AA62">
            <v>6268.01</v>
          </cell>
          <cell r="AB62">
            <v>6270.93</v>
          </cell>
          <cell r="AC62">
            <v>6413.67</v>
          </cell>
          <cell r="AD62">
            <v>6186.5</v>
          </cell>
          <cell r="AE62">
            <v>6246.24</v>
          </cell>
          <cell r="AF62">
            <v>6391.06</v>
          </cell>
          <cell r="AG62">
            <v>6209.07</v>
          </cell>
          <cell r="AH62">
            <v>6250.31</v>
          </cell>
          <cell r="AI62">
            <v>6181.22</v>
          </cell>
          <cell r="AJ62">
            <v>6251.57</v>
          </cell>
          <cell r="AK62">
            <v>6103.36</v>
          </cell>
          <cell r="AL62">
            <v>6253.96</v>
          </cell>
          <cell r="AM62">
            <v>6427.54</v>
          </cell>
          <cell r="AN62">
            <v>6305.22</v>
          </cell>
          <cell r="AO62">
            <v>6342.73</v>
          </cell>
          <cell r="AP62">
            <v>6339.88</v>
          </cell>
          <cell r="AQ62">
            <v>6380.19</v>
          </cell>
          <cell r="AR62">
            <v>6205.08</v>
          </cell>
          <cell r="AS62">
            <v>6411.75</v>
          </cell>
          <cell r="AT62">
            <v>6308.3</v>
          </cell>
          <cell r="AU62">
            <v>6325.69</v>
          </cell>
          <cell r="AV62">
            <v>6366.89</v>
          </cell>
          <cell r="AW62">
            <v>6263.49</v>
          </cell>
          <cell r="AX62">
            <v>6070.72</v>
          </cell>
          <cell r="AY62">
            <v>6191.18</v>
          </cell>
          <cell r="AZ62">
            <v>6013.65</v>
          </cell>
          <cell r="BA62">
            <v>4977.5200000000004</v>
          </cell>
        </row>
        <row r="63">
          <cell r="A63" t="str">
            <v>V2000H40B20</v>
          </cell>
          <cell r="B63">
            <v>2000</v>
          </cell>
          <cell r="C63">
            <v>4000</v>
          </cell>
          <cell r="D63">
            <v>2000</v>
          </cell>
          <cell r="E63">
            <v>23</v>
          </cell>
          <cell r="F63">
            <v>3</v>
          </cell>
          <cell r="G63">
            <v>1</v>
          </cell>
          <cell r="H63">
            <v>350</v>
          </cell>
          <cell r="I63">
            <v>70</v>
          </cell>
          <cell r="J63">
            <v>2072.4</v>
          </cell>
          <cell r="K63" t="str">
            <v>Q-11002908</v>
          </cell>
          <cell r="L63" t="str">
            <v>\\hokukon-net2\hop\Program\01_MVPシステム_容量別組立図\.\01_余裕高0_0m\pdf\FB0_2000m3-MVP-4000-組-B2000_Q-11002908.pdf</v>
          </cell>
          <cell r="M63">
            <v>6478.64</v>
          </cell>
          <cell r="N63">
            <v>6534.41</v>
          </cell>
          <cell r="O63">
            <v>6416.73</v>
          </cell>
          <cell r="P63">
            <v>6418.6</v>
          </cell>
          <cell r="Q63">
            <v>6505.71</v>
          </cell>
          <cell r="R63">
            <v>6465.2</v>
          </cell>
          <cell r="S63">
            <v>6451.17</v>
          </cell>
          <cell r="T63">
            <v>6453.42</v>
          </cell>
          <cell r="U63">
            <v>6458</v>
          </cell>
          <cell r="V63">
            <v>6435.71</v>
          </cell>
          <cell r="W63">
            <v>6462.66</v>
          </cell>
          <cell r="X63">
            <v>6486.47</v>
          </cell>
          <cell r="Y63">
            <v>6489.57</v>
          </cell>
          <cell r="Z63">
            <v>6616.28</v>
          </cell>
          <cell r="AA63">
            <v>6514.72</v>
          </cell>
          <cell r="AB63">
            <v>6517.76</v>
          </cell>
          <cell r="AC63">
            <v>6661.9</v>
          </cell>
          <cell r="AD63">
            <v>6434.63</v>
          </cell>
          <cell r="AE63">
            <v>6494.14</v>
          </cell>
          <cell r="AF63">
            <v>6639.64</v>
          </cell>
          <cell r="AG63">
            <v>6455.95</v>
          </cell>
          <cell r="AH63">
            <v>6496.9</v>
          </cell>
          <cell r="AI63">
            <v>6427.91</v>
          </cell>
          <cell r="AJ63">
            <v>6498.73</v>
          </cell>
          <cell r="AK63">
            <v>6350.49</v>
          </cell>
          <cell r="AL63">
            <v>6501.14</v>
          </cell>
          <cell r="AM63">
            <v>6675.51</v>
          </cell>
          <cell r="AN63">
            <v>6552.23</v>
          </cell>
          <cell r="AO63">
            <v>6590.09</v>
          </cell>
          <cell r="AP63">
            <v>6587.04</v>
          </cell>
          <cell r="AQ63">
            <v>6627.76</v>
          </cell>
          <cell r="AR63">
            <v>6452.37</v>
          </cell>
          <cell r="AS63">
            <v>6660.45</v>
          </cell>
          <cell r="AT63">
            <v>6555.96</v>
          </cell>
          <cell r="AU63">
            <v>6573.91</v>
          </cell>
          <cell r="AV63">
            <v>6615.04</v>
          </cell>
          <cell r="AW63">
            <v>6511.31</v>
          </cell>
          <cell r="AX63">
            <v>6318.22</v>
          </cell>
          <cell r="AY63">
            <v>6438.57</v>
          </cell>
          <cell r="AZ63">
            <v>6260.75</v>
          </cell>
          <cell r="BA63">
            <v>5179.3500000000004</v>
          </cell>
        </row>
        <row r="64">
          <cell r="A64" t="str">
            <v>V2000H45B30</v>
          </cell>
          <cell r="B64">
            <v>2000</v>
          </cell>
          <cell r="C64">
            <v>4500</v>
          </cell>
          <cell r="D64">
            <v>3000</v>
          </cell>
          <cell r="E64">
            <v>17</v>
          </cell>
          <cell r="F64">
            <v>3</v>
          </cell>
          <cell r="G64">
            <v>1</v>
          </cell>
          <cell r="H64">
            <v>350</v>
          </cell>
          <cell r="I64">
            <v>70</v>
          </cell>
          <cell r="J64">
            <v>2101</v>
          </cell>
          <cell r="K64" t="str">
            <v>Q-11002913</v>
          </cell>
          <cell r="L64" t="str">
            <v>\\hokukon-net2\hop\Program\01_MVPシステム_容量別組立図\.\01_余裕高0_0m\pdf\FB0_2000m3-MVP-4500-組-B3000_Q-11002913.pdf</v>
          </cell>
          <cell r="M64">
            <v>5726.98</v>
          </cell>
          <cell r="N64">
            <v>5776.97</v>
          </cell>
          <cell r="O64">
            <v>5671.73</v>
          </cell>
          <cell r="P64">
            <v>5673.4</v>
          </cell>
          <cell r="Q64">
            <v>5751.16</v>
          </cell>
          <cell r="R64">
            <v>5714.54</v>
          </cell>
          <cell r="S64">
            <v>5701.83</v>
          </cell>
          <cell r="T64">
            <v>5703.84</v>
          </cell>
          <cell r="U64">
            <v>5709.19</v>
          </cell>
          <cell r="V64">
            <v>5689.44</v>
          </cell>
          <cell r="W64">
            <v>5713.2</v>
          </cell>
          <cell r="X64">
            <v>5734.84</v>
          </cell>
          <cell r="Y64">
            <v>5737.57</v>
          </cell>
          <cell r="Z64">
            <v>5851.01</v>
          </cell>
          <cell r="AA64">
            <v>5759.75</v>
          </cell>
          <cell r="AB64">
            <v>5762.75</v>
          </cell>
          <cell r="AC64">
            <v>5890.93</v>
          </cell>
          <cell r="AD64">
            <v>5686.99</v>
          </cell>
          <cell r="AE64">
            <v>5740.41</v>
          </cell>
          <cell r="AF64">
            <v>5870.93</v>
          </cell>
          <cell r="AG64">
            <v>5707.17</v>
          </cell>
          <cell r="AH64">
            <v>5743.7</v>
          </cell>
          <cell r="AI64">
            <v>5681.77</v>
          </cell>
          <cell r="AJ64">
            <v>5745.28</v>
          </cell>
          <cell r="AK64">
            <v>5612.23</v>
          </cell>
          <cell r="AL64">
            <v>5746.92</v>
          </cell>
          <cell r="AM64">
            <v>5903.11</v>
          </cell>
          <cell r="AN64">
            <v>5793.52</v>
          </cell>
          <cell r="AO64">
            <v>5827.34</v>
          </cell>
          <cell r="AP64">
            <v>5824.34</v>
          </cell>
          <cell r="AQ64">
            <v>5860.87</v>
          </cell>
          <cell r="AR64">
            <v>5703.07</v>
          </cell>
          <cell r="AS64">
            <v>5888.94</v>
          </cell>
          <cell r="AT64">
            <v>5795.97</v>
          </cell>
          <cell r="AU64">
            <v>5811.48</v>
          </cell>
          <cell r="AV64">
            <v>5848.81</v>
          </cell>
          <cell r="AW64">
            <v>5756.01</v>
          </cell>
          <cell r="AX64">
            <v>5582.79</v>
          </cell>
          <cell r="AY64">
            <v>5690.72</v>
          </cell>
          <cell r="AZ64">
            <v>5531.52</v>
          </cell>
          <cell r="BA64">
            <v>4558.96</v>
          </cell>
        </row>
        <row r="65">
          <cell r="A65" t="str">
            <v>V2000H45B25</v>
          </cell>
          <cell r="B65">
            <v>2000</v>
          </cell>
          <cell r="C65">
            <v>4500</v>
          </cell>
          <cell r="D65">
            <v>2500</v>
          </cell>
          <cell r="E65">
            <v>18</v>
          </cell>
          <cell r="F65">
            <v>3</v>
          </cell>
          <cell r="G65">
            <v>1</v>
          </cell>
          <cell r="H65">
            <v>350</v>
          </cell>
          <cell r="I65">
            <v>70</v>
          </cell>
          <cell r="J65">
            <v>2031.1</v>
          </cell>
          <cell r="K65" t="str">
            <v>Q-11002912</v>
          </cell>
          <cell r="L65" t="str">
            <v>\\hokukon-net2\hop\Program\01_MVPシステム_容量別組立図\.\01_余裕高0_0m\pdf\FB0_2000m3-MVP-4500-組-B2500_Q-11002912.pdf</v>
          </cell>
          <cell r="M65">
            <v>5782.65</v>
          </cell>
          <cell r="N65">
            <v>5831.39</v>
          </cell>
          <cell r="O65">
            <v>5729.71</v>
          </cell>
          <cell r="P65">
            <v>5731.34</v>
          </cell>
          <cell r="Q65">
            <v>5806.01</v>
          </cell>
          <cell r="R65">
            <v>5770.35</v>
          </cell>
          <cell r="S65">
            <v>5757.52</v>
          </cell>
          <cell r="T65">
            <v>5759.48</v>
          </cell>
          <cell r="U65">
            <v>5767.17</v>
          </cell>
          <cell r="V65">
            <v>5747.64</v>
          </cell>
          <cell r="W65">
            <v>5770.85</v>
          </cell>
          <cell r="X65">
            <v>5792.81</v>
          </cell>
          <cell r="Y65">
            <v>5795.59</v>
          </cell>
          <cell r="Z65">
            <v>5906.69</v>
          </cell>
          <cell r="AA65">
            <v>5818.19</v>
          </cell>
          <cell r="AB65">
            <v>5820.18</v>
          </cell>
          <cell r="AC65">
            <v>5943.6</v>
          </cell>
          <cell r="AD65">
            <v>5744.02</v>
          </cell>
          <cell r="AE65">
            <v>5796.84</v>
          </cell>
          <cell r="AF65">
            <v>5924.22</v>
          </cell>
          <cell r="AG65">
            <v>5765.5</v>
          </cell>
          <cell r="AH65">
            <v>5801.2</v>
          </cell>
          <cell r="AI65">
            <v>5741.35</v>
          </cell>
          <cell r="AJ65">
            <v>5802.15</v>
          </cell>
          <cell r="AK65">
            <v>5673.21</v>
          </cell>
          <cell r="AL65">
            <v>5803.82</v>
          </cell>
          <cell r="AM65">
            <v>5955.88</v>
          </cell>
          <cell r="AN65">
            <v>5849.56</v>
          </cell>
          <cell r="AO65">
            <v>5881.76</v>
          </cell>
          <cell r="AP65">
            <v>5879.36</v>
          </cell>
          <cell r="AQ65">
            <v>5915.04</v>
          </cell>
          <cell r="AR65">
            <v>5758.98</v>
          </cell>
          <cell r="AS65">
            <v>5939.86</v>
          </cell>
          <cell r="AT65">
            <v>5850.56</v>
          </cell>
          <cell r="AU65">
            <v>5865.77</v>
          </cell>
          <cell r="AV65">
            <v>5901.19</v>
          </cell>
          <cell r="AW65">
            <v>5810.81</v>
          </cell>
          <cell r="AX65">
            <v>5643.01</v>
          </cell>
          <cell r="AY65">
            <v>5747.06</v>
          </cell>
          <cell r="AZ65">
            <v>5592.63</v>
          </cell>
          <cell r="BA65">
            <v>4618.4799999999996</v>
          </cell>
        </row>
        <row r="66">
          <cell r="A66" t="str">
            <v>V2000H45B20</v>
          </cell>
          <cell r="B66">
            <v>2000</v>
          </cell>
          <cell r="C66">
            <v>4500</v>
          </cell>
          <cell r="D66">
            <v>2000</v>
          </cell>
          <cell r="E66">
            <v>16</v>
          </cell>
          <cell r="F66">
            <v>4</v>
          </cell>
          <cell r="G66">
            <v>1</v>
          </cell>
          <cell r="H66">
            <v>350</v>
          </cell>
          <cell r="I66">
            <v>70</v>
          </cell>
          <cell r="J66">
            <v>2118.1</v>
          </cell>
          <cell r="K66" t="str">
            <v>Q-11002911</v>
          </cell>
          <cell r="L66" t="str">
            <v>\\hokukon-net2\hop\Program\01_MVPシステム_容量別組立図\.\01_余裕高0_0m\pdf\FB0_2000m3-MVP-4500-組-B2000_Q-11002911.pdf</v>
          </cell>
          <cell r="M66">
            <v>6313.92</v>
          </cell>
          <cell r="N66">
            <v>6365.45</v>
          </cell>
          <cell r="O66">
            <v>6260.61</v>
          </cell>
          <cell r="P66">
            <v>6262.3</v>
          </cell>
          <cell r="Q66">
            <v>6338.11</v>
          </cell>
          <cell r="R66">
            <v>6300.49</v>
          </cell>
          <cell r="S66">
            <v>6286</v>
          </cell>
          <cell r="T66">
            <v>6288.04</v>
          </cell>
          <cell r="U66">
            <v>6302.38</v>
          </cell>
          <cell r="V66">
            <v>6281.26</v>
          </cell>
          <cell r="W66">
            <v>6305.42</v>
          </cell>
          <cell r="X66">
            <v>6330.69</v>
          </cell>
          <cell r="Y66">
            <v>6333.98</v>
          </cell>
          <cell r="Z66">
            <v>6451.75</v>
          </cell>
          <cell r="AA66">
            <v>6359.7</v>
          </cell>
          <cell r="AB66">
            <v>6359.76</v>
          </cell>
          <cell r="AC66">
            <v>6485.55</v>
          </cell>
          <cell r="AD66">
            <v>6273.7</v>
          </cell>
          <cell r="AE66">
            <v>6330.99</v>
          </cell>
          <cell r="AF66">
            <v>6465.29</v>
          </cell>
          <cell r="AG66">
            <v>6301.01</v>
          </cell>
          <cell r="AH66">
            <v>6338.81</v>
          </cell>
          <cell r="AI66">
            <v>6276.88</v>
          </cell>
          <cell r="AJ66">
            <v>6338.31</v>
          </cell>
          <cell r="AK66">
            <v>6204.14</v>
          </cell>
          <cell r="AL66">
            <v>6339.99</v>
          </cell>
          <cell r="AM66">
            <v>6499.42</v>
          </cell>
          <cell r="AN66">
            <v>6389.12</v>
          </cell>
          <cell r="AO66">
            <v>6421.2</v>
          </cell>
          <cell r="AP66">
            <v>6419.83</v>
          </cell>
          <cell r="AQ66">
            <v>6457.39</v>
          </cell>
          <cell r="AR66">
            <v>6288.05</v>
          </cell>
          <cell r="AS66">
            <v>6477.23</v>
          </cell>
          <cell r="AT66">
            <v>6386.61</v>
          </cell>
          <cell r="AU66">
            <v>6402.54</v>
          </cell>
          <cell r="AV66">
            <v>6437.83</v>
          </cell>
          <cell r="AW66">
            <v>6343.06</v>
          </cell>
          <cell r="AX66">
            <v>6168.83</v>
          </cell>
          <cell r="AY66">
            <v>6275.87</v>
          </cell>
          <cell r="AZ66">
            <v>6115.07</v>
          </cell>
          <cell r="BA66">
            <v>5069.97</v>
          </cell>
        </row>
        <row r="67">
          <cell r="A67" t="str">
            <v>V3000H15B30</v>
          </cell>
          <cell r="B67">
            <v>3000</v>
          </cell>
          <cell r="C67">
            <v>1500</v>
          </cell>
          <cell r="D67">
            <v>3000</v>
          </cell>
          <cell r="E67">
            <v>37</v>
          </cell>
          <cell r="F67">
            <v>4</v>
          </cell>
          <cell r="G67">
            <v>2</v>
          </cell>
          <cell r="H67">
            <v>350</v>
          </cell>
          <cell r="I67">
            <v>50</v>
          </cell>
          <cell r="J67">
            <v>3066</v>
          </cell>
          <cell r="K67" t="str">
            <v>Q-12001267</v>
          </cell>
          <cell r="L67" t="str">
            <v>\\hokukon-net2\hop\Program\01_MVPシステム_容量別組立図\.\01_余裕高0_0m\pdf\FB0_3000m3-MVP-1500-組-B3000_Q-12001267.pdf</v>
          </cell>
          <cell r="M67">
            <v>12585.95</v>
          </cell>
          <cell r="N67">
            <v>12779.27</v>
          </cell>
          <cell r="O67">
            <v>12315.13</v>
          </cell>
          <cell r="P67">
            <v>12322</v>
          </cell>
          <cell r="Q67">
            <v>12688.67</v>
          </cell>
          <cell r="R67">
            <v>12541.2</v>
          </cell>
          <cell r="S67">
            <v>12512.39</v>
          </cell>
          <cell r="T67">
            <v>12520.68</v>
          </cell>
          <cell r="U67">
            <v>12408.01</v>
          </cell>
          <cell r="V67">
            <v>12339.2</v>
          </cell>
          <cell r="W67">
            <v>12437.07</v>
          </cell>
          <cell r="X67">
            <v>12477.94</v>
          </cell>
          <cell r="Y67">
            <v>12482.63</v>
          </cell>
          <cell r="Z67">
            <v>12913.29</v>
          </cell>
          <cell r="AA67">
            <v>12535.31</v>
          </cell>
          <cell r="AB67">
            <v>12586.13</v>
          </cell>
          <cell r="AC67">
            <v>13185.39</v>
          </cell>
          <cell r="AD67">
            <v>12426.19</v>
          </cell>
          <cell r="AE67">
            <v>12603.57</v>
          </cell>
          <cell r="AF67">
            <v>13116.64</v>
          </cell>
          <cell r="AG67">
            <v>12408.28</v>
          </cell>
          <cell r="AH67">
            <v>12544.99</v>
          </cell>
          <cell r="AI67">
            <v>12277.64</v>
          </cell>
          <cell r="AJ67">
            <v>12585.19</v>
          </cell>
          <cell r="AK67">
            <v>11997.49</v>
          </cell>
          <cell r="AL67">
            <v>12568.16</v>
          </cell>
          <cell r="AM67">
            <v>13203</v>
          </cell>
          <cell r="AN67">
            <v>12730.24</v>
          </cell>
          <cell r="AO67">
            <v>12903.54</v>
          </cell>
          <cell r="AP67">
            <v>12867.03</v>
          </cell>
          <cell r="AQ67">
            <v>13010.58</v>
          </cell>
          <cell r="AR67">
            <v>12512.43</v>
          </cell>
          <cell r="AS67">
            <v>13280.03</v>
          </cell>
          <cell r="AT67">
            <v>12837.37</v>
          </cell>
          <cell r="AU67">
            <v>12903.91</v>
          </cell>
          <cell r="AV67">
            <v>13092.48</v>
          </cell>
          <cell r="AW67">
            <v>12726.01</v>
          </cell>
          <cell r="AX67">
            <v>11987.59</v>
          </cell>
          <cell r="AY67">
            <v>12468.63</v>
          </cell>
          <cell r="AZ67">
            <v>11801.23</v>
          </cell>
          <cell r="BA67">
            <v>9866.0300000000007</v>
          </cell>
        </row>
        <row r="68">
          <cell r="A68" t="str">
            <v>V3000H15B25</v>
          </cell>
          <cell r="B68">
            <v>3000</v>
          </cell>
          <cell r="C68">
            <v>1500</v>
          </cell>
          <cell r="D68">
            <v>2500</v>
          </cell>
          <cell r="E68">
            <v>40</v>
          </cell>
          <cell r="F68">
            <v>4</v>
          </cell>
          <cell r="G68">
            <v>2</v>
          </cell>
          <cell r="H68">
            <v>350</v>
          </cell>
          <cell r="I68">
            <v>50</v>
          </cell>
          <cell r="J68">
            <v>3065.3</v>
          </cell>
          <cell r="K68" t="str">
            <v>Q-12001266</v>
          </cell>
          <cell r="L68" t="str">
            <v>\\hokukon-net2\hop\Program\01_MVPシステム_容量別組立図\.\01_余裕高0_0m\pdf\FB0_3000m3-MVP-1500-組-B2500_Q-12001266.pdf</v>
          </cell>
          <cell r="M68">
            <v>12835.22</v>
          </cell>
          <cell r="N68">
            <v>13029.24</v>
          </cell>
          <cell r="O68">
            <v>12564.53</v>
          </cell>
          <cell r="P68">
            <v>12571.42</v>
          </cell>
          <cell r="Q68">
            <v>12937.82</v>
          </cell>
          <cell r="R68">
            <v>12789.66</v>
          </cell>
          <cell r="S68">
            <v>12759.87</v>
          </cell>
          <cell r="T68">
            <v>12768.21</v>
          </cell>
          <cell r="U68">
            <v>12659.68</v>
          </cell>
          <cell r="V68">
            <v>12589.94</v>
          </cell>
          <cell r="W68">
            <v>12688.59</v>
          </cell>
          <cell r="X68">
            <v>12731.22</v>
          </cell>
          <cell r="Y68">
            <v>12736.15</v>
          </cell>
          <cell r="Z68">
            <v>13170.07</v>
          </cell>
          <cell r="AA68">
            <v>12791.17</v>
          </cell>
          <cell r="AB68">
            <v>12840.39</v>
          </cell>
          <cell r="AC68">
            <v>13440.09</v>
          </cell>
          <cell r="AD68">
            <v>12676.34</v>
          </cell>
          <cell r="AE68">
            <v>12855.88</v>
          </cell>
          <cell r="AF68">
            <v>13372.07</v>
          </cell>
          <cell r="AG68">
            <v>12661.83</v>
          </cell>
          <cell r="AH68">
            <v>12799.15</v>
          </cell>
          <cell r="AI68">
            <v>12531.58</v>
          </cell>
          <cell r="AJ68">
            <v>12838.64</v>
          </cell>
          <cell r="AK68">
            <v>12247.83</v>
          </cell>
          <cell r="AL68">
            <v>12819.82</v>
          </cell>
          <cell r="AM68">
            <v>13457.77</v>
          </cell>
          <cell r="AN68">
            <v>12983.39</v>
          </cell>
          <cell r="AO68">
            <v>13156.1</v>
          </cell>
          <cell r="AP68">
            <v>13120.27</v>
          </cell>
          <cell r="AQ68">
            <v>13264.81</v>
          </cell>
          <cell r="AR68">
            <v>12761.21</v>
          </cell>
          <cell r="AS68">
            <v>13532.39</v>
          </cell>
          <cell r="AT68">
            <v>13089.98</v>
          </cell>
          <cell r="AU68">
            <v>13157.14</v>
          </cell>
          <cell r="AV68">
            <v>13344.71</v>
          </cell>
          <cell r="AW68">
            <v>12977.03</v>
          </cell>
          <cell r="AX68">
            <v>12236.95</v>
          </cell>
          <cell r="AY68">
            <v>12718.07</v>
          </cell>
          <cell r="AZ68">
            <v>12048.89</v>
          </cell>
          <cell r="BA68">
            <v>10121.51</v>
          </cell>
        </row>
        <row r="69">
          <cell r="A69" t="str">
            <v>V3000H15B20</v>
          </cell>
          <cell r="B69">
            <v>3000</v>
          </cell>
          <cell r="C69">
            <v>1500</v>
          </cell>
          <cell r="D69">
            <v>2000</v>
          </cell>
          <cell r="E69">
            <v>43</v>
          </cell>
          <cell r="F69">
            <v>4</v>
          </cell>
          <cell r="G69">
            <v>2</v>
          </cell>
          <cell r="H69">
            <v>350</v>
          </cell>
          <cell r="I69">
            <v>50</v>
          </cell>
          <cell r="J69">
            <v>3028.5</v>
          </cell>
          <cell r="K69" t="str">
            <v>Q-12001265</v>
          </cell>
          <cell r="L69" t="str">
            <v>\\hokukon-net2\hop\Program\01_MVPシステム_容量別組立図\.\01_余裕高0_0m\pdf\FB0_3000m3-MVP-1500-組-B2000_Q-12001265.pdf</v>
          </cell>
          <cell r="M69">
            <v>12987.73</v>
          </cell>
          <cell r="N69">
            <v>13180.39</v>
          </cell>
          <cell r="O69">
            <v>12720.35</v>
          </cell>
          <cell r="P69">
            <v>12727.21</v>
          </cell>
          <cell r="Q69">
            <v>13089</v>
          </cell>
          <cell r="R69">
            <v>12941.72</v>
          </cell>
          <cell r="S69">
            <v>12911.14</v>
          </cell>
          <cell r="T69">
            <v>12919.42</v>
          </cell>
          <cell r="U69">
            <v>12817.2</v>
          </cell>
          <cell r="V69">
            <v>12747.17</v>
          </cell>
          <cell r="W69">
            <v>12845.57</v>
          </cell>
          <cell r="X69">
            <v>12889.87</v>
          </cell>
          <cell r="Y69">
            <v>12895.04</v>
          </cell>
          <cell r="Z69">
            <v>13327.85</v>
          </cell>
          <cell r="AA69">
            <v>12952.19</v>
          </cell>
          <cell r="AB69">
            <v>12998.92</v>
          </cell>
          <cell r="AC69">
            <v>13592.16</v>
          </cell>
          <cell r="AD69">
            <v>12831.68</v>
          </cell>
          <cell r="AE69">
            <v>13011.79</v>
          </cell>
          <cell r="AF69">
            <v>13525.7</v>
          </cell>
          <cell r="AG69">
            <v>12821.49</v>
          </cell>
          <cell r="AH69">
            <v>12957.97</v>
          </cell>
          <cell r="AI69">
            <v>12693.21</v>
          </cell>
          <cell r="AJ69">
            <v>12996.16</v>
          </cell>
          <cell r="AK69">
            <v>12408.41</v>
          </cell>
          <cell r="AL69">
            <v>12975.45</v>
          </cell>
          <cell r="AM69">
            <v>13609.78</v>
          </cell>
          <cell r="AN69">
            <v>13138.97</v>
          </cell>
          <cell r="AO69">
            <v>13308.98</v>
          </cell>
          <cell r="AP69">
            <v>13274.42</v>
          </cell>
          <cell r="AQ69">
            <v>13418.42</v>
          </cell>
          <cell r="AR69">
            <v>12913.99</v>
          </cell>
          <cell r="AS69">
            <v>13680.56</v>
          </cell>
          <cell r="AT69">
            <v>13243.58</v>
          </cell>
          <cell r="AU69">
            <v>13310.63</v>
          </cell>
          <cell r="AV69">
            <v>13494.9</v>
          </cell>
          <cell r="AW69">
            <v>13129.92</v>
          </cell>
          <cell r="AX69">
            <v>12396.36</v>
          </cell>
          <cell r="AY69">
            <v>12872.09</v>
          </cell>
          <cell r="AZ69">
            <v>12208.45</v>
          </cell>
          <cell r="BA69">
            <v>10300.42</v>
          </cell>
        </row>
        <row r="70">
          <cell r="A70" t="str">
            <v>V3000H20B30</v>
          </cell>
          <cell r="B70">
            <v>3000</v>
          </cell>
          <cell r="C70">
            <v>2000</v>
          </cell>
          <cell r="D70">
            <v>3000</v>
          </cell>
          <cell r="E70">
            <v>35</v>
          </cell>
          <cell r="F70">
            <v>3</v>
          </cell>
          <cell r="G70">
            <v>2</v>
          </cell>
          <cell r="H70">
            <v>350</v>
          </cell>
          <cell r="I70">
            <v>50</v>
          </cell>
          <cell r="J70">
            <v>3028.9</v>
          </cell>
          <cell r="K70" t="str">
            <v>Q-12001270</v>
          </cell>
          <cell r="L70" t="str">
            <v>\\hokukon-net2\hop\Program\01_MVPシステム_容量別組立図\.\01_余裕高0_0m\pdf\FB0_3000m3-MVP-2000-組-B3000_Q-12001270.pdf</v>
          </cell>
          <cell r="M70">
            <v>9836.7199999999993</v>
          </cell>
          <cell r="N70">
            <v>9980.98</v>
          </cell>
          <cell r="O70">
            <v>9637.16</v>
          </cell>
          <cell r="P70">
            <v>9642.26</v>
          </cell>
          <cell r="Q70">
            <v>9912.6</v>
          </cell>
          <cell r="R70">
            <v>9803.09</v>
          </cell>
          <cell r="S70">
            <v>9780.8799999999992</v>
          </cell>
          <cell r="T70">
            <v>9787.06</v>
          </cell>
          <cell r="U70">
            <v>9708.4599999999991</v>
          </cell>
          <cell r="V70">
            <v>9656.7999999999993</v>
          </cell>
          <cell r="W70">
            <v>9729.43</v>
          </cell>
          <cell r="X70">
            <v>9761.6</v>
          </cell>
          <cell r="Y70">
            <v>9765.23</v>
          </cell>
          <cell r="Z70">
            <v>10086.379999999999</v>
          </cell>
          <cell r="AA70">
            <v>9805.3799999999992</v>
          </cell>
          <cell r="AB70">
            <v>9842.06</v>
          </cell>
          <cell r="AC70">
            <v>10284.790000000001</v>
          </cell>
          <cell r="AD70">
            <v>9717.84</v>
          </cell>
          <cell r="AE70">
            <v>9851.3700000000008</v>
          </cell>
          <cell r="AF70">
            <v>10233.42</v>
          </cell>
          <cell r="AG70">
            <v>9708.61</v>
          </cell>
          <cell r="AH70">
            <v>9810.68</v>
          </cell>
          <cell r="AI70">
            <v>9612.42</v>
          </cell>
          <cell r="AJ70">
            <v>9839.49</v>
          </cell>
          <cell r="AK70">
            <v>9402.4699999999993</v>
          </cell>
          <cell r="AL70">
            <v>9826.51</v>
          </cell>
          <cell r="AM70">
            <v>10298.879999999999</v>
          </cell>
          <cell r="AN70">
            <v>9948.35</v>
          </cell>
          <cell r="AO70">
            <v>10075.98</v>
          </cell>
          <cell r="AP70">
            <v>10049.68</v>
          </cell>
          <cell r="AQ70">
            <v>10156.6</v>
          </cell>
          <cell r="AR70">
            <v>9781.94</v>
          </cell>
          <cell r="AS70">
            <v>10352.209999999999</v>
          </cell>
          <cell r="AT70">
            <v>10025.34</v>
          </cell>
          <cell r="AU70">
            <v>10074.35</v>
          </cell>
          <cell r="AV70">
            <v>10213.48</v>
          </cell>
          <cell r="AW70">
            <v>9940.76</v>
          </cell>
          <cell r="AX70">
            <v>9392.3799999999992</v>
          </cell>
          <cell r="AY70">
            <v>9749.15</v>
          </cell>
          <cell r="AZ70">
            <v>9253.0499999999993</v>
          </cell>
          <cell r="BA70">
            <v>7723.42</v>
          </cell>
        </row>
        <row r="71">
          <cell r="A71" t="str">
            <v>V3000H20B25</v>
          </cell>
          <cell r="B71">
            <v>3000</v>
          </cell>
          <cell r="C71">
            <v>2000</v>
          </cell>
          <cell r="D71">
            <v>2500</v>
          </cell>
          <cell r="E71">
            <v>38</v>
          </cell>
          <cell r="F71">
            <v>3</v>
          </cell>
          <cell r="G71">
            <v>2</v>
          </cell>
          <cell r="H71">
            <v>350</v>
          </cell>
          <cell r="I71">
            <v>50</v>
          </cell>
          <cell r="J71">
            <v>3050.7</v>
          </cell>
          <cell r="K71" t="str">
            <v>Q-12001269</v>
          </cell>
          <cell r="L71" t="str">
            <v>\\hokukon-net2\hop\Program\01_MVPシステム_容量別組立図\.\01_余裕高0_0m\pdf\FB0_3000m3-MVP-2000-組-B2500_Q-12001269.pdf</v>
          </cell>
          <cell r="M71">
            <v>10110.32</v>
          </cell>
          <cell r="N71">
            <v>10256.15</v>
          </cell>
          <cell r="O71">
            <v>9909.41</v>
          </cell>
          <cell r="P71">
            <v>9914.56</v>
          </cell>
          <cell r="Q71">
            <v>10186.65</v>
          </cell>
          <cell r="R71">
            <v>10075.89</v>
          </cell>
          <cell r="S71">
            <v>10052.82</v>
          </cell>
          <cell r="T71">
            <v>10059.049999999999</v>
          </cell>
          <cell r="U71">
            <v>9982.9</v>
          </cell>
          <cell r="V71">
            <v>9930.2199999999993</v>
          </cell>
          <cell r="W71">
            <v>10003.93</v>
          </cell>
          <cell r="X71">
            <v>10037.64</v>
          </cell>
          <cell r="Y71">
            <v>10041.450000000001</v>
          </cell>
          <cell r="Z71">
            <v>10367.32</v>
          </cell>
          <cell r="AA71">
            <v>10083.56</v>
          </cell>
          <cell r="AB71">
            <v>10119.35</v>
          </cell>
          <cell r="AC71">
            <v>10565.65</v>
          </cell>
          <cell r="AD71">
            <v>9991.23</v>
          </cell>
          <cell r="AE71">
            <v>10127.290000000001</v>
          </cell>
          <cell r="AF71">
            <v>10514.38</v>
          </cell>
          <cell r="AG71">
            <v>9984.41</v>
          </cell>
          <cell r="AH71">
            <v>10087.69</v>
          </cell>
          <cell r="AI71">
            <v>9887.7900000000009</v>
          </cell>
          <cell r="AJ71">
            <v>10116.19</v>
          </cell>
          <cell r="AK71">
            <v>9673.69</v>
          </cell>
          <cell r="AL71">
            <v>10101.83</v>
          </cell>
          <cell r="AM71">
            <v>10579.92</v>
          </cell>
          <cell r="AN71">
            <v>10225.64</v>
          </cell>
          <cell r="AO71">
            <v>10353.780000000001</v>
          </cell>
          <cell r="AP71">
            <v>10327.790000000001</v>
          </cell>
          <cell r="AQ71">
            <v>10436.18</v>
          </cell>
          <cell r="AR71">
            <v>10054.83</v>
          </cell>
          <cell r="AS71">
            <v>10631.84</v>
          </cell>
          <cell r="AT71">
            <v>10302.77</v>
          </cell>
          <cell r="AU71">
            <v>10352.57</v>
          </cell>
          <cell r="AV71">
            <v>10492</v>
          </cell>
          <cell r="AW71">
            <v>10216.379999999999</v>
          </cell>
          <cell r="AX71">
            <v>9662.7800000000007</v>
          </cell>
          <cell r="AY71">
            <v>10022.25</v>
          </cell>
          <cell r="AZ71">
            <v>9631.0499999999993</v>
          </cell>
          <cell r="BA71">
            <v>7981.19</v>
          </cell>
        </row>
        <row r="72">
          <cell r="A72" t="str">
            <v>V3000H20B20</v>
          </cell>
          <cell r="B72">
            <v>3000</v>
          </cell>
          <cell r="C72">
            <v>2000</v>
          </cell>
          <cell r="D72">
            <v>2000</v>
          </cell>
          <cell r="E72">
            <v>32</v>
          </cell>
          <cell r="F72">
            <v>4</v>
          </cell>
          <cell r="G72">
            <v>2</v>
          </cell>
          <cell r="H72">
            <v>350</v>
          </cell>
          <cell r="I72">
            <v>50</v>
          </cell>
          <cell r="J72">
            <v>3045.7</v>
          </cell>
          <cell r="K72" t="str">
            <v>Q-12001268</v>
          </cell>
          <cell r="L72" t="str">
            <v>\\hokukon-net2\hop\Program\01_MVPシステム_容量別組立図\.\01_余裕高0_0m\pdf\FB0_3000m3-MVP-2000-組-B2000_Q-12001268.pdf</v>
          </cell>
          <cell r="M72">
            <v>10348.370000000001</v>
          </cell>
          <cell r="N72">
            <v>10494.34</v>
          </cell>
          <cell r="O72">
            <v>10149.879999999999</v>
          </cell>
          <cell r="P72">
            <v>10155.040000000001</v>
          </cell>
          <cell r="Q72">
            <v>10424.290000000001</v>
          </cell>
          <cell r="R72">
            <v>10313.43</v>
          </cell>
          <cell r="S72">
            <v>10289.219999999999</v>
          </cell>
          <cell r="T72">
            <v>10295.450000000001</v>
          </cell>
          <cell r="U72">
            <v>10226.469999999999</v>
          </cell>
          <cell r="V72">
            <v>10173.049999999999</v>
          </cell>
          <cell r="W72">
            <v>10246.64</v>
          </cell>
          <cell r="X72">
            <v>10282.799999999999</v>
          </cell>
          <cell r="Y72">
            <v>10287.01</v>
          </cell>
          <cell r="Z72">
            <v>10614.26</v>
          </cell>
          <cell r="AA72">
            <v>10331.530000000001</v>
          </cell>
          <cell r="AB72">
            <v>10364.9</v>
          </cell>
          <cell r="AC72">
            <v>10807.27</v>
          </cell>
          <cell r="AD72">
            <v>10230.83</v>
          </cell>
          <cell r="AE72">
            <v>10368.85</v>
          </cell>
          <cell r="AF72">
            <v>10756.69</v>
          </cell>
          <cell r="AG72">
            <v>10229.49</v>
          </cell>
          <cell r="AH72">
            <v>10333.07</v>
          </cell>
          <cell r="AI72">
            <v>10134.209999999999</v>
          </cell>
          <cell r="AJ72">
            <v>10359.950000000001</v>
          </cell>
          <cell r="AK72">
            <v>9917.35</v>
          </cell>
          <cell r="AL72">
            <v>10343.9</v>
          </cell>
          <cell r="AM72">
            <v>10821.83</v>
          </cell>
          <cell r="AN72">
            <v>10468.91</v>
          </cell>
          <cell r="AO72">
            <v>10595.03</v>
          </cell>
          <cell r="AP72">
            <v>10570.35</v>
          </cell>
          <cell r="AQ72">
            <v>10678.88</v>
          </cell>
          <cell r="AR72">
            <v>10292.700000000001</v>
          </cell>
          <cell r="AS72">
            <v>10869.01</v>
          </cell>
          <cell r="AT72">
            <v>10543.61</v>
          </cell>
          <cell r="AU72">
            <v>10593.34</v>
          </cell>
          <cell r="AV72">
            <v>10730.59</v>
          </cell>
          <cell r="AW72">
            <v>10455.41</v>
          </cell>
          <cell r="AX72">
            <v>9904.15</v>
          </cell>
          <cell r="AY72">
            <v>10261</v>
          </cell>
          <cell r="AZ72">
            <v>9761.61</v>
          </cell>
          <cell r="BA72">
            <v>8212.99</v>
          </cell>
        </row>
        <row r="73">
          <cell r="A73" t="str">
            <v>V3000H25B30</v>
          </cell>
          <cell r="B73">
            <v>3000</v>
          </cell>
          <cell r="C73">
            <v>2500</v>
          </cell>
          <cell r="D73">
            <v>3000</v>
          </cell>
          <cell r="E73">
            <v>29</v>
          </cell>
          <cell r="F73">
            <v>5</v>
          </cell>
          <cell r="G73">
            <v>1</v>
          </cell>
          <cell r="H73">
            <v>300</v>
          </cell>
          <cell r="I73">
            <v>50</v>
          </cell>
          <cell r="J73">
            <v>3063.1</v>
          </cell>
          <cell r="K73" t="str">
            <v>Q-12001273</v>
          </cell>
          <cell r="L73" t="str">
            <v>\\hokukon-net2\hop\Program\01_MVPシステム_容量別組立図\.\01_余裕高0_0m\pdf\FB0_3000m3-MVP-2500-組-B3000_Q-12001273.pdf</v>
          </cell>
          <cell r="M73">
            <v>9835.8799999999992</v>
          </cell>
          <cell r="N73">
            <v>9946.01</v>
          </cell>
          <cell r="O73">
            <v>9693.93</v>
          </cell>
          <cell r="P73">
            <v>9697.84</v>
          </cell>
          <cell r="Q73">
            <v>9893.82</v>
          </cell>
          <cell r="R73">
            <v>9811.33</v>
          </cell>
          <cell r="S73">
            <v>9789.7900000000009</v>
          </cell>
          <cell r="T73">
            <v>9794.5</v>
          </cell>
          <cell r="U73">
            <v>9769.92</v>
          </cell>
          <cell r="V73">
            <v>9726.4500000000007</v>
          </cell>
          <cell r="W73">
            <v>9783.36</v>
          </cell>
          <cell r="X73">
            <v>9821.69</v>
          </cell>
          <cell r="Y73">
            <v>9827.7800000000007</v>
          </cell>
          <cell r="Z73">
            <v>10080.74</v>
          </cell>
          <cell r="AA73">
            <v>9867.3799999999992</v>
          </cell>
          <cell r="AB73">
            <v>9883.73</v>
          </cell>
          <cell r="AC73">
            <v>10202.5</v>
          </cell>
          <cell r="AD73">
            <v>9755.51</v>
          </cell>
          <cell r="AE73">
            <v>9864</v>
          </cell>
          <cell r="AF73">
            <v>10161.48</v>
          </cell>
          <cell r="AG73">
            <v>9777.4500000000007</v>
          </cell>
          <cell r="AH73">
            <v>9858.9</v>
          </cell>
          <cell r="AI73">
            <v>9709.94</v>
          </cell>
          <cell r="AJ73">
            <v>9873.24</v>
          </cell>
          <cell r="AK73">
            <v>9536.9599999999991</v>
          </cell>
          <cell r="AL73">
            <v>9852.23</v>
          </cell>
          <cell r="AM73">
            <v>10212.76</v>
          </cell>
          <cell r="AN73">
            <v>9950.06</v>
          </cell>
          <cell r="AO73">
            <v>10038.01</v>
          </cell>
          <cell r="AP73">
            <v>10026.4</v>
          </cell>
          <cell r="AQ73">
            <v>10106.719999999999</v>
          </cell>
          <cell r="AR73">
            <v>9800.5400000000009</v>
          </cell>
          <cell r="AS73">
            <v>10233.469999999999</v>
          </cell>
          <cell r="AT73">
            <v>9996.2999999999993</v>
          </cell>
          <cell r="AU73">
            <v>10033.700000000001</v>
          </cell>
          <cell r="AV73">
            <v>10133.02</v>
          </cell>
          <cell r="AW73">
            <v>9920.52</v>
          </cell>
          <cell r="AX73">
            <v>9515.98</v>
          </cell>
          <cell r="AY73">
            <v>9775.08</v>
          </cell>
          <cell r="AZ73">
            <v>9402.2800000000007</v>
          </cell>
          <cell r="BA73">
            <v>7754.43</v>
          </cell>
        </row>
        <row r="74">
          <cell r="A74" t="str">
            <v>V3000H25B25</v>
          </cell>
          <cell r="B74">
            <v>3000</v>
          </cell>
          <cell r="C74">
            <v>2500</v>
          </cell>
          <cell r="D74">
            <v>2500</v>
          </cell>
          <cell r="E74">
            <v>32</v>
          </cell>
          <cell r="F74">
            <v>5</v>
          </cell>
          <cell r="G74">
            <v>2</v>
          </cell>
          <cell r="H74">
            <v>300</v>
          </cell>
          <cell r="I74">
            <v>50</v>
          </cell>
          <cell r="J74">
            <v>3066.9</v>
          </cell>
          <cell r="K74" t="str">
            <v>Q-12001272</v>
          </cell>
          <cell r="L74" t="str">
            <v>\\hokukon-net2\hop\Program\01_MVPシステム_容量別組立図\.\01_余裕高0_0m\pdf\FB0_3000m3-MVP-2500-組-B2500_Q-12001272.pdf</v>
          </cell>
          <cell r="M74">
            <v>10208.94</v>
          </cell>
          <cell r="N74">
            <v>10319.68</v>
          </cell>
          <cell r="O74">
            <v>10067.65</v>
          </cell>
          <cell r="P74">
            <v>10071.6</v>
          </cell>
          <cell r="Q74">
            <v>10266.459999999999</v>
          </cell>
          <cell r="R74">
            <v>10183.450000000001</v>
          </cell>
          <cell r="S74">
            <v>10160.709999999999</v>
          </cell>
          <cell r="T74">
            <v>10165.459999999999</v>
          </cell>
          <cell r="U74">
            <v>10145.86</v>
          </cell>
          <cell r="V74">
            <v>10101.450000000001</v>
          </cell>
          <cell r="W74">
            <v>10159.18</v>
          </cell>
          <cell r="X74">
            <v>10199.49</v>
          </cell>
          <cell r="Y74">
            <v>10205.709999999999</v>
          </cell>
          <cell r="Z74">
            <v>10461.790000000001</v>
          </cell>
          <cell r="AA74">
            <v>10247.959999999999</v>
          </cell>
          <cell r="AB74">
            <v>10262.56</v>
          </cell>
          <cell r="AC74">
            <v>10580.77</v>
          </cell>
          <cell r="AD74">
            <v>10129.35</v>
          </cell>
          <cell r="AE74">
            <v>10240.26</v>
          </cell>
          <cell r="AF74">
            <v>10540.57</v>
          </cell>
          <cell r="AG74">
            <v>10155.530000000001</v>
          </cell>
          <cell r="AH74">
            <v>10237.49</v>
          </cell>
          <cell r="AI74">
            <v>10088.57</v>
          </cell>
          <cell r="AJ74">
            <v>10250.969999999999</v>
          </cell>
          <cell r="AK74">
            <v>9911.75</v>
          </cell>
          <cell r="AL74">
            <v>10227.94</v>
          </cell>
          <cell r="AM74">
            <v>10591.24</v>
          </cell>
          <cell r="AN74">
            <v>10327.33</v>
          </cell>
          <cell r="AO74">
            <v>10414.4</v>
          </cell>
          <cell r="AP74">
            <v>10403.780000000001</v>
          </cell>
          <cell r="AQ74">
            <v>10484.969999999999</v>
          </cell>
          <cell r="AR74">
            <v>10172.83</v>
          </cell>
          <cell r="AS74">
            <v>10608.96</v>
          </cell>
          <cell r="AT74">
            <v>10372.61</v>
          </cell>
          <cell r="AU74">
            <v>10410.530000000001</v>
          </cell>
          <cell r="AV74">
            <v>10508.57</v>
          </cell>
          <cell r="AW74">
            <v>10295.030000000001</v>
          </cell>
          <cell r="AX74">
            <v>9889.6</v>
          </cell>
          <cell r="AY74">
            <v>10148.18</v>
          </cell>
          <cell r="AZ74">
            <v>9774.0300000000007</v>
          </cell>
          <cell r="BA74">
            <v>8091.54</v>
          </cell>
        </row>
        <row r="75">
          <cell r="A75" t="str">
            <v>V3000H25B20</v>
          </cell>
          <cell r="B75">
            <v>3000</v>
          </cell>
          <cell r="C75">
            <v>2500</v>
          </cell>
          <cell r="D75">
            <v>2000</v>
          </cell>
          <cell r="E75">
            <v>30</v>
          </cell>
          <cell r="F75">
            <v>6</v>
          </cell>
          <cell r="G75">
            <v>2</v>
          </cell>
          <cell r="H75">
            <v>300</v>
          </cell>
          <cell r="I75">
            <v>50</v>
          </cell>
          <cell r="J75">
            <v>3064.6</v>
          </cell>
          <cell r="K75" t="str">
            <v>Q-12001271</v>
          </cell>
          <cell r="L75" t="str">
            <v>\\hokukon-net2\hop\Program\01_MVPシステム_容量別組立図\.\01_余裕高0_0m\pdf\FB0_3000m3-MVP-2500-組-B2000_Q-12001271.pdf</v>
          </cell>
          <cell r="M75">
            <v>10661.5</v>
          </cell>
          <cell r="N75">
            <v>10772.9</v>
          </cell>
          <cell r="O75">
            <v>10522.03</v>
          </cell>
          <cell r="P75">
            <v>10525.99</v>
          </cell>
          <cell r="Q75">
            <v>10718.82</v>
          </cell>
          <cell r="R75">
            <v>10635.39</v>
          </cell>
          <cell r="S75">
            <v>10611.17</v>
          </cell>
          <cell r="T75">
            <v>10615.95</v>
          </cell>
          <cell r="U75">
            <v>10604.27</v>
          </cell>
          <cell r="V75">
            <v>10558.78</v>
          </cell>
          <cell r="W75">
            <v>10617.03</v>
          </cell>
          <cell r="X75">
            <v>10660.39</v>
          </cell>
          <cell r="Y75">
            <v>10666.92</v>
          </cell>
          <cell r="Z75">
            <v>10926.37</v>
          </cell>
          <cell r="AA75">
            <v>10712.29</v>
          </cell>
          <cell r="AB75">
            <v>10724.3</v>
          </cell>
          <cell r="AC75">
            <v>11040.13</v>
          </cell>
          <cell r="AD75">
            <v>10583.4</v>
          </cell>
          <cell r="AE75">
            <v>10697.21</v>
          </cell>
          <cell r="AF75">
            <v>11000.56</v>
          </cell>
          <cell r="AG75">
            <v>10615.97</v>
          </cell>
          <cell r="AH75">
            <v>10699</v>
          </cell>
          <cell r="AI75">
            <v>10550.23</v>
          </cell>
          <cell r="AJ75">
            <v>10710.78</v>
          </cell>
          <cell r="AK75">
            <v>10368.85</v>
          </cell>
          <cell r="AL75">
            <v>10685.35</v>
          </cell>
          <cell r="AM75">
            <v>11050.96</v>
          </cell>
          <cell r="AN75">
            <v>10786.54</v>
          </cell>
          <cell r="AO75">
            <v>10871.96</v>
          </cell>
          <cell r="AP75">
            <v>10862.97</v>
          </cell>
          <cell r="AQ75">
            <v>10944.83</v>
          </cell>
          <cell r="AR75">
            <v>10625.16</v>
          </cell>
          <cell r="AS75">
            <v>11063.68</v>
          </cell>
          <cell r="AT75">
            <v>10829.78</v>
          </cell>
          <cell r="AU75">
            <v>10867.88</v>
          </cell>
          <cell r="AV75">
            <v>10964.11</v>
          </cell>
          <cell r="AW75">
            <v>10749.52</v>
          </cell>
          <cell r="AX75">
            <v>10344.32</v>
          </cell>
          <cell r="AY75">
            <v>10601.44</v>
          </cell>
          <cell r="AZ75">
            <v>10226.58</v>
          </cell>
          <cell r="BA75">
            <v>8500.61</v>
          </cell>
        </row>
        <row r="76">
          <cell r="A76" t="str">
            <v>V3000H30B30</v>
          </cell>
          <cell r="B76">
            <v>3000</v>
          </cell>
          <cell r="C76">
            <v>3000</v>
          </cell>
          <cell r="D76">
            <v>3000</v>
          </cell>
          <cell r="E76">
            <v>29</v>
          </cell>
          <cell r="F76">
            <v>4</v>
          </cell>
          <cell r="G76">
            <v>1</v>
          </cell>
          <cell r="H76">
            <v>300</v>
          </cell>
          <cell r="I76">
            <v>50</v>
          </cell>
          <cell r="J76">
            <v>3005.5</v>
          </cell>
          <cell r="K76" t="str">
            <v>Q-12001276</v>
          </cell>
          <cell r="L76" t="str">
            <v>\\hokukon-net2\hop\Program\01_MVPシステム_容量別組立図\.\01_余裕高0_0m\pdf\FB0_3000m3-MVP-3000-組-B3000_Q-12001276.pdf</v>
          </cell>
          <cell r="M76">
            <v>8620.93</v>
          </cell>
          <cell r="N76">
            <v>8711.7199999999993</v>
          </cell>
          <cell r="O76">
            <v>8506.73</v>
          </cell>
          <cell r="P76">
            <v>8509.9500000000007</v>
          </cell>
          <cell r="Q76">
            <v>8667.3700000000008</v>
          </cell>
          <cell r="R76">
            <v>8598.69</v>
          </cell>
          <cell r="S76">
            <v>8579.32</v>
          </cell>
          <cell r="T76">
            <v>8583.2000000000007</v>
          </cell>
          <cell r="U76">
            <v>8573.02</v>
          </cell>
          <cell r="V76">
            <v>8536.07</v>
          </cell>
          <cell r="W76">
            <v>8582.4500000000007</v>
          </cell>
          <cell r="X76">
            <v>8617.3700000000008</v>
          </cell>
          <cell r="Y76">
            <v>8623.58</v>
          </cell>
          <cell r="Z76">
            <v>8833.9</v>
          </cell>
          <cell r="AA76">
            <v>8659.77</v>
          </cell>
          <cell r="AB76">
            <v>8669.33</v>
          </cell>
          <cell r="AC76">
            <v>8926.7999999999993</v>
          </cell>
          <cell r="AD76">
            <v>8557.15</v>
          </cell>
          <cell r="AE76">
            <v>8649.43</v>
          </cell>
          <cell r="AF76">
            <v>8895</v>
          </cell>
          <cell r="AG76">
            <v>8582.17</v>
          </cell>
          <cell r="AH76">
            <v>8648.42</v>
          </cell>
          <cell r="AI76">
            <v>8528.5499999999993</v>
          </cell>
          <cell r="AJ76">
            <v>8658.34</v>
          </cell>
          <cell r="AK76">
            <v>8382.3700000000008</v>
          </cell>
          <cell r="AL76">
            <v>8638.84</v>
          </cell>
          <cell r="AM76">
            <v>8935.8700000000008</v>
          </cell>
          <cell r="AN76">
            <v>8721.9699999999993</v>
          </cell>
          <cell r="AO76">
            <v>8791.24</v>
          </cell>
          <cell r="AP76">
            <v>8782.2900000000009</v>
          </cell>
          <cell r="AQ76">
            <v>8849.32</v>
          </cell>
          <cell r="AR76">
            <v>8590.94</v>
          </cell>
          <cell r="AS76">
            <v>8945.99</v>
          </cell>
          <cell r="AT76">
            <v>8755.98</v>
          </cell>
          <cell r="AU76">
            <v>8787.43</v>
          </cell>
          <cell r="AV76">
            <v>8865.1200000000008</v>
          </cell>
          <cell r="AW76">
            <v>8691.5400000000009</v>
          </cell>
          <cell r="AX76">
            <v>8361.14</v>
          </cell>
          <cell r="AY76">
            <v>8570.9500000000007</v>
          </cell>
          <cell r="AZ76">
            <v>8267.27</v>
          </cell>
          <cell r="BA76">
            <v>6819.9</v>
          </cell>
        </row>
        <row r="77">
          <cell r="A77" t="str">
            <v>V3000H30B25</v>
          </cell>
          <cell r="B77">
            <v>3000</v>
          </cell>
          <cell r="C77">
            <v>3000</v>
          </cell>
          <cell r="D77">
            <v>2500</v>
          </cell>
          <cell r="E77">
            <v>32</v>
          </cell>
          <cell r="F77">
            <v>4</v>
          </cell>
          <cell r="G77">
            <v>2</v>
          </cell>
          <cell r="H77">
            <v>300</v>
          </cell>
          <cell r="I77">
            <v>50</v>
          </cell>
          <cell r="J77">
            <v>3015.7</v>
          </cell>
          <cell r="K77" t="str">
            <v>Q-12001275</v>
          </cell>
          <cell r="L77" t="str">
            <v>\\hokukon-net2\hop\Program\01_MVPシステム_容量別組立図\.\01_余裕高0_0m\pdf\FB0_3000m3-MVP-3000-組-B2500_Q-12001275.pdf</v>
          </cell>
          <cell r="M77">
            <v>8974.82</v>
          </cell>
          <cell r="N77">
            <v>9066.31</v>
          </cell>
          <cell r="O77">
            <v>8860.92</v>
          </cell>
          <cell r="P77">
            <v>8864.17</v>
          </cell>
          <cell r="Q77">
            <v>9021</v>
          </cell>
          <cell r="R77">
            <v>8951.74</v>
          </cell>
          <cell r="S77">
            <v>8931.35</v>
          </cell>
          <cell r="T77">
            <v>8935.26</v>
          </cell>
          <cell r="U77">
            <v>8929.31</v>
          </cell>
          <cell r="V77">
            <v>8891.4699999999993</v>
          </cell>
          <cell r="W77">
            <v>8938.64</v>
          </cell>
          <cell r="X77">
            <v>8975.33</v>
          </cell>
          <cell r="Y77">
            <v>8981.65</v>
          </cell>
          <cell r="Z77">
            <v>9195.06</v>
          </cell>
          <cell r="AA77">
            <v>9020.11</v>
          </cell>
          <cell r="AB77">
            <v>9028.2199999999993</v>
          </cell>
          <cell r="AC77">
            <v>9285.77</v>
          </cell>
          <cell r="AD77">
            <v>8911.57</v>
          </cell>
          <cell r="AE77">
            <v>9006.08</v>
          </cell>
          <cell r="AF77">
            <v>9254.5300000000007</v>
          </cell>
          <cell r="AG77">
            <v>8940.2000000000007</v>
          </cell>
          <cell r="AH77">
            <v>9007.0400000000009</v>
          </cell>
          <cell r="AI77">
            <v>8886.9599999999991</v>
          </cell>
          <cell r="AJ77">
            <v>9016.25</v>
          </cell>
          <cell r="AK77">
            <v>8737.25</v>
          </cell>
          <cell r="AL77">
            <v>8995.0400000000009</v>
          </cell>
          <cell r="AM77">
            <v>9295.06</v>
          </cell>
          <cell r="AN77">
            <v>9079.67</v>
          </cell>
          <cell r="AO77">
            <v>9148.36</v>
          </cell>
          <cell r="AP77">
            <v>9140.2000000000007</v>
          </cell>
          <cell r="AQ77">
            <v>9208.1200000000008</v>
          </cell>
          <cell r="AR77">
            <v>8944.16</v>
          </cell>
          <cell r="AS77">
            <v>9302.6299999999992</v>
          </cell>
          <cell r="AT77">
            <v>9112.92</v>
          </cell>
          <cell r="AU77">
            <v>9144.86</v>
          </cell>
          <cell r="AV77">
            <v>9221.64</v>
          </cell>
          <cell r="AW77">
            <v>9046.7999999999993</v>
          </cell>
          <cell r="AX77">
            <v>8714.9</v>
          </cell>
          <cell r="AY77">
            <v>8924.76</v>
          </cell>
          <cell r="AZ77">
            <v>8619.26</v>
          </cell>
          <cell r="BA77">
            <v>7133.75</v>
          </cell>
        </row>
        <row r="78">
          <cell r="A78" t="str">
            <v>V3000H30B20</v>
          </cell>
          <cell r="B78">
            <v>3000</v>
          </cell>
          <cell r="C78">
            <v>3000</v>
          </cell>
          <cell r="D78">
            <v>2000</v>
          </cell>
          <cell r="E78">
            <v>29</v>
          </cell>
          <cell r="F78">
            <v>5</v>
          </cell>
          <cell r="G78">
            <v>1</v>
          </cell>
          <cell r="H78">
            <v>300</v>
          </cell>
          <cell r="I78">
            <v>50</v>
          </cell>
          <cell r="J78">
            <v>3023.6</v>
          </cell>
          <cell r="K78" t="str">
            <v>Q-12001274</v>
          </cell>
          <cell r="L78" t="str">
            <v>\\hokukon-net2\hop\Program\01_MVPシステム_容量別組立図\.\01_余裕高0_0m\pdf\FB0_3000m3-MVP-3000-組-B2000_Q-12001274.pdf</v>
          </cell>
          <cell r="M78">
            <v>9391.25</v>
          </cell>
          <cell r="N78">
            <v>9483.5400000000009</v>
          </cell>
          <cell r="O78">
            <v>9278.84</v>
          </cell>
          <cell r="P78">
            <v>9282.1</v>
          </cell>
          <cell r="Q78">
            <v>9437.51</v>
          </cell>
          <cell r="R78">
            <v>9367.5400000000009</v>
          </cell>
          <cell r="S78">
            <v>9345.73</v>
          </cell>
          <cell r="T78">
            <v>9349.67</v>
          </cell>
          <cell r="U78">
            <v>9351.3799999999992</v>
          </cell>
          <cell r="V78">
            <v>9312.43</v>
          </cell>
          <cell r="W78">
            <v>9359.98</v>
          </cell>
          <cell r="X78">
            <v>9399.69</v>
          </cell>
          <cell r="Y78">
            <v>9406.57</v>
          </cell>
          <cell r="Z78">
            <v>9623.52</v>
          </cell>
          <cell r="AA78">
            <v>9448.1200000000008</v>
          </cell>
          <cell r="AB78">
            <v>9453.5</v>
          </cell>
          <cell r="AC78">
            <v>9709.27</v>
          </cell>
          <cell r="AD78">
            <v>9329.69</v>
          </cell>
          <cell r="AE78">
            <v>9427.06</v>
          </cell>
          <cell r="AF78">
            <v>9678.74</v>
          </cell>
          <cell r="AG78">
            <v>9364.35</v>
          </cell>
          <cell r="AH78">
            <v>9432.17</v>
          </cell>
          <cell r="AI78">
            <v>9312.2199999999993</v>
          </cell>
          <cell r="AJ78">
            <v>9439.74</v>
          </cell>
          <cell r="AK78">
            <v>9158.02</v>
          </cell>
          <cell r="AL78">
            <v>9416.24</v>
          </cell>
          <cell r="AM78">
            <v>9718.75</v>
          </cell>
          <cell r="AN78">
            <v>9502.76</v>
          </cell>
          <cell r="AO78">
            <v>9569.83</v>
          </cell>
          <cell r="AP78">
            <v>9563.01</v>
          </cell>
          <cell r="AQ78">
            <v>9631.7099999999991</v>
          </cell>
          <cell r="AR78">
            <v>9360.42</v>
          </cell>
          <cell r="AS78">
            <v>9721.48</v>
          </cell>
          <cell r="AT78">
            <v>9534.0400000000009</v>
          </cell>
          <cell r="AU78">
            <v>9566.33</v>
          </cell>
          <cell r="AV78">
            <v>9641.27</v>
          </cell>
          <cell r="AW78">
            <v>9465.4</v>
          </cell>
          <cell r="AX78">
            <v>9133.26</v>
          </cell>
          <cell r="AY78">
            <v>9341.9599999999991</v>
          </cell>
          <cell r="AZ78">
            <v>9035.69</v>
          </cell>
          <cell r="BA78">
            <v>7505.54</v>
          </cell>
        </row>
        <row r="79">
          <cell r="A79" t="str">
            <v>V3000H35B30</v>
          </cell>
          <cell r="B79">
            <v>3000</v>
          </cell>
          <cell r="C79">
            <v>3500</v>
          </cell>
          <cell r="D79">
            <v>3000</v>
          </cell>
          <cell r="E79">
            <v>25</v>
          </cell>
          <cell r="F79">
            <v>4</v>
          </cell>
          <cell r="G79">
            <v>1</v>
          </cell>
          <cell r="H79">
            <v>300</v>
          </cell>
          <cell r="I79">
            <v>50</v>
          </cell>
          <cell r="J79">
            <v>3042.2</v>
          </cell>
          <cell r="K79" t="str">
            <v>Q-12001279</v>
          </cell>
          <cell r="L79" t="str">
            <v>\\hokukon-net2\hop\Program\01_MVPシステム_容量別組立図\.\01_余裕高0_0m\pdf\FB0_3000m3-MVP-3500-組-B3000_Q-12001279.pdf</v>
          </cell>
          <cell r="M79">
            <v>7947.4</v>
          </cell>
          <cell r="N79">
            <v>8027.09</v>
          </cell>
          <cell r="O79">
            <v>7850.02</v>
          </cell>
          <cell r="P79">
            <v>7852.81</v>
          </cell>
          <cell r="Q79">
            <v>7987.71</v>
          </cell>
          <cell r="R79">
            <v>7927.93</v>
          </cell>
          <cell r="S79">
            <v>7910.24</v>
          </cell>
          <cell r="T79">
            <v>7913.61</v>
          </cell>
          <cell r="U79">
            <v>7910.23</v>
          </cell>
          <cell r="V79">
            <v>7877.58</v>
          </cell>
          <cell r="W79">
            <v>7917.58</v>
          </cell>
          <cell r="X79">
            <v>7949.89</v>
          </cell>
          <cell r="Y79">
            <v>7955.52</v>
          </cell>
          <cell r="Z79">
            <v>8139.57</v>
          </cell>
          <cell r="AA79">
            <v>7988.28</v>
          </cell>
          <cell r="AB79">
            <v>7995.15</v>
          </cell>
          <cell r="AC79">
            <v>8216.2099999999991</v>
          </cell>
          <cell r="AD79">
            <v>7892.15</v>
          </cell>
          <cell r="AE79">
            <v>7973.96</v>
          </cell>
          <cell r="AF79">
            <v>8188.35</v>
          </cell>
          <cell r="AG79">
            <v>7918.11</v>
          </cell>
          <cell r="AH79">
            <v>7976.49</v>
          </cell>
          <cell r="AI79">
            <v>7872.44</v>
          </cell>
          <cell r="AJ79">
            <v>7983.64</v>
          </cell>
          <cell r="AK79">
            <v>7743.54</v>
          </cell>
          <cell r="AL79">
            <v>7966.26</v>
          </cell>
          <cell r="AM79">
            <v>8224.7900000000009</v>
          </cell>
          <cell r="AN79">
            <v>8039.88</v>
          </cell>
          <cell r="AO79">
            <v>8098.69</v>
          </cell>
          <cell r="AP79">
            <v>8091.91</v>
          </cell>
          <cell r="AQ79">
            <v>8150.33</v>
          </cell>
          <cell r="AR79">
            <v>7921.27</v>
          </cell>
          <cell r="AS79">
            <v>8229.68</v>
          </cell>
          <cell r="AT79">
            <v>8066.74</v>
          </cell>
          <cell r="AU79">
            <v>8093.83</v>
          </cell>
          <cell r="AV79">
            <v>8160.34</v>
          </cell>
          <cell r="AW79">
            <v>8009.09</v>
          </cell>
          <cell r="AX79">
            <v>7722.41</v>
          </cell>
          <cell r="AY79">
            <v>7903.91</v>
          </cell>
          <cell r="AZ79">
            <v>7640.15</v>
          </cell>
          <cell r="BA79">
            <v>6290.87</v>
          </cell>
        </row>
        <row r="80">
          <cell r="A80" t="str">
            <v>V3000H35B25</v>
          </cell>
          <cell r="B80">
            <v>3000</v>
          </cell>
          <cell r="C80">
            <v>3500</v>
          </cell>
          <cell r="D80">
            <v>2500</v>
          </cell>
          <cell r="E80">
            <v>28</v>
          </cell>
          <cell r="F80">
            <v>4</v>
          </cell>
          <cell r="G80">
            <v>1</v>
          </cell>
          <cell r="H80">
            <v>300</v>
          </cell>
          <cell r="I80">
            <v>50</v>
          </cell>
          <cell r="J80">
            <v>3097.1</v>
          </cell>
          <cell r="K80" t="str">
            <v>Q-12001278</v>
          </cell>
          <cell r="L80" t="str">
            <v>\\hokukon-net2\hop\Program\01_MVPシステム_容量別組立図\.\01_余裕高0_0m\pdf\FB0_3000m3-MVP-3500-組-B2500_Q-12001278.pdf</v>
          </cell>
          <cell r="M80">
            <v>8377.4500000000007</v>
          </cell>
          <cell r="N80">
            <v>8458.76</v>
          </cell>
          <cell r="O80">
            <v>8278.81</v>
          </cell>
          <cell r="P80">
            <v>8281.67</v>
          </cell>
          <cell r="Q80">
            <v>8418.24</v>
          </cell>
          <cell r="R80">
            <v>8357.07</v>
          </cell>
          <cell r="S80">
            <v>8338.32</v>
          </cell>
          <cell r="T80">
            <v>8341.7800000000007</v>
          </cell>
          <cell r="U80">
            <v>8341.7800000000007</v>
          </cell>
          <cell r="V80">
            <v>8307.91</v>
          </cell>
          <cell r="W80">
            <v>8349.15</v>
          </cell>
          <cell r="X80">
            <v>8383.34</v>
          </cell>
          <cell r="Y80">
            <v>8389.2900000000009</v>
          </cell>
          <cell r="Z80">
            <v>8578.56</v>
          </cell>
          <cell r="AA80">
            <v>8424.4699999999993</v>
          </cell>
          <cell r="AB80">
            <v>8430.06</v>
          </cell>
          <cell r="AC80">
            <v>8654.5300000000007</v>
          </cell>
          <cell r="AD80">
            <v>8322.2999999999993</v>
          </cell>
          <cell r="AE80">
            <v>8407.01</v>
          </cell>
          <cell r="AF80">
            <v>8626.9</v>
          </cell>
          <cell r="AG80">
            <v>8351.42</v>
          </cell>
          <cell r="AH80">
            <v>8411.1</v>
          </cell>
          <cell r="AI80">
            <v>8305.4500000000007</v>
          </cell>
          <cell r="AJ80">
            <v>8417.77</v>
          </cell>
          <cell r="AK80">
            <v>8171.78</v>
          </cell>
          <cell r="AL80">
            <v>8398.59</v>
          </cell>
          <cell r="AM80">
            <v>8663.2099999999991</v>
          </cell>
          <cell r="AN80">
            <v>8474.4</v>
          </cell>
          <cell r="AO80">
            <v>8533.5400000000009</v>
          </cell>
          <cell r="AP80">
            <v>8527.2199999999993</v>
          </cell>
          <cell r="AQ80">
            <v>8587.23</v>
          </cell>
          <cell r="AR80">
            <v>8350.61</v>
          </cell>
          <cell r="AS80">
            <v>8666.2099999999991</v>
          </cell>
          <cell r="AT80">
            <v>8501.26</v>
          </cell>
          <cell r="AU80">
            <v>8529.26</v>
          </cell>
          <cell r="AV80">
            <v>8595.84</v>
          </cell>
          <cell r="AW80">
            <v>8441.49</v>
          </cell>
          <cell r="AX80">
            <v>8149.62</v>
          </cell>
          <cell r="AY80">
            <v>8333.59</v>
          </cell>
          <cell r="AZ80">
            <v>8064.81</v>
          </cell>
          <cell r="BA80">
            <v>6658.73</v>
          </cell>
        </row>
        <row r="81">
          <cell r="A81" t="str">
            <v>V3000H35B20</v>
          </cell>
          <cell r="B81">
            <v>3000</v>
          </cell>
          <cell r="C81">
            <v>3500</v>
          </cell>
          <cell r="D81">
            <v>2000</v>
          </cell>
          <cell r="E81">
            <v>31</v>
          </cell>
          <cell r="F81">
            <v>4</v>
          </cell>
          <cell r="G81">
            <v>2</v>
          </cell>
          <cell r="H81">
            <v>300</v>
          </cell>
          <cell r="I81">
            <v>50</v>
          </cell>
          <cell r="J81">
            <v>3089</v>
          </cell>
          <cell r="K81" t="str">
            <v>Q-12001277</v>
          </cell>
          <cell r="L81" t="str">
            <v>\\hokukon-net2\hop\Program\01_MVPシステム_容量別組立図\.\01_余裕高0_0m\pdf\FB0_3000m3-MVP-3500-組-B2000_Q-12001277.pdf</v>
          </cell>
          <cell r="M81">
            <v>8732.36</v>
          </cell>
          <cell r="N81">
            <v>8813.9</v>
          </cell>
          <cell r="O81">
            <v>8634.77</v>
          </cell>
          <cell r="P81">
            <v>8637.64</v>
          </cell>
          <cell r="Q81">
            <v>8772.6299999999992</v>
          </cell>
          <cell r="R81">
            <v>8711.25</v>
          </cell>
          <cell r="S81">
            <v>8691.51</v>
          </cell>
          <cell r="T81">
            <v>8694.9699999999993</v>
          </cell>
          <cell r="U81">
            <v>8699.7199999999993</v>
          </cell>
          <cell r="V81">
            <v>8665.1200000000008</v>
          </cell>
          <cell r="W81">
            <v>8706.89</v>
          </cell>
          <cell r="X81">
            <v>8742.82</v>
          </cell>
          <cell r="Y81">
            <v>8748.91</v>
          </cell>
          <cell r="Z81">
            <v>8940.23</v>
          </cell>
          <cell r="AA81">
            <v>8786.2800000000007</v>
          </cell>
          <cell r="AB81">
            <v>8790.2099999999991</v>
          </cell>
          <cell r="AC81">
            <v>9013.17</v>
          </cell>
          <cell r="AD81">
            <v>8678.2000000000007</v>
          </cell>
          <cell r="AE81">
            <v>8764.75</v>
          </cell>
          <cell r="AF81">
            <v>8986.31</v>
          </cell>
          <cell r="AG81">
            <v>8711.15</v>
          </cell>
          <cell r="AH81">
            <v>8771.1</v>
          </cell>
          <cell r="AI81">
            <v>8665.94</v>
          </cell>
          <cell r="AJ81">
            <v>8776.91</v>
          </cell>
          <cell r="AK81">
            <v>8529.33</v>
          </cell>
          <cell r="AL81">
            <v>8756.01</v>
          </cell>
          <cell r="AM81">
            <v>9022.02</v>
          </cell>
          <cell r="AN81">
            <v>8832.94</v>
          </cell>
          <cell r="AO81">
            <v>8891</v>
          </cell>
          <cell r="AP81">
            <v>8885.61</v>
          </cell>
          <cell r="AQ81">
            <v>8946.18</v>
          </cell>
          <cell r="AR81">
            <v>8705.07</v>
          </cell>
          <cell r="AS81">
            <v>9022.18</v>
          </cell>
          <cell r="AT81">
            <v>8858.73</v>
          </cell>
          <cell r="AU81">
            <v>8887.0499999999993</v>
          </cell>
          <cell r="AV81">
            <v>8952.18</v>
          </cell>
          <cell r="AW81">
            <v>8797.51</v>
          </cell>
          <cell r="AX81">
            <v>8506.02</v>
          </cell>
          <cell r="AY81">
            <v>8688.75</v>
          </cell>
          <cell r="AZ81">
            <v>8419.92</v>
          </cell>
          <cell r="BA81">
            <v>6971.87</v>
          </cell>
        </row>
        <row r="82">
          <cell r="A82" t="str">
            <v>V3000H40B30</v>
          </cell>
          <cell r="B82">
            <v>3000</v>
          </cell>
          <cell r="C82">
            <v>4000</v>
          </cell>
          <cell r="D82">
            <v>3000</v>
          </cell>
          <cell r="E82">
            <v>22</v>
          </cell>
          <cell r="F82">
            <v>4</v>
          </cell>
          <cell r="G82">
            <v>1</v>
          </cell>
          <cell r="H82">
            <v>350</v>
          </cell>
          <cell r="I82">
            <v>70</v>
          </cell>
          <cell r="J82">
            <v>3100.5</v>
          </cell>
          <cell r="K82" t="str">
            <v>Q-12001282</v>
          </cell>
          <cell r="L82" t="str">
            <v>\\hokukon-net2\hop\Program\01_MVPシステム_容量別組立図\.\01_余裕高0_0m\pdf\FB0_3000m3-MVP-4000-組-B3000_Q-12001282.pdf</v>
          </cell>
          <cell r="M82">
            <v>8479.06</v>
          </cell>
          <cell r="N82">
            <v>8559.58</v>
          </cell>
          <cell r="O82">
            <v>8385.49</v>
          </cell>
          <cell r="P82">
            <v>8388.18</v>
          </cell>
          <cell r="Q82">
            <v>8519.44</v>
          </cell>
          <cell r="R82">
            <v>8460.77</v>
          </cell>
          <cell r="S82">
            <v>8442.7000000000007</v>
          </cell>
          <cell r="T82">
            <v>8445.9599999999991</v>
          </cell>
          <cell r="U82">
            <v>8440.06</v>
          </cell>
          <cell r="V82">
            <v>8409.1</v>
          </cell>
          <cell r="W82">
            <v>8447.66</v>
          </cell>
          <cell r="X82">
            <v>8477.76</v>
          </cell>
          <cell r="Y82">
            <v>8481.74</v>
          </cell>
          <cell r="Z82">
            <v>8661.89</v>
          </cell>
          <cell r="AA82">
            <v>8513.82</v>
          </cell>
          <cell r="AB82">
            <v>8522.19</v>
          </cell>
          <cell r="AC82">
            <v>8737.67</v>
          </cell>
          <cell r="AD82">
            <v>8414.25</v>
          </cell>
          <cell r="AE82">
            <v>8496.61</v>
          </cell>
          <cell r="AF82">
            <v>8705.26</v>
          </cell>
          <cell r="AG82">
            <v>8435.77</v>
          </cell>
          <cell r="AH82">
            <v>8494.4599999999991</v>
          </cell>
          <cell r="AI82">
            <v>8392.57</v>
          </cell>
          <cell r="AJ82">
            <v>8499.76</v>
          </cell>
          <cell r="AK82">
            <v>8282.83</v>
          </cell>
          <cell r="AL82">
            <v>8503.4</v>
          </cell>
          <cell r="AM82">
            <v>8755.27</v>
          </cell>
          <cell r="AN82">
            <v>8574.83</v>
          </cell>
          <cell r="AO82">
            <v>8633.1</v>
          </cell>
          <cell r="AP82">
            <v>8626.34</v>
          </cell>
          <cell r="AQ82">
            <v>8684.57</v>
          </cell>
          <cell r="AR82">
            <v>8442.9500000000007</v>
          </cell>
          <cell r="AS82">
            <v>8744.4699999999993</v>
          </cell>
          <cell r="AT82">
            <v>8587.34</v>
          </cell>
          <cell r="AU82">
            <v>8613.23</v>
          </cell>
          <cell r="AV82">
            <v>8676.77</v>
          </cell>
          <cell r="AW82">
            <v>8527.0300000000007</v>
          </cell>
          <cell r="AX82">
            <v>8243.92</v>
          </cell>
          <cell r="AY82">
            <v>8422.69</v>
          </cell>
          <cell r="AZ82">
            <v>8163.04</v>
          </cell>
          <cell r="BA82">
            <v>6717.88</v>
          </cell>
        </row>
        <row r="83">
          <cell r="A83" t="str">
            <v>V3000H40B25</v>
          </cell>
          <cell r="B83">
            <v>3000</v>
          </cell>
          <cell r="C83">
            <v>4000</v>
          </cell>
          <cell r="D83">
            <v>2500</v>
          </cell>
          <cell r="E83">
            <v>24</v>
          </cell>
          <cell r="F83">
            <v>4</v>
          </cell>
          <cell r="G83">
            <v>1</v>
          </cell>
          <cell r="H83">
            <v>350</v>
          </cell>
          <cell r="I83">
            <v>70</v>
          </cell>
          <cell r="J83">
            <v>3078.5</v>
          </cell>
          <cell r="K83" t="str">
            <v>Q-12001281</v>
          </cell>
          <cell r="L83" t="str">
            <v>\\hokukon-net2\hop\Program\01_MVPシステム_容量別組立図\.\01_余裕高0_0m\pdf\FB0_3000m3-MVP-4000-組-B2500_Q-12001281.pdf</v>
          </cell>
          <cell r="M83">
            <v>8778.11</v>
          </cell>
          <cell r="N83">
            <v>8858.5</v>
          </cell>
          <cell r="O83">
            <v>8685.7800000000007</v>
          </cell>
          <cell r="P83">
            <v>8688.4699999999993</v>
          </cell>
          <cell r="Q83">
            <v>8818.09</v>
          </cell>
          <cell r="R83">
            <v>8759.44</v>
          </cell>
          <cell r="S83">
            <v>8740.7800000000007</v>
          </cell>
          <cell r="T83">
            <v>8744.02</v>
          </cell>
          <cell r="U83">
            <v>8741.5300000000007</v>
          </cell>
          <cell r="V83">
            <v>8710.17</v>
          </cell>
          <cell r="W83">
            <v>8748.9500000000007</v>
          </cell>
          <cell r="X83">
            <v>8780.2099999999991</v>
          </cell>
          <cell r="Y83">
            <v>8784.34</v>
          </cell>
          <cell r="Z83">
            <v>8965.25</v>
          </cell>
          <cell r="AA83">
            <v>8817.99</v>
          </cell>
          <cell r="AB83">
            <v>8824.9599999999991</v>
          </cell>
          <cell r="AC83">
            <v>9038.26</v>
          </cell>
          <cell r="AD83">
            <v>8713.92</v>
          </cell>
          <cell r="AE83">
            <v>8797.26</v>
          </cell>
          <cell r="AF83">
            <v>9006.16</v>
          </cell>
          <cell r="AG83">
            <v>8737.9</v>
          </cell>
          <cell r="AH83">
            <v>8796.59</v>
          </cell>
          <cell r="AI83">
            <v>8695.57</v>
          </cell>
          <cell r="AJ83">
            <v>8801.09</v>
          </cell>
          <cell r="AK83">
            <v>8585.48</v>
          </cell>
          <cell r="AL83">
            <v>8804.83</v>
          </cell>
          <cell r="AM83">
            <v>9056.39</v>
          </cell>
          <cell r="AN83">
            <v>8876.66</v>
          </cell>
          <cell r="AO83">
            <v>8933.7999999999993</v>
          </cell>
          <cell r="AP83">
            <v>8927.7800000000007</v>
          </cell>
          <cell r="AQ83">
            <v>8986.16</v>
          </cell>
          <cell r="AR83">
            <v>8741.26</v>
          </cell>
          <cell r="AS83">
            <v>9042.42</v>
          </cell>
          <cell r="AT83">
            <v>8887.2000000000007</v>
          </cell>
          <cell r="AU83">
            <v>8913.36</v>
          </cell>
          <cell r="AV83">
            <v>8975.33</v>
          </cell>
          <cell r="AW83">
            <v>8825.7900000000009</v>
          </cell>
          <cell r="AX83">
            <v>8544.43</v>
          </cell>
          <cell r="AY83">
            <v>8721.32</v>
          </cell>
          <cell r="AZ83">
            <v>8462.94</v>
          </cell>
          <cell r="BA83">
            <v>6979.32</v>
          </cell>
        </row>
        <row r="84">
          <cell r="A84" t="str">
            <v>V3000H40B20</v>
          </cell>
          <cell r="B84">
            <v>3000</v>
          </cell>
          <cell r="C84">
            <v>4000</v>
          </cell>
          <cell r="D84">
            <v>2000</v>
          </cell>
          <cell r="E84">
            <v>26</v>
          </cell>
          <cell r="F84">
            <v>4</v>
          </cell>
          <cell r="G84">
            <v>1</v>
          </cell>
          <cell r="H84">
            <v>350</v>
          </cell>
          <cell r="I84">
            <v>70</v>
          </cell>
          <cell r="J84">
            <v>3008.4</v>
          </cell>
          <cell r="K84" t="str">
            <v>Q-12001280</v>
          </cell>
          <cell r="L84" t="str">
            <v>\\hokukon-net2\hop\Program\01_MVPシステム_容量別組立図\.\01_余裕高0_0m\pdf\FB0_3000m3-MVP-4000-組-B2000_Q-12001280.pdf</v>
          </cell>
          <cell r="M84">
            <v>9018.85</v>
          </cell>
          <cell r="N84">
            <v>9098.02</v>
          </cell>
          <cell r="O84">
            <v>8929.16</v>
          </cell>
          <cell r="P84">
            <v>8931.81</v>
          </cell>
          <cell r="Q84">
            <v>9057.82</v>
          </cell>
          <cell r="R84">
            <v>9000.06</v>
          </cell>
          <cell r="S84">
            <v>8980.93</v>
          </cell>
          <cell r="T84">
            <v>8984.1299999999992</v>
          </cell>
          <cell r="U84">
            <v>8985.66</v>
          </cell>
          <cell r="V84">
            <v>8954.2999999999993</v>
          </cell>
          <cell r="W84">
            <v>8992.69</v>
          </cell>
          <cell r="X84">
            <v>9024.9</v>
          </cell>
          <cell r="Y84">
            <v>9029.2099999999991</v>
          </cell>
          <cell r="Z84">
            <v>9208.49</v>
          </cell>
          <cell r="AA84">
            <v>9064.0499999999993</v>
          </cell>
          <cell r="AB84">
            <v>9069.42</v>
          </cell>
          <cell r="AC84">
            <v>9277.2999999999993</v>
          </cell>
          <cell r="AD84">
            <v>8956.2099999999991</v>
          </cell>
          <cell r="AE84">
            <v>9039.5</v>
          </cell>
          <cell r="AF84">
            <v>9245.8700000000008</v>
          </cell>
          <cell r="AG84">
            <v>8982.67</v>
          </cell>
          <cell r="AH84">
            <v>9040.6</v>
          </cell>
          <cell r="AI84">
            <v>8941.92</v>
          </cell>
          <cell r="AJ84">
            <v>9044.2199999999993</v>
          </cell>
          <cell r="AK84">
            <v>8832.8700000000008</v>
          </cell>
          <cell r="AL84">
            <v>9047.9</v>
          </cell>
          <cell r="AM84">
            <v>9295.7900000000009</v>
          </cell>
          <cell r="AN84">
            <v>9119.27</v>
          </cell>
          <cell r="AO84">
            <v>9174.39</v>
          </cell>
          <cell r="AP84">
            <v>9169.31</v>
          </cell>
          <cell r="AQ84">
            <v>9227.0300000000007</v>
          </cell>
          <cell r="AR84">
            <v>8981.7900000000009</v>
          </cell>
          <cell r="AS84">
            <v>9278.39</v>
          </cell>
          <cell r="AT84">
            <v>9127.3799999999992</v>
          </cell>
          <cell r="AU84">
            <v>9153.3700000000008</v>
          </cell>
          <cell r="AV84">
            <v>9212.89</v>
          </cell>
          <cell r="AW84">
            <v>9065.56</v>
          </cell>
          <cell r="AX84">
            <v>8789.92</v>
          </cell>
          <cell r="AY84">
            <v>8962.34</v>
          </cell>
          <cell r="AZ84">
            <v>8708.82</v>
          </cell>
          <cell r="BA84">
            <v>7195.68</v>
          </cell>
        </row>
        <row r="85">
          <cell r="A85" t="str">
            <v>V3000H45B30</v>
          </cell>
          <cell r="B85">
            <v>3000</v>
          </cell>
          <cell r="C85">
            <v>4500</v>
          </cell>
          <cell r="D85">
            <v>3000</v>
          </cell>
          <cell r="E85">
            <v>19</v>
          </cell>
          <cell r="F85">
            <v>4</v>
          </cell>
          <cell r="G85">
            <v>1</v>
          </cell>
          <cell r="H85">
            <v>350</v>
          </cell>
          <cell r="I85">
            <v>70</v>
          </cell>
          <cell r="J85">
            <v>3031.2</v>
          </cell>
          <cell r="K85" t="str">
            <v>Q-12001283</v>
          </cell>
          <cell r="L85" t="str">
            <v>\\hokukon-net2\hop\Program\01_MVPシステム_容量別組立図\.\01_余裕高0_0m\pdf\FB0_3000m3-MVP-4500-組-B3000_Q-12001283.pdf</v>
          </cell>
          <cell r="M85">
            <v>7893.8</v>
          </cell>
          <cell r="N85">
            <v>7964.21</v>
          </cell>
          <cell r="O85">
            <v>7814.04</v>
          </cell>
          <cell r="P85">
            <v>7816.39</v>
          </cell>
          <cell r="Q85">
            <v>7928.36</v>
          </cell>
          <cell r="R85">
            <v>7876.35</v>
          </cell>
          <cell r="S85">
            <v>7859.05</v>
          </cell>
          <cell r="T85">
            <v>7861.9</v>
          </cell>
          <cell r="U85">
            <v>7864.99</v>
          </cell>
          <cell r="V85">
            <v>7837.43</v>
          </cell>
          <cell r="W85">
            <v>7871.24</v>
          </cell>
          <cell r="X85">
            <v>7900.3</v>
          </cell>
          <cell r="Y85">
            <v>7904.03</v>
          </cell>
          <cell r="Z85">
            <v>8063.78</v>
          </cell>
          <cell r="AA85">
            <v>7934.56</v>
          </cell>
          <cell r="AB85">
            <v>7939.84</v>
          </cell>
          <cell r="AC85">
            <v>8123.76</v>
          </cell>
          <cell r="AD85">
            <v>7837.14</v>
          </cell>
          <cell r="AE85">
            <v>7911.43</v>
          </cell>
          <cell r="AF85">
            <v>8095.71</v>
          </cell>
          <cell r="AG85">
            <v>7862.23</v>
          </cell>
          <cell r="AH85">
            <v>7913.53</v>
          </cell>
          <cell r="AI85">
            <v>7825.45</v>
          </cell>
          <cell r="AJ85">
            <v>7916.75</v>
          </cell>
          <cell r="AK85">
            <v>7728.1</v>
          </cell>
          <cell r="AL85">
            <v>7919.18</v>
          </cell>
          <cell r="AM85">
            <v>8140.12</v>
          </cell>
          <cell r="AN85">
            <v>7984.11</v>
          </cell>
          <cell r="AO85">
            <v>8033.09</v>
          </cell>
          <cell r="AP85">
            <v>8028.1</v>
          </cell>
          <cell r="AQ85">
            <v>8079.66</v>
          </cell>
          <cell r="AR85">
            <v>7860.03</v>
          </cell>
          <cell r="AS85">
            <v>8123.61</v>
          </cell>
          <cell r="AT85">
            <v>7990.01</v>
          </cell>
          <cell r="AU85">
            <v>8012.31</v>
          </cell>
          <cell r="AV85">
            <v>8066.1</v>
          </cell>
          <cell r="AW85">
            <v>7935</v>
          </cell>
          <cell r="AX85">
            <v>7689.05</v>
          </cell>
          <cell r="AY85">
            <v>7842.79</v>
          </cell>
          <cell r="AZ85">
            <v>7617.07</v>
          </cell>
          <cell r="BA85">
            <v>6271.04</v>
          </cell>
        </row>
        <row r="86">
          <cell r="A86" t="str">
            <v>V3000H45B25</v>
          </cell>
          <cell r="B86">
            <v>3000</v>
          </cell>
          <cell r="C86">
            <v>4500</v>
          </cell>
          <cell r="D86">
            <v>2500</v>
          </cell>
          <cell r="E86">
            <v>21</v>
          </cell>
          <cell r="F86">
            <v>4</v>
          </cell>
          <cell r="G86">
            <v>1</v>
          </cell>
          <cell r="H86">
            <v>350</v>
          </cell>
          <cell r="I86">
            <v>70</v>
          </cell>
          <cell r="J86">
            <v>3047.5</v>
          </cell>
          <cell r="K86" t="str">
            <v>Q-12001282</v>
          </cell>
          <cell r="L86" t="str">
            <v>\\hokukon-net2\hop\Program\01_MVPシステム_容量別組立図\.\01_余裕高0_0m\pdf\FB0_3000m3-MVP-4500-組-B2500_Q-12001282.pdf</v>
          </cell>
          <cell r="M86">
            <v>8251.4699999999993</v>
          </cell>
          <cell r="N86">
            <v>8322.59</v>
          </cell>
          <cell r="O86">
            <v>8171.79</v>
          </cell>
          <cell r="P86">
            <v>8174.17</v>
          </cell>
          <cell r="Q86">
            <v>8286.14</v>
          </cell>
          <cell r="R86">
            <v>8233.59</v>
          </cell>
          <cell r="S86">
            <v>8215.64</v>
          </cell>
          <cell r="T86">
            <v>8218.5</v>
          </cell>
          <cell r="U86">
            <v>8224.2199999999993</v>
          </cell>
          <cell r="V86">
            <v>8196.02</v>
          </cell>
          <cell r="W86">
            <v>8230.3799999999992</v>
          </cell>
          <cell r="X86">
            <v>8260.66</v>
          </cell>
          <cell r="Y86">
            <v>8264.57</v>
          </cell>
          <cell r="Z86">
            <v>8426.68</v>
          </cell>
          <cell r="AA86">
            <v>8296.7000000000007</v>
          </cell>
          <cell r="AB86">
            <v>8300.89</v>
          </cell>
          <cell r="AC86">
            <v>8485.2099999999991</v>
          </cell>
          <cell r="AD86">
            <v>8194.74</v>
          </cell>
          <cell r="AE86">
            <v>8270.6200000000008</v>
          </cell>
          <cell r="AF86">
            <v>8457.11</v>
          </cell>
          <cell r="AG86">
            <v>8221.9599999999991</v>
          </cell>
          <cell r="AH86">
            <v>8273.82</v>
          </cell>
          <cell r="AI86">
            <v>8185.47</v>
          </cell>
          <cell r="AJ86">
            <v>8276.4699999999993</v>
          </cell>
          <cell r="AK86">
            <v>8086.77</v>
          </cell>
          <cell r="AL86">
            <v>8279.0400000000009</v>
          </cell>
          <cell r="AM86">
            <v>8502.17</v>
          </cell>
          <cell r="AN86">
            <v>8344.92</v>
          </cell>
          <cell r="AO86">
            <v>8393.59</v>
          </cell>
          <cell r="AP86">
            <v>8389.11</v>
          </cell>
          <cell r="AQ86">
            <v>8441.39</v>
          </cell>
          <cell r="AR86">
            <v>8216.7900000000009</v>
          </cell>
          <cell r="AS86">
            <v>8483.07</v>
          </cell>
          <cell r="AT86">
            <v>8349.4</v>
          </cell>
          <cell r="AU86">
            <v>8372.2199999999993</v>
          </cell>
          <cell r="AV86">
            <v>8425.35</v>
          </cell>
          <cell r="AW86">
            <v>8292.93</v>
          </cell>
          <cell r="AX86">
            <v>8045.67</v>
          </cell>
          <cell r="AY86">
            <v>8199.59</v>
          </cell>
          <cell r="AZ86">
            <v>7972.38</v>
          </cell>
          <cell r="BA86">
            <v>6574.76</v>
          </cell>
        </row>
        <row r="87">
          <cell r="A87" t="str">
            <v>V3000H45B20</v>
          </cell>
          <cell r="B87">
            <v>3000</v>
          </cell>
          <cell r="C87">
            <v>4500</v>
          </cell>
          <cell r="D87">
            <v>2000</v>
          </cell>
          <cell r="E87">
            <v>23</v>
          </cell>
          <cell r="F87">
            <v>4</v>
          </cell>
          <cell r="G87">
            <v>1</v>
          </cell>
          <cell r="H87">
            <v>350</v>
          </cell>
          <cell r="I87">
            <v>70</v>
          </cell>
          <cell r="J87">
            <v>3009.7</v>
          </cell>
          <cell r="K87" t="str">
            <v>Q-12001281</v>
          </cell>
          <cell r="L87" t="str">
            <v>\\hokukon-net2\hop\Program\01_MVPシステム_容量別組立図\.\01_余裕高0_0m\pdf\FB0_3000m3-MVP-4500-組-B2000_Q-12001281.pdf</v>
          </cell>
          <cell r="M87">
            <v>8563.01</v>
          </cell>
          <cell r="N87">
            <v>8633.7000000000007</v>
          </cell>
          <cell r="O87">
            <v>8484.99</v>
          </cell>
          <cell r="P87">
            <v>8487.35</v>
          </cell>
          <cell r="Q87">
            <v>8597.07</v>
          </cell>
          <cell r="R87">
            <v>8544.68</v>
          </cell>
          <cell r="S87">
            <v>8526.08</v>
          </cell>
          <cell r="T87">
            <v>8528.93</v>
          </cell>
          <cell r="U87">
            <v>8538.59</v>
          </cell>
          <cell r="V87">
            <v>8510.08</v>
          </cell>
          <cell r="W87">
            <v>8544.58</v>
          </cell>
          <cell r="X87">
            <v>8576.09</v>
          </cell>
          <cell r="Y87">
            <v>8580.17</v>
          </cell>
          <cell r="Z87">
            <v>8742.6</v>
          </cell>
          <cell r="AA87">
            <v>8613.94</v>
          </cell>
          <cell r="AB87">
            <v>8616.5499999999993</v>
          </cell>
          <cell r="AC87">
            <v>8797.67</v>
          </cell>
          <cell r="AD87">
            <v>8507.15</v>
          </cell>
          <cell r="AE87">
            <v>8583.8799999999992</v>
          </cell>
          <cell r="AF87">
            <v>8770.0300000000007</v>
          </cell>
          <cell r="AG87">
            <v>8537.15</v>
          </cell>
          <cell r="AH87">
            <v>8588.76</v>
          </cell>
          <cell r="AI87">
            <v>8501.73</v>
          </cell>
          <cell r="AJ87">
            <v>8590.56</v>
          </cell>
          <cell r="AK87">
            <v>8403.0300000000007</v>
          </cell>
          <cell r="AL87">
            <v>8593.1200000000008</v>
          </cell>
          <cell r="AM87">
            <v>8815.14</v>
          </cell>
          <cell r="AN87">
            <v>8659.34</v>
          </cell>
          <cell r="AO87">
            <v>8706.51</v>
          </cell>
          <cell r="AP87">
            <v>8702.8700000000008</v>
          </cell>
          <cell r="AQ87">
            <v>8755.17</v>
          </cell>
          <cell r="AR87">
            <v>8527.52</v>
          </cell>
          <cell r="AS87">
            <v>8792.42</v>
          </cell>
          <cell r="AT87">
            <v>8661.4599999999991</v>
          </cell>
          <cell r="AU87">
            <v>8684.44</v>
          </cell>
          <cell r="AV87">
            <v>8735.66</v>
          </cell>
          <cell r="AW87">
            <v>8603.9699999999993</v>
          </cell>
          <cell r="AX87">
            <v>8359.5499999999993</v>
          </cell>
          <cell r="AY87">
            <v>8510.75</v>
          </cell>
          <cell r="AZ87">
            <v>8285.7999999999993</v>
          </cell>
          <cell r="BA87">
            <v>6846.17</v>
          </cell>
        </row>
        <row r="88">
          <cell r="A88" t="str">
            <v>V5000H15B30</v>
          </cell>
          <cell r="B88">
            <v>5000</v>
          </cell>
          <cell r="C88">
            <v>1500</v>
          </cell>
          <cell r="D88">
            <v>3000</v>
          </cell>
          <cell r="E88">
            <v>50</v>
          </cell>
          <cell r="F88">
            <v>5</v>
          </cell>
          <cell r="G88">
            <v>3</v>
          </cell>
          <cell r="H88">
            <v>350</v>
          </cell>
          <cell r="I88">
            <v>50</v>
          </cell>
          <cell r="J88">
            <v>5040</v>
          </cell>
          <cell r="K88" t="str">
            <v>Q-11002916</v>
          </cell>
          <cell r="L88" t="str">
            <v>\\hokukon-net2\hop\Program\01_MVPシステム_容量別組立図\.\01_余裕高0_0m\pdf\FB0_5000m3-MVP-1500-組-B3000_Q-11002916.pdf</v>
          </cell>
          <cell r="M88">
            <v>20298.59</v>
          </cell>
          <cell r="N88">
            <v>20612.12</v>
          </cell>
          <cell r="O88">
            <v>19854.54</v>
          </cell>
          <cell r="P88">
            <v>19865.71</v>
          </cell>
          <cell r="Q88">
            <v>20466.46</v>
          </cell>
          <cell r="R88">
            <v>20226.27</v>
          </cell>
          <cell r="S88">
            <v>20181.099999999999</v>
          </cell>
          <cell r="T88">
            <v>20194.599999999999</v>
          </cell>
          <cell r="U88">
            <v>20000.669999999998</v>
          </cell>
          <cell r="V88">
            <v>19889.759999999998</v>
          </cell>
          <cell r="W88">
            <v>20049.400000000001</v>
          </cell>
          <cell r="X88">
            <v>20112.05</v>
          </cell>
          <cell r="Y88">
            <v>20119.36</v>
          </cell>
          <cell r="Z88">
            <v>20817.79</v>
          </cell>
          <cell r="AA88">
            <v>20203.14</v>
          </cell>
          <cell r="AB88">
            <v>20288.150000000001</v>
          </cell>
          <cell r="AC88">
            <v>21268.61</v>
          </cell>
          <cell r="AD88">
            <v>20038.669999999998</v>
          </cell>
          <cell r="AE88">
            <v>20323.96</v>
          </cell>
          <cell r="AF88">
            <v>21157.13</v>
          </cell>
          <cell r="AG88">
            <v>20001.21</v>
          </cell>
          <cell r="AH88">
            <v>20222.46</v>
          </cell>
          <cell r="AI88">
            <v>19786.73</v>
          </cell>
          <cell r="AJ88">
            <v>20290.14</v>
          </cell>
          <cell r="AK88">
            <v>19334.560000000001</v>
          </cell>
          <cell r="AL88">
            <v>20263.34</v>
          </cell>
          <cell r="AM88">
            <v>21295.22</v>
          </cell>
          <cell r="AN88">
            <v>20524.36</v>
          </cell>
          <cell r="AO88">
            <v>20808.82</v>
          </cell>
          <cell r="AP88">
            <v>20747.650000000001</v>
          </cell>
          <cell r="AQ88">
            <v>20980.93</v>
          </cell>
          <cell r="AR88">
            <v>20179.009999999998</v>
          </cell>
          <cell r="AS88">
            <v>21428.49</v>
          </cell>
          <cell r="AT88">
            <v>20703.95</v>
          </cell>
          <cell r="AU88">
            <v>20813.03</v>
          </cell>
          <cell r="AV88">
            <v>21121.85</v>
          </cell>
          <cell r="AW88">
            <v>20526.32</v>
          </cell>
          <cell r="AX88">
            <v>19323.96</v>
          </cell>
          <cell r="AY88">
            <v>20108.150000000001</v>
          </cell>
          <cell r="AZ88">
            <v>19022.150000000001</v>
          </cell>
          <cell r="BA88">
            <v>15862.5</v>
          </cell>
        </row>
        <row r="89">
          <cell r="A89" t="str">
            <v>V5000H15B25</v>
          </cell>
          <cell r="B89">
            <v>5000</v>
          </cell>
          <cell r="C89">
            <v>1500</v>
          </cell>
          <cell r="D89">
            <v>2500</v>
          </cell>
          <cell r="E89">
            <v>46</v>
          </cell>
          <cell r="F89">
            <v>6</v>
          </cell>
          <cell r="G89">
            <v>3</v>
          </cell>
          <cell r="H89">
            <v>350</v>
          </cell>
          <cell r="I89">
            <v>50</v>
          </cell>
          <cell r="J89">
            <v>5067.2</v>
          </cell>
          <cell r="K89" t="str">
            <v>Q-11002915</v>
          </cell>
          <cell r="L89" t="str">
            <v>\\hokukon-net2\hop\Program\01_MVPシステム_容量別組立図\.\01_余裕高0_0m\pdf\FB0_5000m3-MVP-1500-組-B2500_Q-11002915.pdf</v>
          </cell>
          <cell r="M89">
            <v>20857.240000000002</v>
          </cell>
          <cell r="N89">
            <v>21173.5</v>
          </cell>
          <cell r="O89">
            <v>20412.650000000001</v>
          </cell>
          <cell r="P89">
            <v>20423.91</v>
          </cell>
          <cell r="Q89">
            <v>21025.77</v>
          </cell>
          <cell r="R89">
            <v>20783.38</v>
          </cell>
          <cell r="S89">
            <v>20736.060000000001</v>
          </cell>
          <cell r="T89">
            <v>20749.650000000001</v>
          </cell>
          <cell r="U89">
            <v>20564.52</v>
          </cell>
          <cell r="V89">
            <v>20451.5</v>
          </cell>
          <cell r="W89">
            <v>20612.73</v>
          </cell>
          <cell r="X89">
            <v>20679.490000000002</v>
          </cell>
          <cell r="Y89">
            <v>20687.439999999999</v>
          </cell>
          <cell r="Z89">
            <v>21394.42</v>
          </cell>
          <cell r="AA89">
            <v>20775.900000000001</v>
          </cell>
          <cell r="AB89">
            <v>20857.96</v>
          </cell>
          <cell r="AC89">
            <v>21841.52</v>
          </cell>
          <cell r="AD89">
            <v>20597.95</v>
          </cell>
          <cell r="AE89">
            <v>20888.66</v>
          </cell>
          <cell r="AF89">
            <v>21730.58</v>
          </cell>
          <cell r="AG89">
            <v>20568.14</v>
          </cell>
          <cell r="AH89">
            <v>20791.64</v>
          </cell>
          <cell r="AI89">
            <v>20353.830000000002</v>
          </cell>
          <cell r="AJ89">
            <v>20857.669999999998</v>
          </cell>
          <cell r="AK89">
            <v>19893.12</v>
          </cell>
          <cell r="AL89">
            <v>20827.580000000002</v>
          </cell>
          <cell r="AM89">
            <v>21868.63</v>
          </cell>
          <cell r="AN89">
            <v>21092.61</v>
          </cell>
          <cell r="AO89">
            <v>21376.57</v>
          </cell>
          <cell r="AP89">
            <v>21316.75</v>
          </cell>
          <cell r="AQ89">
            <v>21552.47</v>
          </cell>
          <cell r="AR89">
            <v>20736.419999999998</v>
          </cell>
          <cell r="AS89">
            <v>21996.44</v>
          </cell>
          <cell r="AT89">
            <v>21270.76</v>
          </cell>
          <cell r="AU89">
            <v>21381</v>
          </cell>
          <cell r="AV89">
            <v>21689.02</v>
          </cell>
          <cell r="AW89">
            <v>21088.92</v>
          </cell>
          <cell r="AX89">
            <v>19879.580000000002</v>
          </cell>
          <cell r="AY89">
            <v>20666.53</v>
          </cell>
          <cell r="AZ89">
            <v>19573.52</v>
          </cell>
          <cell r="BA89">
            <v>16401.36</v>
          </cell>
        </row>
        <row r="90">
          <cell r="A90" t="str">
            <v>V5000H15B20</v>
          </cell>
          <cell r="B90">
            <v>5000</v>
          </cell>
          <cell r="C90">
            <v>1500</v>
          </cell>
          <cell r="D90">
            <v>2000</v>
          </cell>
          <cell r="E90">
            <v>50</v>
          </cell>
          <cell r="F90">
            <v>6</v>
          </cell>
          <cell r="G90">
            <v>3</v>
          </cell>
          <cell r="H90">
            <v>350</v>
          </cell>
          <cell r="I90">
            <v>50</v>
          </cell>
          <cell r="J90">
            <v>5044.2</v>
          </cell>
          <cell r="K90" t="str">
            <v>Q-11002914</v>
          </cell>
          <cell r="L90" t="str">
            <v>\\hokukon-net2\hop\Program\01_MVPシステム_容量別組立図\.\01_余裕高0_0m\pdf\FB0_5000m3-MVP-1500-組-B2000_Q-11002914.pdf</v>
          </cell>
          <cell r="M90">
            <v>21267.95</v>
          </cell>
          <cell r="N90">
            <v>21584.12</v>
          </cell>
          <cell r="O90">
            <v>20825.57</v>
          </cell>
          <cell r="P90">
            <v>20836.830000000002</v>
          </cell>
          <cell r="Q90">
            <v>21435.5</v>
          </cell>
          <cell r="R90">
            <v>21192.86</v>
          </cell>
          <cell r="S90">
            <v>21143.9</v>
          </cell>
          <cell r="T90">
            <v>21157.51</v>
          </cell>
          <cell r="U90">
            <v>20981.32</v>
          </cell>
          <cell r="V90">
            <v>20867.04</v>
          </cell>
          <cell r="W90">
            <v>21029.03</v>
          </cell>
          <cell r="X90">
            <v>21098.98</v>
          </cell>
          <cell r="Y90">
            <v>21107.39</v>
          </cell>
          <cell r="Z90">
            <v>21817.56</v>
          </cell>
          <cell r="AA90">
            <v>21200.09</v>
          </cell>
          <cell r="AB90">
            <v>21278.54</v>
          </cell>
          <cell r="AC90">
            <v>22258.52</v>
          </cell>
          <cell r="AD90">
            <v>21011.69</v>
          </cell>
          <cell r="AE90">
            <v>21305.33</v>
          </cell>
          <cell r="AF90">
            <v>22149.51</v>
          </cell>
          <cell r="AG90">
            <v>20988.66</v>
          </cell>
          <cell r="AH90">
            <v>21212.37</v>
          </cell>
          <cell r="AI90">
            <v>20776.099999999999</v>
          </cell>
          <cell r="AJ90">
            <v>21276.71</v>
          </cell>
          <cell r="AK90">
            <v>20310.38</v>
          </cell>
          <cell r="AL90">
            <v>21243.18</v>
          </cell>
          <cell r="AM90">
            <v>22285.58</v>
          </cell>
          <cell r="AN90">
            <v>21509.89</v>
          </cell>
          <cell r="AO90">
            <v>21791.39</v>
          </cell>
          <cell r="AP90">
            <v>21733.25</v>
          </cell>
          <cell r="AQ90">
            <v>21969.77</v>
          </cell>
          <cell r="AR90">
            <v>21146.75</v>
          </cell>
          <cell r="AS90">
            <v>22408.1</v>
          </cell>
          <cell r="AT90">
            <v>21686.22</v>
          </cell>
          <cell r="AU90">
            <v>21797.19</v>
          </cell>
          <cell r="AV90">
            <v>22101.85</v>
          </cell>
          <cell r="AW90">
            <v>21502.04</v>
          </cell>
          <cell r="AX90">
            <v>20295.03</v>
          </cell>
          <cell r="AY90">
            <v>21078.53</v>
          </cell>
          <cell r="AZ90">
            <v>19987.03</v>
          </cell>
          <cell r="BA90">
            <v>16822.57</v>
          </cell>
        </row>
        <row r="91">
          <cell r="A91" t="str">
            <v>V5000H20B30</v>
          </cell>
          <cell r="B91">
            <v>5000</v>
          </cell>
          <cell r="C91">
            <v>2000</v>
          </cell>
          <cell r="D91">
            <v>3000</v>
          </cell>
          <cell r="E91">
            <v>46</v>
          </cell>
          <cell r="F91">
            <v>4</v>
          </cell>
          <cell r="G91">
            <v>3</v>
          </cell>
          <cell r="H91">
            <v>350</v>
          </cell>
          <cell r="I91">
            <v>50</v>
          </cell>
          <cell r="J91">
            <v>5096.3999999999996</v>
          </cell>
          <cell r="K91" t="str">
            <v>Q-11002919</v>
          </cell>
          <cell r="L91" t="str">
            <v>\\hokukon-net2\hop\Program\01_MVPシステム_容量別組立図\.\01_余裕高0_0m\pdf\FB0_5000m3-MVP-2000-組-B3000_Q-11002919.pdf</v>
          </cell>
          <cell r="M91">
            <v>16128.31</v>
          </cell>
          <cell r="N91">
            <v>16366.92</v>
          </cell>
          <cell r="O91">
            <v>15793.85</v>
          </cell>
          <cell r="P91">
            <v>15802.33</v>
          </cell>
          <cell r="Q91">
            <v>16255.09</v>
          </cell>
          <cell r="R91">
            <v>16073.05</v>
          </cell>
          <cell r="S91">
            <v>16037.71</v>
          </cell>
          <cell r="T91">
            <v>16047.95</v>
          </cell>
          <cell r="U91">
            <v>15907.88</v>
          </cell>
          <cell r="V91">
            <v>15823.06</v>
          </cell>
          <cell r="W91">
            <v>15943.93</v>
          </cell>
          <cell r="X91">
            <v>15993.91</v>
          </cell>
          <cell r="Y91">
            <v>15999.64</v>
          </cell>
          <cell r="Z91">
            <v>16530.830000000002</v>
          </cell>
          <cell r="AA91">
            <v>16064.49</v>
          </cell>
          <cell r="AB91">
            <v>16127.51</v>
          </cell>
          <cell r="AC91">
            <v>16867.52</v>
          </cell>
          <cell r="AD91">
            <v>15931.03</v>
          </cell>
          <cell r="AE91">
            <v>16149.65</v>
          </cell>
          <cell r="AF91">
            <v>16782.55</v>
          </cell>
          <cell r="AG91">
            <v>15908.18</v>
          </cell>
          <cell r="AH91">
            <v>16076.67</v>
          </cell>
          <cell r="AI91">
            <v>15746.72</v>
          </cell>
          <cell r="AJ91">
            <v>16126.49</v>
          </cell>
          <cell r="AK91">
            <v>15401.4</v>
          </cell>
          <cell r="AL91">
            <v>16105.72</v>
          </cell>
          <cell r="AM91">
            <v>16889.04</v>
          </cell>
          <cell r="AN91">
            <v>16305.54</v>
          </cell>
          <cell r="AO91">
            <v>16519.66</v>
          </cell>
          <cell r="AP91">
            <v>16474.419999999998</v>
          </cell>
          <cell r="AQ91">
            <v>16651.599999999999</v>
          </cell>
          <cell r="AR91">
            <v>16037.47</v>
          </cell>
          <cell r="AS91">
            <v>16984.73</v>
          </cell>
          <cell r="AT91">
            <v>16438.16</v>
          </cell>
          <cell r="AU91">
            <v>16520.259999999998</v>
          </cell>
          <cell r="AV91">
            <v>16753.12</v>
          </cell>
          <cell r="AW91">
            <v>16300.96</v>
          </cell>
          <cell r="AX91">
            <v>15389.68</v>
          </cell>
          <cell r="AY91">
            <v>15983.44</v>
          </cell>
          <cell r="AZ91">
            <v>15159.7</v>
          </cell>
          <cell r="BA91">
            <v>12618.1</v>
          </cell>
        </row>
        <row r="92">
          <cell r="A92" t="str">
            <v>V5000H20B25</v>
          </cell>
          <cell r="B92">
            <v>5000</v>
          </cell>
          <cell r="C92">
            <v>2000</v>
          </cell>
          <cell r="D92">
            <v>2500</v>
          </cell>
          <cell r="E92">
            <v>40</v>
          </cell>
          <cell r="F92">
            <v>5</v>
          </cell>
          <cell r="G92">
            <v>2</v>
          </cell>
          <cell r="H92">
            <v>350</v>
          </cell>
          <cell r="I92">
            <v>50</v>
          </cell>
          <cell r="J92">
            <v>5023.8999999999996</v>
          </cell>
          <cell r="K92" t="str">
            <v>Q-11002918</v>
          </cell>
          <cell r="L92" t="str">
            <v>\\hokukon-net2\hop\Program\01_MVPシステム_容量別組立図\.\01_余裕高0_0m\pdf\FB0_5000m3-MVP-2000-組-B2500_Q-11002918.pdf</v>
          </cell>
          <cell r="M92">
            <v>16253.71</v>
          </cell>
          <cell r="N92">
            <v>16489.57</v>
          </cell>
          <cell r="O92">
            <v>15925.92</v>
          </cell>
          <cell r="P92">
            <v>15934.28</v>
          </cell>
          <cell r="Q92">
            <v>16378.66</v>
          </cell>
          <cell r="R92">
            <v>16198.59</v>
          </cell>
          <cell r="S92">
            <v>16162.38</v>
          </cell>
          <cell r="T92">
            <v>16172.48</v>
          </cell>
          <cell r="U92">
            <v>16042.59</v>
          </cell>
          <cell r="V92">
            <v>15957.89</v>
          </cell>
          <cell r="W92">
            <v>16077.3</v>
          </cell>
          <cell r="X92">
            <v>16129.61</v>
          </cell>
          <cell r="Y92">
            <v>16135.86</v>
          </cell>
          <cell r="Z92">
            <v>16662.64</v>
          </cell>
          <cell r="AA92">
            <v>16202.92</v>
          </cell>
          <cell r="AB92">
            <v>16262.13</v>
          </cell>
          <cell r="AC92">
            <v>16989.05</v>
          </cell>
          <cell r="AD92">
            <v>16061.17</v>
          </cell>
          <cell r="AE92">
            <v>16279.44</v>
          </cell>
          <cell r="AF92">
            <v>16906.04</v>
          </cell>
          <cell r="AG92">
            <v>16044.93</v>
          </cell>
          <cell r="AH92">
            <v>16211.93</v>
          </cell>
          <cell r="AI92">
            <v>15887.05</v>
          </cell>
          <cell r="AJ92">
            <v>16259.23</v>
          </cell>
          <cell r="AK92">
            <v>15542.39</v>
          </cell>
          <cell r="AL92">
            <v>16236.48</v>
          </cell>
          <cell r="AM92">
            <v>17010.47</v>
          </cell>
          <cell r="AN92">
            <v>16435.22</v>
          </cell>
          <cell r="AO92">
            <v>16644.45</v>
          </cell>
          <cell r="AP92">
            <v>16601.259999999998</v>
          </cell>
          <cell r="AQ92">
            <v>16776.55</v>
          </cell>
          <cell r="AR92">
            <v>16164.05</v>
          </cell>
          <cell r="AS92">
            <v>17099.57</v>
          </cell>
          <cell r="AT92">
            <v>16563.740000000002</v>
          </cell>
          <cell r="AU92">
            <v>16644.939999999999</v>
          </cell>
          <cell r="AV92">
            <v>16872.400000000001</v>
          </cell>
          <cell r="AW92">
            <v>16426.03</v>
          </cell>
          <cell r="AX92">
            <v>15528.28</v>
          </cell>
          <cell r="AY92">
            <v>16111.85</v>
          </cell>
          <cell r="AZ92">
            <v>15299.81</v>
          </cell>
          <cell r="BA92">
            <v>12789.3</v>
          </cell>
        </row>
        <row r="93">
          <cell r="A93" t="str">
            <v>V5000H20B20</v>
          </cell>
          <cell r="B93">
            <v>5000</v>
          </cell>
          <cell r="C93">
            <v>2000</v>
          </cell>
          <cell r="D93">
            <v>2000</v>
          </cell>
          <cell r="E93">
            <v>44</v>
          </cell>
          <cell r="F93">
            <v>5</v>
          </cell>
          <cell r="G93">
            <v>2</v>
          </cell>
          <cell r="H93">
            <v>350</v>
          </cell>
          <cell r="I93">
            <v>50</v>
          </cell>
          <cell r="J93">
            <v>5069.8</v>
          </cell>
          <cell r="K93" t="str">
            <v>Q-11002917</v>
          </cell>
          <cell r="L93" t="str">
            <v>\\hokukon-net2\hop\Program\01_MVPシステム_容量別組立図\.\01_余裕高0_0m\pdf\FB0_5000m3-MVP-2000-組-B2000_Q-11002917.pdf</v>
          </cell>
          <cell r="M93">
            <v>16802.36</v>
          </cell>
          <cell r="N93">
            <v>17041.18</v>
          </cell>
          <cell r="O93">
            <v>16471.919999999998</v>
          </cell>
          <cell r="P93">
            <v>16480.400000000001</v>
          </cell>
          <cell r="Q93">
            <v>16928.22</v>
          </cell>
          <cell r="R93">
            <v>16745.66</v>
          </cell>
          <cell r="S93">
            <v>16707.79</v>
          </cell>
          <cell r="T93">
            <v>16718.03</v>
          </cell>
          <cell r="U93">
            <v>16592.900000000001</v>
          </cell>
          <cell r="V93">
            <v>16506.18</v>
          </cell>
          <cell r="W93">
            <v>16627.71</v>
          </cell>
          <cell r="X93">
            <v>16682.97</v>
          </cell>
          <cell r="Y93">
            <v>16689.63</v>
          </cell>
          <cell r="Z93">
            <v>17225.54</v>
          </cell>
          <cell r="AA93">
            <v>16760.62</v>
          </cell>
          <cell r="AB93">
            <v>16818.02</v>
          </cell>
          <cell r="AC93">
            <v>17551.79</v>
          </cell>
          <cell r="AD93">
            <v>16609.599999999999</v>
          </cell>
          <cell r="AE93">
            <v>16832.75</v>
          </cell>
          <cell r="AF93">
            <v>17469.09</v>
          </cell>
          <cell r="AG93">
            <v>16598.03</v>
          </cell>
          <cell r="AH93">
            <v>16767.28</v>
          </cell>
          <cell r="AI93">
            <v>16439.349999999999</v>
          </cell>
          <cell r="AJ93">
            <v>16813.990000000002</v>
          </cell>
          <cell r="AK93">
            <v>16086.58</v>
          </cell>
          <cell r="AL93">
            <v>16788.439999999999</v>
          </cell>
          <cell r="AM93">
            <v>17573.43</v>
          </cell>
          <cell r="AN93">
            <v>16990.96</v>
          </cell>
          <cell r="AO93">
            <v>17201.11</v>
          </cell>
          <cell r="AP93">
            <v>17395.240000000002</v>
          </cell>
          <cell r="AQ93">
            <v>17336.7</v>
          </cell>
          <cell r="AR93">
            <v>16711.310000000001</v>
          </cell>
          <cell r="AS93">
            <v>17659.900000000001</v>
          </cell>
          <cell r="AT93">
            <v>17119.87</v>
          </cell>
          <cell r="AU93">
            <v>17202.669999999998</v>
          </cell>
          <cell r="AV93">
            <v>17430.62</v>
          </cell>
          <cell r="AW93">
            <v>16978.71</v>
          </cell>
          <cell r="AX93">
            <v>16071.06</v>
          </cell>
          <cell r="AY93">
            <v>16659.62</v>
          </cell>
          <cell r="AZ93">
            <v>15838.21</v>
          </cell>
          <cell r="BA93">
            <v>13291.19</v>
          </cell>
        </row>
        <row r="94">
          <cell r="A94" t="str">
            <v>V5000H25B30</v>
          </cell>
          <cell r="B94">
            <v>5000</v>
          </cell>
          <cell r="C94">
            <v>2500</v>
          </cell>
          <cell r="D94">
            <v>3000</v>
          </cell>
          <cell r="E94">
            <v>41</v>
          </cell>
          <cell r="F94">
            <v>6</v>
          </cell>
          <cell r="G94">
            <v>2</v>
          </cell>
          <cell r="H94">
            <v>300</v>
          </cell>
          <cell r="I94">
            <v>50</v>
          </cell>
          <cell r="J94">
            <v>5102.2</v>
          </cell>
          <cell r="K94" t="str">
            <v>Q-11002922</v>
          </cell>
          <cell r="L94" t="str">
            <v>\\hokukon-net2\hop\Program\01_MVPシステム_容量別組立図\.\01_余裕高0_0m\pdf\FB0_5000m3-MVP-2500-組-B3000_Q-11002922.pdf</v>
          </cell>
          <cell r="M94">
            <v>15835.94</v>
          </cell>
          <cell r="N94">
            <v>16015.6</v>
          </cell>
          <cell r="O94">
            <v>15598.87</v>
          </cell>
          <cell r="P94">
            <v>15605.3</v>
          </cell>
          <cell r="Q94">
            <v>15931.44</v>
          </cell>
          <cell r="R94">
            <v>15795.8</v>
          </cell>
          <cell r="S94">
            <v>15762.32</v>
          </cell>
          <cell r="T94">
            <v>15770.08</v>
          </cell>
          <cell r="U94">
            <v>15716.85</v>
          </cell>
          <cell r="V94">
            <v>15646.73</v>
          </cell>
          <cell r="W94">
            <v>15740.76</v>
          </cell>
          <cell r="X94">
            <v>15799.08</v>
          </cell>
          <cell r="Y94">
            <v>15808.42</v>
          </cell>
          <cell r="Z94">
            <v>16220.91</v>
          </cell>
          <cell r="AA94">
            <v>15871.02</v>
          </cell>
          <cell r="AB94">
            <v>15901.07</v>
          </cell>
          <cell r="AC94">
            <v>16430.689999999999</v>
          </cell>
          <cell r="AD94">
            <v>15702.88</v>
          </cell>
          <cell r="AE94">
            <v>15877.45</v>
          </cell>
          <cell r="AF94">
            <v>16363.82</v>
          </cell>
          <cell r="AG94">
            <v>15729.26</v>
          </cell>
          <cell r="AH94">
            <v>15861.4</v>
          </cell>
          <cell r="AI94">
            <v>15615.94</v>
          </cell>
          <cell r="AJ94">
            <v>15887.93</v>
          </cell>
          <cell r="AK94">
            <v>15336.16</v>
          </cell>
          <cell r="AL94">
            <v>15854.61</v>
          </cell>
          <cell r="AM94">
            <v>16445.64</v>
          </cell>
          <cell r="AN94">
            <v>16012.25</v>
          </cell>
          <cell r="AO94">
            <v>16159.75</v>
          </cell>
          <cell r="AP94">
            <v>16138.69</v>
          </cell>
          <cell r="AQ94">
            <v>16270.29</v>
          </cell>
          <cell r="AR94">
            <v>15777.13</v>
          </cell>
          <cell r="AS94">
            <v>16489</v>
          </cell>
          <cell r="AT94">
            <v>16094.09</v>
          </cell>
          <cell r="AU94">
            <v>16156.35</v>
          </cell>
          <cell r="AV94">
            <v>16322</v>
          </cell>
          <cell r="AW94">
            <v>15973.86</v>
          </cell>
          <cell r="AX94">
            <v>15308.23</v>
          </cell>
          <cell r="AY94">
            <v>15735.74</v>
          </cell>
          <cell r="AZ94">
            <v>15123.01</v>
          </cell>
          <cell r="BA94">
            <v>12440.49</v>
          </cell>
        </row>
        <row r="95">
          <cell r="A95" t="str">
            <v>V5000H25B25</v>
          </cell>
          <cell r="B95">
            <v>5000</v>
          </cell>
          <cell r="C95">
            <v>2500</v>
          </cell>
          <cell r="D95">
            <v>2500</v>
          </cell>
          <cell r="E95">
            <v>39</v>
          </cell>
          <cell r="F95">
            <v>7</v>
          </cell>
          <cell r="G95">
            <v>2</v>
          </cell>
          <cell r="H95">
            <v>300</v>
          </cell>
          <cell r="I95">
            <v>50</v>
          </cell>
          <cell r="J95">
            <v>5097.3999999999996</v>
          </cell>
          <cell r="K95" t="str">
            <v>Q-11002921</v>
          </cell>
          <cell r="L95" t="str">
            <v>\\hokukon-net2\hop\Program\01_MVPシステム_容量別組立図\.\01_余裕高0_0m\pdf\FB0_5000m3-MVP-2500-組-B2500_Q-11002921.pdf</v>
          </cell>
          <cell r="M95">
            <v>16434.93</v>
          </cell>
          <cell r="N95">
            <v>16615.37</v>
          </cell>
          <cell r="O95">
            <v>16200.04</v>
          </cell>
          <cell r="P95">
            <v>16206.5</v>
          </cell>
          <cell r="Q95">
            <v>16530.13</v>
          </cell>
          <cell r="R95">
            <v>16394.03</v>
          </cell>
          <cell r="S95">
            <v>16358.68</v>
          </cell>
          <cell r="T95">
            <v>16366.46</v>
          </cell>
          <cell r="U95">
            <v>16322.89</v>
          </cell>
          <cell r="V95">
            <v>16251.39</v>
          </cell>
          <cell r="W95">
            <v>16346.19</v>
          </cell>
          <cell r="X95">
            <v>16408.189999999999</v>
          </cell>
          <cell r="Y95">
            <v>16417.88</v>
          </cell>
          <cell r="Z95">
            <v>16834.64</v>
          </cell>
          <cell r="AA95">
            <v>16484.53</v>
          </cell>
          <cell r="AB95">
            <v>16511.330000000002</v>
          </cell>
          <cell r="AC95">
            <v>17038.11</v>
          </cell>
          <cell r="AD95">
            <v>16303.92</v>
          </cell>
          <cell r="AE95">
            <v>16482.05</v>
          </cell>
          <cell r="AF95">
            <v>16972.2</v>
          </cell>
          <cell r="AG95">
            <v>16338.1</v>
          </cell>
          <cell r="AH95">
            <v>16471.48</v>
          </cell>
          <cell r="AI95">
            <v>16226.27</v>
          </cell>
          <cell r="AJ95">
            <v>16495.96</v>
          </cell>
          <cell r="AK95">
            <v>15940.76</v>
          </cell>
          <cell r="AL95">
            <v>16459.53</v>
          </cell>
          <cell r="AM95">
            <v>17053.39</v>
          </cell>
          <cell r="AN95">
            <v>16619.29</v>
          </cell>
          <cell r="AO95">
            <v>16764.75</v>
          </cell>
          <cell r="AP95">
            <v>16745.68</v>
          </cell>
          <cell r="AQ95">
            <v>16878.14</v>
          </cell>
          <cell r="AR95">
            <v>16375.84</v>
          </cell>
          <cell r="AS95">
            <v>17090.77</v>
          </cell>
          <cell r="AT95">
            <v>16698.84</v>
          </cell>
          <cell r="AU95">
            <v>16761.47</v>
          </cell>
          <cell r="AV95">
            <v>16924.73</v>
          </cell>
          <cell r="AW95">
            <v>16575.419999999998</v>
          </cell>
          <cell r="AX95">
            <v>15910.18</v>
          </cell>
          <cell r="AY95">
            <v>16335.72</v>
          </cell>
          <cell r="AZ95">
            <v>15722.23</v>
          </cell>
          <cell r="BA95">
            <v>12984.59</v>
          </cell>
        </row>
        <row r="96">
          <cell r="A96" t="str">
            <v>V5000H25B20</v>
          </cell>
          <cell r="B96">
            <v>5000</v>
          </cell>
          <cell r="C96">
            <v>2500</v>
          </cell>
          <cell r="D96">
            <v>2000</v>
          </cell>
          <cell r="E96">
            <v>43</v>
          </cell>
          <cell r="F96">
            <v>7</v>
          </cell>
          <cell r="G96">
            <v>2</v>
          </cell>
          <cell r="H96">
            <v>300</v>
          </cell>
          <cell r="I96">
            <v>50</v>
          </cell>
          <cell r="J96">
            <v>5038.6000000000004</v>
          </cell>
          <cell r="K96" t="str">
            <v>Q-11002920</v>
          </cell>
          <cell r="L96" t="str">
            <v>\\hokukon-net2\hop\Program\01_MVPシステム_容量別組立図\.\01_余裕高0_0m\pdf\FB0_5000m3-MVP-2500-組-B2000_Q-11002920.pdf</v>
          </cell>
          <cell r="M96">
            <v>16968.080000000002</v>
          </cell>
          <cell r="N96">
            <v>17147.310000000001</v>
          </cell>
          <cell r="O96">
            <v>16737.03</v>
          </cell>
          <cell r="P96">
            <v>16743.45</v>
          </cell>
          <cell r="Q96">
            <v>17061.84</v>
          </cell>
          <cell r="R96">
            <v>16926.39</v>
          </cell>
          <cell r="S96">
            <v>16889.48</v>
          </cell>
          <cell r="T96">
            <v>16897.23</v>
          </cell>
          <cell r="U96">
            <v>16863.2</v>
          </cell>
          <cell r="V96">
            <v>16790.82</v>
          </cell>
          <cell r="W96">
            <v>16886.02</v>
          </cell>
          <cell r="X96">
            <v>16950.93</v>
          </cell>
          <cell r="Y96">
            <v>16960.900000000001</v>
          </cell>
          <cell r="Z96">
            <v>17378.53</v>
          </cell>
          <cell r="AA96">
            <v>17031.59</v>
          </cell>
          <cell r="AB96">
            <v>17054.64</v>
          </cell>
          <cell r="AC96">
            <v>17574.46</v>
          </cell>
          <cell r="AD96">
            <v>16841</v>
          </cell>
          <cell r="AE96">
            <v>17021.060000000001</v>
          </cell>
          <cell r="AF96">
            <v>17510.78</v>
          </cell>
          <cell r="AG96">
            <v>16882.189999999999</v>
          </cell>
          <cell r="AH96">
            <v>17015.189999999999</v>
          </cell>
          <cell r="AI96">
            <v>16772.830000000002</v>
          </cell>
          <cell r="AJ96">
            <v>17037.73</v>
          </cell>
          <cell r="AK96">
            <v>16483.7</v>
          </cell>
          <cell r="AL96">
            <v>16997.82</v>
          </cell>
          <cell r="AM96">
            <v>17589.490000000002</v>
          </cell>
          <cell r="AN96">
            <v>17430.490000000002</v>
          </cell>
          <cell r="AO96">
            <v>17300.27</v>
          </cell>
          <cell r="AP96">
            <v>17283.29</v>
          </cell>
          <cell r="AQ96">
            <v>17415.650000000001</v>
          </cell>
          <cell r="AR96">
            <v>16909.009999999998</v>
          </cell>
          <cell r="AS96">
            <v>17621.32</v>
          </cell>
          <cell r="AT96">
            <v>17235.55</v>
          </cell>
          <cell r="AU96">
            <v>17298.48</v>
          </cell>
          <cell r="AV96">
            <v>17457.47</v>
          </cell>
          <cell r="AW96">
            <v>17110.349999999999</v>
          </cell>
          <cell r="AX96">
            <v>16451.689999999999</v>
          </cell>
          <cell r="AY96">
            <v>16870.98</v>
          </cell>
          <cell r="AZ96">
            <v>16262.53</v>
          </cell>
          <cell r="BA96">
            <v>13479.48</v>
          </cell>
        </row>
        <row r="97">
          <cell r="A97" t="str">
            <v>V5000H30B30</v>
          </cell>
          <cell r="B97">
            <v>5000</v>
          </cell>
          <cell r="C97">
            <v>3000</v>
          </cell>
          <cell r="D97">
            <v>3000</v>
          </cell>
          <cell r="E97">
            <v>34</v>
          </cell>
          <cell r="F97">
            <v>6</v>
          </cell>
          <cell r="G97">
            <v>2</v>
          </cell>
          <cell r="H97">
            <v>300</v>
          </cell>
          <cell r="I97">
            <v>50</v>
          </cell>
          <cell r="J97">
            <v>5114.8</v>
          </cell>
          <cell r="K97" t="str">
            <v>Q-11002925</v>
          </cell>
          <cell r="L97" t="str">
            <v>\\hokukon-net2\hop\Program\01_MVPシステム_容量別組立図\.\01_余裕高0_0m\pdf\FB0_5000m3-MVP-3000-組-B3000_Q-11002925.pdf</v>
          </cell>
          <cell r="M97">
            <v>14113.87</v>
          </cell>
          <cell r="N97">
            <v>14265.07</v>
          </cell>
          <cell r="O97">
            <v>13920.29</v>
          </cell>
          <cell r="P97">
            <v>13925.68</v>
          </cell>
          <cell r="Q97">
            <v>14191.9</v>
          </cell>
          <cell r="R97">
            <v>14076.68</v>
          </cell>
          <cell r="S97">
            <v>14045.52</v>
          </cell>
          <cell r="T97">
            <v>14052</v>
          </cell>
          <cell r="U97">
            <v>14026.58</v>
          </cell>
          <cell r="V97">
            <v>13965.57</v>
          </cell>
          <cell r="W97">
            <v>14043.43</v>
          </cell>
          <cell r="X97">
            <v>14098.83</v>
          </cell>
          <cell r="Y97">
            <v>14108.86</v>
          </cell>
          <cell r="Z97">
            <v>14458.74</v>
          </cell>
          <cell r="AA97">
            <v>14167.95</v>
          </cell>
          <cell r="AB97">
            <v>14185.9</v>
          </cell>
          <cell r="AC97">
            <v>14620.63</v>
          </cell>
          <cell r="AD97">
            <v>14006.37</v>
          </cell>
          <cell r="AE97">
            <v>14158.42</v>
          </cell>
          <cell r="AF97">
            <v>14567.78</v>
          </cell>
          <cell r="AG97">
            <v>14042.01</v>
          </cell>
          <cell r="AH97">
            <v>14151.7</v>
          </cell>
          <cell r="AI97">
            <v>13950.57</v>
          </cell>
          <cell r="AJ97">
            <v>14170.13</v>
          </cell>
          <cell r="AK97">
            <v>13708.82</v>
          </cell>
          <cell r="AL97">
            <v>14138.25</v>
          </cell>
          <cell r="AM97">
            <v>14634.43</v>
          </cell>
          <cell r="AN97">
            <v>14275.42</v>
          </cell>
          <cell r="AO97">
            <v>14393.27</v>
          </cell>
          <cell r="AP97">
            <v>14376.95</v>
          </cell>
          <cell r="AQ97">
            <v>14488.86</v>
          </cell>
          <cell r="AR97">
            <v>14062.92</v>
          </cell>
          <cell r="AS97">
            <v>14657.4</v>
          </cell>
          <cell r="AT97">
            <v>14336.14</v>
          </cell>
          <cell r="AU97">
            <v>14389.3</v>
          </cell>
          <cell r="AV97">
            <v>14520.92</v>
          </cell>
          <cell r="AW97">
            <v>14231.21</v>
          </cell>
          <cell r="AX97">
            <v>13677.57</v>
          </cell>
          <cell r="AY97">
            <v>14029.98</v>
          </cell>
          <cell r="AZ97">
            <v>13521.65</v>
          </cell>
          <cell r="BA97">
            <v>11133.96</v>
          </cell>
        </row>
        <row r="98">
          <cell r="A98" t="str">
            <v>V5000H30B25</v>
          </cell>
          <cell r="B98">
            <v>5000</v>
          </cell>
          <cell r="C98">
            <v>3000</v>
          </cell>
          <cell r="D98">
            <v>2500</v>
          </cell>
          <cell r="E98">
            <v>37</v>
          </cell>
          <cell r="F98">
            <v>6</v>
          </cell>
          <cell r="G98">
            <v>2</v>
          </cell>
          <cell r="H98">
            <v>300</v>
          </cell>
          <cell r="I98">
            <v>50</v>
          </cell>
          <cell r="J98">
            <v>5049.3</v>
          </cell>
          <cell r="K98" t="str">
            <v>Q-11002924</v>
          </cell>
          <cell r="L98" t="str">
            <v>\\hokukon-net2\hop\Program\01_MVPシステム_容量別組立図\.\01_余裕高0_0m\pdf\FB0_5000m3-MVP-3000-組-B2500_Q-11002924.pdf</v>
          </cell>
          <cell r="M98">
            <v>14470.63</v>
          </cell>
          <cell r="N98">
            <v>14620.46</v>
          </cell>
          <cell r="O98">
            <v>14280.52</v>
          </cell>
          <cell r="P98">
            <v>14285.85</v>
          </cell>
          <cell r="Q98">
            <v>14547.33</v>
          </cell>
          <cell r="R98">
            <v>14432.98</v>
          </cell>
          <cell r="S98">
            <v>14400.81</v>
          </cell>
          <cell r="T98">
            <v>14407.24</v>
          </cell>
          <cell r="U98">
            <v>14388.9</v>
          </cell>
          <cell r="V98">
            <v>14327.46</v>
          </cell>
          <cell r="W98">
            <v>14405.27</v>
          </cell>
          <cell r="X98">
            <v>14462.62</v>
          </cell>
          <cell r="Y98">
            <v>14472.82</v>
          </cell>
          <cell r="Z98">
            <v>14822.08</v>
          </cell>
          <cell r="AA98">
            <v>14534.6</v>
          </cell>
          <cell r="AB98">
            <v>14549.73</v>
          </cell>
          <cell r="AC98">
            <v>14977.88</v>
          </cell>
          <cell r="AD98">
            <v>14366.35</v>
          </cell>
          <cell r="AE98">
            <v>14519.26</v>
          </cell>
          <cell r="AF98">
            <v>14926.83</v>
          </cell>
          <cell r="AG98">
            <v>14406.94</v>
          </cell>
          <cell r="AH98">
            <v>14515.93</v>
          </cell>
          <cell r="AI98">
            <v>14317.62</v>
          </cell>
          <cell r="AJ98">
            <v>14532.91</v>
          </cell>
          <cell r="AK98">
            <v>14074.17</v>
          </cell>
          <cell r="AL98">
            <v>14498.68</v>
          </cell>
          <cell r="AM98">
            <v>14991.46</v>
          </cell>
          <cell r="AN98">
            <v>14635.8</v>
          </cell>
          <cell r="AO98">
            <v>14750.8</v>
          </cell>
          <cell r="AP98">
            <v>14735.98</v>
          </cell>
          <cell r="AQ98">
            <v>14847.46</v>
          </cell>
          <cell r="AR98">
            <v>14419.93</v>
          </cell>
          <cell r="AS98">
            <v>15010.25</v>
          </cell>
          <cell r="AT98">
            <v>14694.66</v>
          </cell>
          <cell r="AU98">
            <v>14747.84</v>
          </cell>
          <cell r="AV98">
            <v>14875.87</v>
          </cell>
          <cell r="AW98">
            <v>14588.82</v>
          </cell>
          <cell r="AX98">
            <v>14041.87</v>
          </cell>
          <cell r="AY98">
            <v>14388.54</v>
          </cell>
          <cell r="AZ98">
            <v>13885.7</v>
          </cell>
          <cell r="BA98">
            <v>11470.65</v>
          </cell>
        </row>
        <row r="99">
          <cell r="A99" t="str">
            <v>V5000H30B20</v>
          </cell>
          <cell r="B99">
            <v>5000</v>
          </cell>
          <cell r="C99">
            <v>3000</v>
          </cell>
          <cell r="D99">
            <v>2000</v>
          </cell>
          <cell r="E99">
            <v>41</v>
          </cell>
          <cell r="F99">
            <v>6</v>
          </cell>
          <cell r="G99">
            <v>2</v>
          </cell>
          <cell r="H99">
            <v>300</v>
          </cell>
          <cell r="I99">
            <v>50</v>
          </cell>
          <cell r="J99">
            <v>5023.3999999999996</v>
          </cell>
          <cell r="K99" t="str">
            <v>Q-11002923</v>
          </cell>
          <cell r="L99" t="str">
            <v>\\hokukon-net2\hop\Program\01_MVPシステム_容量別組立図\.\01_余裕高0_0m\pdf\FB0_5000m3-MVP-3000-組-B2000_Q-11002923.pdf</v>
          </cell>
          <cell r="M99">
            <v>15055.11</v>
          </cell>
          <cell r="N99">
            <v>15204.83</v>
          </cell>
          <cell r="O99">
            <v>14867.2</v>
          </cell>
          <cell r="P99">
            <v>14872.55</v>
          </cell>
          <cell r="Q99">
            <v>15130.91</v>
          </cell>
          <cell r="R99">
            <v>15016.21</v>
          </cell>
          <cell r="S99">
            <v>14982.37</v>
          </cell>
          <cell r="T99">
            <v>14988.81</v>
          </cell>
          <cell r="U99">
            <v>14979.36</v>
          </cell>
          <cell r="V99">
            <v>14916.68</v>
          </cell>
          <cell r="W99">
            <v>14995.26</v>
          </cell>
          <cell r="X99">
            <v>15055.75</v>
          </cell>
          <cell r="Y99">
            <v>15066.43</v>
          </cell>
          <cell r="Z99">
            <v>15418.86</v>
          </cell>
          <cell r="AA99">
            <v>15132.47</v>
          </cell>
          <cell r="AB99">
            <v>15144.03</v>
          </cell>
          <cell r="AC99">
            <v>15568.63</v>
          </cell>
          <cell r="AD99">
            <v>14953.83</v>
          </cell>
          <cell r="AE99">
            <v>15109.64</v>
          </cell>
          <cell r="AF99">
            <v>15519.5</v>
          </cell>
          <cell r="AG99">
            <v>15001.19</v>
          </cell>
          <cell r="AH99">
            <v>15110.38</v>
          </cell>
          <cell r="AI99">
            <v>14913.59</v>
          </cell>
          <cell r="AJ99">
            <v>15125.64</v>
          </cell>
          <cell r="AK99">
            <v>14665.14</v>
          </cell>
          <cell r="AL99">
            <v>15087.97</v>
          </cell>
          <cell r="AM99">
            <v>15582.13</v>
          </cell>
          <cell r="AN99">
            <v>15226.76</v>
          </cell>
          <cell r="AO99">
            <v>15339.31</v>
          </cell>
          <cell r="AP99">
            <v>15326.14</v>
          </cell>
          <cell r="AQ99">
            <v>15438.39</v>
          </cell>
          <cell r="AR99">
            <v>15003.98</v>
          </cell>
          <cell r="AS99">
            <v>15595.66</v>
          </cell>
          <cell r="AT99">
            <v>15283.83</v>
          </cell>
          <cell r="AU99">
            <v>15337.75</v>
          </cell>
          <cell r="AV99">
            <v>15462.46</v>
          </cell>
          <cell r="AW99">
            <v>15175.7</v>
          </cell>
          <cell r="AX99">
            <v>14631.05</v>
          </cell>
          <cell r="AY99">
            <v>14974.27</v>
          </cell>
          <cell r="AZ99">
            <v>14472.97</v>
          </cell>
          <cell r="BA99">
            <v>11995.5</v>
          </cell>
        </row>
        <row r="100">
          <cell r="A100" t="str">
            <v>V5000H35B30</v>
          </cell>
          <cell r="B100">
            <v>5000</v>
          </cell>
          <cell r="C100">
            <v>3500</v>
          </cell>
          <cell r="D100">
            <v>3000</v>
          </cell>
          <cell r="E100">
            <v>34</v>
          </cell>
          <cell r="F100">
            <v>5</v>
          </cell>
          <cell r="G100">
            <v>2</v>
          </cell>
          <cell r="H100">
            <v>300</v>
          </cell>
          <cell r="I100">
            <v>50</v>
          </cell>
          <cell r="J100">
            <v>5047.5</v>
          </cell>
          <cell r="K100" t="str">
            <v>Q-11002928</v>
          </cell>
          <cell r="L100" t="str">
            <v>\\hokukon-net2\hop\Program\01_MVPシステム_容量別組立図\.\01_余裕高0_0m\pdf\FB0_5000m3-MVP-3500-組-B3000_Q-11002928.pdf</v>
          </cell>
          <cell r="M100">
            <v>12611.76</v>
          </cell>
          <cell r="N100">
            <v>12740.62</v>
          </cell>
          <cell r="O100">
            <v>12449.37</v>
          </cell>
          <cell r="P100">
            <v>12453.92</v>
          </cell>
          <cell r="Q100">
            <v>12677.73</v>
          </cell>
          <cell r="R100">
            <v>12580.1</v>
          </cell>
          <cell r="S100">
            <v>12552.9</v>
          </cell>
          <cell r="T100">
            <v>12558.39</v>
          </cell>
          <cell r="U100">
            <v>12541.76</v>
          </cell>
          <cell r="V100">
            <v>12489.53</v>
          </cell>
          <cell r="W100">
            <v>12555.37</v>
          </cell>
          <cell r="X100">
            <v>12604.05</v>
          </cell>
          <cell r="Y100">
            <v>12612.73</v>
          </cell>
          <cell r="Z100">
            <v>12910.54</v>
          </cell>
          <cell r="AA100">
            <v>12664.07</v>
          </cell>
          <cell r="AB100">
            <v>12677.96</v>
          </cell>
          <cell r="AC100">
            <v>13044.06</v>
          </cell>
          <cell r="AD100">
            <v>12520.91</v>
          </cell>
          <cell r="AE100">
            <v>12651.24</v>
          </cell>
          <cell r="AF100">
            <v>12999.12</v>
          </cell>
          <cell r="AG100">
            <v>12554.86</v>
          </cell>
          <cell r="AH100">
            <v>12648.55</v>
          </cell>
          <cell r="AI100">
            <v>12478.26</v>
          </cell>
          <cell r="AJ100">
            <v>12662.87</v>
          </cell>
          <cell r="AK100">
            <v>12271.61</v>
          </cell>
          <cell r="AL100">
            <v>12635.41</v>
          </cell>
          <cell r="AM100">
            <v>13056.33</v>
          </cell>
          <cell r="AN100">
            <v>12752.9</v>
          </cell>
          <cell r="AO100">
            <v>12851.53</v>
          </cell>
          <cell r="AP100">
            <v>12838.61</v>
          </cell>
          <cell r="AQ100">
            <v>12933.68</v>
          </cell>
          <cell r="AR100">
            <v>12568.61</v>
          </cell>
          <cell r="AS100">
            <v>13072.41</v>
          </cell>
          <cell r="AT100">
            <v>12802</v>
          </cell>
          <cell r="AU100">
            <v>12846.98</v>
          </cell>
          <cell r="AV100">
            <v>12957.53</v>
          </cell>
          <cell r="AW100">
            <v>12711.6</v>
          </cell>
          <cell r="AX100">
            <v>12242.78</v>
          </cell>
          <cell r="AY100">
            <v>12540.63</v>
          </cell>
          <cell r="AZ100">
            <v>12110.01</v>
          </cell>
          <cell r="BA100">
            <v>9947.49</v>
          </cell>
        </row>
        <row r="101">
          <cell r="A101" t="str">
            <v>V5000H35B25</v>
          </cell>
          <cell r="B101">
            <v>5000</v>
          </cell>
          <cell r="C101">
            <v>3500</v>
          </cell>
          <cell r="D101">
            <v>2500</v>
          </cell>
          <cell r="E101">
            <v>32</v>
          </cell>
          <cell r="F101">
            <v>6</v>
          </cell>
          <cell r="G101">
            <v>2</v>
          </cell>
          <cell r="H101">
            <v>300</v>
          </cell>
          <cell r="I101">
            <v>50</v>
          </cell>
          <cell r="J101">
            <v>5125.1000000000004</v>
          </cell>
          <cell r="K101" t="str">
            <v>Q-11002927</v>
          </cell>
          <cell r="L101" t="str">
            <v>\\hokukon-net2\hop\Program\01_MVPシステム_容量別組立図\.\01_余裕高0_0m\pdf\FB0_5000m3-MVP-3500-組-B2500_Q-11002927.pdf</v>
          </cell>
          <cell r="M101">
            <v>13315.31</v>
          </cell>
          <cell r="N101">
            <v>13446.86</v>
          </cell>
          <cell r="O101">
            <v>13152.66</v>
          </cell>
          <cell r="P101">
            <v>13157.3</v>
          </cell>
          <cell r="Q101">
            <v>13381.83</v>
          </cell>
          <cell r="R101">
            <v>13282.05</v>
          </cell>
          <cell r="S101">
            <v>13252.68</v>
          </cell>
          <cell r="T101">
            <v>13258.28</v>
          </cell>
          <cell r="U101">
            <v>13250.84</v>
          </cell>
          <cell r="V101">
            <v>13196.51</v>
          </cell>
          <cell r="W101">
            <v>13263.76</v>
          </cell>
          <cell r="X101">
            <v>13316.69</v>
          </cell>
          <cell r="Y101">
            <v>13326.06</v>
          </cell>
          <cell r="Z101">
            <v>13632.05</v>
          </cell>
          <cell r="AA101">
            <v>13382.01</v>
          </cell>
          <cell r="AB101">
            <v>13392.81</v>
          </cell>
          <cell r="AC101">
            <v>13761.32</v>
          </cell>
          <cell r="AD101">
            <v>13224.91</v>
          </cell>
          <cell r="AE101">
            <v>13360.57</v>
          </cell>
          <cell r="AF101">
            <v>13716.8</v>
          </cell>
          <cell r="AG101">
            <v>13266.77</v>
          </cell>
          <cell r="AH101">
            <v>13362.66</v>
          </cell>
          <cell r="AI101">
            <v>13190.46</v>
          </cell>
          <cell r="AJ101">
            <v>13375.22</v>
          </cell>
          <cell r="AK101">
            <v>12975.54</v>
          </cell>
          <cell r="AL101">
            <v>13344.59</v>
          </cell>
          <cell r="AM101">
            <v>13774.17</v>
          </cell>
          <cell r="AN101">
            <v>13466.14</v>
          </cell>
          <cell r="AO101">
            <v>13564.02</v>
          </cell>
          <cell r="AP101">
            <v>13552.55</v>
          </cell>
          <cell r="AQ101">
            <v>13649.94</v>
          </cell>
          <cell r="AR101">
            <v>13270.87</v>
          </cell>
          <cell r="AS101">
            <v>13784.41</v>
          </cell>
          <cell r="AT101">
            <v>13513.24</v>
          </cell>
          <cell r="AU101">
            <v>13559.28</v>
          </cell>
          <cell r="AV101">
            <v>13668.94</v>
          </cell>
          <cell r="AW101">
            <v>13418.65</v>
          </cell>
          <cell r="AX101">
            <v>12943.39</v>
          </cell>
          <cell r="AY101">
            <v>13243.66</v>
          </cell>
          <cell r="AZ101">
            <v>12806.49</v>
          </cell>
          <cell r="BA101">
            <v>10557.91</v>
          </cell>
        </row>
        <row r="102">
          <cell r="A102" t="str">
            <v>V5000H35B20</v>
          </cell>
          <cell r="B102">
            <v>5000</v>
          </cell>
          <cell r="C102">
            <v>3500</v>
          </cell>
          <cell r="D102">
            <v>2000</v>
          </cell>
          <cell r="E102">
            <v>35</v>
          </cell>
          <cell r="F102">
            <v>6</v>
          </cell>
          <cell r="G102">
            <v>2</v>
          </cell>
          <cell r="H102">
            <v>300</v>
          </cell>
          <cell r="I102">
            <v>50</v>
          </cell>
          <cell r="J102">
            <v>5034.3999999999996</v>
          </cell>
          <cell r="K102" t="str">
            <v>Q-11002926</v>
          </cell>
          <cell r="L102" t="str">
            <v>\\hokukon-net2\hop\Program\01_MVPシステム_容量別組立図\.\01_余裕高0_0m\pdf\FB0_5000m3-MVP-3500-組-B2000_Q-11002926.pdf</v>
          </cell>
          <cell r="M102">
            <v>13687.18</v>
          </cell>
          <cell r="N102">
            <v>13816.98</v>
          </cell>
          <cell r="O102">
            <v>13528.57</v>
          </cell>
          <cell r="P102">
            <v>13533.16</v>
          </cell>
          <cell r="Q102">
            <v>13752.2</v>
          </cell>
          <cell r="R102">
            <v>13653.55</v>
          </cell>
          <cell r="S102">
            <v>13623.17</v>
          </cell>
          <cell r="T102">
            <v>13628.71</v>
          </cell>
          <cell r="U102">
            <v>13628.72</v>
          </cell>
          <cell r="V102">
            <v>13574.12</v>
          </cell>
          <cell r="W102">
            <v>13641.13</v>
          </cell>
          <cell r="X102">
            <v>13695.99</v>
          </cell>
          <cell r="Y102">
            <v>13705.54</v>
          </cell>
          <cell r="Z102">
            <v>14010.13</v>
          </cell>
          <cell r="AA102">
            <v>13764.14</v>
          </cell>
          <cell r="AB102">
            <v>13771.99</v>
          </cell>
          <cell r="AC102">
            <v>14132.7</v>
          </cell>
          <cell r="AD102">
            <v>13600.34</v>
          </cell>
          <cell r="AE102">
            <v>13736.62</v>
          </cell>
          <cell r="AF102">
            <v>14090.12</v>
          </cell>
          <cell r="AG102">
            <v>13647.34</v>
          </cell>
          <cell r="AH102">
            <v>13742.33</v>
          </cell>
          <cell r="AI102">
            <v>13573.44</v>
          </cell>
          <cell r="AJ102">
            <v>13753.26</v>
          </cell>
          <cell r="AK102">
            <v>13357.25</v>
          </cell>
          <cell r="AL102">
            <v>13720.29</v>
          </cell>
          <cell r="AM102">
            <v>14145.36</v>
          </cell>
          <cell r="AN102">
            <v>13841.54</v>
          </cell>
          <cell r="AO102">
            <v>13936.21</v>
          </cell>
          <cell r="AP102">
            <v>13926.34</v>
          </cell>
          <cell r="AQ102">
            <v>14023.03</v>
          </cell>
          <cell r="AR102">
            <v>13643.1</v>
          </cell>
          <cell r="AS102">
            <v>14151.12</v>
          </cell>
          <cell r="AT102">
            <v>13886.53</v>
          </cell>
          <cell r="AU102">
            <v>13932.46</v>
          </cell>
          <cell r="AV102">
            <v>14038.11</v>
          </cell>
          <cell r="AW102">
            <v>13791.16</v>
          </cell>
          <cell r="AX102">
            <v>13323.99</v>
          </cell>
          <cell r="AY102">
            <v>13617.59</v>
          </cell>
          <cell r="AZ102">
            <v>13187.19</v>
          </cell>
          <cell r="BA102">
            <v>10902.73</v>
          </cell>
        </row>
        <row r="103">
          <cell r="A103" t="str">
            <v>V5000H40B30</v>
          </cell>
          <cell r="B103">
            <v>5000</v>
          </cell>
          <cell r="C103">
            <v>4000</v>
          </cell>
          <cell r="D103">
            <v>3000</v>
          </cell>
          <cell r="E103">
            <v>29</v>
          </cell>
          <cell r="F103">
            <v>5</v>
          </cell>
          <cell r="G103">
            <v>2</v>
          </cell>
          <cell r="H103">
            <v>350</v>
          </cell>
          <cell r="I103">
            <v>70</v>
          </cell>
          <cell r="J103">
            <v>4986.1000000000004</v>
          </cell>
          <cell r="K103" t="str">
            <v>Q-11002931</v>
          </cell>
          <cell r="L103" t="str">
            <v>\\hokukon-net2\hop\Program\01_MVPシステム_容量別組立図\.\01_余裕高0_0m\pdf\FB0_5000m3-MVP-4000-組-B3000_Q-11002931.pdf</v>
          </cell>
          <cell r="M103">
            <v>13000.96</v>
          </cell>
          <cell r="N103">
            <v>13127.19</v>
          </cell>
          <cell r="O103">
            <v>12849.73</v>
          </cell>
          <cell r="P103">
            <v>12854</v>
          </cell>
          <cell r="Q103">
            <v>13065.04</v>
          </cell>
          <cell r="R103">
            <v>12972.41</v>
          </cell>
          <cell r="S103">
            <v>12945.57</v>
          </cell>
          <cell r="T103">
            <v>12950.72</v>
          </cell>
          <cell r="U103">
            <v>12930.53</v>
          </cell>
          <cell r="V103">
            <v>12882.59</v>
          </cell>
          <cell r="W103">
            <v>12943.93</v>
          </cell>
          <cell r="X103">
            <v>12987.61</v>
          </cell>
          <cell r="Y103">
            <v>12993.37</v>
          </cell>
          <cell r="Z103">
            <v>13275.41</v>
          </cell>
          <cell r="AA103">
            <v>13041.83</v>
          </cell>
          <cell r="AB103">
            <v>13057.71</v>
          </cell>
          <cell r="AC103">
            <v>13403.52</v>
          </cell>
          <cell r="AD103">
            <v>12898.45</v>
          </cell>
          <cell r="AE103">
            <v>13025.29</v>
          </cell>
          <cell r="AF103">
            <v>13353.08</v>
          </cell>
          <cell r="AG103">
            <v>12924.07</v>
          </cell>
          <cell r="AH103">
            <v>13015.48</v>
          </cell>
          <cell r="AI103">
            <v>12853.96</v>
          </cell>
          <cell r="AJ103">
            <v>13026.35</v>
          </cell>
          <cell r="AK103">
            <v>12683.33</v>
          </cell>
          <cell r="AL103">
            <v>13032.41</v>
          </cell>
          <cell r="AM103">
            <v>13429.45</v>
          </cell>
          <cell r="AN103">
            <v>13142.61</v>
          </cell>
          <cell r="AO103">
            <v>13237.21</v>
          </cell>
          <cell r="AP103">
            <v>13224.79</v>
          </cell>
          <cell r="AQ103">
            <v>13316.46</v>
          </cell>
          <cell r="AR103">
            <v>12944.27</v>
          </cell>
          <cell r="AS103">
            <v>13421.16</v>
          </cell>
          <cell r="AT103">
            <v>13168.24</v>
          </cell>
          <cell r="AU103">
            <v>13209.96</v>
          </cell>
          <cell r="AV103">
            <v>13312.34</v>
          </cell>
          <cell r="AW103">
            <v>13076.69</v>
          </cell>
          <cell r="AX103">
            <v>12628.29</v>
          </cell>
          <cell r="AY103">
            <v>12912.61</v>
          </cell>
          <cell r="AZ103">
            <v>12502.06</v>
          </cell>
          <cell r="BA103">
            <v>10264.69</v>
          </cell>
        </row>
        <row r="104">
          <cell r="A104" t="str">
            <v>V5000H40B25</v>
          </cell>
          <cell r="B104">
            <v>5000</v>
          </cell>
          <cell r="C104">
            <v>4000</v>
          </cell>
          <cell r="D104">
            <v>2500</v>
          </cell>
          <cell r="E104">
            <v>27</v>
          </cell>
          <cell r="F104">
            <v>6</v>
          </cell>
          <cell r="G104">
            <v>2</v>
          </cell>
          <cell r="H104">
            <v>350</v>
          </cell>
          <cell r="I104">
            <v>70</v>
          </cell>
          <cell r="J104">
            <v>5015.8999999999996</v>
          </cell>
          <cell r="K104" t="str">
            <v>Q-11002930</v>
          </cell>
          <cell r="L104" t="str">
            <v>\\hokukon-net2\hop\Program\01_MVPシステム_容量別組立図\.\01_余裕高0_0m\pdf\FB0_5000m3-MVP-4000-組-B2500_Q-11002930.pdf</v>
          </cell>
          <cell r="M104">
            <v>13670.2</v>
          </cell>
          <cell r="N104">
            <v>13798.46</v>
          </cell>
          <cell r="O104">
            <v>13520.44</v>
          </cell>
          <cell r="P104">
            <v>13524.75</v>
          </cell>
          <cell r="Q104">
            <v>13734.5</v>
          </cell>
          <cell r="R104">
            <v>13640.67</v>
          </cell>
          <cell r="S104">
            <v>13612</v>
          </cell>
          <cell r="T104">
            <v>13617.2</v>
          </cell>
          <cell r="U104">
            <v>13605.67</v>
          </cell>
          <cell r="V104">
            <v>13556.18</v>
          </cell>
          <cell r="W104">
            <v>13618.13</v>
          </cell>
          <cell r="X104">
            <v>13665.55</v>
          </cell>
          <cell r="Y104">
            <v>13671.87</v>
          </cell>
          <cell r="Z104">
            <v>13959.19</v>
          </cell>
          <cell r="AA104">
            <v>13724.17</v>
          </cell>
          <cell r="AB104">
            <v>13737.05</v>
          </cell>
          <cell r="AC104">
            <v>14081.8</v>
          </cell>
          <cell r="AD104">
            <v>13567.18</v>
          </cell>
          <cell r="AE104">
            <v>13698.37</v>
          </cell>
          <cell r="AF104">
            <v>14030.93</v>
          </cell>
          <cell r="AG104">
            <v>13599.87</v>
          </cell>
          <cell r="AH104">
            <v>13692.92</v>
          </cell>
          <cell r="AI104">
            <v>13530.86</v>
          </cell>
          <cell r="AJ104">
            <v>13701.71</v>
          </cell>
          <cell r="AK104">
            <v>13356.45</v>
          </cell>
          <cell r="AL104">
            <v>13707.97</v>
          </cell>
          <cell r="AM104">
            <v>14109.58</v>
          </cell>
          <cell r="AN104">
            <v>13820.89</v>
          </cell>
          <cell r="AO104">
            <v>13914.04</v>
          </cell>
          <cell r="AP104">
            <v>13903.31</v>
          </cell>
          <cell r="AQ104">
            <v>13996.28</v>
          </cell>
          <cell r="AR104">
            <v>13611.45</v>
          </cell>
          <cell r="AS104">
            <v>14093.35</v>
          </cell>
          <cell r="AT104">
            <v>13841.79</v>
          </cell>
          <cell r="AU104">
            <v>13884.26</v>
          </cell>
          <cell r="AV104">
            <v>13984.75</v>
          </cell>
          <cell r="AW104">
            <v>13746.34</v>
          </cell>
          <cell r="AX104">
            <v>13295.47</v>
          </cell>
          <cell r="AY104">
            <v>13579.88</v>
          </cell>
          <cell r="AZ104">
            <v>13166.28</v>
          </cell>
          <cell r="BA104">
            <v>10844.49</v>
          </cell>
        </row>
        <row r="105">
          <cell r="A105" t="str">
            <v>V5000H40B20</v>
          </cell>
          <cell r="B105">
            <v>5000</v>
          </cell>
          <cell r="C105">
            <v>4000</v>
          </cell>
          <cell r="D105">
            <v>2000</v>
          </cell>
          <cell r="E105">
            <v>30</v>
          </cell>
          <cell r="F105">
            <v>6</v>
          </cell>
          <cell r="G105">
            <v>2</v>
          </cell>
          <cell r="H105">
            <v>350</v>
          </cell>
          <cell r="I105">
            <v>70</v>
          </cell>
          <cell r="J105">
            <v>5008.3999999999996</v>
          </cell>
          <cell r="K105" t="str">
            <v>Q-11002929</v>
          </cell>
          <cell r="L105" t="str">
            <v>\\hokukon-net2\hop\Program\01_MVPシステム_容量別組立図\.\01_余裕高0_0m\pdf\FB0_5000m3-MVP-4000-組-B2000_Q-11002929.pdf</v>
          </cell>
          <cell r="M105">
            <v>14337.76</v>
          </cell>
          <cell r="N105">
            <v>14466.53</v>
          </cell>
          <cell r="O105">
            <v>14189.05</v>
          </cell>
          <cell r="P105">
            <v>14193.36</v>
          </cell>
          <cell r="Q105">
            <v>14401.81</v>
          </cell>
          <cell r="R105">
            <v>14307.51</v>
          </cell>
          <cell r="S105">
            <v>14277.63</v>
          </cell>
          <cell r="T105">
            <v>14282.86</v>
          </cell>
          <cell r="U105">
            <v>14276.82</v>
          </cell>
          <cell r="V105">
            <v>14226.38</v>
          </cell>
          <cell r="W105">
            <v>14289.06</v>
          </cell>
          <cell r="X105">
            <v>14338.65</v>
          </cell>
          <cell r="Y105">
            <v>14345.37</v>
          </cell>
          <cell r="Z105">
            <v>14635.74</v>
          </cell>
          <cell r="AA105">
            <v>14400.61</v>
          </cell>
          <cell r="AB105">
            <v>14411.28</v>
          </cell>
          <cell r="AC105">
            <v>14754.55</v>
          </cell>
          <cell r="AD105">
            <v>14235.31</v>
          </cell>
          <cell r="AE105">
            <v>14368.81</v>
          </cell>
          <cell r="AF105">
            <v>14703.85</v>
          </cell>
          <cell r="AG105">
            <v>14272.07</v>
          </cell>
          <cell r="AH105">
            <v>14365.68</v>
          </cell>
          <cell r="AI105">
            <v>14204.11</v>
          </cell>
          <cell r="AJ105">
            <v>14373.34</v>
          </cell>
          <cell r="AK105">
            <v>14028.11</v>
          </cell>
          <cell r="AL105">
            <v>14379.68</v>
          </cell>
          <cell r="AM105">
            <v>14783.33</v>
          </cell>
          <cell r="AN105">
            <v>14493.9</v>
          </cell>
          <cell r="AO105">
            <v>14585.78</v>
          </cell>
          <cell r="AP105">
            <v>14576.27</v>
          </cell>
          <cell r="AQ105">
            <v>14670.01</v>
          </cell>
          <cell r="AR105">
            <v>14277.49</v>
          </cell>
          <cell r="AS105">
            <v>14761.76</v>
          </cell>
          <cell r="AT105">
            <v>14511.73</v>
          </cell>
          <cell r="AU105">
            <v>14554.88</v>
          </cell>
          <cell r="AV105">
            <v>14653.45</v>
          </cell>
          <cell r="AW105">
            <v>14413.91</v>
          </cell>
          <cell r="AX105">
            <v>13963.26</v>
          </cell>
          <cell r="AY105">
            <v>14246.18</v>
          </cell>
          <cell r="AZ105">
            <v>13832.18</v>
          </cell>
          <cell r="BA105">
            <v>11414.6</v>
          </cell>
        </row>
        <row r="106">
          <cell r="A106" t="str">
            <v>V5000H45B30</v>
          </cell>
          <cell r="B106">
            <v>5000</v>
          </cell>
          <cell r="C106">
            <v>4500</v>
          </cell>
          <cell r="D106">
            <v>3000</v>
          </cell>
          <cell r="E106">
            <v>26</v>
          </cell>
          <cell r="F106">
            <v>5</v>
          </cell>
          <cell r="G106">
            <v>2</v>
          </cell>
          <cell r="H106">
            <v>350</v>
          </cell>
          <cell r="I106">
            <v>70</v>
          </cell>
          <cell r="J106">
            <v>5050.6000000000004</v>
          </cell>
          <cell r="K106" t="str">
            <v>Q-11002934</v>
          </cell>
          <cell r="L106" t="str">
            <v>\\hokukon-net2\hop\Program\01_MVPシステム_容量別組立図\.\01_余裕高0_0m\pdf\FB0_5000m3-MVP-4500-組-B3000_Q-11002934.pdf</v>
          </cell>
          <cell r="M106">
            <v>12433.35</v>
          </cell>
          <cell r="N106">
            <v>12546.92</v>
          </cell>
          <cell r="O106">
            <v>12299.03</v>
          </cell>
          <cell r="P106">
            <v>12302.88</v>
          </cell>
          <cell r="Q106">
            <v>12489.96</v>
          </cell>
          <cell r="R106">
            <v>12405.13</v>
          </cell>
          <cell r="S106">
            <v>12378.81</v>
          </cell>
          <cell r="T106">
            <v>12383.47</v>
          </cell>
          <cell r="U106">
            <v>12375.96</v>
          </cell>
          <cell r="V106">
            <v>12332.15</v>
          </cell>
          <cell r="W106">
            <v>12388.05</v>
          </cell>
          <cell r="X106">
            <v>12430.9</v>
          </cell>
          <cell r="Y106">
            <v>12436.39</v>
          </cell>
          <cell r="Z106">
            <v>12694.36</v>
          </cell>
          <cell r="AA106">
            <v>12483.69</v>
          </cell>
          <cell r="AB106">
            <v>12495.38</v>
          </cell>
          <cell r="AC106">
            <v>12801.86</v>
          </cell>
          <cell r="AD106">
            <v>12340.76</v>
          </cell>
          <cell r="AE106">
            <v>12458.23</v>
          </cell>
          <cell r="AF106">
            <v>12757.08</v>
          </cell>
          <cell r="AG106">
            <v>12372.07</v>
          </cell>
          <cell r="AH106">
            <v>12454.17</v>
          </cell>
          <cell r="AI106">
            <v>12309.83</v>
          </cell>
          <cell r="AJ106">
            <v>12462.44</v>
          </cell>
          <cell r="AK106">
            <v>12154.19</v>
          </cell>
          <cell r="AL106">
            <v>12466.64</v>
          </cell>
          <cell r="AM106">
            <v>12826.36</v>
          </cell>
          <cell r="AN106">
            <v>12569.71</v>
          </cell>
          <cell r="AO106">
            <v>12652.57</v>
          </cell>
          <cell r="AP106">
            <v>12642.36</v>
          </cell>
          <cell r="AQ106">
            <v>12726.26</v>
          </cell>
          <cell r="AR106">
            <v>12378.45</v>
          </cell>
          <cell r="AS106">
            <v>12809.46</v>
          </cell>
          <cell r="AT106">
            <v>12586.05</v>
          </cell>
          <cell r="AU106">
            <v>12623.37</v>
          </cell>
          <cell r="AV106">
            <v>12713.46</v>
          </cell>
          <cell r="AW106">
            <v>12500.49</v>
          </cell>
          <cell r="AX106">
            <v>12097.73</v>
          </cell>
          <cell r="AY106">
            <v>12350.81</v>
          </cell>
          <cell r="AZ106">
            <v>11981.94</v>
          </cell>
          <cell r="BA106">
            <v>9842.02</v>
          </cell>
        </row>
        <row r="107">
          <cell r="A107" t="str">
            <v>V5000H45B25</v>
          </cell>
          <cell r="B107">
            <v>5000</v>
          </cell>
          <cell r="C107">
            <v>4500</v>
          </cell>
          <cell r="D107">
            <v>2500</v>
          </cell>
          <cell r="E107">
            <v>29</v>
          </cell>
          <cell r="F107">
            <v>5</v>
          </cell>
          <cell r="G107">
            <v>2</v>
          </cell>
          <cell r="H107">
            <v>350</v>
          </cell>
          <cell r="I107">
            <v>70</v>
          </cell>
          <cell r="J107">
            <v>5118.8</v>
          </cell>
          <cell r="K107" t="str">
            <v>Q-11002933</v>
          </cell>
          <cell r="L107" t="str">
            <v>\\hokukon-net2\hop\Program\01_MVPシステム_容量別組立図\.\01_余裕高0_0m\pdf\FB0_5000m3-MVP-4500-組-B2500_Q-11002933.pdf</v>
          </cell>
          <cell r="M107">
            <v>13133.29</v>
          </cell>
          <cell r="N107">
            <v>13248.85</v>
          </cell>
          <cell r="O107">
            <v>12997.89</v>
          </cell>
          <cell r="P107">
            <v>13001.8</v>
          </cell>
          <cell r="Q107">
            <v>13190.49</v>
          </cell>
          <cell r="R107">
            <v>13104.07</v>
          </cell>
          <cell r="S107">
            <v>13076.46</v>
          </cell>
          <cell r="T107">
            <v>13081.18</v>
          </cell>
          <cell r="U107">
            <v>13077.77</v>
          </cell>
          <cell r="V107">
            <v>13032.6</v>
          </cell>
          <cell r="W107">
            <v>13089.93</v>
          </cell>
          <cell r="X107">
            <v>13135.07</v>
          </cell>
          <cell r="Y107">
            <v>13140.92</v>
          </cell>
          <cell r="Z107">
            <v>13404.94</v>
          </cell>
          <cell r="AA107">
            <v>13191.27</v>
          </cell>
          <cell r="AB107">
            <v>13201.28</v>
          </cell>
          <cell r="AC107">
            <v>13511.01</v>
          </cell>
          <cell r="AD107">
            <v>13039.83</v>
          </cell>
          <cell r="AE107">
            <v>13160.84</v>
          </cell>
          <cell r="AF107">
            <v>13465.79</v>
          </cell>
          <cell r="AG107">
            <v>13074.8</v>
          </cell>
          <cell r="AH107">
            <v>13158.44</v>
          </cell>
          <cell r="AI107">
            <v>13012.49</v>
          </cell>
          <cell r="AJ107">
            <v>13165.91</v>
          </cell>
          <cell r="AK107">
            <v>12853.49</v>
          </cell>
          <cell r="AL107">
            <v>13170.31</v>
          </cell>
          <cell r="AM107">
            <v>13536.61</v>
          </cell>
          <cell r="AN107">
            <v>13275.82</v>
          </cell>
          <cell r="AO107">
            <v>13358.79</v>
          </cell>
          <cell r="AP107">
            <v>13349.35</v>
          </cell>
          <cell r="AQ107">
            <v>13435.13</v>
          </cell>
          <cell r="AR107">
            <v>13076.35</v>
          </cell>
          <cell r="AS107">
            <v>13515.33</v>
          </cell>
          <cell r="AT107">
            <v>13289.99</v>
          </cell>
          <cell r="AU107">
            <v>13328.48</v>
          </cell>
          <cell r="AV107">
            <v>13418.23</v>
          </cell>
          <cell r="AW107">
            <v>13201.39</v>
          </cell>
          <cell r="AX107">
            <v>12793.22</v>
          </cell>
          <cell r="AY107">
            <v>13048.62</v>
          </cell>
          <cell r="AZ107">
            <v>12674.3</v>
          </cell>
          <cell r="BA107">
            <v>10428.61</v>
          </cell>
        </row>
        <row r="108">
          <cell r="A108" t="str">
            <v>V5000H45B20</v>
          </cell>
          <cell r="B108">
            <v>5000</v>
          </cell>
          <cell r="C108">
            <v>4500</v>
          </cell>
          <cell r="D108">
            <v>2000</v>
          </cell>
          <cell r="E108">
            <v>27</v>
          </cell>
          <cell r="F108">
            <v>6</v>
          </cell>
          <cell r="G108">
            <v>2</v>
          </cell>
          <cell r="H108">
            <v>350</v>
          </cell>
          <cell r="I108">
            <v>70</v>
          </cell>
          <cell r="J108">
            <v>5093.8</v>
          </cell>
          <cell r="K108" t="str">
            <v>Q-11002932</v>
          </cell>
          <cell r="L108" t="str">
            <v>\\hokukon-net2\hop\Program\01_MVPシステム_容量別組立図\.\01_余裕高0_0m\pdf\FB0_5000m3-MVP-4500-組-B2000_Q-11002932.pdf</v>
          </cell>
          <cell r="M108">
            <v>13786.7</v>
          </cell>
          <cell r="N108">
            <v>13902.98</v>
          </cell>
          <cell r="O108">
            <v>13654.71</v>
          </cell>
          <cell r="P108">
            <v>13658.62</v>
          </cell>
          <cell r="Q108">
            <v>13843.29</v>
          </cell>
          <cell r="R108">
            <v>13756.28</v>
          </cell>
          <cell r="S108">
            <v>13726.71</v>
          </cell>
          <cell r="T108">
            <v>13731.44</v>
          </cell>
          <cell r="U108">
            <v>13738.9</v>
          </cell>
          <cell r="V108">
            <v>13692.49</v>
          </cell>
          <cell r="W108">
            <v>13749.99</v>
          </cell>
          <cell r="X108">
            <v>13799.07</v>
          </cell>
          <cell r="Y108">
            <v>13805.52</v>
          </cell>
          <cell r="Z108">
            <v>14072.71</v>
          </cell>
          <cell r="AA108">
            <v>13860.04</v>
          </cell>
          <cell r="AB108">
            <v>13866.29</v>
          </cell>
          <cell r="AC108">
            <v>14170.52</v>
          </cell>
          <cell r="AD108">
            <v>13693.85</v>
          </cell>
          <cell r="AE108">
            <v>13818.54</v>
          </cell>
          <cell r="AF108">
            <v>14125.56</v>
          </cell>
          <cell r="AG108">
            <v>13737.11</v>
          </cell>
          <cell r="AH108">
            <v>13821.35</v>
          </cell>
          <cell r="AI108">
            <v>13676.83</v>
          </cell>
          <cell r="AJ108">
            <v>13826.34</v>
          </cell>
          <cell r="AK108">
            <v>13515.5</v>
          </cell>
          <cell r="AL108">
            <v>13830.71</v>
          </cell>
          <cell r="AM108">
            <v>14197.85</v>
          </cell>
          <cell r="AN108">
            <v>13938.43</v>
          </cell>
          <cell r="AO108">
            <v>14018.54</v>
          </cell>
          <cell r="AP108">
            <v>14011.14</v>
          </cell>
          <cell r="AQ108">
            <v>14097.57</v>
          </cell>
          <cell r="AR108">
            <v>13727.47</v>
          </cell>
          <cell r="AS108">
            <v>14166.9</v>
          </cell>
          <cell r="AT108">
            <v>13946.41</v>
          </cell>
          <cell r="AU108">
            <v>13985.2</v>
          </cell>
          <cell r="AV108">
            <v>14071.49</v>
          </cell>
          <cell r="AW108">
            <v>13854.22</v>
          </cell>
          <cell r="AX108">
            <v>13448.49</v>
          </cell>
          <cell r="AY108">
            <v>13700.38</v>
          </cell>
          <cell r="AZ108">
            <v>13327.49</v>
          </cell>
          <cell r="BA108">
            <v>11001.95</v>
          </cell>
        </row>
      </sheetData>
      <sheetData sheetId="5" refreshError="1">
        <row r="3">
          <cell r="B3" t="str">
            <v>容量</v>
          </cell>
          <cell r="C3" t="str">
            <v>規格高</v>
          </cell>
          <cell r="D3" t="str">
            <v>ふた幅</v>
          </cell>
          <cell r="E3" t="str">
            <v>列当り本体数</v>
          </cell>
          <cell r="F3" t="str">
            <v>ふた列数</v>
          </cell>
          <cell r="G3" t="str">
            <v>連通管数</v>
          </cell>
          <cell r="H3" t="str">
            <v>底版厚</v>
          </cell>
          <cell r="I3" t="str">
            <v>レッカー</v>
          </cell>
          <cell r="J3" t="str">
            <v>実容量m3</v>
          </cell>
          <cell r="K3" t="str">
            <v>新図番</v>
          </cell>
          <cell r="L3" t="str">
            <v>pdf</v>
          </cell>
          <cell r="M3" t="str">
            <v>青森</v>
          </cell>
          <cell r="N3" t="str">
            <v>岩手</v>
          </cell>
          <cell r="O3" t="str">
            <v>宮城</v>
          </cell>
          <cell r="P3" t="str">
            <v>宮城(豪雪地)</v>
          </cell>
          <cell r="Q3" t="str">
            <v>秋田</v>
          </cell>
          <cell r="R3" t="str">
            <v>山形</v>
          </cell>
          <cell r="S3" t="str">
            <v>福島</v>
          </cell>
          <cell r="T3" t="str">
            <v>福島(豪雪地)</v>
          </cell>
          <cell r="U3" t="str">
            <v>茨城</v>
          </cell>
          <cell r="V3" t="str">
            <v>栃木</v>
          </cell>
          <cell r="W3" t="str">
            <v>群馬</v>
          </cell>
          <cell r="X3" t="str">
            <v>埼玉</v>
          </cell>
          <cell r="Y3" t="str">
            <v>千葉</v>
          </cell>
          <cell r="Z3" t="str">
            <v>東京</v>
          </cell>
          <cell r="AA3" t="str">
            <v>神奈川</v>
          </cell>
          <cell r="AB3" t="str">
            <v>山梨</v>
          </cell>
          <cell r="AC3" t="str">
            <v>長野</v>
          </cell>
          <cell r="AD3" t="str">
            <v>新潟</v>
          </cell>
          <cell r="AE3" t="str">
            <v>富山</v>
          </cell>
          <cell r="AF3" t="str">
            <v>石川</v>
          </cell>
          <cell r="AG3" t="str">
            <v>岐阜</v>
          </cell>
          <cell r="AH3" t="str">
            <v>静岡</v>
          </cell>
          <cell r="AI3" t="str">
            <v>愛知</v>
          </cell>
          <cell r="AJ3" t="str">
            <v>三重</v>
          </cell>
          <cell r="AK3" t="str">
            <v>福井</v>
          </cell>
          <cell r="AL3" t="str">
            <v>滋賀</v>
          </cell>
          <cell r="AM3" t="str">
            <v>京都</v>
          </cell>
          <cell r="AN3" t="str">
            <v>大阪</v>
          </cell>
          <cell r="AO3" t="str">
            <v>兵庫</v>
          </cell>
          <cell r="AP3" t="str">
            <v>奈良</v>
          </cell>
          <cell r="AQ3" t="str">
            <v>和歌山</v>
          </cell>
          <cell r="AR3" t="str">
            <v>鳥取</v>
          </cell>
          <cell r="AS3" t="str">
            <v>島根</v>
          </cell>
          <cell r="AT3" t="str">
            <v>岡山</v>
          </cell>
          <cell r="AU3" t="str">
            <v>広島</v>
          </cell>
          <cell r="AV3" t="str">
            <v>山口</v>
          </cell>
          <cell r="AW3" t="str">
            <v>徳島</v>
          </cell>
          <cell r="AX3" t="str">
            <v>香川</v>
          </cell>
          <cell r="AY3" t="str">
            <v>愛媛</v>
          </cell>
          <cell r="AZ3" t="str">
            <v>高知</v>
          </cell>
        </row>
        <row r="4">
          <cell r="A4" t="str">
            <v>V0500H15B30</v>
          </cell>
          <cell r="B4">
            <v>500</v>
          </cell>
          <cell r="C4">
            <v>1500</v>
          </cell>
          <cell r="D4">
            <v>3000</v>
          </cell>
          <cell r="E4">
            <v>18</v>
          </cell>
          <cell r="F4">
            <v>2</v>
          </cell>
          <cell r="G4">
            <v>0</v>
          </cell>
          <cell r="H4">
            <v>350</v>
          </cell>
          <cell r="I4">
            <v>50</v>
          </cell>
          <cell r="J4">
            <v>518.1</v>
          </cell>
          <cell r="K4" t="str">
            <v>Q-11002937</v>
          </cell>
          <cell r="L4" t="str">
            <v>\\hokukon-net2\hop\Program\01_MVPシステム_容量別組立図\.\02_余裕高0_6m\pdf\FB600_0500m3-MVP-1500-組-B3000_Q-11002937.pdf</v>
          </cell>
          <cell r="M4">
            <v>3731.29</v>
          </cell>
          <cell r="N4">
            <v>3787.47</v>
          </cell>
          <cell r="O4">
            <v>3655.65</v>
          </cell>
          <cell r="P4">
            <v>3657.62</v>
          </cell>
          <cell r="Q4">
            <v>3760.27</v>
          </cell>
          <cell r="R4">
            <v>3718.07</v>
          </cell>
          <cell r="S4">
            <v>3708.7</v>
          </cell>
          <cell r="T4">
            <v>3711.08</v>
          </cell>
          <cell r="U4">
            <v>3685.47</v>
          </cell>
          <cell r="V4">
            <v>3665</v>
          </cell>
          <cell r="W4">
            <v>3692.89</v>
          </cell>
          <cell r="X4">
            <v>3707.11</v>
          </cell>
          <cell r="Y4">
            <v>3708.66</v>
          </cell>
          <cell r="Z4">
            <v>3833.85</v>
          </cell>
          <cell r="AA4">
            <v>3725.07</v>
          </cell>
          <cell r="AB4">
            <v>3738.15</v>
          </cell>
          <cell r="AC4">
            <v>3906.9</v>
          </cell>
          <cell r="AD4">
            <v>3685.37</v>
          </cell>
          <cell r="AE4">
            <v>3738.48</v>
          </cell>
          <cell r="AF4">
            <v>3886.93</v>
          </cell>
          <cell r="AG4">
            <v>3685.54</v>
          </cell>
          <cell r="AH4">
            <v>3725.51</v>
          </cell>
          <cell r="AI4">
            <v>3649.23</v>
          </cell>
          <cell r="AJ4">
            <v>3735.65</v>
          </cell>
          <cell r="AK4">
            <v>3566.41</v>
          </cell>
          <cell r="AL4">
            <v>3730.17</v>
          </cell>
          <cell r="AM4">
            <v>3913.24</v>
          </cell>
          <cell r="AN4">
            <v>3778.48</v>
          </cell>
          <cell r="AO4">
            <v>3826.66</v>
          </cell>
          <cell r="AP4">
            <v>3817.31</v>
          </cell>
          <cell r="AQ4">
            <v>3858.77</v>
          </cell>
          <cell r="AR4">
            <v>3710.12</v>
          </cell>
          <cell r="AS4">
            <v>3930.34</v>
          </cell>
          <cell r="AT4">
            <v>3805.88</v>
          </cell>
          <cell r="AU4">
            <v>3824.51</v>
          </cell>
          <cell r="AV4">
            <v>3877.38</v>
          </cell>
          <cell r="AW4">
            <v>3771.65</v>
          </cell>
          <cell r="AX4">
            <v>3560.05</v>
          </cell>
          <cell r="AY4">
            <v>3697.26</v>
          </cell>
          <cell r="AZ4">
            <v>3505.57</v>
          </cell>
          <cell r="BA4">
            <v>3505.57</v>
          </cell>
        </row>
        <row r="5">
          <cell r="A5" t="str">
            <v>V0500H15B25</v>
          </cell>
          <cell r="B5">
            <v>500</v>
          </cell>
          <cell r="C5">
            <v>1500</v>
          </cell>
          <cell r="D5">
            <v>2500</v>
          </cell>
          <cell r="E5">
            <v>19</v>
          </cell>
          <cell r="F5">
            <v>2</v>
          </cell>
          <cell r="G5">
            <v>0</v>
          </cell>
          <cell r="H5">
            <v>350</v>
          </cell>
          <cell r="I5">
            <v>50</v>
          </cell>
          <cell r="J5">
            <v>510.2</v>
          </cell>
          <cell r="K5" t="str">
            <v>Q-11002936</v>
          </cell>
          <cell r="L5" t="str">
            <v>\\hokukon-net2\hop\Program\01_MVPシステム_容量別組立図\.\02_余裕高0_6m\pdf\FB600_0500m3-MVP-1500-組-B2500_Q-11002936.pdf</v>
          </cell>
          <cell r="M5">
            <v>3734.86</v>
          </cell>
          <cell r="N5">
            <v>3790.34</v>
          </cell>
          <cell r="O5">
            <v>3660.5</v>
          </cell>
          <cell r="P5">
            <v>3662.46</v>
          </cell>
          <cell r="Q5">
            <v>3763.31</v>
          </cell>
          <cell r="R5">
            <v>3721.59</v>
          </cell>
          <cell r="S5">
            <v>3712.09</v>
          </cell>
          <cell r="T5">
            <v>3714.46</v>
          </cell>
          <cell r="U5">
            <v>3690.49</v>
          </cell>
          <cell r="V5">
            <v>3670.09</v>
          </cell>
          <cell r="W5">
            <v>3697.73</v>
          </cell>
          <cell r="X5">
            <v>3712.24</v>
          </cell>
          <cell r="Y5">
            <v>3713.83</v>
          </cell>
          <cell r="Z5">
            <v>3837.95</v>
          </cell>
          <cell r="AA5">
            <v>3730.65</v>
          </cell>
          <cell r="AB5">
            <v>3743.07</v>
          </cell>
          <cell r="AC5">
            <v>3909.15</v>
          </cell>
          <cell r="AD5">
            <v>3689.84</v>
          </cell>
          <cell r="AE5">
            <v>3742.75</v>
          </cell>
          <cell r="AF5">
            <v>3889.69</v>
          </cell>
          <cell r="AG5">
            <v>3691.04</v>
          </cell>
          <cell r="AH5">
            <v>3730.56</v>
          </cell>
          <cell r="AI5">
            <v>3655.43</v>
          </cell>
          <cell r="AJ5">
            <v>3740.32</v>
          </cell>
          <cell r="AK5">
            <v>3572.9</v>
          </cell>
          <cell r="AL5">
            <v>3734.45</v>
          </cell>
          <cell r="AM5">
            <v>3915.49</v>
          </cell>
          <cell r="AN5">
            <v>3782.44</v>
          </cell>
          <cell r="AO5">
            <v>3829.67</v>
          </cell>
          <cell r="AP5">
            <v>3820.68</v>
          </cell>
          <cell r="AQ5">
            <v>3861.75</v>
          </cell>
          <cell r="AR5">
            <v>3713.86</v>
          </cell>
          <cell r="AS5">
            <v>3931.55</v>
          </cell>
          <cell r="AT5">
            <v>3809.17</v>
          </cell>
          <cell r="AU5">
            <v>3827.63</v>
          </cell>
          <cell r="AV5">
            <v>3879.4</v>
          </cell>
          <cell r="AW5">
            <v>3774.99</v>
          </cell>
          <cell r="AX5">
            <v>3566.29</v>
          </cell>
          <cell r="AY5">
            <v>3701.34</v>
          </cell>
          <cell r="AZ5">
            <v>3512.2</v>
          </cell>
          <cell r="BA5">
            <v>3512.2</v>
          </cell>
        </row>
        <row r="6">
          <cell r="A6" t="str">
            <v>V0500H15B20</v>
          </cell>
          <cell r="B6">
            <v>500</v>
          </cell>
          <cell r="C6">
            <v>1500</v>
          </cell>
          <cell r="D6">
            <v>2000</v>
          </cell>
          <cell r="E6">
            <v>21</v>
          </cell>
          <cell r="F6">
            <v>2</v>
          </cell>
          <cell r="G6">
            <v>0</v>
          </cell>
          <cell r="H6">
            <v>350</v>
          </cell>
          <cell r="I6">
            <v>50</v>
          </cell>
          <cell r="J6">
            <v>522.79999999999995</v>
          </cell>
          <cell r="K6" t="str">
            <v>Q-11002935</v>
          </cell>
          <cell r="L6" t="str">
            <v>\\hokukon-net2\hop\Program\01_MVPシステム_容量別組立図\.\02_余裕高0_6m\pdf\FB600_0500m3-MVP-1500-組-B2000_Q-11002935.pdf</v>
          </cell>
          <cell r="M6">
            <v>3890.94</v>
          </cell>
          <cell r="N6">
            <v>3947.89</v>
          </cell>
          <cell r="O6">
            <v>3814.85</v>
          </cell>
          <cell r="P6">
            <v>3816.86</v>
          </cell>
          <cell r="Q6">
            <v>3919.98</v>
          </cell>
          <cell r="R6">
            <v>3877.12</v>
          </cell>
          <cell r="S6">
            <v>3867.12</v>
          </cell>
          <cell r="T6">
            <v>3869.54</v>
          </cell>
          <cell r="U6">
            <v>3846.12</v>
          </cell>
          <cell r="V6">
            <v>3824.99</v>
          </cell>
          <cell r="W6">
            <v>3853.51</v>
          </cell>
          <cell r="X6">
            <v>3868.83</v>
          </cell>
          <cell r="Y6">
            <v>3870.51</v>
          </cell>
          <cell r="Z6">
            <v>3998.42</v>
          </cell>
          <cell r="AA6">
            <v>3888.37</v>
          </cell>
          <cell r="AB6">
            <v>3900.64</v>
          </cell>
          <cell r="AC6">
            <v>4070.76</v>
          </cell>
          <cell r="AD6">
            <v>3845.1</v>
          </cell>
          <cell r="AE6">
            <v>3899.86</v>
          </cell>
          <cell r="AF6">
            <v>4051.07</v>
          </cell>
          <cell r="AG6">
            <v>3847.23</v>
          </cell>
          <cell r="AH6">
            <v>3887.83</v>
          </cell>
          <cell r="AI6">
            <v>3810.91</v>
          </cell>
          <cell r="AJ6">
            <v>3897.64</v>
          </cell>
          <cell r="AK6">
            <v>3725.45</v>
          </cell>
          <cell r="AL6">
            <v>3891.12</v>
          </cell>
          <cell r="AM6">
            <v>4077.26</v>
          </cell>
          <cell r="AN6">
            <v>3940.63</v>
          </cell>
          <cell r="AO6">
            <v>3988.83</v>
          </cell>
          <cell r="AP6">
            <v>3979.81</v>
          </cell>
          <cell r="AQ6">
            <v>4022.11</v>
          </cell>
          <cell r="AR6">
            <v>3869.27</v>
          </cell>
          <cell r="AS6">
            <v>4093.07</v>
          </cell>
          <cell r="AT6">
            <v>3967.86</v>
          </cell>
          <cell r="AU6">
            <v>3986.96</v>
          </cell>
          <cell r="AV6">
            <v>4039.63</v>
          </cell>
          <cell r="AW6">
            <v>3932.46</v>
          </cell>
          <cell r="AX6">
            <v>3718.43</v>
          </cell>
          <cell r="AY6">
            <v>3856.66</v>
          </cell>
          <cell r="AZ6">
            <v>3662.62</v>
          </cell>
          <cell r="BA6">
            <v>3662.62</v>
          </cell>
        </row>
        <row r="7">
          <cell r="A7" t="str">
            <v>V0500H20B30</v>
          </cell>
          <cell r="B7">
            <v>500</v>
          </cell>
          <cell r="C7">
            <v>2000</v>
          </cell>
          <cell r="D7">
            <v>3000</v>
          </cell>
          <cell r="E7">
            <v>19</v>
          </cell>
          <cell r="F7">
            <v>1</v>
          </cell>
          <cell r="G7">
            <v>0</v>
          </cell>
          <cell r="H7">
            <v>350</v>
          </cell>
          <cell r="I7">
            <v>50</v>
          </cell>
          <cell r="J7">
            <v>507.7</v>
          </cell>
          <cell r="K7" t="str">
            <v>Q-11002940</v>
          </cell>
          <cell r="L7" t="str">
            <v>\\hokukon-net2\hop\Program\01_MVPシステム_容量別組立図\.\02_余裕高0_6m\pdf\FB600_0500m3-MVP-2000-組-B3000_Q-11002940.pdf</v>
          </cell>
          <cell r="M7">
            <v>2599.64</v>
          </cell>
          <cell r="N7">
            <v>2636.45</v>
          </cell>
          <cell r="O7">
            <v>2551.08</v>
          </cell>
          <cell r="P7">
            <v>2552.37</v>
          </cell>
          <cell r="Q7">
            <v>2618.08</v>
          </cell>
          <cell r="R7">
            <v>2590.7199999999998</v>
          </cell>
          <cell r="S7">
            <v>2584.21</v>
          </cell>
          <cell r="T7">
            <v>2585.7600000000002</v>
          </cell>
          <cell r="U7">
            <v>2571.3000000000002</v>
          </cell>
          <cell r="V7">
            <v>2557.69</v>
          </cell>
          <cell r="W7">
            <v>2575.94</v>
          </cell>
          <cell r="X7">
            <v>2585.9899999999998</v>
          </cell>
          <cell r="Y7">
            <v>2586.96</v>
          </cell>
          <cell r="Z7">
            <v>2669.05</v>
          </cell>
          <cell r="AA7">
            <v>2598.14</v>
          </cell>
          <cell r="AB7">
            <v>2606.23</v>
          </cell>
          <cell r="AC7">
            <v>2715.03</v>
          </cell>
          <cell r="AD7">
            <v>2569.5300000000002</v>
          </cell>
          <cell r="AE7">
            <v>2604.98</v>
          </cell>
          <cell r="AF7">
            <v>2702.01</v>
          </cell>
          <cell r="AG7">
            <v>2571.42</v>
          </cell>
          <cell r="AH7">
            <v>2597.58</v>
          </cell>
          <cell r="AI7">
            <v>2548.1999999999998</v>
          </cell>
          <cell r="AJ7">
            <v>2603.83</v>
          </cell>
          <cell r="AK7">
            <v>2493.37</v>
          </cell>
          <cell r="AL7">
            <v>2600.0700000000002</v>
          </cell>
          <cell r="AM7">
            <v>2719.74</v>
          </cell>
          <cell r="AN7">
            <v>2632.24</v>
          </cell>
          <cell r="AO7">
            <v>2663.12</v>
          </cell>
          <cell r="AP7">
            <v>2657.4</v>
          </cell>
          <cell r="AQ7">
            <v>2684.59</v>
          </cell>
          <cell r="AR7">
            <v>2585.67</v>
          </cell>
          <cell r="AS7">
            <v>2729.16</v>
          </cell>
          <cell r="AT7">
            <v>2648.91</v>
          </cell>
          <cell r="AU7">
            <v>2660.89</v>
          </cell>
          <cell r="AV7">
            <v>2694.81</v>
          </cell>
          <cell r="AW7">
            <v>2625.8</v>
          </cell>
          <cell r="AX7">
            <v>2488.02</v>
          </cell>
          <cell r="AY7">
            <v>2577.11</v>
          </cell>
          <cell r="AZ7">
            <v>2452.12</v>
          </cell>
          <cell r="BA7">
            <v>2452.12</v>
          </cell>
        </row>
        <row r="8">
          <cell r="A8" t="str">
            <v>V0500H20B25</v>
          </cell>
          <cell r="B8">
            <v>500</v>
          </cell>
          <cell r="C8">
            <v>2000</v>
          </cell>
          <cell r="D8">
            <v>2500</v>
          </cell>
          <cell r="E8">
            <v>12</v>
          </cell>
          <cell r="F8">
            <v>2</v>
          </cell>
          <cell r="G8">
            <v>0</v>
          </cell>
          <cell r="H8">
            <v>350</v>
          </cell>
          <cell r="I8">
            <v>50</v>
          </cell>
          <cell r="J8">
            <v>512.5</v>
          </cell>
          <cell r="K8" t="str">
            <v>Q-11002939</v>
          </cell>
          <cell r="L8" t="str">
            <v>\\hokukon-net2\hop\Program\01_MVPシステム_容量別組立図\.\02_余裕高0_6m\pdf\FB600_0500m3-MVP-2000-組-B2500_Q-11002939.pdf</v>
          </cell>
          <cell r="M8">
            <v>2677.27</v>
          </cell>
          <cell r="N8">
            <v>2714.36</v>
          </cell>
          <cell r="O8">
            <v>2630.05</v>
          </cell>
          <cell r="P8">
            <v>2631.32</v>
          </cell>
          <cell r="Q8">
            <v>2695.79</v>
          </cell>
          <cell r="R8">
            <v>2668.34</v>
          </cell>
          <cell r="S8">
            <v>2661.33</v>
          </cell>
          <cell r="T8">
            <v>2662.88</v>
          </cell>
          <cell r="U8">
            <v>2652.09</v>
          </cell>
          <cell r="V8">
            <v>2638.21</v>
          </cell>
          <cell r="W8">
            <v>2656.09</v>
          </cell>
          <cell r="X8">
            <v>2667.43</v>
          </cell>
          <cell r="Y8">
            <v>2668.68</v>
          </cell>
          <cell r="Z8">
            <v>2751.28</v>
          </cell>
          <cell r="AA8">
            <v>2680.7</v>
          </cell>
          <cell r="AB8">
            <v>2687.71</v>
          </cell>
          <cell r="AC8">
            <v>2794.41</v>
          </cell>
          <cell r="AD8">
            <v>2647.61</v>
          </cell>
          <cell r="AE8">
            <v>2683.97</v>
          </cell>
          <cell r="AF8">
            <v>2781.32</v>
          </cell>
          <cell r="AG8">
            <v>2652.37</v>
          </cell>
          <cell r="AH8">
            <v>2678.89</v>
          </cell>
          <cell r="AI8">
            <v>2629.73</v>
          </cell>
          <cell r="AJ8">
            <v>2684.16</v>
          </cell>
          <cell r="AK8">
            <v>2573.87</v>
          </cell>
          <cell r="AL8">
            <v>2680</v>
          </cell>
          <cell r="AM8">
            <v>2799.41</v>
          </cell>
          <cell r="AN8">
            <v>2712.77</v>
          </cell>
          <cell r="AO8">
            <v>2742.7</v>
          </cell>
          <cell r="AP8">
            <v>2737.61</v>
          </cell>
          <cell r="AQ8">
            <v>2764.73</v>
          </cell>
          <cell r="AR8">
            <v>2663.32</v>
          </cell>
          <cell r="AS8">
            <v>2806.17</v>
          </cell>
          <cell r="AT8">
            <v>2727.83</v>
          </cell>
          <cell r="AU8">
            <v>2739.55</v>
          </cell>
          <cell r="AV8">
            <v>2772.7</v>
          </cell>
          <cell r="AW8">
            <v>2703.7</v>
          </cell>
          <cell r="AX8">
            <v>2566.92</v>
          </cell>
          <cell r="AY8">
            <v>2655.01</v>
          </cell>
          <cell r="AZ8">
            <v>2530.65</v>
          </cell>
          <cell r="BA8">
            <v>2530.65</v>
          </cell>
        </row>
        <row r="9">
          <cell r="A9" t="str">
            <v>V0500H20B20</v>
          </cell>
          <cell r="B9">
            <v>500</v>
          </cell>
          <cell r="C9">
            <v>2000</v>
          </cell>
          <cell r="D9">
            <v>2000</v>
          </cell>
          <cell r="E9">
            <v>13</v>
          </cell>
          <cell r="F9">
            <v>2</v>
          </cell>
          <cell r="G9">
            <v>0</v>
          </cell>
          <cell r="H9">
            <v>350</v>
          </cell>
          <cell r="I9">
            <v>50</v>
          </cell>
          <cell r="J9">
            <v>514.20000000000005</v>
          </cell>
          <cell r="K9" t="str">
            <v>Q-11002938</v>
          </cell>
          <cell r="L9" t="str">
            <v>\\hokukon-net2\hop\Program\01_MVPシステム_容量別組立図\.\02_余裕高0_6m\pdf\FB600_0500m3-MVP-2000-組-B2000_Q-11002938.pdf</v>
          </cell>
          <cell r="M9">
            <v>2729.11</v>
          </cell>
          <cell r="N9">
            <v>2766.37</v>
          </cell>
          <cell r="O9">
            <v>2681.85</v>
          </cell>
          <cell r="P9">
            <v>2683.14</v>
          </cell>
          <cell r="Q9">
            <v>2747.61</v>
          </cell>
          <cell r="R9">
            <v>2719.99</v>
          </cell>
          <cell r="S9">
            <v>2712.8</v>
          </cell>
          <cell r="T9">
            <v>2714.35</v>
          </cell>
          <cell r="U9">
            <v>2704.35</v>
          </cell>
          <cell r="V9">
            <v>2690.28</v>
          </cell>
          <cell r="W9">
            <v>2708.33</v>
          </cell>
          <cell r="X9">
            <v>2720.02</v>
          </cell>
          <cell r="Y9">
            <v>2721.3</v>
          </cell>
          <cell r="Z9">
            <v>2804.63</v>
          </cell>
          <cell r="AA9">
            <v>2733.8</v>
          </cell>
          <cell r="AB9">
            <v>2740.5</v>
          </cell>
          <cell r="AC9">
            <v>2847.42</v>
          </cell>
          <cell r="AD9">
            <v>2699.56</v>
          </cell>
          <cell r="AE9">
            <v>2736.39</v>
          </cell>
          <cell r="AF9">
            <v>2834.43</v>
          </cell>
          <cell r="AG9">
            <v>2704.97</v>
          </cell>
          <cell r="AH9">
            <v>2764.34</v>
          </cell>
          <cell r="AI9">
            <v>2682.4</v>
          </cell>
          <cell r="AJ9">
            <v>2736.79</v>
          </cell>
          <cell r="AK9">
            <v>2625.74</v>
          </cell>
          <cell r="AL9">
            <v>2732.29</v>
          </cell>
          <cell r="AM9">
            <v>2852.46</v>
          </cell>
          <cell r="AN9">
            <v>2765.39</v>
          </cell>
          <cell r="AO9">
            <v>2795.23</v>
          </cell>
          <cell r="AP9">
            <v>2790.27</v>
          </cell>
          <cell r="AQ9">
            <v>2817.61</v>
          </cell>
          <cell r="AR9">
            <v>2715.03</v>
          </cell>
          <cell r="AS9">
            <v>2858.76</v>
          </cell>
          <cell r="AT9">
            <v>2780.36</v>
          </cell>
          <cell r="AU9">
            <v>2792.21</v>
          </cell>
          <cell r="AV9">
            <v>2825.2</v>
          </cell>
          <cell r="AW9">
            <v>2755.89</v>
          </cell>
          <cell r="AX9">
            <v>2618.62</v>
          </cell>
          <cell r="AY9">
            <v>2706.84</v>
          </cell>
          <cell r="AZ9">
            <v>2581.98</v>
          </cell>
          <cell r="BA9">
            <v>2581.98</v>
          </cell>
        </row>
        <row r="10">
          <cell r="A10" t="str">
            <v>V0500H25B30</v>
          </cell>
          <cell r="B10">
            <v>500</v>
          </cell>
          <cell r="C10">
            <v>2500</v>
          </cell>
          <cell r="D10">
            <v>3000</v>
          </cell>
          <cell r="E10">
            <v>14</v>
          </cell>
          <cell r="F10">
            <v>2</v>
          </cell>
          <cell r="G10">
            <v>0</v>
          </cell>
          <cell r="H10">
            <v>300</v>
          </cell>
          <cell r="I10">
            <v>50</v>
          </cell>
          <cell r="J10">
            <v>520.4</v>
          </cell>
          <cell r="K10" t="str">
            <v>Q-11002943</v>
          </cell>
          <cell r="L10" t="str">
            <v>\\hokukon-net2\hop\Program\01_MVPシステム_容量別組立図\.\02_余裕高0_6m\pdf\FB600_0500m3-MVP-2500-組-B3000_Q-11002943.pdf</v>
          </cell>
          <cell r="M10">
            <v>2509.4499999999998</v>
          </cell>
          <cell r="N10">
            <v>2535.9499999999998</v>
          </cell>
          <cell r="O10">
            <v>2478.2800000000002</v>
          </cell>
          <cell r="P10">
            <v>2479.1999999999998</v>
          </cell>
          <cell r="Q10">
            <v>2522.5700000000002</v>
          </cell>
          <cell r="R10">
            <v>2503.2399999999998</v>
          </cell>
          <cell r="S10">
            <v>2497.02</v>
          </cell>
          <cell r="T10">
            <v>2498.13</v>
          </cell>
          <cell r="U10">
            <v>2499.6799999999998</v>
          </cell>
          <cell r="V10">
            <v>2488.69</v>
          </cell>
          <cell r="W10">
            <v>2501.86</v>
          </cell>
          <cell r="X10">
            <v>2513.5</v>
          </cell>
          <cell r="Y10">
            <v>2515.2800000000002</v>
          </cell>
          <cell r="Z10">
            <v>2576.48</v>
          </cell>
          <cell r="AA10">
            <v>2526.19</v>
          </cell>
          <cell r="AB10">
            <v>2528.14</v>
          </cell>
          <cell r="AC10">
            <v>2599.59</v>
          </cell>
          <cell r="AD10">
            <v>2491.1</v>
          </cell>
          <cell r="AE10">
            <v>2518.8200000000002</v>
          </cell>
          <cell r="AF10">
            <v>2589.96</v>
          </cell>
          <cell r="AG10">
            <v>2501.8000000000002</v>
          </cell>
          <cell r="AH10">
            <v>2521.62</v>
          </cell>
          <cell r="AI10">
            <v>2487.33</v>
          </cell>
          <cell r="AJ10">
            <v>2523.4299999999998</v>
          </cell>
          <cell r="AK10">
            <v>2444.04</v>
          </cell>
          <cell r="AL10">
            <v>2517.64</v>
          </cell>
          <cell r="AM10">
            <v>2603.16</v>
          </cell>
          <cell r="AN10">
            <v>2542.5100000000002</v>
          </cell>
          <cell r="AO10">
            <v>2561.38</v>
          </cell>
          <cell r="AP10">
            <v>2559.73</v>
          </cell>
          <cell r="AQ10">
            <v>2578.9499999999998</v>
          </cell>
          <cell r="AR10">
            <v>2501.27</v>
          </cell>
          <cell r="AS10">
            <v>2602.69</v>
          </cell>
          <cell r="AT10">
            <v>2550.0100000000002</v>
          </cell>
          <cell r="AU10">
            <v>2558.44</v>
          </cell>
          <cell r="AV10">
            <v>2580.13</v>
          </cell>
          <cell r="AW10">
            <v>2529.83</v>
          </cell>
          <cell r="AX10">
            <v>2435.4699999999998</v>
          </cell>
          <cell r="AY10">
            <v>2495.11</v>
          </cell>
          <cell r="AZ10">
            <v>2407.87</v>
          </cell>
          <cell r="BA10">
            <v>2407.87</v>
          </cell>
        </row>
        <row r="11">
          <cell r="A11" t="str">
            <v>V0500H25B25</v>
          </cell>
          <cell r="B11">
            <v>500</v>
          </cell>
          <cell r="C11">
            <v>2500</v>
          </cell>
          <cell r="D11">
            <v>2500</v>
          </cell>
          <cell r="E11">
            <v>15</v>
          </cell>
          <cell r="F11">
            <v>2</v>
          </cell>
          <cell r="G11">
            <v>0</v>
          </cell>
          <cell r="H11">
            <v>300</v>
          </cell>
          <cell r="I11">
            <v>50</v>
          </cell>
          <cell r="J11">
            <v>511.4</v>
          </cell>
          <cell r="K11" t="str">
            <v>Q-11002942</v>
          </cell>
          <cell r="L11" t="str">
            <v>\\hokukon-net2\hop\Program\01_MVPシステム_容量別組立図\.\02_余裕高0_6m\pdf\FB600_0500m3-MVP-2500-組-B2500_Q-11002942.pdf</v>
          </cell>
          <cell r="M11">
            <v>2544.0300000000002</v>
          </cell>
          <cell r="N11">
            <v>2570.16</v>
          </cell>
          <cell r="O11">
            <v>2513.63</v>
          </cell>
          <cell r="P11">
            <v>2514.5300000000002</v>
          </cell>
          <cell r="Q11">
            <v>2556.84</v>
          </cell>
          <cell r="R11">
            <v>2537.75</v>
          </cell>
          <cell r="S11">
            <v>2531.4</v>
          </cell>
          <cell r="T11">
            <v>2532.4899999999998</v>
          </cell>
          <cell r="U11">
            <v>2535.25</v>
          </cell>
          <cell r="V11">
            <v>2524.2399999999998</v>
          </cell>
          <cell r="W11">
            <v>2537.34</v>
          </cell>
          <cell r="X11">
            <v>2549.2399999999998</v>
          </cell>
          <cell r="Y11">
            <v>2551.0500000000002</v>
          </cell>
          <cell r="Z11">
            <v>2611.81</v>
          </cell>
          <cell r="AA11">
            <v>2562.36</v>
          </cell>
          <cell r="AB11">
            <v>2563.81</v>
          </cell>
          <cell r="AC11">
            <v>2633.73</v>
          </cell>
          <cell r="AD11">
            <v>2526.27</v>
          </cell>
          <cell r="AE11">
            <v>2554.02</v>
          </cell>
          <cell r="AF11">
            <v>2624.45</v>
          </cell>
          <cell r="AG11">
            <v>2537.79</v>
          </cell>
          <cell r="AH11">
            <v>2557.38</v>
          </cell>
          <cell r="AI11">
            <v>2523.7399999999998</v>
          </cell>
          <cell r="AJ11">
            <v>2558.92</v>
          </cell>
          <cell r="AK11">
            <v>2480.41</v>
          </cell>
          <cell r="AL11">
            <v>2552.79</v>
          </cell>
          <cell r="AM11">
            <v>2637.29</v>
          </cell>
          <cell r="AN11">
            <v>2577.54</v>
          </cell>
          <cell r="AO11">
            <v>2595.84</v>
          </cell>
          <cell r="AP11">
            <v>2594.4499999999998</v>
          </cell>
          <cell r="AQ11">
            <v>2613.4899999999998</v>
          </cell>
          <cell r="AR11">
            <v>2535.9</v>
          </cell>
          <cell r="AS11">
            <v>2636.08</v>
          </cell>
          <cell r="AT11">
            <v>2584.63</v>
          </cell>
          <cell r="AU11">
            <v>2593.02</v>
          </cell>
          <cell r="AV11">
            <v>2613.9899999999998</v>
          </cell>
          <cell r="AW11">
            <v>2564.4</v>
          </cell>
          <cell r="AX11">
            <v>2471.66</v>
          </cell>
          <cell r="AY11">
            <v>2530.0300000000002</v>
          </cell>
          <cell r="AZ11">
            <v>2444.16</v>
          </cell>
          <cell r="BA11">
            <v>2444.16</v>
          </cell>
        </row>
        <row r="12">
          <cell r="A12" t="str">
            <v>V0500H25B20</v>
          </cell>
          <cell r="B12">
            <v>500</v>
          </cell>
          <cell r="C12">
            <v>2500</v>
          </cell>
          <cell r="D12">
            <v>2000</v>
          </cell>
          <cell r="E12">
            <v>17</v>
          </cell>
          <cell r="F12">
            <v>2</v>
          </cell>
          <cell r="G12">
            <v>0</v>
          </cell>
          <cell r="H12">
            <v>300</v>
          </cell>
          <cell r="I12">
            <v>50</v>
          </cell>
          <cell r="J12">
            <v>526.4</v>
          </cell>
          <cell r="K12" t="str">
            <v>Q-11002941</v>
          </cell>
          <cell r="L12" t="str">
            <v>\\hokukon-net2\hop\Program\01_MVPシステム_容量別組立図\.\02_余裕高0_6m\pdf\FB600_0500m3-MVP-2500-組-B2000_Q-11002941.pdf</v>
          </cell>
          <cell r="M12">
            <v>2696.1</v>
          </cell>
          <cell r="N12">
            <v>2723.01</v>
          </cell>
          <cell r="O12">
            <v>2664.97</v>
          </cell>
          <cell r="P12">
            <v>2665.91</v>
          </cell>
          <cell r="Q12">
            <v>2709.16</v>
          </cell>
          <cell r="R12">
            <v>2689.43</v>
          </cell>
          <cell r="S12">
            <v>2682.65</v>
          </cell>
          <cell r="T12">
            <v>2683.78</v>
          </cell>
          <cell r="U12">
            <v>2687.73</v>
          </cell>
          <cell r="V12">
            <v>2676.19</v>
          </cell>
          <cell r="W12">
            <v>2689.83</v>
          </cell>
          <cell r="X12">
            <v>2702.5</v>
          </cell>
          <cell r="Y12">
            <v>2704.42</v>
          </cell>
          <cell r="Z12">
            <v>2767.53</v>
          </cell>
          <cell r="AA12">
            <v>2716.64</v>
          </cell>
          <cell r="AB12">
            <v>2717.7</v>
          </cell>
          <cell r="AC12">
            <v>2789.44</v>
          </cell>
          <cell r="AD12">
            <v>2678.15</v>
          </cell>
          <cell r="AE12">
            <v>2707.14</v>
          </cell>
          <cell r="AF12">
            <v>2780.13</v>
          </cell>
          <cell r="AG12">
            <v>2690.86</v>
          </cell>
          <cell r="AH12">
            <v>2711.08</v>
          </cell>
          <cell r="AI12">
            <v>2676.58</v>
          </cell>
          <cell r="AJ12">
            <v>2712.48</v>
          </cell>
          <cell r="AK12">
            <v>2631.2</v>
          </cell>
          <cell r="AL12">
            <v>2705.69</v>
          </cell>
          <cell r="AM12">
            <v>2793.08</v>
          </cell>
          <cell r="AN12">
            <v>2731.42</v>
          </cell>
          <cell r="AO12">
            <v>2749.99</v>
          </cell>
          <cell r="AP12">
            <v>2748.79</v>
          </cell>
          <cell r="AQ12">
            <v>2814.08</v>
          </cell>
          <cell r="AR12">
            <v>2687.62</v>
          </cell>
          <cell r="AS12">
            <v>2791.22</v>
          </cell>
          <cell r="AT12">
            <v>2738.57</v>
          </cell>
          <cell r="AU12">
            <v>2747.34</v>
          </cell>
          <cell r="AV12">
            <v>2768.54</v>
          </cell>
          <cell r="AW12">
            <v>2717.42</v>
          </cell>
          <cell r="AX12">
            <v>2622.02</v>
          </cell>
          <cell r="AY12">
            <v>2681.8</v>
          </cell>
          <cell r="AZ12">
            <v>2593.37</v>
          </cell>
          <cell r="BA12">
            <v>2593.37</v>
          </cell>
        </row>
        <row r="13">
          <cell r="A13" t="str">
            <v>V0500H30B30</v>
          </cell>
          <cell r="B13">
            <v>500</v>
          </cell>
          <cell r="C13">
            <v>3000</v>
          </cell>
          <cell r="D13">
            <v>3000</v>
          </cell>
          <cell r="E13">
            <v>11</v>
          </cell>
          <cell r="F13">
            <v>2</v>
          </cell>
          <cell r="G13">
            <v>0</v>
          </cell>
          <cell r="H13">
            <v>300</v>
          </cell>
          <cell r="I13">
            <v>50</v>
          </cell>
          <cell r="J13">
            <v>522.9</v>
          </cell>
          <cell r="K13" t="str">
            <v>Q-11002946</v>
          </cell>
          <cell r="L13" t="str">
            <v>\\hokukon-net2\hop\Program\01_MVPシステム_容量別組立図\.\02_余裕高0_6m\pdf\FB600_0500m3-MVP-3000-組-B3000_Q-11002946.pdf</v>
          </cell>
          <cell r="M13">
            <v>2220.34</v>
          </cell>
          <cell r="N13">
            <v>2242.09</v>
          </cell>
          <cell r="O13">
            <v>2196.4499999999998</v>
          </cell>
          <cell r="P13">
            <v>2197.19</v>
          </cell>
          <cell r="Q13">
            <v>2230.77</v>
          </cell>
          <cell r="R13">
            <v>2214.85</v>
          </cell>
          <cell r="S13">
            <v>2209.36</v>
          </cell>
          <cell r="T13">
            <v>2210.25</v>
          </cell>
          <cell r="U13">
            <v>2215.42</v>
          </cell>
          <cell r="V13">
            <v>2206.15</v>
          </cell>
          <cell r="W13">
            <v>2216.54</v>
          </cell>
          <cell r="X13">
            <v>2227.37</v>
          </cell>
          <cell r="Y13">
            <v>2229.1</v>
          </cell>
          <cell r="Z13">
            <v>2279.38</v>
          </cell>
          <cell r="AA13">
            <v>2238.87</v>
          </cell>
          <cell r="AB13">
            <v>2239.33</v>
          </cell>
          <cell r="AC13">
            <v>2295.0300000000002</v>
          </cell>
          <cell r="AD13">
            <v>2205.71</v>
          </cell>
          <cell r="AE13">
            <v>2229.1999999999998</v>
          </cell>
          <cell r="AF13">
            <v>2287.1799999999998</v>
          </cell>
          <cell r="AG13">
            <v>2217.17</v>
          </cell>
          <cell r="AH13">
            <v>2233.41</v>
          </cell>
          <cell r="AI13">
            <v>2206.0300000000002</v>
          </cell>
          <cell r="AJ13">
            <v>2234.0300000000002</v>
          </cell>
          <cell r="AK13">
            <v>2169.69</v>
          </cell>
          <cell r="AL13">
            <v>2228.48</v>
          </cell>
          <cell r="AM13">
            <v>2297.84</v>
          </cell>
          <cell r="AN13">
            <v>2249.5300000000002</v>
          </cell>
          <cell r="AO13">
            <v>2263.77</v>
          </cell>
          <cell r="AP13">
            <v>2262.9299999999998</v>
          </cell>
          <cell r="AQ13">
            <v>2278.64</v>
          </cell>
          <cell r="AR13">
            <v>2213.86</v>
          </cell>
          <cell r="AS13">
            <v>2295.6</v>
          </cell>
          <cell r="AT13">
            <v>2254.17</v>
          </cell>
          <cell r="AU13">
            <v>2260.89</v>
          </cell>
          <cell r="AV13">
            <v>2277.61</v>
          </cell>
          <cell r="AW13">
            <v>2236.7600000000002</v>
          </cell>
          <cell r="AX13">
            <v>2161.17</v>
          </cell>
          <cell r="AY13">
            <v>2208.4299999999998</v>
          </cell>
          <cell r="AZ13">
            <v>2138.31</v>
          </cell>
          <cell r="BA13">
            <v>2138.31</v>
          </cell>
        </row>
        <row r="14">
          <cell r="A14" t="str">
            <v>V0500H30B25</v>
          </cell>
          <cell r="B14">
            <v>500</v>
          </cell>
          <cell r="C14">
            <v>3000</v>
          </cell>
          <cell r="D14">
            <v>2500</v>
          </cell>
          <cell r="E14">
            <v>12</v>
          </cell>
          <cell r="F14">
            <v>2</v>
          </cell>
          <cell r="G14">
            <v>0</v>
          </cell>
          <cell r="H14">
            <v>300</v>
          </cell>
          <cell r="I14">
            <v>50</v>
          </cell>
          <cell r="J14">
            <v>522.20000000000005</v>
          </cell>
          <cell r="K14" t="str">
            <v>Q-11002945</v>
          </cell>
          <cell r="L14" t="str">
            <v>\\hokukon-net2\hop\Program\01_MVPシステム_容量別組立図\.\02_余裕高0_6m\pdf\FB600_0500m3-MVP-3000-組-B2500_Q-11002945.pdf</v>
          </cell>
          <cell r="M14">
            <v>2276.7399999999998</v>
          </cell>
          <cell r="N14">
            <v>2298.5</v>
          </cell>
          <cell r="O14">
            <v>2253.0300000000002</v>
          </cell>
          <cell r="P14">
            <v>2253.7800000000002</v>
          </cell>
          <cell r="Q14">
            <v>2287.14</v>
          </cell>
          <cell r="R14">
            <v>2271.1999999999998</v>
          </cell>
          <cell r="S14">
            <v>2265.5500000000002</v>
          </cell>
          <cell r="T14">
            <v>2266.4499999999998</v>
          </cell>
          <cell r="U14">
            <v>2272.3200000000002</v>
          </cell>
          <cell r="V14">
            <v>2262.96</v>
          </cell>
          <cell r="W14">
            <v>2273.4299999999998</v>
          </cell>
          <cell r="X14">
            <v>2284.5100000000002</v>
          </cell>
          <cell r="Y14">
            <v>2286.25</v>
          </cell>
          <cell r="Z14">
            <v>2336.85</v>
          </cell>
          <cell r="AA14">
            <v>2296.35</v>
          </cell>
          <cell r="AB14">
            <v>2296.5700000000002</v>
          </cell>
          <cell r="AC14">
            <v>2352.02</v>
          </cell>
          <cell r="AD14">
            <v>2262.31</v>
          </cell>
          <cell r="AE14">
            <v>2286.06</v>
          </cell>
          <cell r="AF14">
            <v>2344.3000000000002</v>
          </cell>
          <cell r="AG14">
            <v>2274.33</v>
          </cell>
          <cell r="AH14">
            <v>2290.63</v>
          </cell>
          <cell r="AI14">
            <v>2263.3000000000002</v>
          </cell>
          <cell r="AJ14">
            <v>2291.11</v>
          </cell>
          <cell r="AK14">
            <v>2226.5500000000002</v>
          </cell>
          <cell r="AL14">
            <v>2285.31</v>
          </cell>
          <cell r="AM14">
            <v>2354.84</v>
          </cell>
          <cell r="AN14">
            <v>2306.48</v>
          </cell>
          <cell r="AO14">
            <v>2320.56</v>
          </cell>
          <cell r="AP14">
            <v>2319.89</v>
          </cell>
          <cell r="AQ14">
            <v>2335.65</v>
          </cell>
          <cell r="AR14">
            <v>2270.25</v>
          </cell>
          <cell r="AS14">
            <v>2352.21</v>
          </cell>
          <cell r="AT14">
            <v>2311.0100000000002</v>
          </cell>
          <cell r="AU14">
            <v>2317.7600000000002</v>
          </cell>
          <cell r="AV14">
            <v>2334.27</v>
          </cell>
          <cell r="AW14">
            <v>2293.38</v>
          </cell>
          <cell r="AX14">
            <v>2217.9</v>
          </cell>
          <cell r="AY14">
            <v>2264.94</v>
          </cell>
          <cell r="AZ14">
            <v>2194.8200000000002</v>
          </cell>
          <cell r="BA14">
            <v>2194.8200000000002</v>
          </cell>
        </row>
        <row r="15">
          <cell r="A15" t="str">
            <v>V0500H30B20</v>
          </cell>
          <cell r="B15">
            <v>500</v>
          </cell>
          <cell r="C15">
            <v>3000</v>
          </cell>
          <cell r="D15">
            <v>2000</v>
          </cell>
          <cell r="E15">
            <v>13</v>
          </cell>
          <cell r="F15">
            <v>2</v>
          </cell>
          <cell r="G15">
            <v>0</v>
          </cell>
          <cell r="H15">
            <v>300</v>
          </cell>
          <cell r="I15">
            <v>50</v>
          </cell>
          <cell r="J15">
            <v>514.4</v>
          </cell>
          <cell r="K15" t="str">
            <v>Q-11002944</v>
          </cell>
          <cell r="L15" t="str">
            <v>\\hokukon-net2\hop\Program\01_MVPシステム_容量別組立図\.\02_余裕高0_6m\pdf\FB600_0500m3-MVP-3000-組-B2000_Q-11002944.pdf</v>
          </cell>
          <cell r="M15">
            <v>2319.34</v>
          </cell>
          <cell r="N15">
            <v>2340.87</v>
          </cell>
          <cell r="O15">
            <v>2296.21</v>
          </cell>
          <cell r="P15">
            <v>2296.9499999999998</v>
          </cell>
          <cell r="Q15">
            <v>2329.5</v>
          </cell>
          <cell r="R15">
            <v>2313.6999999999998</v>
          </cell>
          <cell r="S15">
            <v>2307.89</v>
          </cell>
          <cell r="T15">
            <v>2308.7800000000002</v>
          </cell>
          <cell r="U15">
            <v>2315.83</v>
          </cell>
          <cell r="V15">
            <v>2306.4</v>
          </cell>
          <cell r="W15">
            <v>2316.84</v>
          </cell>
          <cell r="X15">
            <v>2328.2399999999998</v>
          </cell>
          <cell r="Y15">
            <v>2330.02</v>
          </cell>
          <cell r="Z15">
            <v>2380.46</v>
          </cell>
          <cell r="AA15">
            <v>2340.54</v>
          </cell>
          <cell r="AB15">
            <v>2340.29</v>
          </cell>
          <cell r="AC15">
            <v>2394.62</v>
          </cell>
          <cell r="AD15">
            <v>2305.4299999999998</v>
          </cell>
          <cell r="AE15">
            <v>2329.31</v>
          </cell>
          <cell r="AF15">
            <v>2387.19</v>
          </cell>
          <cell r="AG15">
            <v>2318.2399999999998</v>
          </cell>
          <cell r="AH15">
            <v>2334.42</v>
          </cell>
          <cell r="AI15">
            <v>2307.6</v>
          </cell>
          <cell r="AJ15">
            <v>2334.67</v>
          </cell>
          <cell r="AK15">
            <v>2270.6</v>
          </cell>
          <cell r="AL15">
            <v>2328.5</v>
          </cell>
          <cell r="AM15">
            <v>2397.44</v>
          </cell>
          <cell r="AN15">
            <v>2349.66</v>
          </cell>
          <cell r="AO15">
            <v>2363.2800000000002</v>
          </cell>
          <cell r="AP15">
            <v>2362.84</v>
          </cell>
          <cell r="AQ15">
            <v>2378.5300000000002</v>
          </cell>
          <cell r="AR15">
            <v>2312.87</v>
          </cell>
          <cell r="AS15">
            <v>2394.06</v>
          </cell>
          <cell r="AT15">
            <v>2353.86</v>
          </cell>
          <cell r="AU15">
            <v>2360.6</v>
          </cell>
          <cell r="AV15">
            <v>2376.48</v>
          </cell>
          <cell r="AW15">
            <v>2336.08</v>
          </cell>
          <cell r="AX15">
            <v>2261.73</v>
          </cell>
          <cell r="AY15">
            <v>2307.81</v>
          </cell>
          <cell r="AZ15">
            <v>2238.66</v>
          </cell>
          <cell r="BA15">
            <v>2238.66</v>
          </cell>
        </row>
        <row r="16">
          <cell r="A16" t="str">
            <v>V0500H35B30</v>
          </cell>
          <cell r="B16">
            <v>500</v>
          </cell>
          <cell r="C16">
            <v>3500</v>
          </cell>
          <cell r="D16">
            <v>3000</v>
          </cell>
          <cell r="E16">
            <v>9</v>
          </cell>
          <cell r="F16">
            <v>2</v>
          </cell>
          <cell r="G16">
            <v>0</v>
          </cell>
          <cell r="H16">
            <v>300</v>
          </cell>
          <cell r="I16">
            <v>50</v>
          </cell>
          <cell r="J16">
            <v>523.5</v>
          </cell>
          <cell r="K16" t="str">
            <v>Q-11002949</v>
          </cell>
          <cell r="L16" t="str">
            <v>\\hokukon-net2\hop\Program\01_MVPシステム_容量別組立図\.\02_余裕高0_6m\pdf\FB600_0500m3-MVP-3500-組-B3000_Q-11002949.pdf</v>
          </cell>
          <cell r="M16">
            <v>2035.42</v>
          </cell>
          <cell r="N16">
            <v>2054.16</v>
          </cell>
          <cell r="O16">
            <v>2016.39</v>
          </cell>
          <cell r="P16">
            <v>2017.02</v>
          </cell>
          <cell r="Q16">
            <v>2044.16</v>
          </cell>
          <cell r="R16">
            <v>2030.71</v>
          </cell>
          <cell r="S16">
            <v>2025.59</v>
          </cell>
          <cell r="T16">
            <v>2026.34</v>
          </cell>
          <cell r="U16">
            <v>2033.74</v>
          </cell>
          <cell r="V16">
            <v>2025.65</v>
          </cell>
          <cell r="W16">
            <v>2034.22</v>
          </cell>
          <cell r="X16">
            <v>2044.41</v>
          </cell>
          <cell r="Y16">
            <v>2046.02</v>
          </cell>
          <cell r="Z16">
            <v>2089.0100000000002</v>
          </cell>
          <cell r="AA16">
            <v>2054.9499999999998</v>
          </cell>
          <cell r="AB16">
            <v>2054.5500000000002</v>
          </cell>
          <cell r="AC16">
            <v>2099.88</v>
          </cell>
          <cell r="AD16">
            <v>2023.22</v>
          </cell>
          <cell r="AE16">
            <v>2043.88</v>
          </cell>
          <cell r="AF16">
            <v>2093.1799999999998</v>
          </cell>
          <cell r="AG16">
            <v>2035.21</v>
          </cell>
          <cell r="AH16">
            <v>2049.29</v>
          </cell>
          <cell r="AI16">
            <v>2026.34</v>
          </cell>
          <cell r="AJ16">
            <v>2049</v>
          </cell>
          <cell r="AK16">
            <v>1994.74</v>
          </cell>
          <cell r="AL16">
            <v>2044.09</v>
          </cell>
          <cell r="AM16">
            <v>2102.62</v>
          </cell>
          <cell r="AN16">
            <v>2062.54</v>
          </cell>
          <cell r="AO16">
            <v>2073.7600000000002</v>
          </cell>
          <cell r="AP16">
            <v>2073.61</v>
          </cell>
          <cell r="AQ16">
            <v>2086.92</v>
          </cell>
          <cell r="AR16">
            <v>2029.9</v>
          </cell>
          <cell r="AS16">
            <v>2098.56</v>
          </cell>
          <cell r="AT16">
            <v>2064.9499999999998</v>
          </cell>
          <cell r="AU16">
            <v>2070.48</v>
          </cell>
          <cell r="AV16">
            <v>2083.94</v>
          </cell>
          <cell r="AW16">
            <v>2049.41</v>
          </cell>
          <cell r="AX16">
            <v>1986.1</v>
          </cell>
          <cell r="AY16">
            <v>2025.36</v>
          </cell>
          <cell r="AZ16">
            <v>1966.49</v>
          </cell>
          <cell r="BA16">
            <v>1966.49</v>
          </cell>
        </row>
        <row r="17">
          <cell r="A17" t="str">
            <v>V0500H35B25</v>
          </cell>
          <cell r="B17">
            <v>500</v>
          </cell>
          <cell r="C17">
            <v>3500</v>
          </cell>
          <cell r="D17">
            <v>2500</v>
          </cell>
          <cell r="E17">
            <v>10</v>
          </cell>
          <cell r="F17">
            <v>2</v>
          </cell>
          <cell r="G17">
            <v>0</v>
          </cell>
          <cell r="H17">
            <v>300</v>
          </cell>
          <cell r="I17">
            <v>50</v>
          </cell>
          <cell r="J17">
            <v>531.4</v>
          </cell>
          <cell r="K17" t="str">
            <v>Q-11002948</v>
          </cell>
          <cell r="L17" t="str">
            <v>\\hokukon-net2\hop\Program\01_MVPシステム_容量別組立図\.\02_余裕高0_6m\pdf\FB600_0500m3-MVP-3500-組-B2500_Q-11002948.pdf</v>
          </cell>
          <cell r="M17">
            <v>2108.8000000000002</v>
          </cell>
          <cell r="N17">
            <v>2127.77</v>
          </cell>
          <cell r="O17">
            <v>2089.61</v>
          </cell>
          <cell r="P17">
            <v>2090.25</v>
          </cell>
          <cell r="Q17">
            <v>2117.5700000000002</v>
          </cell>
          <cell r="R17">
            <v>2103.89</v>
          </cell>
          <cell r="S17">
            <v>2098.56</v>
          </cell>
          <cell r="T17">
            <v>2099.34</v>
          </cell>
          <cell r="U17">
            <v>2107.48</v>
          </cell>
          <cell r="V17">
            <v>2099.15</v>
          </cell>
          <cell r="W17">
            <v>2107.94</v>
          </cell>
          <cell r="X17">
            <v>2118.4899999999998</v>
          </cell>
          <cell r="Y17">
            <v>2120.16</v>
          </cell>
          <cell r="Z17">
            <v>2164.0300000000002</v>
          </cell>
          <cell r="AA17">
            <v>2129.5700000000002</v>
          </cell>
          <cell r="AB17">
            <v>2128.89</v>
          </cell>
          <cell r="AC17">
            <v>2174.66</v>
          </cell>
          <cell r="AD17">
            <v>2096.64</v>
          </cell>
          <cell r="AE17">
            <v>2117.83</v>
          </cell>
          <cell r="AF17">
            <v>2168.04</v>
          </cell>
          <cell r="AG17">
            <v>2109.29</v>
          </cell>
          <cell r="AH17">
            <v>2123.58</v>
          </cell>
          <cell r="AI17">
            <v>2100.42</v>
          </cell>
          <cell r="AJ17">
            <v>2123.1799999999998</v>
          </cell>
          <cell r="AK17">
            <v>2067.9499999999998</v>
          </cell>
          <cell r="AL17">
            <v>2117.9</v>
          </cell>
          <cell r="AM17">
            <v>2177.41</v>
          </cell>
          <cell r="AN17">
            <v>2136.73</v>
          </cell>
          <cell r="AO17">
            <v>2147.9499999999998</v>
          </cell>
          <cell r="AP17">
            <v>2147.91</v>
          </cell>
          <cell r="AQ17">
            <v>2161.48</v>
          </cell>
          <cell r="AR17">
            <v>2103.15</v>
          </cell>
          <cell r="AS17">
            <v>2172.9499999999998</v>
          </cell>
          <cell r="AT17">
            <v>2139.11</v>
          </cell>
          <cell r="AU17">
            <v>2144.79</v>
          </cell>
          <cell r="AV17">
            <v>2158.19</v>
          </cell>
          <cell r="AW17">
            <v>2123.1799999999998</v>
          </cell>
          <cell r="AX17">
            <v>2059.11</v>
          </cell>
          <cell r="AY17">
            <v>2098.6799999999998</v>
          </cell>
          <cell r="AZ17">
            <v>2039.05</v>
          </cell>
          <cell r="BA17">
            <v>2039.05</v>
          </cell>
        </row>
        <row r="18">
          <cell r="A18" t="str">
            <v>V0500H35B20</v>
          </cell>
          <cell r="B18">
            <v>500</v>
          </cell>
          <cell r="C18">
            <v>3500</v>
          </cell>
          <cell r="D18">
            <v>2000</v>
          </cell>
          <cell r="E18">
            <v>11</v>
          </cell>
          <cell r="F18">
            <v>2</v>
          </cell>
          <cell r="G18">
            <v>0</v>
          </cell>
          <cell r="H18">
            <v>300</v>
          </cell>
          <cell r="I18">
            <v>50</v>
          </cell>
          <cell r="J18">
            <v>530.5</v>
          </cell>
          <cell r="K18" t="str">
            <v>Q-11002947</v>
          </cell>
          <cell r="L18" t="str">
            <v>\\hokukon-net2\hop\Program\01_MVPシステム_容量別組立図\.\02_余裕高0_6m\pdf\FB600_0500m3-MVP-3500-組-B2000_Q-11002947.pdf</v>
          </cell>
          <cell r="M18">
            <v>2166.64</v>
          </cell>
          <cell r="N18">
            <v>2185.62</v>
          </cell>
          <cell r="O18">
            <v>2147.66</v>
          </cell>
          <cell r="P18">
            <v>2148.3000000000002</v>
          </cell>
          <cell r="Q18">
            <v>2175.36</v>
          </cell>
          <cell r="R18">
            <v>2161.71</v>
          </cell>
          <cell r="S18">
            <v>2156.23</v>
          </cell>
          <cell r="T18">
            <v>2157</v>
          </cell>
          <cell r="U18">
            <v>2165.87</v>
          </cell>
          <cell r="V18">
            <v>2157.4499999999998</v>
          </cell>
          <cell r="W18">
            <v>2166.33</v>
          </cell>
          <cell r="X18">
            <v>2177.14</v>
          </cell>
          <cell r="Y18">
            <v>2178.8200000000002</v>
          </cell>
          <cell r="Z18">
            <v>2222.9699999999998</v>
          </cell>
          <cell r="AA18">
            <v>2188.56</v>
          </cell>
          <cell r="AB18">
            <v>2187.62</v>
          </cell>
          <cell r="AC18">
            <v>2233.08</v>
          </cell>
          <cell r="AD18">
            <v>2154.7199999999998</v>
          </cell>
          <cell r="AE18">
            <v>2176.15</v>
          </cell>
          <cell r="AF18">
            <v>2226.59</v>
          </cell>
          <cell r="AG18">
            <v>2167.9499999999998</v>
          </cell>
          <cell r="AH18">
            <v>2182.31</v>
          </cell>
          <cell r="AI18">
            <v>2159.2199999999998</v>
          </cell>
          <cell r="AJ18">
            <v>2181.7600000000002</v>
          </cell>
          <cell r="AK18">
            <v>2126.33</v>
          </cell>
          <cell r="AL18">
            <v>2176.21</v>
          </cell>
          <cell r="AM18">
            <v>2235.86</v>
          </cell>
          <cell r="AN18">
            <v>2195.16</v>
          </cell>
          <cell r="AO18">
            <v>2206.19</v>
          </cell>
          <cell r="AP18">
            <v>2206.33</v>
          </cell>
          <cell r="AQ18">
            <v>2219.9499999999998</v>
          </cell>
          <cell r="AR18">
            <v>2161</v>
          </cell>
          <cell r="AS18">
            <v>2230.9699999999998</v>
          </cell>
          <cell r="AT18">
            <v>2197.4</v>
          </cell>
          <cell r="AU18">
            <v>2203.1</v>
          </cell>
          <cell r="AV18">
            <v>2216.2800000000002</v>
          </cell>
          <cell r="AW18">
            <v>2181.25</v>
          </cell>
          <cell r="AX18">
            <v>2117.35</v>
          </cell>
          <cell r="AY18">
            <v>2156.65</v>
          </cell>
          <cell r="AZ18">
            <v>2097.08</v>
          </cell>
          <cell r="BA18">
            <v>2097.08</v>
          </cell>
        </row>
        <row r="19">
          <cell r="A19" t="str">
            <v>V0500H40B30</v>
          </cell>
          <cell r="B19">
            <v>500</v>
          </cell>
          <cell r="C19">
            <v>4000</v>
          </cell>
          <cell r="D19">
            <v>3000</v>
          </cell>
          <cell r="E19">
            <v>8</v>
          </cell>
          <cell r="F19">
            <v>2</v>
          </cell>
          <cell r="G19">
            <v>0</v>
          </cell>
          <cell r="H19">
            <v>350</v>
          </cell>
          <cell r="I19">
            <v>70</v>
          </cell>
          <cell r="J19">
            <v>554.1</v>
          </cell>
          <cell r="K19" t="str">
            <v>Q-11002952</v>
          </cell>
          <cell r="L19" t="str">
            <v>\\hokukon-net2\hop\Program\01_MVPシステム_容量別組立図\.\02_余裕高0_6m\pdf\FB600_0500m3-MVP-4000-組-B3000_Q-11002952.pdf</v>
          </cell>
          <cell r="M19">
            <v>2244.16</v>
          </cell>
          <cell r="N19">
            <v>2263.4899999999998</v>
          </cell>
          <cell r="O19">
            <v>2225.65</v>
          </cell>
          <cell r="P19">
            <v>2226.2800000000002</v>
          </cell>
          <cell r="Q19">
            <v>2253.02</v>
          </cell>
          <cell r="R19">
            <v>2239.4</v>
          </cell>
          <cell r="S19">
            <v>2233.96</v>
          </cell>
          <cell r="T19">
            <v>2234.71</v>
          </cell>
          <cell r="U19">
            <v>2242.19</v>
          </cell>
          <cell r="V19">
            <v>2234.2600000000002</v>
          </cell>
          <cell r="W19">
            <v>2242.7399999999998</v>
          </cell>
          <cell r="X19">
            <v>2252.81</v>
          </cell>
          <cell r="Y19">
            <v>2254.08</v>
          </cell>
          <cell r="Z19">
            <v>2297.34</v>
          </cell>
          <cell r="AA19">
            <v>2263.2600000000002</v>
          </cell>
          <cell r="AB19">
            <v>2263.08</v>
          </cell>
          <cell r="AC19">
            <v>2307.91</v>
          </cell>
          <cell r="AD19">
            <v>2229.0700000000002</v>
          </cell>
          <cell r="AE19">
            <v>2250.58</v>
          </cell>
          <cell r="AF19">
            <v>2299.83</v>
          </cell>
          <cell r="AG19">
            <v>2240.79</v>
          </cell>
          <cell r="AH19">
            <v>2255.16</v>
          </cell>
          <cell r="AI19">
            <v>2232.2399999999998</v>
          </cell>
          <cell r="AJ19">
            <v>2254.38</v>
          </cell>
          <cell r="AK19">
            <v>2204.73</v>
          </cell>
          <cell r="AL19">
            <v>2254.66</v>
          </cell>
          <cell r="AM19">
            <v>2313.12</v>
          </cell>
          <cell r="AN19">
            <v>2273.2199999999998</v>
          </cell>
          <cell r="AO19">
            <v>2284.52</v>
          </cell>
          <cell r="AP19">
            <v>2284.41</v>
          </cell>
          <cell r="AQ19">
            <v>2298.04</v>
          </cell>
          <cell r="AR19">
            <v>2235.59</v>
          </cell>
          <cell r="AS19">
            <v>2304.2800000000002</v>
          </cell>
          <cell r="AT19">
            <v>2271.62</v>
          </cell>
          <cell r="AU19">
            <v>2276.87</v>
          </cell>
          <cell r="AV19">
            <v>2289.89</v>
          </cell>
          <cell r="AW19">
            <v>2254.77</v>
          </cell>
          <cell r="AX19">
            <v>2190.87</v>
          </cell>
          <cell r="AY19">
            <v>2230.2600000000002</v>
          </cell>
          <cell r="AZ19">
            <v>2171</v>
          </cell>
          <cell r="BA19">
            <v>2171</v>
          </cell>
        </row>
        <row r="20">
          <cell r="A20" t="str">
            <v>V0500H40B25</v>
          </cell>
          <cell r="B20">
            <v>500</v>
          </cell>
          <cell r="C20">
            <v>4000</v>
          </cell>
          <cell r="D20">
            <v>2500</v>
          </cell>
          <cell r="E20">
            <v>8</v>
          </cell>
          <cell r="F20">
            <v>2</v>
          </cell>
          <cell r="G20">
            <v>0</v>
          </cell>
          <cell r="H20">
            <v>350</v>
          </cell>
          <cell r="I20">
            <v>70</v>
          </cell>
          <cell r="J20">
            <v>509.9</v>
          </cell>
          <cell r="K20" t="str">
            <v>Q-11002951</v>
          </cell>
          <cell r="L20" t="str">
            <v>\\hokukon-net2\hop\Program\01_MVPシステム_容量別組立図\.\02_余裕高0_6m\pdf\FB600_0500m3-MVP-4000-組-B2500_Q-11002951.pdf</v>
          </cell>
          <cell r="M20">
            <v>2163.2199999999998</v>
          </cell>
          <cell r="N20">
            <v>2181.2800000000002</v>
          </cell>
          <cell r="O20">
            <v>2146.5300000000002</v>
          </cell>
          <cell r="P20">
            <v>2147.11</v>
          </cell>
          <cell r="Q20">
            <v>2171.36</v>
          </cell>
          <cell r="R20">
            <v>2158.67</v>
          </cell>
          <cell r="S20">
            <v>2153.35</v>
          </cell>
          <cell r="T20">
            <v>2154.04</v>
          </cell>
          <cell r="U20">
            <v>2162.54</v>
          </cell>
          <cell r="V20">
            <v>2155.02</v>
          </cell>
          <cell r="W20">
            <v>2162.89</v>
          </cell>
          <cell r="X20">
            <v>2172.81</v>
          </cell>
          <cell r="Y20">
            <v>2174.0700000000002</v>
          </cell>
          <cell r="Z20">
            <v>2214.66</v>
          </cell>
          <cell r="AA20">
            <v>2183.1</v>
          </cell>
          <cell r="AB20">
            <v>2182.4499999999998</v>
          </cell>
          <cell r="AC20">
            <v>2223.29</v>
          </cell>
          <cell r="AD20">
            <v>2149.2600000000002</v>
          </cell>
          <cell r="AE20">
            <v>2169.7600000000002</v>
          </cell>
          <cell r="AF20">
            <v>2215.77</v>
          </cell>
          <cell r="AG20">
            <v>2161.35</v>
          </cell>
          <cell r="AH20">
            <v>2174.81</v>
          </cell>
          <cell r="AI20">
            <v>2153.6999999999998</v>
          </cell>
          <cell r="AJ20">
            <v>2173.73</v>
          </cell>
          <cell r="AK20">
            <v>2127.8000000000002</v>
          </cell>
          <cell r="AL20">
            <v>2173.9699999999998</v>
          </cell>
          <cell r="AM20">
            <v>2228.37</v>
          </cell>
          <cell r="AN20">
            <v>2191.56</v>
          </cell>
          <cell r="AO20">
            <v>2201.63</v>
          </cell>
          <cell r="AP20">
            <v>2201.8200000000002</v>
          </cell>
          <cell r="AQ20">
            <v>2214.56</v>
          </cell>
          <cell r="AR20">
            <v>2155.02</v>
          </cell>
          <cell r="AS20">
            <v>2218.83</v>
          </cell>
          <cell r="AT20">
            <v>2189.17</v>
          </cell>
          <cell r="AU20">
            <v>2194.08</v>
          </cell>
          <cell r="AV20">
            <v>2205.71</v>
          </cell>
          <cell r="AW20">
            <v>2173</v>
          </cell>
          <cell r="AX20">
            <v>2113.96</v>
          </cell>
          <cell r="AY20">
            <v>2150.11</v>
          </cell>
          <cell r="AZ20">
            <v>2095.2199999999998</v>
          </cell>
          <cell r="BA20">
            <v>2095.2199999999998</v>
          </cell>
        </row>
        <row r="21">
          <cell r="A21" t="str">
            <v>V0500H40B20</v>
          </cell>
          <cell r="B21">
            <v>500</v>
          </cell>
          <cell r="C21">
            <v>4000</v>
          </cell>
          <cell r="D21">
            <v>2000</v>
          </cell>
          <cell r="E21">
            <v>9</v>
          </cell>
          <cell r="F21">
            <v>2</v>
          </cell>
          <cell r="G21">
            <v>0</v>
          </cell>
          <cell r="H21">
            <v>350</v>
          </cell>
          <cell r="I21">
            <v>70</v>
          </cell>
          <cell r="J21">
            <v>519.70000000000005</v>
          </cell>
          <cell r="K21" t="str">
            <v>Q-11002950</v>
          </cell>
          <cell r="L21" t="str">
            <v>\\hokukon-net2\hop\Program\01_MVPシステム_容量別組立図\.\02_余裕高0_6m\pdf\FB600_0500m3-MVP-4000-組-B2000_Q-11002950.pdf</v>
          </cell>
          <cell r="M21">
            <v>2263.39</v>
          </cell>
          <cell r="N21">
            <v>2281.75</v>
          </cell>
          <cell r="O21">
            <v>2246.44</v>
          </cell>
          <cell r="P21">
            <v>2247.04</v>
          </cell>
          <cell r="Q21">
            <v>2271.61</v>
          </cell>
          <cell r="R21">
            <v>2258.69</v>
          </cell>
          <cell r="S21">
            <v>2253.1799999999998</v>
          </cell>
          <cell r="T21">
            <v>2253.89</v>
          </cell>
          <cell r="U21">
            <v>2262.94</v>
          </cell>
          <cell r="V21">
            <v>2255.1999999999998</v>
          </cell>
          <cell r="W21">
            <v>2263.29</v>
          </cell>
          <cell r="X21">
            <v>2273.52</v>
          </cell>
          <cell r="Y21">
            <v>2274.85</v>
          </cell>
          <cell r="Z21">
            <v>2316.38</v>
          </cell>
          <cell r="AA21">
            <v>2284.27</v>
          </cell>
          <cell r="AB21">
            <v>2283.46</v>
          </cell>
          <cell r="AC21">
            <v>2324.9</v>
          </cell>
          <cell r="AD21">
            <v>2249.27</v>
          </cell>
          <cell r="AE21">
            <v>2270.27</v>
          </cell>
          <cell r="AF21">
            <v>2317.2800000000002</v>
          </cell>
          <cell r="AG21">
            <v>2261.8000000000002</v>
          </cell>
          <cell r="AH21">
            <v>2275.5300000000002</v>
          </cell>
          <cell r="AI21">
            <v>2254.1</v>
          </cell>
          <cell r="AJ21">
            <v>2274.4</v>
          </cell>
          <cell r="AK21">
            <v>2227.66</v>
          </cell>
          <cell r="AL21">
            <v>2274.63</v>
          </cell>
          <cell r="AM21">
            <v>2330.15</v>
          </cell>
          <cell r="AN21">
            <v>2292.59</v>
          </cell>
          <cell r="AO21">
            <v>2302.77</v>
          </cell>
          <cell r="AP21">
            <v>2303.04</v>
          </cell>
          <cell r="AQ21">
            <v>2316.08</v>
          </cell>
          <cell r="AR21">
            <v>2254.91</v>
          </cell>
          <cell r="AS21">
            <v>2320.0300000000002</v>
          </cell>
          <cell r="AT21">
            <v>2289.96</v>
          </cell>
          <cell r="AU21">
            <v>2294.9899999999998</v>
          </cell>
          <cell r="AV21">
            <v>2306.69</v>
          </cell>
          <cell r="AW21">
            <v>2273.34</v>
          </cell>
          <cell r="AX21">
            <v>2213.3200000000002</v>
          </cell>
          <cell r="AY21">
            <v>2249.94</v>
          </cell>
          <cell r="AZ21">
            <v>2194.09</v>
          </cell>
          <cell r="BA21">
            <v>2194.09</v>
          </cell>
        </row>
        <row r="22">
          <cell r="A22" t="str">
            <v>V0500H45B30</v>
          </cell>
          <cell r="B22">
            <v>500</v>
          </cell>
          <cell r="C22">
            <v>4500</v>
          </cell>
          <cell r="D22">
            <v>3000</v>
          </cell>
          <cell r="E22">
            <v>7</v>
          </cell>
          <cell r="F22">
            <v>2</v>
          </cell>
          <cell r="G22">
            <v>0</v>
          </cell>
          <cell r="H22">
            <v>350</v>
          </cell>
          <cell r="I22">
            <v>70</v>
          </cell>
          <cell r="J22">
            <v>562.1</v>
          </cell>
          <cell r="K22" t="str">
            <v>Q-11002955</v>
          </cell>
          <cell r="L22" t="str">
            <v>\\hokukon-net2\hop\Program\01_MVPシステム_容量別組立図\.\02_余裕高0_6m\pdf\FB600_0500m3-MVP-4500-組-B3000_Q-11002955.pdf</v>
          </cell>
          <cell r="M22">
            <v>2174.9299999999998</v>
          </cell>
          <cell r="N22">
            <v>2192.52</v>
          </cell>
          <cell r="O22">
            <v>2159.27</v>
          </cell>
          <cell r="P22">
            <v>2159.83</v>
          </cell>
          <cell r="Q22">
            <v>2182.73</v>
          </cell>
          <cell r="R22">
            <v>2170.36</v>
          </cell>
          <cell r="S22">
            <v>2164.96</v>
          </cell>
          <cell r="T22">
            <v>2165.63</v>
          </cell>
          <cell r="U22">
            <v>2175.42</v>
          </cell>
          <cell r="V22">
            <v>2168.04</v>
          </cell>
          <cell r="W22">
            <v>2175.52</v>
          </cell>
          <cell r="X22">
            <v>2185.66</v>
          </cell>
          <cell r="Y22">
            <v>2186.92</v>
          </cell>
          <cell r="Z22">
            <v>2226.44</v>
          </cell>
          <cell r="AA22">
            <v>2196.02</v>
          </cell>
          <cell r="AB22">
            <v>2195.0300000000002</v>
          </cell>
          <cell r="AC22">
            <v>2233.59</v>
          </cell>
          <cell r="AD22">
            <v>2161.38</v>
          </cell>
          <cell r="AE22">
            <v>2181.62</v>
          </cell>
          <cell r="AF22">
            <v>2226.31</v>
          </cell>
          <cell r="AG22">
            <v>2174.27</v>
          </cell>
          <cell r="AH22">
            <v>2187.35</v>
          </cell>
          <cell r="AI22">
            <v>2167.04</v>
          </cell>
          <cell r="AJ22">
            <v>2186.0100000000002</v>
          </cell>
          <cell r="AK22">
            <v>2141.6799999999998</v>
          </cell>
          <cell r="AL22">
            <v>2186.08</v>
          </cell>
          <cell r="AM22">
            <v>2238.7399999999998</v>
          </cell>
          <cell r="AN22">
            <v>2203.5100000000002</v>
          </cell>
          <cell r="AO22">
            <v>2212.94</v>
          </cell>
          <cell r="AP22">
            <v>2213.2600000000002</v>
          </cell>
          <cell r="AQ22">
            <v>2225.64</v>
          </cell>
          <cell r="AR22">
            <v>2166.73</v>
          </cell>
          <cell r="AS22">
            <v>2228.2600000000002</v>
          </cell>
          <cell r="AT22">
            <v>2200.27</v>
          </cell>
          <cell r="AU22">
            <v>2204.89</v>
          </cell>
          <cell r="AV22">
            <v>2215.9</v>
          </cell>
          <cell r="AW22">
            <v>2184.3000000000002</v>
          </cell>
          <cell r="AX22">
            <v>2127.4699999999998</v>
          </cell>
          <cell r="AY22">
            <v>2161.9699999999998</v>
          </cell>
          <cell r="AZ22">
            <v>2109.19</v>
          </cell>
          <cell r="BA22">
            <v>2109.19</v>
          </cell>
        </row>
        <row r="23">
          <cell r="A23" t="str">
            <v>V0500H45B25</v>
          </cell>
          <cell r="B23">
            <v>500</v>
          </cell>
          <cell r="C23">
            <v>4500</v>
          </cell>
          <cell r="D23">
            <v>2500</v>
          </cell>
          <cell r="E23">
            <v>7</v>
          </cell>
          <cell r="F23">
            <v>2</v>
          </cell>
          <cell r="G23">
            <v>0</v>
          </cell>
          <cell r="H23">
            <v>350</v>
          </cell>
          <cell r="I23">
            <v>70</v>
          </cell>
          <cell r="J23">
            <v>517.29999999999995</v>
          </cell>
          <cell r="K23" t="str">
            <v>Q-11002954</v>
          </cell>
          <cell r="L23" t="str">
            <v>\\hokukon-net2\hop\Program\01_MVPシステム_容量別組立図\.\02_余裕高0_6m\pdf\FB600_0500m3-MVP-4500-組-B2500_Q-11002954.pdf</v>
          </cell>
          <cell r="M23">
            <v>2094.9699999999998</v>
          </cell>
          <cell r="N23">
            <v>2111.44</v>
          </cell>
          <cell r="O23">
            <v>2080.92</v>
          </cell>
          <cell r="P23">
            <v>2081.4499999999998</v>
          </cell>
          <cell r="Q23">
            <v>2102.16</v>
          </cell>
          <cell r="R23">
            <v>2090.65</v>
          </cell>
          <cell r="S23">
            <v>2085.41</v>
          </cell>
          <cell r="T23">
            <v>2086.02</v>
          </cell>
          <cell r="U23">
            <v>2096.5500000000002</v>
          </cell>
          <cell r="V23">
            <v>2089.54</v>
          </cell>
          <cell r="W23">
            <v>2096.4299999999998</v>
          </cell>
          <cell r="X23">
            <v>2106.38</v>
          </cell>
          <cell r="Y23">
            <v>2107.63</v>
          </cell>
          <cell r="Z23">
            <v>2144.6999999999998</v>
          </cell>
          <cell r="AA23">
            <v>2116.5100000000002</v>
          </cell>
          <cell r="AB23">
            <v>2115.16</v>
          </cell>
          <cell r="AC23">
            <v>2150.2399999999998</v>
          </cell>
          <cell r="AD23">
            <v>2082.42</v>
          </cell>
          <cell r="AE23">
            <v>2101.71</v>
          </cell>
          <cell r="AF23">
            <v>2143.44</v>
          </cell>
          <cell r="AG23">
            <v>2095.4899999999998</v>
          </cell>
          <cell r="AH23">
            <v>2107.8000000000002</v>
          </cell>
          <cell r="AI23">
            <v>2089.08</v>
          </cell>
          <cell r="AJ23">
            <v>2106.1999999999998</v>
          </cell>
          <cell r="AK23">
            <v>2065.15</v>
          </cell>
          <cell r="AL23">
            <v>2106.29</v>
          </cell>
          <cell r="AM23">
            <v>2155.29</v>
          </cell>
          <cell r="AN23">
            <v>2122.75</v>
          </cell>
          <cell r="AO23">
            <v>2131.14</v>
          </cell>
          <cell r="AP23">
            <v>2131.7199999999998</v>
          </cell>
          <cell r="AQ23">
            <v>2143.2600000000002</v>
          </cell>
          <cell r="AR23">
            <v>2087.21</v>
          </cell>
          <cell r="AS23">
            <v>2144.35</v>
          </cell>
          <cell r="AT23">
            <v>2118.96</v>
          </cell>
          <cell r="AU23">
            <v>2123.2399999999998</v>
          </cell>
          <cell r="AV23">
            <v>2133.08</v>
          </cell>
          <cell r="AW23">
            <v>2103.63</v>
          </cell>
          <cell r="AX23">
            <v>2051.09</v>
          </cell>
          <cell r="AY23">
            <v>2082.7800000000002</v>
          </cell>
          <cell r="AZ23">
            <v>2033.88</v>
          </cell>
          <cell r="BA23">
            <v>2033.88</v>
          </cell>
        </row>
        <row r="24">
          <cell r="A24" t="str">
            <v>V0500H45B20</v>
          </cell>
          <cell r="B24">
            <v>500</v>
          </cell>
          <cell r="C24">
            <v>4500</v>
          </cell>
          <cell r="D24">
            <v>2000</v>
          </cell>
          <cell r="E24">
            <v>8</v>
          </cell>
          <cell r="F24">
            <v>2</v>
          </cell>
          <cell r="G24">
            <v>0</v>
          </cell>
          <cell r="H24">
            <v>350</v>
          </cell>
          <cell r="I24">
            <v>70</v>
          </cell>
          <cell r="J24">
            <v>534.29999999999995</v>
          </cell>
          <cell r="K24" t="str">
            <v>Q-11002953</v>
          </cell>
          <cell r="L24" t="str">
            <v>\\hokukon-net2\hop\Program\01_MVPシステム_容量別組立図\.\02_余裕高0_6m\pdf\FB600_0500m3-MVP-4500-組-B2000_Q-11002953.pdf</v>
          </cell>
          <cell r="M24">
            <v>2214.4499999999998</v>
          </cell>
          <cell r="N24">
            <v>2231.39</v>
          </cell>
          <cell r="O24">
            <v>2200.0300000000002</v>
          </cell>
          <cell r="P24">
            <v>2200.56</v>
          </cell>
          <cell r="Q24">
            <v>2221.8000000000002</v>
          </cell>
          <cell r="R24">
            <v>2209.9</v>
          </cell>
          <cell r="S24">
            <v>2204.4</v>
          </cell>
          <cell r="T24">
            <v>2205.0500000000002</v>
          </cell>
          <cell r="U24">
            <v>2216.23</v>
          </cell>
          <cell r="V24">
            <v>2208.94</v>
          </cell>
          <cell r="W24">
            <v>2216.15</v>
          </cell>
          <cell r="X24">
            <v>2226.5300000000002</v>
          </cell>
          <cell r="Y24">
            <v>2227.84</v>
          </cell>
          <cell r="Z24">
            <v>2266.25</v>
          </cell>
          <cell r="AA24">
            <v>2237.27</v>
          </cell>
          <cell r="AB24">
            <v>2235.6799999999998</v>
          </cell>
          <cell r="AC24">
            <v>2271.71</v>
          </cell>
          <cell r="AD24">
            <v>2201.61</v>
          </cell>
          <cell r="AE24">
            <v>2221.64</v>
          </cell>
          <cell r="AF24">
            <v>2264.7800000000002</v>
          </cell>
          <cell r="AG24">
            <v>2215.33</v>
          </cell>
          <cell r="AH24">
            <v>2227.9699999999998</v>
          </cell>
          <cell r="AI24">
            <v>2208.8000000000002</v>
          </cell>
          <cell r="AJ24">
            <v>2226.2800000000002</v>
          </cell>
          <cell r="AK24">
            <v>2184.13</v>
          </cell>
          <cell r="AL24">
            <v>2226.39</v>
          </cell>
          <cell r="AM24">
            <v>2276.96</v>
          </cell>
          <cell r="AN24">
            <v>2243.4</v>
          </cell>
          <cell r="AO24">
            <v>2251.94</v>
          </cell>
          <cell r="AP24">
            <v>2252.61</v>
          </cell>
          <cell r="AQ24">
            <v>2264.58</v>
          </cell>
          <cell r="AR24">
            <v>2206.27</v>
          </cell>
          <cell r="AS24">
            <v>2265.31</v>
          </cell>
          <cell r="AT24">
            <v>2239.3000000000002</v>
          </cell>
          <cell r="AU24">
            <v>2243.79</v>
          </cell>
          <cell r="AV24">
            <v>2253.7199999999998</v>
          </cell>
          <cell r="AW24">
            <v>2223.35</v>
          </cell>
          <cell r="AX24">
            <v>2169.37</v>
          </cell>
          <cell r="AY24">
            <v>2201.7800000000002</v>
          </cell>
          <cell r="AZ24">
            <v>2151.48</v>
          </cell>
          <cell r="BA24">
            <v>2151.48</v>
          </cell>
        </row>
        <row r="25">
          <cell r="A25" t="str">
            <v>V1000H15B30</v>
          </cell>
          <cell r="B25">
            <v>1000</v>
          </cell>
          <cell r="C25">
            <v>1500</v>
          </cell>
          <cell r="D25">
            <v>3000</v>
          </cell>
          <cell r="E25">
            <v>26</v>
          </cell>
          <cell r="F25">
            <v>3</v>
          </cell>
          <cell r="G25">
            <v>0</v>
          </cell>
          <cell r="H25">
            <v>350</v>
          </cell>
          <cell r="I25">
            <v>50</v>
          </cell>
          <cell r="J25">
            <v>1036.8</v>
          </cell>
          <cell r="K25" t="str">
            <v>Q-11002958</v>
          </cell>
          <cell r="L25" t="str">
            <v>\\hokukon-net2\hop\Program\01_MVPシステム_容量別組立図\.\02_余裕高0_6m\pdf\FB600_1000m3-MVP-1500-組-B3000_Q-11002958.pdf</v>
          </cell>
          <cell r="M25">
            <v>7128.51</v>
          </cell>
          <cell r="N25">
            <v>7237.19</v>
          </cell>
          <cell r="O25">
            <v>6978.51</v>
          </cell>
          <cell r="P25">
            <v>6982.36</v>
          </cell>
          <cell r="Q25">
            <v>7185.84</v>
          </cell>
          <cell r="R25">
            <v>7103.4</v>
          </cell>
          <cell r="S25">
            <v>7086.54</v>
          </cell>
          <cell r="T25">
            <v>7091.18</v>
          </cell>
          <cell r="U25">
            <v>7033.17</v>
          </cell>
          <cell r="V25">
            <v>6994.13</v>
          </cell>
          <cell r="W25">
            <v>7048.68</v>
          </cell>
          <cell r="X25">
            <v>7073.43</v>
          </cell>
          <cell r="Y25">
            <v>7076.28</v>
          </cell>
          <cell r="Z25">
            <v>7318.46</v>
          </cell>
          <cell r="AA25">
            <v>7106.64</v>
          </cell>
          <cell r="AB25">
            <v>7133.88</v>
          </cell>
          <cell r="AC25">
            <v>7466.84</v>
          </cell>
          <cell r="AD25">
            <v>7039.35</v>
          </cell>
          <cell r="AE25">
            <v>7140.11</v>
          </cell>
          <cell r="AF25">
            <v>7428.14</v>
          </cell>
          <cell r="AG25">
            <v>7033.18</v>
          </cell>
          <cell r="AH25">
            <v>7110.38</v>
          </cell>
          <cell r="AI25">
            <v>6961.02</v>
          </cell>
          <cell r="AJ25">
            <v>7131.76</v>
          </cell>
          <cell r="AK25">
            <v>6802.55</v>
          </cell>
          <cell r="AL25">
            <v>7121.8</v>
          </cell>
          <cell r="AM25">
            <v>7477.56</v>
          </cell>
          <cell r="AN25">
            <v>7213.72</v>
          </cell>
          <cell r="AO25">
            <v>7309.54</v>
          </cell>
          <cell r="AP25">
            <v>7289.94</v>
          </cell>
          <cell r="AQ25">
            <v>7370.39</v>
          </cell>
          <cell r="AR25">
            <v>7087.64</v>
          </cell>
          <cell r="AS25">
            <v>7516.98</v>
          </cell>
          <cell r="AT25">
            <v>7271.26</v>
          </cell>
          <cell r="AU25">
            <v>7308.13</v>
          </cell>
          <cell r="AV25">
            <v>7412.77</v>
          </cell>
          <cell r="AW25">
            <v>7286.05</v>
          </cell>
          <cell r="AX25">
            <v>6794.39</v>
          </cell>
          <cell r="AY25">
            <v>7062.9</v>
          </cell>
          <cell r="AZ25">
            <v>6689.43</v>
          </cell>
          <cell r="BA25">
            <v>6689.43</v>
          </cell>
        </row>
        <row r="26">
          <cell r="A26" t="str">
            <v>V1000H15B25</v>
          </cell>
          <cell r="B26">
            <v>1000</v>
          </cell>
          <cell r="C26">
            <v>1500</v>
          </cell>
          <cell r="D26">
            <v>2500</v>
          </cell>
          <cell r="E26">
            <v>27</v>
          </cell>
          <cell r="F26">
            <v>3</v>
          </cell>
          <cell r="G26">
            <v>0</v>
          </cell>
          <cell r="H26">
            <v>350</v>
          </cell>
          <cell r="I26">
            <v>50</v>
          </cell>
          <cell r="J26">
            <v>1000.6</v>
          </cell>
          <cell r="K26" t="str">
            <v>Q-11002957</v>
          </cell>
          <cell r="L26" t="str">
            <v>\\hokukon-net2\hop\Program\01_MVPシステム_容量別組立図\.\02_余裕高0_6m\pdf\FB600_1000m3-MVP-1500-組-B2500_Q-11002957.pdf</v>
          </cell>
          <cell r="M26">
            <v>7015.89</v>
          </cell>
          <cell r="N26">
            <v>7121.15</v>
          </cell>
          <cell r="O26">
            <v>6871.45</v>
          </cell>
          <cell r="P26">
            <v>6875.17</v>
          </cell>
          <cell r="Q26">
            <v>7071.07</v>
          </cell>
          <cell r="R26">
            <v>6991.18</v>
          </cell>
          <cell r="S26">
            <v>6974.32</v>
          </cell>
          <cell r="T26">
            <v>6978.81</v>
          </cell>
          <cell r="U26">
            <v>6925.6</v>
          </cell>
          <cell r="V26">
            <v>6887.42</v>
          </cell>
          <cell r="W26">
            <v>6940.42</v>
          </cell>
          <cell r="X26">
            <v>6965.4</v>
          </cell>
          <cell r="Y26">
            <v>6968.29</v>
          </cell>
          <cell r="Z26">
            <v>7203.71</v>
          </cell>
          <cell r="AA26">
            <v>6998.92</v>
          </cell>
          <cell r="AB26">
            <v>7024.23</v>
          </cell>
          <cell r="AC26">
            <v>7345.33</v>
          </cell>
          <cell r="AD26">
            <v>6930.29</v>
          </cell>
          <cell r="AE26">
            <v>7028.81</v>
          </cell>
          <cell r="AF26">
            <v>7308.34</v>
          </cell>
          <cell r="AG26">
            <v>6926.57</v>
          </cell>
          <cell r="AH26">
            <v>7001.42</v>
          </cell>
          <cell r="AI26">
            <v>6857.26</v>
          </cell>
          <cell r="AJ26">
            <v>7021.56</v>
          </cell>
          <cell r="AK26">
            <v>6702.33</v>
          </cell>
          <cell r="AL26">
            <v>7010.98</v>
          </cell>
          <cell r="AM26">
            <v>7355.83</v>
          </cell>
          <cell r="AN26">
            <v>7100.57</v>
          </cell>
          <cell r="AO26">
            <v>7192.56</v>
          </cell>
          <cell r="AP26">
            <v>7174.11</v>
          </cell>
          <cell r="AQ26">
            <v>7252.24</v>
          </cell>
          <cell r="AR26">
            <v>6976.16</v>
          </cell>
          <cell r="AS26">
            <v>7392.16</v>
          </cell>
          <cell r="AT26">
            <v>7155.5</v>
          </cell>
          <cell r="AU26">
            <v>7191.32</v>
          </cell>
          <cell r="AV26">
            <v>7291.65</v>
          </cell>
          <cell r="AW26">
            <v>7092.71</v>
          </cell>
          <cell r="AX26">
            <v>6693.65</v>
          </cell>
          <cell r="AY26">
            <v>6952.62</v>
          </cell>
          <cell r="AZ26">
            <v>6591.43</v>
          </cell>
          <cell r="BA26">
            <v>6591.43</v>
          </cell>
        </row>
        <row r="27">
          <cell r="A27" t="str">
            <v>V1000H15B20</v>
          </cell>
          <cell r="B27">
            <v>1000</v>
          </cell>
          <cell r="C27">
            <v>1500</v>
          </cell>
          <cell r="D27">
            <v>2000</v>
          </cell>
          <cell r="E27">
            <v>30</v>
          </cell>
          <cell r="F27">
            <v>3</v>
          </cell>
          <cell r="G27">
            <v>0</v>
          </cell>
          <cell r="H27">
            <v>350</v>
          </cell>
          <cell r="I27">
            <v>50</v>
          </cell>
          <cell r="J27">
            <v>1025.8</v>
          </cell>
          <cell r="K27" t="str">
            <v>Q-11002956</v>
          </cell>
          <cell r="L27" t="str">
            <v>\\hokukon-net2\hop\Program\01_MVPシステム_容量別組立図\.\02_余裕高0_6m\pdf\FB600_1000m3-MVP-1500-組-B2000_Q-11002956.pdf</v>
          </cell>
          <cell r="M27">
            <v>7327.5</v>
          </cell>
          <cell r="N27">
            <v>7435.59</v>
          </cell>
          <cell r="O27">
            <v>7179.73</v>
          </cell>
          <cell r="P27">
            <v>7183.55</v>
          </cell>
          <cell r="Q27">
            <v>7383.85</v>
          </cell>
          <cell r="R27">
            <v>7301.7</v>
          </cell>
          <cell r="S27">
            <v>7283.87</v>
          </cell>
          <cell r="T27">
            <v>7288.49</v>
          </cell>
          <cell r="U27">
            <v>7236.36</v>
          </cell>
          <cell r="V27">
            <v>7196.76</v>
          </cell>
          <cell r="W27">
            <v>7251.48</v>
          </cell>
          <cell r="X27">
            <v>7278.05</v>
          </cell>
          <cell r="Y27">
            <v>7281.13</v>
          </cell>
          <cell r="Z27">
            <v>7523.97</v>
          </cell>
          <cell r="AA27">
            <v>7313.89</v>
          </cell>
          <cell r="AB27">
            <v>7338.86</v>
          </cell>
          <cell r="AC27">
            <v>7667.77</v>
          </cell>
          <cell r="AD27">
            <v>7240.42</v>
          </cell>
          <cell r="AE27">
            <v>7342.51</v>
          </cell>
          <cell r="AF27">
            <v>7630.38</v>
          </cell>
          <cell r="AG27">
            <v>7238.54</v>
          </cell>
          <cell r="AH27">
            <v>7315.45</v>
          </cell>
          <cell r="AI27">
            <v>7167.82</v>
          </cell>
          <cell r="AJ27">
            <v>7335.69</v>
          </cell>
          <cell r="AK27">
            <v>7007.12</v>
          </cell>
          <cell r="AL27">
            <v>7323.77</v>
          </cell>
          <cell r="AM27">
            <v>7678.54</v>
          </cell>
          <cell r="AN27">
            <v>7416.33</v>
          </cell>
          <cell r="AO27">
            <v>7510.13</v>
          </cell>
          <cell r="AP27">
            <v>7491.65</v>
          </cell>
          <cell r="AQ27">
            <v>7572.19</v>
          </cell>
          <cell r="AR27">
            <v>7286.5</v>
          </cell>
          <cell r="AS27">
            <v>7714.39</v>
          </cell>
          <cell r="AT27">
            <v>7472.28</v>
          </cell>
          <cell r="AU27">
            <v>7509.34</v>
          </cell>
          <cell r="AV27">
            <v>7611.42</v>
          </cell>
          <cell r="AW27">
            <v>7407.13</v>
          </cell>
          <cell r="AX27">
            <v>6997.76</v>
          </cell>
          <cell r="AY27">
            <v>7262.83</v>
          </cell>
          <cell r="AZ27">
            <v>6892.15</v>
          </cell>
          <cell r="BA27">
            <v>6892.15</v>
          </cell>
        </row>
        <row r="28">
          <cell r="A28" t="str">
            <v>V1000H20B30</v>
          </cell>
          <cell r="B28">
            <v>1000</v>
          </cell>
          <cell r="C28">
            <v>2000</v>
          </cell>
          <cell r="D28">
            <v>3000</v>
          </cell>
          <cell r="E28">
            <v>23</v>
          </cell>
          <cell r="F28">
            <v>2</v>
          </cell>
          <cell r="G28">
            <v>0</v>
          </cell>
          <cell r="H28">
            <v>350</v>
          </cell>
          <cell r="I28">
            <v>50</v>
          </cell>
          <cell r="J28">
            <v>1021.8</v>
          </cell>
          <cell r="K28" t="str">
            <v>Q-11002961</v>
          </cell>
          <cell r="L28" t="str">
            <v>\\hokukon-net2\hop\Program\01_MVPシステム_容量別組立図\.\02_余裕高0_6m\pdf\FB600_1000m3-MVP-2000-組-B3000_Q-11002961.pdf</v>
          </cell>
          <cell r="M28">
            <v>4890.96</v>
          </cell>
          <cell r="N28">
            <v>4961.55</v>
          </cell>
          <cell r="O28">
            <v>4795.59</v>
          </cell>
          <cell r="P28">
            <v>4798.07</v>
          </cell>
          <cell r="Q28">
            <v>4927.51</v>
          </cell>
          <cell r="R28">
            <v>4874.42</v>
          </cell>
          <cell r="S28">
            <v>4862.84</v>
          </cell>
          <cell r="T28">
            <v>4865.84</v>
          </cell>
          <cell r="U28">
            <v>4832.6899999999996</v>
          </cell>
          <cell r="V28">
            <v>4807.05</v>
          </cell>
          <cell r="W28">
            <v>4842.18</v>
          </cell>
          <cell r="X28">
            <v>4859.6499999999996</v>
          </cell>
          <cell r="Y28">
            <v>4861.58</v>
          </cell>
          <cell r="Z28">
            <v>5018.76</v>
          </cell>
          <cell r="AA28">
            <v>4882.03</v>
          </cell>
          <cell r="AB28">
            <v>4898.6899999999996</v>
          </cell>
          <cell r="AC28">
            <v>5111.37</v>
          </cell>
          <cell r="AD28">
            <v>4833.2700000000004</v>
          </cell>
          <cell r="AE28">
            <v>4899.74</v>
          </cell>
          <cell r="AF28">
            <v>5086.18</v>
          </cell>
          <cell r="AG28">
            <v>4832.7</v>
          </cell>
          <cell r="AH28">
            <v>4882.8900000000003</v>
          </cell>
          <cell r="AI28">
            <v>4786.8900000000003</v>
          </cell>
          <cell r="AJ28">
            <v>4895.8100000000004</v>
          </cell>
          <cell r="AK28">
            <v>4683.1400000000003</v>
          </cell>
          <cell r="AL28">
            <v>4889.08</v>
          </cell>
          <cell r="AM28">
            <v>5119.1499999999996</v>
          </cell>
          <cell r="AN28">
            <v>4949.5600000000004</v>
          </cell>
          <cell r="AO28">
            <v>5010.3999999999996</v>
          </cell>
          <cell r="AP28">
            <v>4998.47</v>
          </cell>
          <cell r="AQ28">
            <v>5050.57</v>
          </cell>
          <cell r="AR28">
            <v>4864.42</v>
          </cell>
          <cell r="AS28">
            <v>5141.3</v>
          </cell>
          <cell r="AT28">
            <v>4984.49</v>
          </cell>
          <cell r="AU28">
            <v>5007.93</v>
          </cell>
          <cell r="AV28">
            <v>5074.6000000000004</v>
          </cell>
          <cell r="AW28">
            <v>4941.6899999999996</v>
          </cell>
          <cell r="AX28">
            <v>4675.6099999999997</v>
          </cell>
          <cell r="AY28">
            <v>4848.25</v>
          </cell>
          <cell r="AZ28">
            <v>4607.1899999999996</v>
          </cell>
          <cell r="BA28">
            <v>4607.1899999999996</v>
          </cell>
        </row>
        <row r="29">
          <cell r="A29" t="str">
            <v>V1000H20B25</v>
          </cell>
          <cell r="B29">
            <v>1000</v>
          </cell>
          <cell r="C29">
            <v>2000</v>
          </cell>
          <cell r="D29">
            <v>2500</v>
          </cell>
          <cell r="E29">
            <v>25</v>
          </cell>
          <cell r="F29">
            <v>2</v>
          </cell>
          <cell r="G29">
            <v>0</v>
          </cell>
          <cell r="H29">
            <v>350</v>
          </cell>
          <cell r="I29">
            <v>50</v>
          </cell>
          <cell r="J29">
            <v>1035.8</v>
          </cell>
          <cell r="K29" t="str">
            <v>Q-11002960</v>
          </cell>
          <cell r="L29" t="str">
            <v>\\hokukon-net2\hop\Program\01_MVPシステム_容量別組立図\.\02_余裕高0_6m\pdf\FB600_1000m3-MVP-2000-組-B2500_Q-11002960.pdf</v>
          </cell>
          <cell r="M29">
            <v>5043.34</v>
          </cell>
          <cell r="N29">
            <v>5115.04</v>
          </cell>
          <cell r="O29">
            <v>4946.76</v>
          </cell>
          <cell r="P29">
            <v>4949.28</v>
          </cell>
          <cell r="Q29">
            <v>5080.26</v>
          </cell>
          <cell r="R29">
            <v>5026.28</v>
          </cell>
          <cell r="S29">
            <v>5014.2299999999996</v>
          </cell>
          <cell r="T29">
            <v>5017.2700000000004</v>
          </cell>
          <cell r="U29">
            <v>4985.08</v>
          </cell>
          <cell r="V29">
            <v>4958.8100000000004</v>
          </cell>
          <cell r="W29">
            <v>4994.6400000000003</v>
          </cell>
          <cell r="X29">
            <v>5012.9399999999996</v>
          </cell>
          <cell r="Y29">
            <v>5014.95</v>
          </cell>
          <cell r="Z29">
            <v>5175.2</v>
          </cell>
          <cell r="AA29">
            <v>5036.42</v>
          </cell>
          <cell r="AB29">
            <v>5052.78</v>
          </cell>
          <cell r="AC29">
            <v>5268.29</v>
          </cell>
          <cell r="AD29">
            <v>4985.1499999999996</v>
          </cell>
          <cell r="AE29">
            <v>5053.18</v>
          </cell>
          <cell r="AF29">
            <v>5243.03</v>
          </cell>
          <cell r="AG29">
            <v>4985.7</v>
          </cell>
          <cell r="AH29">
            <v>5036.72</v>
          </cell>
          <cell r="AI29">
            <v>4939.4399999999996</v>
          </cell>
          <cell r="AJ29">
            <v>5049.59</v>
          </cell>
          <cell r="AK29">
            <v>4833.16</v>
          </cell>
          <cell r="AL29">
            <v>5042.1899999999996</v>
          </cell>
          <cell r="AM29">
            <v>5276.24</v>
          </cell>
          <cell r="AN29">
            <v>5103.9399999999996</v>
          </cell>
          <cell r="AO29">
            <v>5165.37</v>
          </cell>
          <cell r="AP29">
            <v>5153.5200000000004</v>
          </cell>
          <cell r="AQ29">
            <v>5206.6099999999997</v>
          </cell>
          <cell r="AR29">
            <v>5016.26</v>
          </cell>
          <cell r="AS29">
            <v>5297.87</v>
          </cell>
          <cell r="AT29">
            <v>5139.13</v>
          </cell>
          <cell r="AU29">
            <v>5163.0600000000004</v>
          </cell>
          <cell r="AV29">
            <v>5230.24</v>
          </cell>
          <cell r="AW29">
            <v>5095.24</v>
          </cell>
          <cell r="AX29">
            <v>4825.2</v>
          </cell>
          <cell r="AY29">
            <v>5000.09</v>
          </cell>
          <cell r="AZ29">
            <v>4755.34</v>
          </cell>
          <cell r="BA29">
            <v>4755.34</v>
          </cell>
        </row>
        <row r="30">
          <cell r="A30" t="str">
            <v>V1000H20B20</v>
          </cell>
          <cell r="B30">
            <v>1000</v>
          </cell>
          <cell r="C30">
            <v>2000</v>
          </cell>
          <cell r="D30">
            <v>2000</v>
          </cell>
          <cell r="E30">
            <v>19</v>
          </cell>
          <cell r="F30">
            <v>3</v>
          </cell>
          <cell r="G30">
            <v>0</v>
          </cell>
          <cell r="H30">
            <v>350</v>
          </cell>
          <cell r="I30">
            <v>50</v>
          </cell>
          <cell r="J30">
            <v>1025.5</v>
          </cell>
          <cell r="K30" t="str">
            <v>Q-11002959</v>
          </cell>
          <cell r="L30" t="str">
            <v>\\hokukon-net2\hop\Program\01_MVPシステム_容量別組立図\.\02_余裕高0_6m\pdf\FB600_1000m3-MVP-2000-組-B2000_Q-11002959.pdf</v>
          </cell>
          <cell r="M30">
            <v>5123.8</v>
          </cell>
          <cell r="N30">
            <v>5194.97</v>
          </cell>
          <cell r="O30">
            <v>5030.1400000000003</v>
          </cell>
          <cell r="P30">
            <v>5032.63</v>
          </cell>
          <cell r="Q30">
            <v>5160.22</v>
          </cell>
          <cell r="R30">
            <v>5106.76</v>
          </cell>
          <cell r="S30">
            <v>5094.1000000000004</v>
          </cell>
          <cell r="T30">
            <v>5097.1000000000004</v>
          </cell>
          <cell r="U30">
            <v>5070.4399999999996</v>
          </cell>
          <cell r="V30">
            <v>5043.99</v>
          </cell>
          <cell r="W30">
            <v>5079.1499999999996</v>
          </cell>
          <cell r="X30">
            <v>5099.0200000000004</v>
          </cell>
          <cell r="Y30">
            <v>5101.3500000000004</v>
          </cell>
          <cell r="Z30">
            <v>5260.69</v>
          </cell>
          <cell r="AA30">
            <v>5124.0200000000004</v>
          </cell>
          <cell r="AB30">
            <v>5138.59</v>
          </cell>
          <cell r="AC30">
            <v>5348.82</v>
          </cell>
          <cell r="AD30">
            <v>5067.1499999999996</v>
          </cell>
          <cell r="AE30">
            <v>5135.78</v>
          </cell>
          <cell r="AF30">
            <v>5324.03</v>
          </cell>
          <cell r="AG30">
            <v>5071.6499999999996</v>
          </cell>
          <cell r="AH30">
            <v>5122.5</v>
          </cell>
          <cell r="AI30">
            <v>5026.84</v>
          </cell>
          <cell r="AJ30">
            <v>5133.97</v>
          </cell>
          <cell r="AK30">
            <v>4920</v>
          </cell>
          <cell r="AL30">
            <v>5125.78</v>
          </cell>
          <cell r="AM30">
            <v>5356.99</v>
          </cell>
          <cell r="AN30">
            <v>5259.15</v>
          </cell>
          <cell r="AO30">
            <v>5247.06</v>
          </cell>
          <cell r="AP30">
            <v>5236.24</v>
          </cell>
          <cell r="AQ30">
            <v>5288.75</v>
          </cell>
          <cell r="AR30">
            <v>5097.0200000000004</v>
          </cell>
          <cell r="AS30">
            <v>5374.8</v>
          </cell>
          <cell r="AT30">
            <v>5220.47</v>
          </cell>
          <cell r="AU30">
            <v>5243.92</v>
          </cell>
          <cell r="AV30">
            <v>5309.03</v>
          </cell>
          <cell r="AW30">
            <v>5175.7</v>
          </cell>
          <cell r="AX30">
            <v>4910.16</v>
          </cell>
          <cell r="AY30">
            <v>5081.5</v>
          </cell>
          <cell r="AZ30">
            <v>4840.49</v>
          </cell>
          <cell r="BA30">
            <v>4840.49</v>
          </cell>
        </row>
        <row r="31">
          <cell r="A31" t="str">
            <v>V1000H25B30</v>
          </cell>
          <cell r="B31">
            <v>1000</v>
          </cell>
          <cell r="C31">
            <v>2500</v>
          </cell>
          <cell r="D31">
            <v>3000</v>
          </cell>
          <cell r="E31">
            <v>20</v>
          </cell>
          <cell r="F31">
            <v>3</v>
          </cell>
          <cell r="G31">
            <v>0</v>
          </cell>
          <cell r="H31">
            <v>300</v>
          </cell>
          <cell r="I31">
            <v>50</v>
          </cell>
          <cell r="J31">
            <v>1041.7</v>
          </cell>
          <cell r="K31" t="str">
            <v>Q-11002964</v>
          </cell>
          <cell r="L31" t="str">
            <v>\\hokukon-net2\hop\Program\01_MVPシステム_容量別組立図\.\02_余裕高0_6m\pdf\FB600_1000m3-MVP-2500-組-B3000_Q-11002964.pdf</v>
          </cell>
          <cell r="M31">
            <v>4623.6899999999996</v>
          </cell>
          <cell r="N31">
            <v>4673.99</v>
          </cell>
          <cell r="O31">
            <v>4561.38</v>
          </cell>
          <cell r="P31">
            <v>4563.1499999999996</v>
          </cell>
          <cell r="Q31">
            <v>4649.51</v>
          </cell>
          <cell r="R31">
            <v>4612.26</v>
          </cell>
          <cell r="S31">
            <v>4601.53</v>
          </cell>
          <cell r="T31">
            <v>4603.67</v>
          </cell>
          <cell r="U31">
            <v>4598.99</v>
          </cell>
          <cell r="V31">
            <v>4578.66</v>
          </cell>
          <cell r="W31">
            <v>4604.2</v>
          </cell>
          <cell r="X31">
            <v>4623.84</v>
          </cell>
          <cell r="Y31">
            <v>4626.9399999999996</v>
          </cell>
          <cell r="Z31">
            <v>4742.87</v>
          </cell>
          <cell r="AA31">
            <v>4646.25</v>
          </cell>
          <cell r="AB31">
            <v>4651.93</v>
          </cell>
          <cell r="AC31">
            <v>4793.0600000000004</v>
          </cell>
          <cell r="AD31">
            <v>4587.96</v>
          </cell>
          <cell r="AE31">
            <v>4638.8999999999996</v>
          </cell>
          <cell r="AF31">
            <v>4774.51</v>
          </cell>
          <cell r="AG31">
            <v>4602.6899999999996</v>
          </cell>
          <cell r="AH31">
            <v>4640.1499999999996</v>
          </cell>
          <cell r="AI31">
            <v>4573.3999999999996</v>
          </cell>
          <cell r="AJ31">
            <v>4645.25</v>
          </cell>
          <cell r="AK31">
            <v>4492.8900000000003</v>
          </cell>
          <cell r="AL31">
            <v>4634.99</v>
          </cell>
          <cell r="AM31">
            <v>4798.67</v>
          </cell>
          <cell r="AN31">
            <v>4680.84</v>
          </cell>
          <cell r="AO31">
            <v>4719.0200000000004</v>
          </cell>
          <cell r="AP31">
            <v>4714.71</v>
          </cell>
          <cell r="AQ31">
            <v>4751.29</v>
          </cell>
          <cell r="AR31">
            <v>4607.95</v>
          </cell>
          <cell r="AS31">
            <v>4803.3900000000003</v>
          </cell>
          <cell r="AT31">
            <v>4698.83</v>
          </cell>
          <cell r="AU31">
            <v>4715.4399999999996</v>
          </cell>
          <cell r="AV31">
            <v>4758.91</v>
          </cell>
          <cell r="AW31">
            <v>4662.5</v>
          </cell>
          <cell r="AX31">
            <v>4480.24</v>
          </cell>
          <cell r="AY31">
            <v>4596.28</v>
          </cell>
          <cell r="AZ31">
            <v>4428.05</v>
          </cell>
          <cell r="BA31">
            <v>4428.05</v>
          </cell>
        </row>
        <row r="32">
          <cell r="A32" t="str">
            <v>V1000H25B25</v>
          </cell>
          <cell r="B32">
            <v>1000</v>
          </cell>
          <cell r="C32">
            <v>2500</v>
          </cell>
          <cell r="D32">
            <v>2500</v>
          </cell>
          <cell r="E32">
            <v>22</v>
          </cell>
          <cell r="F32">
            <v>3</v>
          </cell>
          <cell r="G32">
            <v>0</v>
          </cell>
          <cell r="H32">
            <v>300</v>
          </cell>
          <cell r="I32">
            <v>50</v>
          </cell>
          <cell r="J32">
            <v>1045.7</v>
          </cell>
          <cell r="K32" t="str">
            <v>Q-11002963</v>
          </cell>
          <cell r="L32" t="str">
            <v>\\hokukon-net2\hop\Program\01_MVPシステム_容量別組立図\.\02_余裕高0_6m\pdf\FB600_1000m3-MVP-2500-組-B2500_Q-11002963.pdf</v>
          </cell>
          <cell r="M32">
            <v>4787.43</v>
          </cell>
          <cell r="N32">
            <v>4838.03</v>
          </cell>
          <cell r="O32">
            <v>4725.25</v>
          </cell>
          <cell r="P32">
            <v>4727.03</v>
          </cell>
          <cell r="Q32">
            <v>4813.2</v>
          </cell>
          <cell r="R32">
            <v>4775.6499999999996</v>
          </cell>
          <cell r="S32">
            <v>4764.46</v>
          </cell>
          <cell r="T32">
            <v>4766.6099999999997</v>
          </cell>
          <cell r="U32">
            <v>4763.96</v>
          </cell>
          <cell r="V32">
            <v>4743.2</v>
          </cell>
          <cell r="W32">
            <v>4769.13</v>
          </cell>
          <cell r="X32">
            <v>4789.63</v>
          </cell>
          <cell r="Y32">
            <v>4792.82</v>
          </cell>
          <cell r="Z32">
            <v>4910.26</v>
          </cell>
          <cell r="AA32">
            <v>4813.25</v>
          </cell>
          <cell r="AB32">
            <v>4818.1499999999996</v>
          </cell>
          <cell r="AC32">
            <v>4959.38</v>
          </cell>
          <cell r="AD32">
            <v>4752.1400000000003</v>
          </cell>
          <cell r="AE32">
            <v>4804.1099999999997</v>
          </cell>
          <cell r="AF32">
            <v>4941.16</v>
          </cell>
          <cell r="AG32">
            <v>4768.5600000000004</v>
          </cell>
          <cell r="AH32">
            <v>4806.3500000000004</v>
          </cell>
          <cell r="AI32">
            <v>4739.49</v>
          </cell>
          <cell r="AJ32">
            <v>4811.09</v>
          </cell>
          <cell r="AK32">
            <v>4657.26</v>
          </cell>
          <cell r="AL32">
            <v>4799.9399999999996</v>
          </cell>
          <cell r="AM32">
            <v>4965.03</v>
          </cell>
          <cell r="AN32">
            <v>4846.46</v>
          </cell>
          <cell r="AO32">
            <v>4884.34</v>
          </cell>
          <cell r="AP32">
            <v>4880.3999999999996</v>
          </cell>
          <cell r="AQ32">
            <v>4917.43</v>
          </cell>
          <cell r="AR32">
            <v>4771.47</v>
          </cell>
          <cell r="AS32">
            <v>4968.5600000000004</v>
          </cell>
          <cell r="AT32">
            <v>4864.17</v>
          </cell>
          <cell r="AU32">
            <v>4881.04</v>
          </cell>
          <cell r="AV32">
            <v>4924.05</v>
          </cell>
          <cell r="AW32">
            <v>4827.05</v>
          </cell>
          <cell r="AX32">
            <v>4644.1400000000003</v>
          </cell>
          <cell r="AY32">
            <v>4760.13</v>
          </cell>
          <cell r="AZ32">
            <v>4591.12</v>
          </cell>
          <cell r="BA32">
            <v>4591.12</v>
          </cell>
        </row>
        <row r="33">
          <cell r="A33" t="str">
            <v>V1000H25B20</v>
          </cell>
          <cell r="B33">
            <v>1000</v>
          </cell>
          <cell r="C33">
            <v>2500</v>
          </cell>
          <cell r="D33">
            <v>2000</v>
          </cell>
          <cell r="E33">
            <v>19</v>
          </cell>
          <cell r="F33">
            <v>4</v>
          </cell>
          <cell r="G33">
            <v>0</v>
          </cell>
          <cell r="H33">
            <v>300</v>
          </cell>
          <cell r="I33">
            <v>50</v>
          </cell>
          <cell r="J33">
            <v>1060</v>
          </cell>
          <cell r="K33" t="str">
            <v>Q-11002962</v>
          </cell>
          <cell r="L33" t="str">
            <v>\\hokukon-net2\hop\Program\01_MVPシステム_容量別組立図\.\02_余裕高0_6m\pdf\FB600_1000m3-MVP-2500-組-B2000_Q-11002962.pdf</v>
          </cell>
          <cell r="M33">
            <v>5043.63</v>
          </cell>
          <cell r="N33">
            <v>5095.2299999999996</v>
          </cell>
          <cell r="O33">
            <v>4982.05</v>
          </cell>
          <cell r="P33">
            <v>4983.87</v>
          </cell>
          <cell r="Q33">
            <v>5069.7</v>
          </cell>
          <cell r="R33">
            <v>5031.59</v>
          </cell>
          <cell r="S33">
            <v>5019.4799999999996</v>
          </cell>
          <cell r="T33">
            <v>5021.66</v>
          </cell>
          <cell r="U33">
            <v>5023.7</v>
          </cell>
          <cell r="V33">
            <v>5002.16</v>
          </cell>
          <cell r="W33">
            <v>5028.43</v>
          </cell>
          <cell r="X33">
            <v>5050.93</v>
          </cell>
          <cell r="Y33">
            <v>5054.38</v>
          </cell>
          <cell r="Z33">
            <v>5174.74</v>
          </cell>
          <cell r="AA33">
            <v>5076.5</v>
          </cell>
          <cell r="AB33">
            <v>5080.08</v>
          </cell>
          <cell r="AC33">
            <v>5221.08</v>
          </cell>
          <cell r="AD33">
            <v>5008.66</v>
          </cell>
          <cell r="AE33">
            <v>5062.75</v>
          </cell>
          <cell r="AF33">
            <v>5202.74</v>
          </cell>
          <cell r="AG33">
            <v>5029.0200000000004</v>
          </cell>
          <cell r="AH33">
            <v>5067.9399999999996</v>
          </cell>
          <cell r="AI33">
            <v>5000.37</v>
          </cell>
          <cell r="AJ33">
            <v>5071.62</v>
          </cell>
          <cell r="AK33">
            <v>4914.9799999999996</v>
          </cell>
          <cell r="AL33">
            <v>5059.3100000000004</v>
          </cell>
          <cell r="AM33">
            <v>5227.1099999999997</v>
          </cell>
          <cell r="AN33">
            <v>5107.33</v>
          </cell>
          <cell r="AO33">
            <v>5144.6000000000004</v>
          </cell>
          <cell r="AP33">
            <v>5141.58</v>
          </cell>
          <cell r="AQ33">
            <v>5179.22</v>
          </cell>
          <cell r="AR33">
            <v>5027.54</v>
          </cell>
          <cell r="AS33">
            <v>5227.5600000000004</v>
          </cell>
          <cell r="AT33">
            <v>5123.72</v>
          </cell>
          <cell r="AU33">
            <v>5140.67</v>
          </cell>
          <cell r="AV33">
            <v>5183.2</v>
          </cell>
          <cell r="AW33">
            <v>5084.6099999999997</v>
          </cell>
          <cell r="AX33">
            <v>4900.0200000000004</v>
          </cell>
          <cell r="AY33">
            <v>5016.47</v>
          </cell>
          <cell r="AZ33">
            <v>4845.3599999999997</v>
          </cell>
          <cell r="BA33">
            <v>4845.3599999999997</v>
          </cell>
        </row>
        <row r="34">
          <cell r="A34" t="str">
            <v>V1000H30B30</v>
          </cell>
          <cell r="B34">
            <v>1000</v>
          </cell>
          <cell r="C34">
            <v>3000</v>
          </cell>
          <cell r="D34">
            <v>3000</v>
          </cell>
          <cell r="E34">
            <v>16</v>
          </cell>
          <cell r="F34">
            <v>3</v>
          </cell>
          <cell r="G34">
            <v>0</v>
          </cell>
          <cell r="H34">
            <v>300</v>
          </cell>
          <cell r="I34">
            <v>50</v>
          </cell>
          <cell r="J34">
            <v>1061.3</v>
          </cell>
          <cell r="K34" t="str">
            <v>Q-11002967</v>
          </cell>
          <cell r="L34" t="str">
            <v>\\hokukon-net2\hop\Program\01_MVPシステム_容量別組立図\.\02_余裕高0_6m\pdf\FB600_1000m3-MVP-3000-組-B3000_Q-11002967.pdf</v>
          </cell>
          <cell r="M34">
            <v>4078.18</v>
          </cell>
          <cell r="N34">
            <v>4119.7299999999996</v>
          </cell>
          <cell r="O34">
            <v>4029.2</v>
          </cell>
          <cell r="P34">
            <v>4030.65</v>
          </cell>
          <cell r="Q34">
            <v>4098.8999999999996</v>
          </cell>
          <cell r="R34">
            <v>4068.12</v>
          </cell>
          <cell r="S34">
            <v>4058.31</v>
          </cell>
          <cell r="T34">
            <v>4060.05</v>
          </cell>
          <cell r="U34">
            <v>4062.81</v>
          </cell>
          <cell r="V34">
            <v>4045.55</v>
          </cell>
          <cell r="W34">
            <v>4065.97</v>
          </cell>
          <cell r="X34">
            <v>4084.35</v>
          </cell>
          <cell r="Y34">
            <v>4087.48</v>
          </cell>
          <cell r="Z34">
            <v>4183.53</v>
          </cell>
          <cell r="AA34">
            <v>4105.05</v>
          </cell>
          <cell r="AB34">
            <v>4107.6000000000004</v>
          </cell>
          <cell r="AC34">
            <v>4219.67</v>
          </cell>
          <cell r="AD34">
            <v>4049.89</v>
          </cell>
          <cell r="AE34">
            <v>4093.49</v>
          </cell>
          <cell r="AF34">
            <v>4205</v>
          </cell>
          <cell r="AG34">
            <v>4066.74</v>
          </cell>
          <cell r="AH34">
            <v>4097.4799999999996</v>
          </cell>
          <cell r="AI34">
            <v>4044.02</v>
          </cell>
          <cell r="AJ34">
            <v>4100.24</v>
          </cell>
          <cell r="AK34">
            <v>3975.97</v>
          </cell>
          <cell r="AL34">
            <v>4090.92</v>
          </cell>
          <cell r="AM34">
            <v>4224.91</v>
          </cell>
          <cell r="AN34">
            <v>4129.9799999999996</v>
          </cell>
          <cell r="AO34">
            <v>4159.3900000000003</v>
          </cell>
          <cell r="AP34">
            <v>4156.54</v>
          </cell>
          <cell r="AQ34">
            <v>4186.83</v>
          </cell>
          <cell r="AR34">
            <v>4065.03</v>
          </cell>
          <cell r="AS34">
            <v>4224.08</v>
          </cell>
          <cell r="AT34">
            <v>4141.76</v>
          </cell>
          <cell r="AU34">
            <v>4155.3100000000004</v>
          </cell>
          <cell r="AV34">
            <v>4188.8999999999996</v>
          </cell>
          <cell r="AW34">
            <v>4110.38</v>
          </cell>
          <cell r="AX34">
            <v>3962.65</v>
          </cell>
          <cell r="AY34">
            <v>4055.8</v>
          </cell>
          <cell r="AZ34">
            <v>3919.53</v>
          </cell>
          <cell r="BA34">
            <v>3919.53</v>
          </cell>
        </row>
        <row r="35">
          <cell r="A35" t="str">
            <v>V1000H30B25</v>
          </cell>
          <cell r="B35">
            <v>1000</v>
          </cell>
          <cell r="C35">
            <v>3000</v>
          </cell>
          <cell r="D35">
            <v>2500</v>
          </cell>
          <cell r="E35">
            <v>17</v>
          </cell>
          <cell r="F35">
            <v>3</v>
          </cell>
          <cell r="G35">
            <v>0</v>
          </cell>
          <cell r="H35">
            <v>300</v>
          </cell>
          <cell r="I35">
            <v>50</v>
          </cell>
          <cell r="J35">
            <v>1029.7</v>
          </cell>
          <cell r="K35" t="str">
            <v>Q-11002966</v>
          </cell>
          <cell r="L35" t="str">
            <v>\\hokukon-net2\hop\Program\01_MVPシステム_容量別組立図\.\02_余裕高0_6m\pdf\FB600_1000m3-MVP-3000-組-B2500_Q-11002966.pdf</v>
          </cell>
          <cell r="M35">
            <v>4088.73</v>
          </cell>
          <cell r="N35">
            <v>4129.21</v>
          </cell>
          <cell r="O35">
            <v>4041.61</v>
          </cell>
          <cell r="P35">
            <v>4043.01</v>
          </cell>
          <cell r="Q35">
            <v>4108.76</v>
          </cell>
          <cell r="R35">
            <v>4078.79</v>
          </cell>
          <cell r="S35">
            <v>4068.87</v>
          </cell>
          <cell r="T35">
            <v>4070.57</v>
          </cell>
          <cell r="U35">
            <v>4075.18</v>
          </cell>
          <cell r="V35">
            <v>4058.11</v>
          </cell>
          <cell r="W35">
            <v>4078.14</v>
          </cell>
          <cell r="X35">
            <v>4096.71</v>
          </cell>
          <cell r="Y35">
            <v>4099.82</v>
          </cell>
          <cell r="Z35">
            <v>4193.96</v>
          </cell>
          <cell r="AA35">
            <v>4117.6899999999996</v>
          </cell>
          <cell r="AB35">
            <v>4119.53</v>
          </cell>
          <cell r="AC35">
            <v>4227.8</v>
          </cell>
          <cell r="AD35">
            <v>4061.69</v>
          </cell>
          <cell r="AE35">
            <v>4104.75</v>
          </cell>
          <cell r="AF35">
            <v>4213.7700000000004</v>
          </cell>
          <cell r="AG35">
            <v>4079.58</v>
          </cell>
          <cell r="AH35">
            <v>4109.6400000000003</v>
          </cell>
          <cell r="AI35">
            <v>4057.84</v>
          </cell>
          <cell r="AJ35">
            <v>4111.97</v>
          </cell>
          <cell r="AK35">
            <v>3990.58</v>
          </cell>
          <cell r="AL35">
            <v>4102.2700000000004</v>
          </cell>
          <cell r="AM35">
            <v>4232.96</v>
          </cell>
          <cell r="AN35">
            <v>4140.63</v>
          </cell>
          <cell r="AO35">
            <v>4168.78</v>
          </cell>
          <cell r="AP35">
            <v>4166.3900000000003</v>
          </cell>
          <cell r="AQ35">
            <v>4195.99</v>
          </cell>
          <cell r="AR35">
            <v>4075.89</v>
          </cell>
          <cell r="AS35">
            <v>4230.9799999999996</v>
          </cell>
          <cell r="AT35">
            <v>4151.62</v>
          </cell>
          <cell r="AU35">
            <v>4164.8500000000004</v>
          </cell>
          <cell r="AV35">
            <v>4196.9799999999996</v>
          </cell>
          <cell r="AW35">
            <v>4120.51</v>
          </cell>
          <cell r="AX35">
            <v>3977.13</v>
          </cell>
          <cell r="AY35">
            <v>4067.19</v>
          </cell>
          <cell r="AZ35">
            <v>3934.71</v>
          </cell>
          <cell r="BA35">
            <v>3934.71</v>
          </cell>
        </row>
        <row r="36">
          <cell r="A36" t="str">
            <v>V1000H30B20</v>
          </cell>
          <cell r="B36">
            <v>1000</v>
          </cell>
          <cell r="C36">
            <v>3000</v>
          </cell>
          <cell r="D36">
            <v>2000</v>
          </cell>
          <cell r="E36">
            <v>19</v>
          </cell>
          <cell r="F36">
            <v>3</v>
          </cell>
          <cell r="G36">
            <v>0</v>
          </cell>
          <cell r="H36">
            <v>300</v>
          </cell>
          <cell r="I36">
            <v>50</v>
          </cell>
          <cell r="J36">
            <v>1040.2</v>
          </cell>
          <cell r="K36" t="str">
            <v>Q-11002965</v>
          </cell>
          <cell r="L36" t="str">
            <v>\\hokukon-net2\hop\Program\01_MVPシステム_容量別組立図\.\02_余裕高0_6m\pdf\FB600_1000m3-MVP-3000-組-B2000_Q-11002965.pdf</v>
          </cell>
          <cell r="M36">
            <v>4278.16</v>
          </cell>
          <cell r="N36">
            <v>4319.1099999999997</v>
          </cell>
          <cell r="O36">
            <v>4230.97</v>
          </cell>
          <cell r="P36">
            <v>4232.3900000000003</v>
          </cell>
          <cell r="Q36">
            <v>4298.1899999999996</v>
          </cell>
          <cell r="R36">
            <v>4267.78</v>
          </cell>
          <cell r="S36">
            <v>4257.34</v>
          </cell>
          <cell r="T36">
            <v>4259.0600000000004</v>
          </cell>
          <cell r="U36">
            <v>4265.83</v>
          </cell>
          <cell r="V36">
            <v>4248.26</v>
          </cell>
          <cell r="W36">
            <v>4268.74</v>
          </cell>
          <cell r="X36">
            <v>4288.28</v>
          </cell>
          <cell r="Y36">
            <v>4291.53</v>
          </cell>
          <cell r="Z36">
            <v>4387.6099999999997</v>
          </cell>
          <cell r="AA36">
            <v>4310.6499999999996</v>
          </cell>
          <cell r="AB36">
            <v>4311.66</v>
          </cell>
          <cell r="AC36">
            <v>4420.45</v>
          </cell>
          <cell r="AD36">
            <v>4251.51</v>
          </cell>
          <cell r="AE36">
            <v>4295.8</v>
          </cell>
          <cell r="AF36">
            <v>4406.72</v>
          </cell>
          <cell r="AG36">
            <v>4271.24</v>
          </cell>
          <cell r="AH36">
            <v>4301.7</v>
          </cell>
          <cell r="AI36">
            <v>4249.62</v>
          </cell>
          <cell r="AJ36">
            <v>4303.6499999999996</v>
          </cell>
          <cell r="AK36">
            <v>4180.33</v>
          </cell>
          <cell r="AL36">
            <v>4293</v>
          </cell>
          <cell r="AM36">
            <v>4425.66</v>
          </cell>
          <cell r="AN36">
            <v>4332.2299999999996</v>
          </cell>
          <cell r="AO36">
            <v>4360.1400000000003</v>
          </cell>
          <cell r="AP36">
            <v>4358.1400000000003</v>
          </cell>
          <cell r="AQ36">
            <v>4388.28</v>
          </cell>
          <cell r="AR36">
            <v>4265.05</v>
          </cell>
          <cell r="AS36">
            <v>4422.41</v>
          </cell>
          <cell r="AT36">
            <v>4342.95</v>
          </cell>
          <cell r="AU36">
            <v>4356.54</v>
          </cell>
          <cell r="AV36">
            <v>4388.25</v>
          </cell>
          <cell r="AW36">
            <v>4310.91</v>
          </cell>
          <cell r="AX36">
            <v>4166.3</v>
          </cell>
          <cell r="AY36">
            <v>4256.6400000000003</v>
          </cell>
          <cell r="AZ36">
            <v>4122.88</v>
          </cell>
          <cell r="BA36">
            <v>4122.88</v>
          </cell>
        </row>
        <row r="37">
          <cell r="A37" t="str">
            <v>V1000H35B30</v>
          </cell>
          <cell r="B37">
            <v>1000</v>
          </cell>
          <cell r="C37">
            <v>3500</v>
          </cell>
          <cell r="D37">
            <v>3000</v>
          </cell>
          <cell r="E37">
            <v>13</v>
          </cell>
          <cell r="F37">
            <v>3</v>
          </cell>
          <cell r="G37">
            <v>0</v>
          </cell>
          <cell r="H37">
            <v>300</v>
          </cell>
          <cell r="I37">
            <v>50</v>
          </cell>
          <cell r="J37">
            <v>1051.5999999999999</v>
          </cell>
          <cell r="K37" t="str">
            <v>Q-11002970</v>
          </cell>
          <cell r="L37" t="str">
            <v>\\hokukon-net2\hop\Program\01_MVPシステム_容量別組立図\.\02_余裕高0_6m\pdf\FB600_1000m3-MVP-3500-組-B3000_Q-11002970.pdf</v>
          </cell>
          <cell r="M37">
            <v>3649.6</v>
          </cell>
          <cell r="N37">
            <v>3684.71</v>
          </cell>
          <cell r="O37">
            <v>3610.56</v>
          </cell>
          <cell r="P37">
            <v>3611.77</v>
          </cell>
          <cell r="Q37">
            <v>3666.72</v>
          </cell>
          <cell r="R37">
            <v>3641.13</v>
          </cell>
          <cell r="S37">
            <v>3632.24</v>
          </cell>
          <cell r="T37">
            <v>3633.68</v>
          </cell>
          <cell r="U37">
            <v>3640.58</v>
          </cell>
          <cell r="V37">
            <v>3625.8</v>
          </cell>
          <cell r="W37">
            <v>3642.5</v>
          </cell>
          <cell r="X37">
            <v>3659.37</v>
          </cell>
          <cell r="Y37">
            <v>3662.19</v>
          </cell>
          <cell r="Z37">
            <v>3742.91</v>
          </cell>
          <cell r="AA37">
            <v>3677.84</v>
          </cell>
          <cell r="AB37">
            <v>3678.76</v>
          </cell>
          <cell r="AC37">
            <v>3769.43</v>
          </cell>
          <cell r="AD37">
            <v>3626.28</v>
          </cell>
          <cell r="AE37">
            <v>3663.82</v>
          </cell>
          <cell r="AF37">
            <v>3757.08</v>
          </cell>
          <cell r="AG37">
            <v>3643.81</v>
          </cell>
          <cell r="AH37">
            <v>3669.95</v>
          </cell>
          <cell r="AI37">
            <v>3625.74</v>
          </cell>
          <cell r="AJ37">
            <v>3671.02</v>
          </cell>
          <cell r="AK37">
            <v>3567.71</v>
          </cell>
          <cell r="AL37">
            <v>3662.91</v>
          </cell>
          <cell r="AM37">
            <v>3774.38</v>
          </cell>
          <cell r="AN37">
            <v>3696.44</v>
          </cell>
          <cell r="AO37">
            <v>3719.68</v>
          </cell>
          <cell r="AP37">
            <v>3718.16</v>
          </cell>
          <cell r="AQ37">
            <v>3743.38</v>
          </cell>
          <cell r="AR37">
            <v>3638.6</v>
          </cell>
          <cell r="AS37">
            <v>3770.37</v>
          </cell>
          <cell r="AT37">
            <v>3703.95</v>
          </cell>
          <cell r="AU37">
            <v>3714.99</v>
          </cell>
          <cell r="AV37">
            <v>3741.98</v>
          </cell>
          <cell r="AW37">
            <v>3676.55</v>
          </cell>
          <cell r="AX37">
            <v>3554.43</v>
          </cell>
          <cell r="AY37">
            <v>3630.97</v>
          </cell>
          <cell r="AZ37">
            <v>3518.09</v>
          </cell>
          <cell r="BA37">
            <v>3518.09</v>
          </cell>
        </row>
        <row r="38">
          <cell r="A38" t="str">
            <v>V1000H35B25</v>
          </cell>
          <cell r="B38">
            <v>1000</v>
          </cell>
          <cell r="C38">
            <v>3500</v>
          </cell>
          <cell r="D38">
            <v>2500</v>
          </cell>
          <cell r="E38">
            <v>20</v>
          </cell>
          <cell r="F38">
            <v>2</v>
          </cell>
          <cell r="G38">
            <v>0</v>
          </cell>
          <cell r="H38">
            <v>300</v>
          </cell>
          <cell r="I38">
            <v>50</v>
          </cell>
          <cell r="J38">
            <v>1030.8</v>
          </cell>
          <cell r="K38" t="str">
            <v>Q-11002969</v>
          </cell>
          <cell r="L38" t="str">
            <v>\\hokukon-net2\hop\Program\01_MVPシステム_容量別組立図\.\02_余裕高0_6m\pdf\FB600_1000m3-MVP-3500-組-B2500_Q-11002969.pdf</v>
          </cell>
          <cell r="M38">
            <v>3674.13</v>
          </cell>
          <cell r="N38">
            <v>3708.31</v>
          </cell>
          <cell r="O38">
            <v>3634.91</v>
          </cell>
          <cell r="P38">
            <v>3636.1</v>
          </cell>
          <cell r="Q38">
            <v>3690.73</v>
          </cell>
          <cell r="R38">
            <v>3665.59</v>
          </cell>
          <cell r="S38">
            <v>3657</v>
          </cell>
          <cell r="T38">
            <v>3658.42</v>
          </cell>
          <cell r="U38">
            <v>3663.7</v>
          </cell>
          <cell r="V38">
            <v>3649.15</v>
          </cell>
          <cell r="W38">
            <v>3666.11</v>
          </cell>
          <cell r="X38">
            <v>3682.16</v>
          </cell>
          <cell r="Y38">
            <v>3684.78</v>
          </cell>
          <cell r="Z38">
            <v>3764.4</v>
          </cell>
          <cell r="AA38">
            <v>3700.31</v>
          </cell>
          <cell r="AB38">
            <v>3701.42</v>
          </cell>
          <cell r="AC38">
            <v>3791.83</v>
          </cell>
          <cell r="AD38">
            <v>3651.59</v>
          </cell>
          <cell r="AE38">
            <v>3688.22</v>
          </cell>
          <cell r="AF38">
            <v>3780.17</v>
          </cell>
          <cell r="AG38">
            <v>3667.63</v>
          </cell>
          <cell r="AH38">
            <v>3693.02</v>
          </cell>
          <cell r="AI38">
            <v>3649.64</v>
          </cell>
          <cell r="AJ38">
            <v>3694.63</v>
          </cell>
          <cell r="AK38">
            <v>3592.51</v>
          </cell>
          <cell r="AL38">
            <v>3686.26</v>
          </cell>
          <cell r="AM38">
            <v>3796.35</v>
          </cell>
          <cell r="AN38">
            <v>3718.93</v>
          </cell>
          <cell r="AO38">
            <v>3742.18</v>
          </cell>
          <cell r="AP38">
            <v>3740.43</v>
          </cell>
          <cell r="AQ38">
            <v>3765.48</v>
          </cell>
          <cell r="AR38">
            <v>3663.31</v>
          </cell>
          <cell r="AS38">
            <v>3793.79</v>
          </cell>
          <cell r="AT38">
            <v>3727.56</v>
          </cell>
          <cell r="AU38">
            <v>3738.81</v>
          </cell>
          <cell r="AV38">
            <v>3765.36</v>
          </cell>
          <cell r="AW38">
            <v>3701.03</v>
          </cell>
          <cell r="AX38">
            <v>3580.6</v>
          </cell>
          <cell r="AY38">
            <v>3655.96</v>
          </cell>
          <cell r="AZ38">
            <v>3544.77</v>
          </cell>
          <cell r="BA38">
            <v>3544.77</v>
          </cell>
        </row>
        <row r="39">
          <cell r="A39" t="str">
            <v>V1000H35B20</v>
          </cell>
          <cell r="B39">
            <v>1000</v>
          </cell>
          <cell r="C39">
            <v>3500</v>
          </cell>
          <cell r="D39">
            <v>2000</v>
          </cell>
          <cell r="E39">
            <v>15</v>
          </cell>
          <cell r="F39">
            <v>3</v>
          </cell>
          <cell r="G39">
            <v>0</v>
          </cell>
          <cell r="H39">
            <v>300</v>
          </cell>
          <cell r="I39">
            <v>50</v>
          </cell>
          <cell r="J39">
            <v>1001.2</v>
          </cell>
          <cell r="K39" t="str">
            <v>Q-11002968</v>
          </cell>
          <cell r="L39" t="str">
            <v>\\hokukon-net2\hop\Program\01_MVPシステム_容量別組立図\.\02_余裕高0_6m\pdf\FB600_1000m3-MVP-3500-組-B2000_Q-11002968.pdf</v>
          </cell>
          <cell r="M39">
            <v>3726.54</v>
          </cell>
          <cell r="N39">
            <v>3760.21</v>
          </cell>
          <cell r="O39">
            <v>3690.17</v>
          </cell>
          <cell r="P39">
            <v>3691.31</v>
          </cell>
          <cell r="Q39">
            <v>3742.61</v>
          </cell>
          <cell r="R39">
            <v>3718.04</v>
          </cell>
          <cell r="S39">
            <v>3708.86</v>
          </cell>
          <cell r="T39">
            <v>3710.25</v>
          </cell>
          <cell r="U39">
            <v>3720.54</v>
          </cell>
          <cell r="V39">
            <v>3705.91</v>
          </cell>
          <cell r="W39">
            <v>3722.15</v>
          </cell>
          <cell r="X39">
            <v>3739.59</v>
          </cell>
          <cell r="Y39">
            <v>3742.46</v>
          </cell>
          <cell r="Z39">
            <v>3820.96</v>
          </cell>
          <cell r="AA39">
            <v>3758.96</v>
          </cell>
          <cell r="AB39">
            <v>3758.54</v>
          </cell>
          <cell r="AC39">
            <v>3843.79</v>
          </cell>
          <cell r="AD39">
            <v>3705.17</v>
          </cell>
          <cell r="AE39">
            <v>3742.31</v>
          </cell>
          <cell r="AF39">
            <v>3832.53</v>
          </cell>
          <cell r="AG39">
            <v>3724.81</v>
          </cell>
          <cell r="AH39">
            <v>3750.06</v>
          </cell>
          <cell r="AI39">
            <v>3708.21</v>
          </cell>
          <cell r="AJ39">
            <v>3750.36</v>
          </cell>
          <cell r="AK39">
            <v>3650.74</v>
          </cell>
          <cell r="AL39">
            <v>3741.4</v>
          </cell>
          <cell r="AM39">
            <v>3848.63</v>
          </cell>
          <cell r="AN39">
            <v>3774.18</v>
          </cell>
          <cell r="AO39">
            <v>3795.48</v>
          </cell>
          <cell r="AP39">
            <v>3794.75</v>
          </cell>
          <cell r="AQ39">
            <v>3819.16</v>
          </cell>
          <cell r="AR39">
            <v>3715.9</v>
          </cell>
          <cell r="AS39">
            <v>3842.53</v>
          </cell>
          <cell r="AT39">
            <v>3780.46</v>
          </cell>
          <cell r="AU39">
            <v>3791.16</v>
          </cell>
          <cell r="AV39">
            <v>3815.84</v>
          </cell>
          <cell r="AW39">
            <v>3753.16</v>
          </cell>
          <cell r="AX39">
            <v>3637.08</v>
          </cell>
          <cell r="AY39">
            <v>3709.12</v>
          </cell>
          <cell r="AZ39">
            <v>3601.47</v>
          </cell>
          <cell r="BA39">
            <v>3601.47</v>
          </cell>
        </row>
        <row r="40">
          <cell r="A40" t="str">
            <v>V1000H40B30</v>
          </cell>
          <cell r="B40">
            <v>1000</v>
          </cell>
          <cell r="C40">
            <v>4000</v>
          </cell>
          <cell r="D40">
            <v>3000</v>
          </cell>
          <cell r="E40">
            <v>11</v>
          </cell>
          <cell r="F40">
            <v>3</v>
          </cell>
          <cell r="G40">
            <v>0</v>
          </cell>
          <cell r="H40">
            <v>350</v>
          </cell>
          <cell r="I40">
            <v>70</v>
          </cell>
          <cell r="J40">
            <v>1060.4000000000001</v>
          </cell>
          <cell r="K40" t="str">
            <v>Q-11002973</v>
          </cell>
          <cell r="L40" t="str">
            <v>\\hokukon-net2\hop\Program\01_MVPシステム_容量別組立図\.\02_余裕高0_6m\pdf\FB600_1000m3-MVP-4000-組-B3000_Q-11002973.pdf</v>
          </cell>
          <cell r="M40">
            <v>3829.57</v>
          </cell>
          <cell r="N40">
            <v>3864.19</v>
          </cell>
          <cell r="O40">
            <v>3793.57</v>
          </cell>
          <cell r="P40">
            <v>3794.69</v>
          </cell>
          <cell r="Q40">
            <v>3846.2</v>
          </cell>
          <cell r="R40">
            <v>3821.6</v>
          </cell>
          <cell r="S40">
            <v>3812.6</v>
          </cell>
          <cell r="T40">
            <v>3813.96</v>
          </cell>
          <cell r="U40">
            <v>3820.92</v>
          </cell>
          <cell r="V40">
            <v>3807.12</v>
          </cell>
          <cell r="W40">
            <v>3822.73</v>
          </cell>
          <cell r="X40">
            <v>3838.69</v>
          </cell>
          <cell r="Y40">
            <v>3840.8</v>
          </cell>
          <cell r="Z40">
            <v>3918.07</v>
          </cell>
          <cell r="AA40">
            <v>3856.07</v>
          </cell>
          <cell r="AB40">
            <v>3857.3</v>
          </cell>
          <cell r="AC40">
            <v>3942.53</v>
          </cell>
          <cell r="AD40">
            <v>3802.48</v>
          </cell>
          <cell r="AE40">
            <v>3839.73</v>
          </cell>
          <cell r="AF40">
            <v>3928.36</v>
          </cell>
          <cell r="AG40">
            <v>3818.77</v>
          </cell>
          <cell r="AH40">
            <v>3844.38</v>
          </cell>
          <cell r="AI40">
            <v>3802.3</v>
          </cell>
          <cell r="AJ40">
            <v>3844.37</v>
          </cell>
          <cell r="AK40">
            <v>3754</v>
          </cell>
          <cell r="AL40">
            <v>3845.68</v>
          </cell>
          <cell r="AM40">
            <v>3951.54</v>
          </cell>
          <cell r="AN40">
            <v>3877.76</v>
          </cell>
          <cell r="AO40">
            <v>3899.91</v>
          </cell>
          <cell r="AP40">
            <v>3898.62</v>
          </cell>
          <cell r="AQ40">
            <v>3923.17</v>
          </cell>
          <cell r="AR40">
            <v>3814.11</v>
          </cell>
          <cell r="AS40">
            <v>3939.48</v>
          </cell>
          <cell r="AT40">
            <v>3877.92</v>
          </cell>
          <cell r="AU40">
            <v>3888.01</v>
          </cell>
          <cell r="AV40">
            <v>3912.81</v>
          </cell>
          <cell r="AW40">
            <v>3849.54</v>
          </cell>
          <cell r="AX40">
            <v>3732.3</v>
          </cell>
          <cell r="AY40">
            <v>3805.39</v>
          </cell>
          <cell r="AZ40">
            <v>3697.25</v>
          </cell>
          <cell r="BA40">
            <v>3697.25</v>
          </cell>
        </row>
        <row r="41">
          <cell r="A41" t="str">
            <v>V1000H40B25</v>
          </cell>
          <cell r="B41">
            <v>1000</v>
          </cell>
          <cell r="C41">
            <v>4000</v>
          </cell>
          <cell r="D41">
            <v>2500</v>
          </cell>
          <cell r="E41">
            <v>17</v>
          </cell>
          <cell r="F41">
            <v>2</v>
          </cell>
          <cell r="G41">
            <v>0</v>
          </cell>
          <cell r="H41">
            <v>350</v>
          </cell>
          <cell r="I41">
            <v>70</v>
          </cell>
          <cell r="J41">
            <v>1041.5</v>
          </cell>
          <cell r="K41" t="str">
            <v>Q-11002972</v>
          </cell>
          <cell r="L41" t="str">
            <v>\\hokukon-net2\hop\Program\01_MVPシステム_容量別組立図\.\02_余裕高0_6m\pdf\FB600_1000m3-MVP-4000-組-B2500_Q-11002972.pdf</v>
          </cell>
          <cell r="M41">
            <v>3882.88</v>
          </cell>
          <cell r="N41">
            <v>3916.42</v>
          </cell>
          <cell r="O41">
            <v>3846.45</v>
          </cell>
          <cell r="P41">
            <v>3847.57</v>
          </cell>
          <cell r="Q41">
            <v>3899</v>
          </cell>
          <cell r="R41">
            <v>3874.79</v>
          </cell>
          <cell r="S41">
            <v>3866.12</v>
          </cell>
          <cell r="T41">
            <v>3867.46</v>
          </cell>
          <cell r="U41">
            <v>3872.24</v>
          </cell>
          <cell r="V41">
            <v>3858.78</v>
          </cell>
          <cell r="W41">
            <v>3874.78</v>
          </cell>
          <cell r="X41">
            <v>3889.73</v>
          </cell>
          <cell r="Y41">
            <v>3891.62</v>
          </cell>
          <cell r="Z41">
            <v>3967.78</v>
          </cell>
          <cell r="AA41">
            <v>3906.7</v>
          </cell>
          <cell r="AB41">
            <v>3908.26</v>
          </cell>
          <cell r="AC41">
            <v>3993.48</v>
          </cell>
          <cell r="AD41">
            <v>3856.41</v>
          </cell>
          <cell r="AE41">
            <v>3892.57</v>
          </cell>
          <cell r="AF41">
            <v>3979.91</v>
          </cell>
          <cell r="AG41">
            <v>3870.79</v>
          </cell>
          <cell r="AH41">
            <v>3895.54</v>
          </cell>
          <cell r="AI41">
            <v>3854.27</v>
          </cell>
          <cell r="AJ41">
            <v>3896.22</v>
          </cell>
          <cell r="AK41">
            <v>3807.4</v>
          </cell>
          <cell r="AL41">
            <v>3897.54</v>
          </cell>
          <cell r="AM41">
            <v>4001.98</v>
          </cell>
          <cell r="AN41">
            <v>3928.75</v>
          </cell>
          <cell r="AO41">
            <v>3950.97</v>
          </cell>
          <cell r="AP41">
            <v>3949.36</v>
          </cell>
          <cell r="AQ41">
            <v>3973.79</v>
          </cell>
          <cell r="AR41">
            <v>3867.32</v>
          </cell>
          <cell r="AS41">
            <v>3991.51</v>
          </cell>
          <cell r="AT41">
            <v>3929.9</v>
          </cell>
          <cell r="AU41">
            <v>3940.25</v>
          </cell>
          <cell r="AV41">
            <v>3964.74</v>
          </cell>
          <cell r="AW41">
            <v>3902.47</v>
          </cell>
          <cell r="AX41">
            <v>3786.92</v>
          </cell>
          <cell r="AY41">
            <v>3858.85</v>
          </cell>
          <cell r="AZ41">
            <v>3752.38</v>
          </cell>
          <cell r="BA41">
            <v>3752.38</v>
          </cell>
        </row>
        <row r="42">
          <cell r="A42" t="str">
            <v>V1000H40B20</v>
          </cell>
          <cell r="B42">
            <v>1000</v>
          </cell>
          <cell r="C42">
            <v>4000</v>
          </cell>
          <cell r="D42">
            <v>2000</v>
          </cell>
          <cell r="E42">
            <v>13</v>
          </cell>
          <cell r="F42">
            <v>3</v>
          </cell>
          <cell r="G42">
            <v>0</v>
          </cell>
          <cell r="H42">
            <v>350</v>
          </cell>
          <cell r="I42">
            <v>70</v>
          </cell>
          <cell r="J42">
            <v>1033.5999999999999</v>
          </cell>
          <cell r="K42" t="str">
            <v>Q-11002971</v>
          </cell>
          <cell r="L42" t="str">
            <v>\\hokukon-net2\hop\Program\01_MVPシステム_容量別組立図\.\02_余裕高0_6m\pdf\FB600_1000m3-MVP-4000-組-B2000_Q-11002971.pdf</v>
          </cell>
          <cell r="M42">
            <v>4017.55</v>
          </cell>
          <cell r="N42">
            <v>4051.51</v>
          </cell>
          <cell r="O42">
            <v>3983.12</v>
          </cell>
          <cell r="P42">
            <v>3984.22</v>
          </cell>
          <cell r="Q42">
            <v>4033.54</v>
          </cell>
          <cell r="R42">
            <v>4009.38</v>
          </cell>
          <cell r="S42">
            <v>3999.98</v>
          </cell>
          <cell r="T42">
            <v>4001.33</v>
          </cell>
          <cell r="U42">
            <v>4011.1</v>
          </cell>
          <cell r="V42">
            <v>3997.19</v>
          </cell>
          <cell r="W42">
            <v>4012.68</v>
          </cell>
          <cell r="X42">
            <v>4029.39</v>
          </cell>
          <cell r="Y42">
            <v>4031.62</v>
          </cell>
          <cell r="Z42">
            <v>4108.3500000000004</v>
          </cell>
          <cell r="AA42">
            <v>4047.94</v>
          </cell>
          <cell r="AB42">
            <v>4048.02</v>
          </cell>
          <cell r="AC42">
            <v>4130.08</v>
          </cell>
          <cell r="AD42">
            <v>3991.35</v>
          </cell>
          <cell r="AE42">
            <v>4028.83</v>
          </cell>
          <cell r="AF42">
            <v>4116.32</v>
          </cell>
          <cell r="AG42">
            <v>4009.45</v>
          </cell>
          <cell r="AH42">
            <v>4034.68</v>
          </cell>
          <cell r="AI42">
            <v>3993.96</v>
          </cell>
          <cell r="AJ42">
            <v>4034.07</v>
          </cell>
          <cell r="AK42">
            <v>3946.06</v>
          </cell>
          <cell r="AL42">
            <v>4035.35</v>
          </cell>
          <cell r="AM42">
            <v>4139.3900000000003</v>
          </cell>
          <cell r="AN42">
            <v>4067.33</v>
          </cell>
          <cell r="AO42">
            <v>4088.21</v>
          </cell>
          <cell r="AP42">
            <v>4087.56</v>
          </cell>
          <cell r="AQ42">
            <v>4111.84</v>
          </cell>
          <cell r="AR42">
            <v>4001.72</v>
          </cell>
          <cell r="AS42">
            <v>4124.8599999999997</v>
          </cell>
          <cell r="AT42">
            <v>4065.79</v>
          </cell>
          <cell r="AU42">
            <v>4075.88</v>
          </cell>
          <cell r="AV42">
            <v>4099.1000000000004</v>
          </cell>
          <cell r="AW42">
            <v>4036.94</v>
          </cell>
          <cell r="AX42">
            <v>3922.91</v>
          </cell>
          <cell r="AY42">
            <v>3993.34</v>
          </cell>
          <cell r="AZ42">
            <v>3887.87</v>
          </cell>
          <cell r="BA42">
            <v>3887.87</v>
          </cell>
        </row>
        <row r="43">
          <cell r="A43" t="str">
            <v>V1000H45B30</v>
          </cell>
          <cell r="B43">
            <v>1000</v>
          </cell>
          <cell r="C43">
            <v>4500</v>
          </cell>
          <cell r="D43">
            <v>3000</v>
          </cell>
          <cell r="E43">
            <v>13</v>
          </cell>
          <cell r="F43">
            <v>2</v>
          </cell>
          <cell r="G43">
            <v>0</v>
          </cell>
          <cell r="H43">
            <v>350</v>
          </cell>
          <cell r="I43">
            <v>70</v>
          </cell>
          <cell r="J43">
            <v>1003.8</v>
          </cell>
          <cell r="K43" t="str">
            <v>Q-11002976</v>
          </cell>
          <cell r="L43" t="str">
            <v>\\hokukon-net2\hop\Program\01_MVPシステム_容量別組立図\.\02_余裕高0_6m\pdf\FB600_1000m3-MVP-4500-組-B3000_Q-11002976.pdf</v>
          </cell>
          <cell r="M43">
            <v>3417.93</v>
          </cell>
          <cell r="N43">
            <v>3446.56</v>
          </cell>
          <cell r="O43">
            <v>3387.93</v>
          </cell>
          <cell r="P43">
            <v>3388.87</v>
          </cell>
          <cell r="Q43">
            <v>3431.46</v>
          </cell>
          <cell r="R43">
            <v>3410.81</v>
          </cell>
          <cell r="S43">
            <v>3403.02</v>
          </cell>
          <cell r="T43">
            <v>3404.16</v>
          </cell>
          <cell r="U43">
            <v>3411.06</v>
          </cell>
          <cell r="V43">
            <v>3399.5</v>
          </cell>
          <cell r="W43">
            <v>3412.8</v>
          </cell>
          <cell r="X43">
            <v>3426.46</v>
          </cell>
          <cell r="Y43">
            <v>3428.17</v>
          </cell>
          <cell r="Z43">
            <v>3493.2</v>
          </cell>
          <cell r="AA43">
            <v>3441.49</v>
          </cell>
          <cell r="AB43">
            <v>3442.24</v>
          </cell>
          <cell r="AC43">
            <v>3512.81</v>
          </cell>
          <cell r="AD43">
            <v>3395.39</v>
          </cell>
          <cell r="AE43">
            <v>3426.79</v>
          </cell>
          <cell r="AF43">
            <v>3501.22</v>
          </cell>
          <cell r="AG43">
            <v>3409.77</v>
          </cell>
          <cell r="AH43">
            <v>3430.92</v>
          </cell>
          <cell r="AI43">
            <v>3396.12</v>
          </cell>
          <cell r="AJ43">
            <v>3430.93</v>
          </cell>
          <cell r="AK43">
            <v>3355.79</v>
          </cell>
          <cell r="AL43">
            <v>3431.78</v>
          </cell>
          <cell r="AM43">
            <v>3520.41</v>
          </cell>
          <cell r="AN43">
            <v>3459.04</v>
          </cell>
          <cell r="AO43">
            <v>3477.26</v>
          </cell>
          <cell r="AP43">
            <v>3476.21</v>
          </cell>
          <cell r="AQ43">
            <v>3496.98</v>
          </cell>
          <cell r="AR43">
            <v>3404.37</v>
          </cell>
          <cell r="AS43">
            <v>3509.28</v>
          </cell>
          <cell r="AT43">
            <v>3458.35</v>
          </cell>
          <cell r="AU43">
            <v>3466.84</v>
          </cell>
          <cell r="AV43">
            <v>3487.22</v>
          </cell>
          <cell r="AW43">
            <v>3434.39</v>
          </cell>
          <cell r="AX43">
            <v>3336.87</v>
          </cell>
          <cell r="AY43">
            <v>3397.18</v>
          </cell>
          <cell r="AZ43">
            <v>3307.3</v>
          </cell>
          <cell r="BA43">
            <v>3307.3</v>
          </cell>
        </row>
        <row r="44">
          <cell r="A44" t="str">
            <v>V1000H45B25</v>
          </cell>
          <cell r="B44">
            <v>1000</v>
          </cell>
          <cell r="C44">
            <v>4500</v>
          </cell>
          <cell r="D44">
            <v>2500</v>
          </cell>
          <cell r="E44">
            <v>15</v>
          </cell>
          <cell r="F44">
            <v>2</v>
          </cell>
          <cell r="G44">
            <v>0</v>
          </cell>
          <cell r="H44">
            <v>350</v>
          </cell>
          <cell r="I44">
            <v>70</v>
          </cell>
          <cell r="J44">
            <v>1059.4000000000001</v>
          </cell>
          <cell r="K44" t="str">
            <v>Q-11002975</v>
          </cell>
          <cell r="L44" t="str">
            <v>\\hokukon-net2\hop\Program\01_MVPシステム_容量別組立図\.\02_余裕高0_6m\pdf\FB600_1000m3-MVP-4500-組-B2500_Q-11002975.pdf</v>
          </cell>
          <cell r="M44">
            <v>3703.9</v>
          </cell>
          <cell r="N44">
            <v>3734.12</v>
          </cell>
          <cell r="O44">
            <v>3672.35</v>
          </cell>
          <cell r="P44">
            <v>3673.34</v>
          </cell>
          <cell r="Q44">
            <v>3718.14</v>
          </cell>
          <cell r="R44">
            <v>3696.34</v>
          </cell>
          <cell r="S44">
            <v>3688</v>
          </cell>
          <cell r="T44">
            <v>3689.21</v>
          </cell>
          <cell r="U44">
            <v>3696.9</v>
          </cell>
          <cell r="V44">
            <v>3684.62</v>
          </cell>
          <cell r="W44">
            <v>3698.8</v>
          </cell>
          <cell r="X44">
            <v>3713.36</v>
          </cell>
          <cell r="Y44">
            <v>3715.18</v>
          </cell>
          <cell r="Z44">
            <v>3784.08</v>
          </cell>
          <cell r="AA44">
            <v>3729.61</v>
          </cell>
          <cell r="AB44">
            <v>3730.13</v>
          </cell>
          <cell r="AC44">
            <v>3804.45</v>
          </cell>
          <cell r="AD44">
            <v>3680.28</v>
          </cell>
          <cell r="AE44">
            <v>3713.6</v>
          </cell>
          <cell r="AF44">
            <v>3792.31</v>
          </cell>
          <cell r="AG44">
            <v>3695.75</v>
          </cell>
          <cell r="AH44">
            <v>3718.08</v>
          </cell>
          <cell r="AI44">
            <v>3681.49</v>
          </cell>
          <cell r="AJ44">
            <v>3717.97</v>
          </cell>
          <cell r="AK44">
            <v>3638.88</v>
          </cell>
          <cell r="AL44">
            <v>3718.95</v>
          </cell>
          <cell r="AM44">
            <v>3812.57</v>
          </cell>
          <cell r="AN44">
            <v>3747.74</v>
          </cell>
          <cell r="AO44">
            <v>3766.81</v>
          </cell>
          <cell r="AP44">
            <v>3765.83</v>
          </cell>
          <cell r="AQ44">
            <v>3787.83</v>
          </cell>
          <cell r="AR44">
            <v>3689.44</v>
          </cell>
          <cell r="AS44">
            <v>3800.36</v>
          </cell>
          <cell r="AT44">
            <v>3746.78</v>
          </cell>
          <cell r="AU44">
            <v>3755.89</v>
          </cell>
          <cell r="AV44">
            <v>3777.08</v>
          </cell>
          <cell r="AW44">
            <v>3721.28</v>
          </cell>
          <cell r="AX44">
            <v>3618.56</v>
          </cell>
          <cell r="AY44">
            <v>3681.92</v>
          </cell>
          <cell r="AZ44">
            <v>3587.19</v>
          </cell>
          <cell r="BA44">
            <v>3587.19</v>
          </cell>
        </row>
        <row r="45">
          <cell r="A45" t="str">
            <v>V1000H45B20</v>
          </cell>
          <cell r="B45">
            <v>1000</v>
          </cell>
          <cell r="C45">
            <v>4500</v>
          </cell>
          <cell r="D45">
            <v>2000</v>
          </cell>
          <cell r="E45">
            <v>16</v>
          </cell>
          <cell r="F45">
            <v>2</v>
          </cell>
          <cell r="G45">
            <v>0</v>
          </cell>
          <cell r="H45">
            <v>350</v>
          </cell>
          <cell r="I45">
            <v>70</v>
          </cell>
          <cell r="J45">
            <v>1029.5999999999999</v>
          </cell>
          <cell r="K45" t="str">
            <v>Q-11002974</v>
          </cell>
          <cell r="L45" t="str">
            <v>\\hokukon-net2\hop\Program\01_MVPシステム_容量別組立図\.\02_余裕高0_6m\pdf\FB600_1000m3-MVP-4500-組-B2000_Q-11002974.pdf</v>
          </cell>
          <cell r="M45">
            <v>3772.81</v>
          </cell>
          <cell r="N45">
            <v>3802.4</v>
          </cell>
          <cell r="O45">
            <v>3742.46</v>
          </cell>
          <cell r="P45">
            <v>3743.43</v>
          </cell>
          <cell r="Q45">
            <v>3786.57</v>
          </cell>
          <cell r="R45">
            <v>3765.18</v>
          </cell>
          <cell r="S45">
            <v>3756.7</v>
          </cell>
          <cell r="T45">
            <v>3757.86</v>
          </cell>
          <cell r="U45">
            <v>3767.25</v>
          </cell>
          <cell r="V45">
            <v>3755</v>
          </cell>
          <cell r="W45">
            <v>3768.98</v>
          </cell>
          <cell r="X45">
            <v>3783.91</v>
          </cell>
          <cell r="Y45">
            <v>3785.78</v>
          </cell>
          <cell r="Z45">
            <v>3853.79</v>
          </cell>
          <cell r="AA45">
            <v>3800.64</v>
          </cell>
          <cell r="AB45">
            <v>3800.49</v>
          </cell>
          <cell r="AC45">
            <v>3872.31</v>
          </cell>
          <cell r="AD45">
            <v>3749.86</v>
          </cell>
          <cell r="AE45">
            <v>3783.09</v>
          </cell>
          <cell r="AF45">
            <v>3860.48</v>
          </cell>
          <cell r="AG45">
            <v>3766.39</v>
          </cell>
          <cell r="AH45">
            <v>3788.31</v>
          </cell>
          <cell r="AI45">
            <v>3752.8</v>
          </cell>
          <cell r="AJ45">
            <v>3787.82</v>
          </cell>
          <cell r="AK45">
            <v>3710.76</v>
          </cell>
          <cell r="AL45">
            <v>3788.75</v>
          </cell>
          <cell r="AM45">
            <v>3880.55</v>
          </cell>
          <cell r="AN45">
            <v>3817.32</v>
          </cell>
          <cell r="AO45">
            <v>3835.47</v>
          </cell>
          <cell r="AP45">
            <v>3834.86</v>
          </cell>
          <cell r="AQ45">
            <v>3856.54</v>
          </cell>
          <cell r="AR45">
            <v>3758.28</v>
          </cell>
          <cell r="AS45">
            <v>3866.94</v>
          </cell>
          <cell r="AT45">
            <v>3815.32</v>
          </cell>
          <cell r="AU45">
            <v>3824.32</v>
          </cell>
          <cell r="AV45">
            <v>3844.41</v>
          </cell>
          <cell r="AW45">
            <v>3789.72</v>
          </cell>
          <cell r="AX45">
            <v>3689.67</v>
          </cell>
          <cell r="AY45">
            <v>3750.98</v>
          </cell>
          <cell r="AZ45">
            <v>3658.57</v>
          </cell>
          <cell r="BA45">
            <v>3658.57</v>
          </cell>
        </row>
        <row r="46">
          <cell r="A46" t="str">
            <v>V2000H15B30</v>
          </cell>
          <cell r="B46">
            <v>2000</v>
          </cell>
          <cell r="C46">
            <v>1500</v>
          </cell>
          <cell r="D46">
            <v>3000</v>
          </cell>
          <cell r="E46">
            <v>40</v>
          </cell>
          <cell r="F46">
            <v>4</v>
          </cell>
          <cell r="G46">
            <v>0</v>
          </cell>
          <cell r="H46">
            <v>350</v>
          </cell>
          <cell r="I46">
            <v>50</v>
          </cell>
          <cell r="J46">
            <v>2033</v>
          </cell>
          <cell r="K46" t="str">
            <v>Q-11002979</v>
          </cell>
          <cell r="L46" t="str">
            <v>\\hokukon-net2\hop\Program\01_MVPシステム_容量別組立図\.\02_余裕高0_6m\pdf\FB600_2000m3-MVP-1500-組-B3000_Q-11002979.pdf</v>
          </cell>
          <cell r="M46">
            <v>13520.42</v>
          </cell>
          <cell r="N46">
            <v>13728.54</v>
          </cell>
          <cell r="O46">
            <v>13227.39</v>
          </cell>
          <cell r="P46">
            <v>13234.8</v>
          </cell>
          <cell r="Q46">
            <v>13631.85</v>
          </cell>
          <cell r="R46">
            <v>13472.78</v>
          </cell>
          <cell r="S46">
            <v>13442.38</v>
          </cell>
          <cell r="T46">
            <v>13451.32</v>
          </cell>
          <cell r="U46">
            <v>13327.01</v>
          </cell>
          <cell r="V46">
            <v>13253.11</v>
          </cell>
          <cell r="W46">
            <v>13358.67</v>
          </cell>
          <cell r="X46">
            <v>13401.74</v>
          </cell>
          <cell r="Y46">
            <v>13406.91</v>
          </cell>
          <cell r="Z46">
            <v>13870.7</v>
          </cell>
          <cell r="AA46">
            <v>13462.98</v>
          </cell>
          <cell r="AB46">
            <v>13518.23</v>
          </cell>
          <cell r="AC46">
            <v>14166.03</v>
          </cell>
          <cell r="AD46">
            <v>13348.92</v>
          </cell>
          <cell r="AE46">
            <v>13538.96</v>
          </cell>
          <cell r="AF46">
            <v>14091.92</v>
          </cell>
          <cell r="AG46">
            <v>13327.08</v>
          </cell>
          <cell r="AH46">
            <v>13474.51</v>
          </cell>
          <cell r="AI46">
            <v>13185.9</v>
          </cell>
          <cell r="AJ46">
            <v>13518.35</v>
          </cell>
          <cell r="AK46">
            <v>12884.96</v>
          </cell>
          <cell r="AL46">
            <v>13500.26</v>
          </cell>
          <cell r="AM46">
            <v>14184.27</v>
          </cell>
          <cell r="AN46">
            <v>13674.06</v>
          </cell>
          <cell r="AO46">
            <v>13861.56</v>
          </cell>
          <cell r="AP46">
            <v>13821.68</v>
          </cell>
          <cell r="AQ46">
            <v>13976.27</v>
          </cell>
          <cell r="AR46">
            <v>13441.98</v>
          </cell>
          <cell r="AS46">
            <v>14269.57</v>
          </cell>
          <cell r="AT46">
            <v>13791.21</v>
          </cell>
          <cell r="AU46">
            <v>13863.15</v>
          </cell>
          <cell r="AV46">
            <v>14067.1</v>
          </cell>
          <cell r="AW46">
            <v>13672.07</v>
          </cell>
          <cell r="AX46">
            <v>12875.8</v>
          </cell>
          <cell r="AY46">
            <v>13394.79</v>
          </cell>
          <cell r="AZ46">
            <v>12675.33</v>
          </cell>
          <cell r="BA46">
            <v>12675.33</v>
          </cell>
        </row>
        <row r="47">
          <cell r="A47" t="str">
            <v>V2000H15B25</v>
          </cell>
          <cell r="B47">
            <v>2000</v>
          </cell>
          <cell r="C47">
            <v>1500</v>
          </cell>
          <cell r="D47">
            <v>2500</v>
          </cell>
          <cell r="E47">
            <v>43</v>
          </cell>
          <cell r="F47">
            <v>4</v>
          </cell>
          <cell r="G47">
            <v>0</v>
          </cell>
          <cell r="H47">
            <v>350</v>
          </cell>
          <cell r="I47">
            <v>50</v>
          </cell>
          <cell r="J47">
            <v>2025.2</v>
          </cell>
          <cell r="K47" t="str">
            <v>Q-11002978</v>
          </cell>
          <cell r="L47" t="str">
            <v>\\hokukon-net2\hop\Program\01_MVPシステム_容量別組立図\.\02_余裕高0_6m\pdf\FB600_2000m3-MVP-1500-組-B2500_Q-11002978.pdf</v>
          </cell>
          <cell r="M47">
            <v>13720.53</v>
          </cell>
          <cell r="N47">
            <v>13928.31</v>
          </cell>
          <cell r="O47">
            <v>13429.26</v>
          </cell>
          <cell r="P47">
            <v>13436.65</v>
          </cell>
          <cell r="Q47">
            <v>13831.18</v>
          </cell>
          <cell r="R47">
            <v>13672.23</v>
          </cell>
          <cell r="S47">
            <v>13640.9</v>
          </cell>
          <cell r="T47">
            <v>13649.83</v>
          </cell>
          <cell r="U47">
            <v>13530.82</v>
          </cell>
          <cell r="V47">
            <v>13456.33</v>
          </cell>
          <cell r="W47">
            <v>13562.15</v>
          </cell>
          <cell r="X47">
            <v>13606.98</v>
          </cell>
          <cell r="Y47">
            <v>13612.36</v>
          </cell>
          <cell r="Z47">
            <v>14077.23</v>
          </cell>
          <cell r="AA47">
            <v>13670.69</v>
          </cell>
          <cell r="AB47">
            <v>13723.9</v>
          </cell>
          <cell r="AC47">
            <v>14368.62</v>
          </cell>
          <cell r="AD47">
            <v>13550.83</v>
          </cell>
          <cell r="AE47">
            <v>13742.27</v>
          </cell>
          <cell r="AF47">
            <v>14295.64</v>
          </cell>
          <cell r="AG47">
            <v>13532.94</v>
          </cell>
          <cell r="AH47">
            <v>13680.24</v>
          </cell>
          <cell r="AI47">
            <v>13392.93</v>
          </cell>
          <cell r="AJ47">
            <v>13723.08</v>
          </cell>
          <cell r="AK47">
            <v>13089.63</v>
          </cell>
          <cell r="AL47">
            <v>13703.11</v>
          </cell>
          <cell r="AM47">
            <v>14386.91</v>
          </cell>
          <cell r="AN47">
            <v>13877.67</v>
          </cell>
          <cell r="AO47">
            <v>14063.5</v>
          </cell>
          <cell r="AP47">
            <v>14024.59</v>
          </cell>
          <cell r="AQ47">
            <v>14179.44</v>
          </cell>
          <cell r="AR47">
            <v>13641.93</v>
          </cell>
          <cell r="AS47">
            <v>14469</v>
          </cell>
          <cell r="AT47">
            <v>13993.5</v>
          </cell>
          <cell r="AU47">
            <v>14065.69</v>
          </cell>
          <cell r="AV47">
            <v>14267.47</v>
          </cell>
          <cell r="AW47">
            <v>13873.18</v>
          </cell>
          <cell r="AX47">
            <v>13079.34</v>
          </cell>
          <cell r="AY47">
            <v>13595.67</v>
          </cell>
          <cell r="AZ47">
            <v>12878.09</v>
          </cell>
          <cell r="BA47">
            <v>12878.09</v>
          </cell>
        </row>
        <row r="48">
          <cell r="A48" t="str">
            <v>V2000H15B20</v>
          </cell>
          <cell r="B48">
            <v>2000</v>
          </cell>
          <cell r="C48">
            <v>1500</v>
          </cell>
          <cell r="D48">
            <v>2000</v>
          </cell>
          <cell r="E48">
            <v>47</v>
          </cell>
          <cell r="F48">
            <v>4</v>
          </cell>
          <cell r="G48">
            <v>0</v>
          </cell>
          <cell r="H48">
            <v>350</v>
          </cell>
          <cell r="I48">
            <v>50</v>
          </cell>
          <cell r="J48">
            <v>2038.6</v>
          </cell>
          <cell r="K48" t="str">
            <v>Q-11002977</v>
          </cell>
          <cell r="L48" t="str">
            <v>\\hokukon-net2\hop\Program\01_MVPシステム_容量別組立図\.\02_余裕高0_6m\pdf\FB600_2000m3-MVP-1500-組-B2000_Q-11002977.pdf</v>
          </cell>
          <cell r="M48">
            <v>14107.96</v>
          </cell>
          <cell r="N48">
            <v>14317.64</v>
          </cell>
          <cell r="O48">
            <v>13815.44</v>
          </cell>
          <cell r="P48">
            <v>13822.91</v>
          </cell>
          <cell r="Q48">
            <v>14218.93</v>
          </cell>
          <cell r="R48">
            <v>14058.36</v>
          </cell>
          <cell r="S48">
            <v>14025.63</v>
          </cell>
          <cell r="T48">
            <v>14034.66</v>
          </cell>
          <cell r="U48">
            <v>14114.01</v>
          </cell>
          <cell r="V48">
            <v>13844.36</v>
          </cell>
          <cell r="W48">
            <v>13951.68</v>
          </cell>
          <cell r="X48">
            <v>13998.97</v>
          </cell>
          <cell r="Y48">
            <v>14004.67</v>
          </cell>
          <cell r="Z48">
            <v>14475.95</v>
          </cell>
          <cell r="AA48">
            <v>14066.27</v>
          </cell>
          <cell r="AB48">
            <v>14117.71</v>
          </cell>
          <cell r="AC48">
            <v>14766.09</v>
          </cell>
          <cell r="AD48">
            <v>13938.47</v>
          </cell>
          <cell r="AE48">
            <v>14133.66</v>
          </cell>
          <cell r="AF48">
            <v>14693.64</v>
          </cell>
          <cell r="AG48">
            <v>13924.88</v>
          </cell>
          <cell r="AH48">
            <v>14073.66</v>
          </cell>
          <cell r="AI48">
            <v>13784.67</v>
          </cell>
          <cell r="AJ48">
            <v>14115.82</v>
          </cell>
          <cell r="AK48">
            <v>13475.29</v>
          </cell>
          <cell r="AL48">
            <v>14093.49</v>
          </cell>
          <cell r="AM48">
            <v>14784.6</v>
          </cell>
          <cell r="AN48">
            <v>14270.82</v>
          </cell>
          <cell r="AO48">
            <v>14456.81</v>
          </cell>
          <cell r="AP48">
            <v>14418.63</v>
          </cell>
          <cell r="AQ48">
            <v>14575.44</v>
          </cell>
          <cell r="AR48">
            <v>14028.3</v>
          </cell>
          <cell r="AS48">
            <v>14863.97</v>
          </cell>
          <cell r="AT48">
            <v>14386.46</v>
          </cell>
          <cell r="AU48">
            <v>14459.79</v>
          </cell>
          <cell r="AV48">
            <v>14661.29</v>
          </cell>
          <cell r="AW48">
            <v>14263.49</v>
          </cell>
          <cell r="AX48">
            <v>13463.65</v>
          </cell>
          <cell r="AY48">
            <v>13982.64</v>
          </cell>
          <cell r="AZ48">
            <v>13259.26</v>
          </cell>
          <cell r="BA48">
            <v>13259.26</v>
          </cell>
        </row>
        <row r="49">
          <cell r="A49" t="str">
            <v>V2000H20B30</v>
          </cell>
          <cell r="B49">
            <v>2000</v>
          </cell>
          <cell r="C49">
            <v>2000</v>
          </cell>
          <cell r="D49">
            <v>3000</v>
          </cell>
          <cell r="E49">
            <v>26</v>
          </cell>
          <cell r="F49">
            <v>4</v>
          </cell>
          <cell r="G49">
            <v>0</v>
          </cell>
          <cell r="H49">
            <v>350</v>
          </cell>
          <cell r="I49">
            <v>50</v>
          </cell>
          <cell r="J49">
            <v>2077.1999999999998</v>
          </cell>
          <cell r="K49" t="str">
            <v>Q-11002982</v>
          </cell>
          <cell r="L49" t="str">
            <v>\\hokukon-net2\hop\Program\01_MVPシステム_容量別組立図\.\02_余裕高0_6m\pdf\FB600_2000m3-MVP-2000-組-B3000_Q-11002982.pdf</v>
          </cell>
          <cell r="M49">
            <v>9500.09</v>
          </cell>
          <cell r="N49">
            <v>9639.0400000000009</v>
          </cell>
          <cell r="O49">
            <v>9309.26</v>
          </cell>
          <cell r="P49">
            <v>9314.15</v>
          </cell>
          <cell r="Q49">
            <v>9573.6200000000008</v>
          </cell>
          <cell r="R49">
            <v>9468.25</v>
          </cell>
          <cell r="S49">
            <v>9446.69</v>
          </cell>
          <cell r="T49">
            <v>9452.61</v>
          </cell>
          <cell r="U49">
            <v>9379.84</v>
          </cell>
          <cell r="V49">
            <v>9330.02</v>
          </cell>
          <cell r="W49">
            <v>9399.34</v>
          </cell>
          <cell r="X49">
            <v>9431.2900000000009</v>
          </cell>
          <cell r="Y49">
            <v>9435.14</v>
          </cell>
          <cell r="Z49">
            <v>9744.16</v>
          </cell>
          <cell r="AA49">
            <v>9474.0499999999993</v>
          </cell>
          <cell r="AB49">
            <v>9508.44</v>
          </cell>
          <cell r="AC49">
            <v>9932.58</v>
          </cell>
          <cell r="AD49">
            <v>9386.5300000000007</v>
          </cell>
          <cell r="AE49">
            <v>9515.2999999999993</v>
          </cell>
          <cell r="AF49">
            <v>9882.83</v>
          </cell>
          <cell r="AG49">
            <v>9379.6</v>
          </cell>
          <cell r="AH49">
            <v>9478.36</v>
          </cell>
          <cell r="AI49">
            <v>9287.65</v>
          </cell>
          <cell r="AJ49">
            <v>9505.1299999999992</v>
          </cell>
          <cell r="AK49">
            <v>9085.34</v>
          </cell>
          <cell r="AL49">
            <v>9492.59</v>
          </cell>
          <cell r="AM49">
            <v>9946.2099999999991</v>
          </cell>
          <cell r="AN49">
            <v>9609.98</v>
          </cell>
          <cell r="AO49">
            <v>9731.93</v>
          </cell>
          <cell r="AP49">
            <v>9707.1299999999992</v>
          </cell>
          <cell r="AQ49">
            <v>9809.67</v>
          </cell>
          <cell r="AR49">
            <v>9448.07</v>
          </cell>
          <cell r="AS49">
            <v>9995.44</v>
          </cell>
          <cell r="AT49">
            <v>9682.76</v>
          </cell>
          <cell r="AU49">
            <v>9729.56</v>
          </cell>
          <cell r="AV49">
            <v>9862.94</v>
          </cell>
          <cell r="AW49">
            <v>9600.68</v>
          </cell>
          <cell r="AX49">
            <v>9074.2999999999993</v>
          </cell>
          <cell r="AY49">
            <v>9416.6200000000008</v>
          </cell>
          <cell r="AZ49">
            <v>8940.25</v>
          </cell>
          <cell r="BA49">
            <v>8940.25</v>
          </cell>
        </row>
        <row r="50">
          <cell r="A50" t="str">
            <v>V2000H20B25</v>
          </cell>
          <cell r="B50">
            <v>2000</v>
          </cell>
          <cell r="C50">
            <v>2000</v>
          </cell>
          <cell r="D50">
            <v>2500</v>
          </cell>
          <cell r="E50">
            <v>28</v>
          </cell>
          <cell r="F50">
            <v>4</v>
          </cell>
          <cell r="G50">
            <v>0</v>
          </cell>
          <cell r="H50">
            <v>350</v>
          </cell>
          <cell r="I50">
            <v>50</v>
          </cell>
          <cell r="J50">
            <v>2071.6</v>
          </cell>
          <cell r="K50" t="str">
            <v>Q-11002981</v>
          </cell>
          <cell r="L50" t="str">
            <v>\\hokukon-net2\hop\Program\01_MVPシステム_容量別組立図\.\02_余裕高0_6m\pdf\FB600_2000m3-MVP-2000-組-B2500_Q-11002981.pdf</v>
          </cell>
          <cell r="M50">
            <v>9652.89</v>
          </cell>
          <cell r="N50">
            <v>9791.69</v>
          </cell>
          <cell r="O50">
            <v>9463.1</v>
          </cell>
          <cell r="P50">
            <v>9467.99</v>
          </cell>
          <cell r="Q50">
            <v>9725.9599999999991</v>
          </cell>
          <cell r="R50">
            <v>9620.6</v>
          </cell>
          <cell r="S50">
            <v>9598.4599999999991</v>
          </cell>
          <cell r="T50">
            <v>9604.3799999999992</v>
          </cell>
          <cell r="U50">
            <v>9534.98</v>
          </cell>
          <cell r="V50">
            <v>9484.75</v>
          </cell>
          <cell r="W50">
            <v>9554.27</v>
          </cell>
          <cell r="X50">
            <v>9587.36</v>
          </cell>
          <cell r="Y50">
            <v>9591.36</v>
          </cell>
          <cell r="Z50">
            <v>9901.23</v>
          </cell>
          <cell r="AA50">
            <v>9631.76</v>
          </cell>
          <cell r="AB50">
            <v>9664.83</v>
          </cell>
          <cell r="AC50">
            <v>10087.200000000001</v>
          </cell>
          <cell r="AD50">
            <v>9540.49</v>
          </cell>
          <cell r="AE50">
            <v>9670.2099999999991</v>
          </cell>
          <cell r="AF50">
            <v>10038.200000000001</v>
          </cell>
          <cell r="AG50">
            <v>9536.08</v>
          </cell>
          <cell r="AH50">
            <v>9634.7900000000009</v>
          </cell>
          <cell r="AI50">
            <v>9444.8700000000008</v>
          </cell>
          <cell r="AJ50">
            <v>9660.94</v>
          </cell>
          <cell r="AK50">
            <v>9240.92</v>
          </cell>
          <cell r="AL50">
            <v>9647.16</v>
          </cell>
          <cell r="AM50">
            <v>10100.85</v>
          </cell>
          <cell r="AN50">
            <v>9765.09</v>
          </cell>
          <cell r="AO50">
            <v>9886.02</v>
          </cell>
          <cell r="AP50">
            <v>9861.84</v>
          </cell>
          <cell r="AQ50">
            <v>9964.59</v>
          </cell>
          <cell r="AR50">
            <v>9713.41</v>
          </cell>
          <cell r="AS50">
            <v>10148.040000000001</v>
          </cell>
          <cell r="AT50">
            <v>9837.09</v>
          </cell>
          <cell r="AU50">
            <v>9884.07</v>
          </cell>
          <cell r="AV50">
            <v>10016.1</v>
          </cell>
          <cell r="AW50">
            <v>9754.2199999999993</v>
          </cell>
          <cell r="AX50">
            <v>9229.2000000000007</v>
          </cell>
          <cell r="AY50">
            <v>9569.92</v>
          </cell>
          <cell r="AZ50">
            <v>9094.56</v>
          </cell>
          <cell r="BA50">
            <v>9094.56</v>
          </cell>
        </row>
        <row r="51">
          <cell r="A51" t="str">
            <v>V2000H20B20</v>
          </cell>
          <cell r="B51">
            <v>2000</v>
          </cell>
          <cell r="C51">
            <v>2000</v>
          </cell>
          <cell r="D51">
            <v>2000</v>
          </cell>
          <cell r="E51">
            <v>30</v>
          </cell>
          <cell r="F51">
            <v>4</v>
          </cell>
          <cell r="G51">
            <v>0</v>
          </cell>
          <cell r="H51">
            <v>350</v>
          </cell>
          <cell r="I51">
            <v>50</v>
          </cell>
          <cell r="J51">
            <v>2043.7</v>
          </cell>
          <cell r="K51" t="str">
            <v>Q-11002980</v>
          </cell>
          <cell r="L51" t="str">
            <v>\\hokukon-net2\hop\Program\01_MVPシステム_容量別組立図\.\02_余裕高0_6m\pdf\FB600_2000m3-MVP-2000-組-B2000_Q-11002980.pdf</v>
          </cell>
          <cell r="M51">
            <v>9742.06</v>
          </cell>
          <cell r="N51">
            <v>9879.33</v>
          </cell>
          <cell r="O51">
            <v>9555.41</v>
          </cell>
          <cell r="P51">
            <v>9560.25</v>
          </cell>
          <cell r="Q51">
            <v>9813.86</v>
          </cell>
          <cell r="R51">
            <v>9709.56</v>
          </cell>
          <cell r="S51">
            <v>9686.92</v>
          </cell>
          <cell r="T51">
            <v>9692.77</v>
          </cell>
          <cell r="U51">
            <v>9628.2199999999993</v>
          </cell>
          <cell r="V51">
            <v>9577.99</v>
          </cell>
          <cell r="W51">
            <v>9647.0300000000007</v>
          </cell>
          <cell r="X51">
            <v>9681.2000000000007</v>
          </cell>
          <cell r="Y51">
            <v>9685.34</v>
          </cell>
          <cell r="Z51">
            <v>9993.18</v>
          </cell>
          <cell r="AA51">
            <v>9727.1200000000008</v>
          </cell>
          <cell r="AB51">
            <v>9758.2800000000007</v>
          </cell>
          <cell r="AC51">
            <v>10174.299999999999</v>
          </cell>
          <cell r="AD51">
            <v>9632.07</v>
          </cell>
          <cell r="AE51">
            <v>9761.7199999999993</v>
          </cell>
          <cell r="AF51">
            <v>10126.629999999999</v>
          </cell>
          <cell r="AG51">
            <v>9746.11</v>
          </cell>
          <cell r="AH51">
            <v>9728.5499999999993</v>
          </cell>
          <cell r="AI51">
            <v>9541.39</v>
          </cell>
          <cell r="AJ51">
            <v>9753.65</v>
          </cell>
          <cell r="AK51">
            <v>9337.51</v>
          </cell>
          <cell r="AL51">
            <v>9738.58</v>
          </cell>
          <cell r="AM51">
            <v>10187.89</v>
          </cell>
          <cell r="AN51">
            <v>9856.02</v>
          </cell>
          <cell r="AO51">
            <v>9974.52</v>
          </cell>
          <cell r="AP51">
            <v>9951.35</v>
          </cell>
          <cell r="AQ51">
            <v>10053.32</v>
          </cell>
          <cell r="AR51">
            <v>9690.2999999999993</v>
          </cell>
          <cell r="AS51">
            <v>10232.08</v>
          </cell>
          <cell r="AT51">
            <v>9926.26</v>
          </cell>
          <cell r="AU51">
            <v>9973</v>
          </cell>
          <cell r="AV51">
            <v>10102.120000000001</v>
          </cell>
          <cell r="AW51">
            <v>9843.2199999999993</v>
          </cell>
          <cell r="AX51">
            <v>9324.94</v>
          </cell>
          <cell r="AY51">
            <v>9660.4599999999991</v>
          </cell>
          <cell r="AZ51">
            <v>9190.9599999999991</v>
          </cell>
          <cell r="BA51">
            <v>9190.9599999999991</v>
          </cell>
        </row>
        <row r="52">
          <cell r="A52" t="str">
            <v>V2000H25B30</v>
          </cell>
          <cell r="B52">
            <v>2000</v>
          </cell>
          <cell r="C52">
            <v>2500</v>
          </cell>
          <cell r="D52">
            <v>3000</v>
          </cell>
          <cell r="E52">
            <v>25</v>
          </cell>
          <cell r="F52">
            <v>5</v>
          </cell>
          <cell r="G52">
            <v>0</v>
          </cell>
          <cell r="H52">
            <v>300</v>
          </cell>
          <cell r="I52">
            <v>50</v>
          </cell>
          <cell r="J52">
            <v>2059.1999999999998</v>
          </cell>
          <cell r="K52" t="str">
            <v>Q-11002985</v>
          </cell>
          <cell r="L52" t="str">
            <v>\\hokukon-net2\hop\Program\01_MVPシステム_容量別組立図\.\02_余裕高0_6m\pdf\FB600_2000m3-MVP-2500-組-B3000_Q-11002985.pdf</v>
          </cell>
          <cell r="M52">
            <v>8609.07</v>
          </cell>
          <cell r="N52">
            <v>8705.07</v>
          </cell>
          <cell r="O52">
            <v>8486.3799999999992</v>
          </cell>
          <cell r="P52">
            <v>8489.7800000000007</v>
          </cell>
          <cell r="Q52">
            <v>8659.66</v>
          </cell>
          <cell r="R52">
            <v>8587.9599999999991</v>
          </cell>
          <cell r="S52">
            <v>8568.9599999999991</v>
          </cell>
          <cell r="T52">
            <v>8573.06</v>
          </cell>
          <cell r="U52">
            <v>8554.1200000000008</v>
          </cell>
          <cell r="V52">
            <v>8516.1299999999992</v>
          </cell>
          <cell r="W52">
            <v>8565.41</v>
          </cell>
          <cell r="X52">
            <v>8599.61</v>
          </cell>
          <cell r="Y52">
            <v>8605.1200000000008</v>
          </cell>
          <cell r="Z52">
            <v>8825.59</v>
          </cell>
          <cell r="AA52">
            <v>8639.86</v>
          </cell>
          <cell r="AB52">
            <v>8653.43</v>
          </cell>
          <cell r="AC52">
            <v>8929.49</v>
          </cell>
          <cell r="AD52">
            <v>8539.65</v>
          </cell>
          <cell r="AE52">
            <v>8634.51</v>
          </cell>
          <cell r="AF52">
            <v>8893.6299999999992</v>
          </cell>
          <cell r="AG52">
            <v>8560.4599999999991</v>
          </cell>
          <cell r="AH52">
            <v>8631.7900000000009</v>
          </cell>
          <cell r="AI52">
            <v>8502.26</v>
          </cell>
          <cell r="AJ52">
            <v>8643.59</v>
          </cell>
          <cell r="AK52">
            <v>8351.17</v>
          </cell>
          <cell r="AL52">
            <v>8625.16</v>
          </cell>
          <cell r="AM52">
            <v>8938.7000000000007</v>
          </cell>
          <cell r="AN52">
            <v>8710.69</v>
          </cell>
          <cell r="AO52">
            <v>8786.58</v>
          </cell>
          <cell r="AP52">
            <v>8776.86</v>
          </cell>
          <cell r="AQ52">
            <v>8846.68</v>
          </cell>
          <cell r="AR52">
            <v>8578.85</v>
          </cell>
          <cell r="AS52">
            <v>8954.9500000000007</v>
          </cell>
          <cell r="AT52">
            <v>8749.83</v>
          </cell>
          <cell r="AU52">
            <v>8782.1</v>
          </cell>
          <cell r="AV52">
            <v>8868.11</v>
          </cell>
          <cell r="AW52">
            <v>8683.1200000000008</v>
          </cell>
          <cell r="AX52">
            <v>8331.69</v>
          </cell>
          <cell r="AY52">
            <v>8556.61</v>
          </cell>
          <cell r="AZ52">
            <v>8232.59</v>
          </cell>
          <cell r="BA52">
            <v>8232.59</v>
          </cell>
        </row>
        <row r="53">
          <cell r="A53" t="str">
            <v>V2000H25B25</v>
          </cell>
          <cell r="B53">
            <v>2000</v>
          </cell>
          <cell r="C53">
            <v>2500</v>
          </cell>
          <cell r="D53">
            <v>2500</v>
          </cell>
          <cell r="E53">
            <v>27</v>
          </cell>
          <cell r="F53">
            <v>5</v>
          </cell>
          <cell r="G53">
            <v>0</v>
          </cell>
          <cell r="H53">
            <v>300</v>
          </cell>
          <cell r="I53">
            <v>50</v>
          </cell>
          <cell r="J53">
            <v>2022.6</v>
          </cell>
          <cell r="K53" t="str">
            <v>Q-11002984</v>
          </cell>
          <cell r="L53" t="str">
            <v>\\hokukon-net2\hop\Program\01_MVPシステム_容量別組立図\.\02_余裕高0_6m\pdf\FB600_2000m3-MVP-2500-組-B2500_Q-11002984.pdf</v>
          </cell>
          <cell r="M53">
            <v>8747.9699999999993</v>
          </cell>
          <cell r="N53">
            <v>8842.4599999999991</v>
          </cell>
          <cell r="O53">
            <v>8628.2999999999993</v>
          </cell>
          <cell r="P53">
            <v>8631.66</v>
          </cell>
          <cell r="Q53">
            <v>8797.35</v>
          </cell>
          <cell r="R53">
            <v>8726.67</v>
          </cell>
          <cell r="S53">
            <v>8707.14</v>
          </cell>
          <cell r="T53">
            <v>8711.19</v>
          </cell>
          <cell r="U53">
            <v>8696.84</v>
          </cell>
          <cell r="V53">
            <v>8658.85</v>
          </cell>
          <cell r="W53">
            <v>8707.75</v>
          </cell>
          <cell r="X53">
            <v>8742.94</v>
          </cell>
          <cell r="Y53">
            <v>8748.52</v>
          </cell>
          <cell r="Z53">
            <v>8967.1</v>
          </cell>
          <cell r="AA53">
            <v>8784.7199999999993</v>
          </cell>
          <cell r="AB53">
            <v>8796.4500000000007</v>
          </cell>
          <cell r="AC53">
            <v>9066.4699999999993</v>
          </cell>
          <cell r="AD53">
            <v>8680.92</v>
          </cell>
          <cell r="AE53">
            <v>8775.7199999999993</v>
          </cell>
          <cell r="AF53">
            <v>9031.9599999999991</v>
          </cell>
          <cell r="AG53">
            <v>8704.73</v>
          </cell>
          <cell r="AH53">
            <v>8775.18</v>
          </cell>
          <cell r="AI53">
            <v>8648.25</v>
          </cell>
          <cell r="AJ53">
            <v>8785.9599999999991</v>
          </cell>
          <cell r="AK53">
            <v>8497.11</v>
          </cell>
          <cell r="AL53">
            <v>8766.2199999999993</v>
          </cell>
          <cell r="AM53">
            <v>9075.5400000000009</v>
          </cell>
          <cell r="AN53">
            <v>8851.17</v>
          </cell>
          <cell r="AO53">
            <v>8924.76</v>
          </cell>
          <cell r="AP53">
            <v>8916.07</v>
          </cell>
          <cell r="AQ53">
            <v>8985.1299999999992</v>
          </cell>
          <cell r="AR53">
            <v>8718.02</v>
          </cell>
          <cell r="AS53">
            <v>9089.02</v>
          </cell>
          <cell r="AT53">
            <v>8888.83</v>
          </cell>
          <cell r="AU53">
            <v>8920.8799999999992</v>
          </cell>
          <cell r="AV53">
            <v>9004.06</v>
          </cell>
          <cell r="AW53">
            <v>8821.9699999999993</v>
          </cell>
          <cell r="AX53">
            <v>8477.07</v>
          </cell>
          <cell r="AY53">
            <v>8696.9</v>
          </cell>
          <cell r="AZ53">
            <v>8378.4699999999993</v>
          </cell>
          <cell r="BA53">
            <v>8378.4699999999993</v>
          </cell>
        </row>
        <row r="54">
          <cell r="A54" t="str">
            <v>V2000H25B20</v>
          </cell>
          <cell r="B54">
            <v>2000</v>
          </cell>
          <cell r="C54">
            <v>2500</v>
          </cell>
          <cell r="D54">
            <v>2000</v>
          </cell>
          <cell r="E54">
            <v>30</v>
          </cell>
          <cell r="F54">
            <v>5</v>
          </cell>
          <cell r="G54">
            <v>0</v>
          </cell>
          <cell r="H54">
            <v>300</v>
          </cell>
          <cell r="I54">
            <v>50</v>
          </cell>
          <cell r="J54">
            <v>2023.7</v>
          </cell>
          <cell r="K54" t="str">
            <v>Q-11002983</v>
          </cell>
          <cell r="L54" t="str">
            <v>\\hokukon-net2\hop\Program\01_MVPシステム_容量別組立図\.\02_余裕高0_6m\pdf\FB600_2000m3-MVP-2500-組-B2000_Q-11002983.pdf</v>
          </cell>
          <cell r="M54">
            <v>9093.35</v>
          </cell>
          <cell r="N54">
            <v>9188.07</v>
          </cell>
          <cell r="O54">
            <v>8974.58</v>
          </cell>
          <cell r="P54">
            <v>8977.9500000000007</v>
          </cell>
          <cell r="Q54">
            <v>9142.39</v>
          </cell>
          <cell r="R54">
            <v>9071.4</v>
          </cell>
          <cell r="S54">
            <v>9050.89</v>
          </cell>
          <cell r="T54">
            <v>9054.9500000000007</v>
          </cell>
          <cell r="U54">
            <v>9045.34</v>
          </cell>
          <cell r="V54">
            <v>9006.56</v>
          </cell>
          <cell r="W54">
            <v>9056.1</v>
          </cell>
          <cell r="X54">
            <v>9093.11</v>
          </cell>
          <cell r="Y54">
            <v>9098.8700000000008</v>
          </cell>
          <cell r="Z54">
            <v>9319.83</v>
          </cell>
          <cell r="AA54">
            <v>9137.49</v>
          </cell>
          <cell r="AB54">
            <v>9147.4</v>
          </cell>
          <cell r="AC54">
            <v>9416.2800000000007</v>
          </cell>
          <cell r="AD54">
            <v>9027.67</v>
          </cell>
          <cell r="AE54">
            <v>9124.33</v>
          </cell>
          <cell r="AF54">
            <v>9382.64</v>
          </cell>
          <cell r="AG54">
            <v>9055.2900000000009</v>
          </cell>
          <cell r="AH54">
            <v>9126.1200000000008</v>
          </cell>
          <cell r="AI54">
            <v>8999.5499999999993</v>
          </cell>
          <cell r="AJ54">
            <v>9136.0300000000007</v>
          </cell>
          <cell r="AK54">
            <v>8845.19</v>
          </cell>
          <cell r="AL54">
            <v>9114.32</v>
          </cell>
          <cell r="AM54">
            <v>9425.32</v>
          </cell>
          <cell r="AN54">
            <v>9200.34</v>
          </cell>
          <cell r="AO54">
            <v>9272.8799999999992</v>
          </cell>
          <cell r="AP54">
            <v>9265.17</v>
          </cell>
          <cell r="AQ54">
            <v>9334.83</v>
          </cell>
          <cell r="AR54">
            <v>9063.08</v>
          </cell>
          <cell r="AS54">
            <v>9436.06</v>
          </cell>
          <cell r="AT54">
            <v>9237.23</v>
          </cell>
          <cell r="AU54">
            <v>9269.7199999999993</v>
          </cell>
          <cell r="AV54">
            <v>9351.4500000000007</v>
          </cell>
          <cell r="AW54">
            <v>9168.8799999999992</v>
          </cell>
          <cell r="AX54">
            <v>8824.24</v>
          </cell>
          <cell r="AY54">
            <v>9042.84</v>
          </cell>
          <cell r="AZ54">
            <v>8724.14</v>
          </cell>
          <cell r="BA54">
            <v>8724.14</v>
          </cell>
        </row>
        <row r="55">
          <cell r="A55" t="str">
            <v>V2000H30B30</v>
          </cell>
          <cell r="B55">
            <v>2000</v>
          </cell>
          <cell r="C55">
            <v>3000</v>
          </cell>
          <cell r="D55">
            <v>3000</v>
          </cell>
          <cell r="E55">
            <v>24</v>
          </cell>
          <cell r="F55">
            <v>4</v>
          </cell>
          <cell r="G55">
            <v>0</v>
          </cell>
          <cell r="H55">
            <v>300</v>
          </cell>
          <cell r="I55">
            <v>50</v>
          </cell>
          <cell r="J55">
            <v>2036.2</v>
          </cell>
          <cell r="K55" t="str">
            <v>Q-11002988</v>
          </cell>
          <cell r="L55" t="str">
            <v>\\hokukon-net2\hop\Program\01_MVPシステム_容量別組立図\.\02_余裕高0_6m\pdf\FB600_2000m3-MVP-3000-組-B3000_Q-11002988.pdf</v>
          </cell>
          <cell r="M55">
            <v>7288.62</v>
          </cell>
          <cell r="N55">
            <v>7364.91</v>
          </cell>
          <cell r="O55">
            <v>7193.95</v>
          </cell>
          <cell r="P55">
            <v>7196.64</v>
          </cell>
          <cell r="Q55">
            <v>7327.65</v>
          </cell>
          <cell r="R55">
            <v>7270.16</v>
          </cell>
          <cell r="S55">
            <v>7253.58</v>
          </cell>
          <cell r="T55">
            <v>7256.82</v>
          </cell>
          <cell r="U55">
            <v>7251.18</v>
          </cell>
          <cell r="V55">
            <v>7220.02</v>
          </cell>
          <cell r="W55">
            <v>7258.62</v>
          </cell>
          <cell r="X55">
            <v>7288.9</v>
          </cell>
          <cell r="Y55">
            <v>7294.29</v>
          </cell>
          <cell r="Z55">
            <v>7470.9</v>
          </cell>
          <cell r="AA55">
            <v>7325.02</v>
          </cell>
          <cell r="AB55">
            <v>7332.28</v>
          </cell>
          <cell r="AC55">
            <v>7546.4</v>
          </cell>
          <cell r="AD55">
            <v>7235.6</v>
          </cell>
          <cell r="AE55">
            <v>7313.55</v>
          </cell>
          <cell r="AF55">
            <v>7519.55</v>
          </cell>
          <cell r="AG55">
            <v>7258.65</v>
          </cell>
          <cell r="AH55">
            <v>7314.6</v>
          </cell>
          <cell r="AI55">
            <v>7214.34</v>
          </cell>
          <cell r="AJ55">
            <v>7322.16</v>
          </cell>
          <cell r="AK55">
            <v>7091.16</v>
          </cell>
          <cell r="AL55">
            <v>7305.67</v>
          </cell>
          <cell r="AM55">
            <v>7554.36</v>
          </cell>
          <cell r="AN55">
            <v>7375.81</v>
          </cell>
          <cell r="AO55">
            <v>7433.11</v>
          </cell>
          <cell r="AP55">
            <v>7426.05</v>
          </cell>
          <cell r="AQ55">
            <v>7482.17</v>
          </cell>
          <cell r="AR55">
            <v>7263.87</v>
          </cell>
          <cell r="AS55">
            <v>7560.73</v>
          </cell>
          <cell r="AT55">
            <v>7402.96</v>
          </cell>
          <cell r="AU55">
            <v>7429.02</v>
          </cell>
          <cell r="AV55">
            <v>7493.58</v>
          </cell>
          <cell r="AW55">
            <v>7348.09</v>
          </cell>
          <cell r="AX55">
            <v>7071.9</v>
          </cell>
          <cell r="AY55">
            <v>7247.07</v>
          </cell>
          <cell r="AZ55">
            <v>6993.02</v>
          </cell>
          <cell r="BA55">
            <v>6993.02</v>
          </cell>
        </row>
        <row r="56">
          <cell r="A56" t="str">
            <v>V2000H30B25</v>
          </cell>
          <cell r="B56">
            <v>2000</v>
          </cell>
          <cell r="C56">
            <v>3000</v>
          </cell>
          <cell r="D56">
            <v>2500</v>
          </cell>
          <cell r="E56">
            <v>26</v>
          </cell>
          <cell r="F56">
            <v>4</v>
          </cell>
          <cell r="G56">
            <v>0</v>
          </cell>
          <cell r="H56">
            <v>300</v>
          </cell>
          <cell r="I56">
            <v>50</v>
          </cell>
          <cell r="J56">
            <v>2009.4</v>
          </cell>
          <cell r="K56" t="str">
            <v>Q-11002987</v>
          </cell>
          <cell r="L56" t="str">
            <v>\\hokukon-net2\hop\Program\01_MVPシステム_容量別組立図\.\02_余裕高0_6m\pdf\FB600_2000m3-MVP-3000-組-B2500_Q-11002987.pdf</v>
          </cell>
          <cell r="M56">
            <v>7440.12</v>
          </cell>
          <cell r="N56">
            <v>7515.6</v>
          </cell>
          <cell r="O56">
            <v>7347.35</v>
          </cell>
          <cell r="P56">
            <v>7350.02</v>
          </cell>
          <cell r="Q56">
            <v>7478.42</v>
          </cell>
          <cell r="R56">
            <v>7421.49</v>
          </cell>
          <cell r="S56">
            <v>7404.45</v>
          </cell>
          <cell r="T56">
            <v>7407.65</v>
          </cell>
          <cell r="U56">
            <v>7405.46</v>
          </cell>
          <cell r="V56">
            <v>7374.17</v>
          </cell>
          <cell r="W56">
            <v>7412.66</v>
          </cell>
          <cell r="X56">
            <v>7443.82</v>
          </cell>
          <cell r="Y56">
            <v>7449.28</v>
          </cell>
          <cell r="Z56">
            <v>7625.19</v>
          </cell>
          <cell r="AA56">
            <v>7481.2</v>
          </cell>
          <cell r="AB56">
            <v>7487.14</v>
          </cell>
          <cell r="AC56">
            <v>7697.57</v>
          </cell>
          <cell r="AD56">
            <v>7388.67</v>
          </cell>
          <cell r="AE56">
            <v>7466.92</v>
          </cell>
          <cell r="AF56">
            <v>7671.62</v>
          </cell>
          <cell r="AG56">
            <v>7414.12</v>
          </cell>
          <cell r="AH56">
            <v>7469.65</v>
          </cell>
          <cell r="AI56">
            <v>7370.94</v>
          </cell>
          <cell r="AJ56">
            <v>7476.49</v>
          </cell>
          <cell r="AK56">
            <v>7247.18</v>
          </cell>
          <cell r="AL56">
            <v>7458.91</v>
          </cell>
          <cell r="AM56">
            <v>7705.48</v>
          </cell>
          <cell r="AN56">
            <v>7528.91</v>
          </cell>
          <cell r="AO56">
            <v>7584.73</v>
          </cell>
          <cell r="AP56">
            <v>7578.45</v>
          </cell>
          <cell r="AQ56">
            <v>7634.2</v>
          </cell>
          <cell r="AR56">
            <v>7415.53</v>
          </cell>
          <cell r="AS56">
            <v>7709.78</v>
          </cell>
          <cell r="AT56">
            <v>7555.07</v>
          </cell>
          <cell r="AU56">
            <v>7581.05</v>
          </cell>
          <cell r="AV56">
            <v>7643.76</v>
          </cell>
          <cell r="AW56">
            <v>7499.83</v>
          </cell>
          <cell r="AX56">
            <v>7227.43</v>
          </cell>
          <cell r="AY56">
            <v>7399.49</v>
          </cell>
          <cell r="AZ56">
            <v>7148.57</v>
          </cell>
          <cell r="BA56">
            <v>7148.57</v>
          </cell>
        </row>
        <row r="57">
          <cell r="A57" t="str">
            <v>V2000H30B20</v>
          </cell>
          <cell r="B57">
            <v>2000</v>
          </cell>
          <cell r="C57">
            <v>3000</v>
          </cell>
          <cell r="D57">
            <v>2000</v>
          </cell>
          <cell r="E57">
            <v>29</v>
          </cell>
          <cell r="F57">
            <v>4</v>
          </cell>
          <cell r="G57">
            <v>0</v>
          </cell>
          <cell r="H57">
            <v>300</v>
          </cell>
          <cell r="I57">
            <v>50</v>
          </cell>
          <cell r="J57">
            <v>2022.2</v>
          </cell>
          <cell r="K57" t="str">
            <v>Q-11002986</v>
          </cell>
          <cell r="L57" t="str">
            <v>\\hokukon-net2\hop\Program\01_MVPシステム_容量別組立図\.\02_余裕高0_6m\pdf\FB600_2000m3-MVP-3000-組-B2000_Q-11002986.pdf</v>
          </cell>
          <cell r="M57">
            <v>7789.5</v>
          </cell>
          <cell r="N57">
            <v>7865.63</v>
          </cell>
          <cell r="O57">
            <v>7696.96</v>
          </cell>
          <cell r="P57">
            <v>7699.65</v>
          </cell>
          <cell r="Q57">
            <v>7827.67</v>
          </cell>
          <cell r="R57">
            <v>7770.08</v>
          </cell>
          <cell r="S57">
            <v>7752.04</v>
          </cell>
          <cell r="T57">
            <v>7755.29</v>
          </cell>
          <cell r="U57">
            <v>7757.39</v>
          </cell>
          <cell r="V57">
            <v>7725.18</v>
          </cell>
          <cell r="W57">
            <v>7764.43</v>
          </cell>
          <cell r="X57">
            <v>7797.4</v>
          </cell>
          <cell r="Y57">
            <v>7803.13</v>
          </cell>
          <cell r="Z57">
            <v>7982.22</v>
          </cell>
          <cell r="AA57">
            <v>7837.4</v>
          </cell>
          <cell r="AB57">
            <v>7841.67</v>
          </cell>
          <cell r="AC57">
            <v>8052.32</v>
          </cell>
          <cell r="AD57">
            <v>7739.01</v>
          </cell>
          <cell r="AE57">
            <v>7819.38</v>
          </cell>
          <cell r="AF57">
            <v>8027.07</v>
          </cell>
          <cell r="AG57">
            <v>7767.97</v>
          </cell>
          <cell r="AH57">
            <v>7824.08</v>
          </cell>
          <cell r="AI57">
            <v>7725.2</v>
          </cell>
          <cell r="AJ57">
            <v>7830.17</v>
          </cell>
          <cell r="AK57">
            <v>7597.88</v>
          </cell>
          <cell r="AL57">
            <v>7810.77</v>
          </cell>
          <cell r="AM57">
            <v>8060.28</v>
          </cell>
          <cell r="AN57">
            <v>7882.24</v>
          </cell>
          <cell r="AO57">
            <v>7937.39</v>
          </cell>
          <cell r="AP57">
            <v>7931.84</v>
          </cell>
          <cell r="AQ57">
            <v>7988.51</v>
          </cell>
          <cell r="AR57">
            <v>7764.45</v>
          </cell>
          <cell r="AS57">
            <v>8062.06</v>
          </cell>
          <cell r="AT57">
            <v>7907.75</v>
          </cell>
          <cell r="AU57">
            <v>7934.32</v>
          </cell>
          <cell r="AV57">
            <v>7996.01</v>
          </cell>
          <cell r="AW57">
            <v>7850.88</v>
          </cell>
          <cell r="AX57">
            <v>7577.07</v>
          </cell>
          <cell r="AY57">
            <v>7749.05</v>
          </cell>
          <cell r="AZ57">
            <v>7496.55</v>
          </cell>
          <cell r="BA57">
            <v>7496.55</v>
          </cell>
        </row>
        <row r="58">
          <cell r="A58" t="str">
            <v>V2000H35B30</v>
          </cell>
          <cell r="B58">
            <v>2000</v>
          </cell>
          <cell r="C58">
            <v>3500</v>
          </cell>
          <cell r="D58">
            <v>3000</v>
          </cell>
          <cell r="E58">
            <v>20</v>
          </cell>
          <cell r="F58">
            <v>4</v>
          </cell>
          <cell r="G58">
            <v>0</v>
          </cell>
          <cell r="H58">
            <v>300</v>
          </cell>
          <cell r="I58">
            <v>50</v>
          </cell>
          <cell r="J58">
            <v>2061.6</v>
          </cell>
          <cell r="K58" t="str">
            <v>Q-11002991</v>
          </cell>
          <cell r="L58" t="str">
            <v>\\hokukon-net2\hop\Program\01_MVPシステム_容量別組立図\.\02_余裕高0_6m\pdf\FB600_2000m3-MVP-3500-組-B3000_Q-11002991.pdf</v>
          </cell>
          <cell r="M58">
            <v>6552.96</v>
          </cell>
          <cell r="N58">
            <v>6618.14</v>
          </cell>
          <cell r="O58">
            <v>6475.07</v>
          </cell>
          <cell r="P58">
            <v>6477.35</v>
          </cell>
          <cell r="Q58">
            <v>6585.83</v>
          </cell>
          <cell r="R58">
            <v>6537.24</v>
          </cell>
          <cell r="S58">
            <v>6522.33</v>
          </cell>
          <cell r="T58">
            <v>6525.08</v>
          </cell>
          <cell r="U58">
            <v>6526.13</v>
          </cell>
          <cell r="V58">
            <v>6499.27</v>
          </cell>
          <cell r="W58">
            <v>6531.49</v>
          </cell>
          <cell r="X58">
            <v>6559.09</v>
          </cell>
          <cell r="Y58">
            <v>6563.95</v>
          </cell>
          <cell r="Z58">
            <v>6714.23</v>
          </cell>
          <cell r="AA58">
            <v>6591.22</v>
          </cell>
          <cell r="AB58">
            <v>6595.82</v>
          </cell>
          <cell r="AC58">
            <v>6773.57</v>
          </cell>
          <cell r="AD58">
            <v>6508.41</v>
          </cell>
          <cell r="AE58">
            <v>6575.9</v>
          </cell>
          <cell r="AF58">
            <v>6750.68</v>
          </cell>
          <cell r="AG58">
            <v>6532.35</v>
          </cell>
          <cell r="AH58">
            <v>6580.39</v>
          </cell>
          <cell r="AI58">
            <v>6495.96</v>
          </cell>
          <cell r="AJ58">
            <v>6585.23</v>
          </cell>
          <cell r="AK58">
            <v>6390.07</v>
          </cell>
          <cell r="AL58">
            <v>6570.84</v>
          </cell>
          <cell r="AM58">
            <v>6781.01</v>
          </cell>
          <cell r="AN58">
            <v>6631.44</v>
          </cell>
          <cell r="AO58">
            <v>6678.33</v>
          </cell>
          <cell r="AP58">
            <v>6673.41</v>
          </cell>
          <cell r="AQ58">
            <v>6720.91</v>
          </cell>
          <cell r="AR58">
            <v>6532.02</v>
          </cell>
          <cell r="AS58">
            <v>6782.24</v>
          </cell>
          <cell r="AT58">
            <v>6651.49</v>
          </cell>
          <cell r="AU58">
            <v>6673.21</v>
          </cell>
          <cell r="AV58">
            <v>6726.6</v>
          </cell>
          <cell r="AW58">
            <v>6603.46</v>
          </cell>
          <cell r="AX58">
            <v>6371.01</v>
          </cell>
          <cell r="AY58">
            <v>6517.86</v>
          </cell>
          <cell r="AZ58">
            <v>6303.75</v>
          </cell>
          <cell r="BA58">
            <v>6303.75</v>
          </cell>
        </row>
        <row r="59">
          <cell r="A59" t="str">
            <v>V2000H35B25</v>
          </cell>
          <cell r="B59">
            <v>2000</v>
          </cell>
          <cell r="C59">
            <v>3500</v>
          </cell>
          <cell r="D59">
            <v>2500</v>
          </cell>
          <cell r="E59">
            <v>22</v>
          </cell>
          <cell r="F59">
            <v>4</v>
          </cell>
          <cell r="G59">
            <v>0</v>
          </cell>
          <cell r="H59">
            <v>300</v>
          </cell>
          <cell r="I59">
            <v>50</v>
          </cell>
          <cell r="J59">
            <v>2064.1999999999998</v>
          </cell>
          <cell r="K59" t="str">
            <v>Q-11002990</v>
          </cell>
          <cell r="L59" t="str">
            <v>\\hokukon-net2\hop\Program\01_MVPシステム_容量別組立図\.\02_余裕高0_6m\pdf\FB600_2000m3-MVP-3500-組-B2500_Q-11002990.pdf</v>
          </cell>
          <cell r="M59">
            <v>6782.23</v>
          </cell>
          <cell r="N59">
            <v>6847.54</v>
          </cell>
          <cell r="O59">
            <v>6704.87</v>
          </cell>
          <cell r="P59">
            <v>6707.15</v>
          </cell>
          <cell r="Q59">
            <v>6814.84</v>
          </cell>
          <cell r="R59">
            <v>6766</v>
          </cell>
          <cell r="S59">
            <v>6750.49</v>
          </cell>
          <cell r="T59">
            <v>6753.23</v>
          </cell>
          <cell r="U59">
            <v>6757.35</v>
          </cell>
          <cell r="V59">
            <v>6729.99</v>
          </cell>
          <cell r="W59">
            <v>6762.56</v>
          </cell>
          <cell r="X59">
            <v>6791.32</v>
          </cell>
          <cell r="Y59">
            <v>6796.34</v>
          </cell>
          <cell r="Z59">
            <v>6948.14</v>
          </cell>
          <cell r="AA59">
            <v>6825.15</v>
          </cell>
          <cell r="AB59">
            <v>6828.54</v>
          </cell>
          <cell r="AC59">
            <v>7005.57</v>
          </cell>
          <cell r="AD59">
            <v>6738.56</v>
          </cell>
          <cell r="AE59">
            <v>6807.23</v>
          </cell>
          <cell r="AF59">
            <v>6983.28</v>
          </cell>
          <cell r="AG59">
            <v>6764.88</v>
          </cell>
          <cell r="AH59">
            <v>6813.1</v>
          </cell>
          <cell r="AI59">
            <v>6728.97</v>
          </cell>
          <cell r="AJ59">
            <v>6817.39</v>
          </cell>
          <cell r="AK59">
            <v>6621.07</v>
          </cell>
          <cell r="AL59">
            <v>6801.79</v>
          </cell>
          <cell r="AM59">
            <v>7013.01</v>
          </cell>
          <cell r="AN59">
            <v>6863.12</v>
          </cell>
          <cell r="AO59">
            <v>6909.31</v>
          </cell>
          <cell r="AP59">
            <v>6904.94</v>
          </cell>
          <cell r="AQ59">
            <v>6952.85</v>
          </cell>
          <cell r="AR59">
            <v>6761.06</v>
          </cell>
          <cell r="AS59">
            <v>7012.45</v>
          </cell>
          <cell r="AT59">
            <v>6882.62</v>
          </cell>
          <cell r="AU59">
            <v>6904.67</v>
          </cell>
          <cell r="AV59">
            <v>6957.05</v>
          </cell>
          <cell r="AW59">
            <v>6833.67</v>
          </cell>
          <cell r="AX59">
            <v>6601.34</v>
          </cell>
          <cell r="AY59">
            <v>6747.42</v>
          </cell>
          <cell r="AZ59">
            <v>6533.23</v>
          </cell>
          <cell r="BA59">
            <v>6533.23</v>
          </cell>
        </row>
        <row r="60">
          <cell r="A60" t="str">
            <v>V2000H35B20</v>
          </cell>
          <cell r="B60">
            <v>2000</v>
          </cell>
          <cell r="C60">
            <v>3500</v>
          </cell>
          <cell r="D60">
            <v>2000</v>
          </cell>
          <cell r="E60">
            <v>24</v>
          </cell>
          <cell r="F60">
            <v>4</v>
          </cell>
          <cell r="G60">
            <v>0</v>
          </cell>
          <cell r="H60">
            <v>300</v>
          </cell>
          <cell r="I60">
            <v>50</v>
          </cell>
          <cell r="J60">
            <v>2032</v>
          </cell>
          <cell r="K60" t="str">
            <v>Q-11002989</v>
          </cell>
          <cell r="L60" t="str">
            <v>\\hokukon-net2\hop\Program\01_MVPシステム_容量別組立図\.\02_余裕高0_6m\pdf\FB600_2000m3-MVP-3500-組-B2000_Q-11002989.pdf</v>
          </cell>
          <cell r="M60">
            <v>6954.81</v>
          </cell>
          <cell r="N60">
            <v>7019.33</v>
          </cell>
          <cell r="O60">
            <v>6879.39</v>
          </cell>
          <cell r="P60">
            <v>6990.23</v>
          </cell>
          <cell r="Q60">
            <v>6986.71</v>
          </cell>
          <cell r="R60">
            <v>6938.44</v>
          </cell>
          <cell r="S60">
            <v>6922.45</v>
          </cell>
          <cell r="T60">
            <v>6925.16</v>
          </cell>
          <cell r="U60">
            <v>6932.76</v>
          </cell>
          <cell r="V60">
            <v>6905.26</v>
          </cell>
          <cell r="W60">
            <v>6937.74</v>
          </cell>
          <cell r="X60">
            <v>6967.4</v>
          </cell>
          <cell r="Y60">
            <v>6972.48</v>
          </cell>
          <cell r="Z60">
            <v>7123.62</v>
          </cell>
          <cell r="AA60">
            <v>7002.47</v>
          </cell>
          <cell r="AB60">
            <v>7004.54</v>
          </cell>
          <cell r="AC60">
            <v>7177.88</v>
          </cell>
          <cell r="AD60">
            <v>6912.73</v>
          </cell>
          <cell r="AE60">
            <v>6981.7</v>
          </cell>
          <cell r="AF60">
            <v>7156.49</v>
          </cell>
          <cell r="AG60">
            <v>6941.48</v>
          </cell>
          <cell r="AH60">
            <v>6989.31</v>
          </cell>
          <cell r="AI60">
            <v>6906.69</v>
          </cell>
          <cell r="AJ60">
            <v>6992.83</v>
          </cell>
          <cell r="AK60">
            <v>6798.22</v>
          </cell>
          <cell r="AL60">
            <v>6976.17</v>
          </cell>
          <cell r="AM60">
            <v>7185.28</v>
          </cell>
          <cell r="AN60">
            <v>7037.37</v>
          </cell>
          <cell r="AO60">
            <v>7082.06</v>
          </cell>
          <cell r="AP60">
            <v>7078.47</v>
          </cell>
          <cell r="AQ60">
            <v>7126.04</v>
          </cell>
          <cell r="AR60">
            <v>7033.15</v>
          </cell>
          <cell r="AS60">
            <v>7182.6</v>
          </cell>
          <cell r="AT60">
            <v>7055.86</v>
          </cell>
          <cell r="AU60">
            <v>7077.79</v>
          </cell>
          <cell r="AV60">
            <v>7128.34</v>
          </cell>
          <cell r="AW60">
            <v>7006.52</v>
          </cell>
          <cell r="AX60">
            <v>6777.96</v>
          </cell>
          <cell r="AY60">
            <v>6920.92</v>
          </cell>
          <cell r="AZ60">
            <v>6709.88</v>
          </cell>
          <cell r="BA60">
            <v>6709.88</v>
          </cell>
        </row>
        <row r="61">
          <cell r="A61" t="str">
            <v>V2000H40B30</v>
          </cell>
          <cell r="B61">
            <v>2000</v>
          </cell>
          <cell r="C61">
            <v>4000</v>
          </cell>
          <cell r="D61">
            <v>3000</v>
          </cell>
          <cell r="E61">
            <v>17</v>
          </cell>
          <cell r="F61">
            <v>4</v>
          </cell>
          <cell r="G61">
            <v>0</v>
          </cell>
          <cell r="H61">
            <v>350</v>
          </cell>
          <cell r="I61">
            <v>70</v>
          </cell>
          <cell r="J61">
            <v>2083</v>
          </cell>
          <cell r="K61" t="str">
            <v>Q-11002994</v>
          </cell>
          <cell r="L61" t="str">
            <v>\\hokukon-net2\hop\Program\01_MVPシステム_容量別組立図\.\02_余裕高0_6m\pdf\FB600_2000m3-MVP-4000-組-B3000_Q-11002994.pdf</v>
          </cell>
          <cell r="M61">
            <v>6813.35</v>
          </cell>
          <cell r="N61">
            <v>6877.39</v>
          </cell>
          <cell r="O61">
            <v>6741.15</v>
          </cell>
          <cell r="P61">
            <v>6743.28</v>
          </cell>
          <cell r="Q61">
            <v>6845.26</v>
          </cell>
          <cell r="R61">
            <v>6798.92</v>
          </cell>
          <cell r="S61">
            <v>6784.01</v>
          </cell>
          <cell r="T61">
            <v>6786.58</v>
          </cell>
          <cell r="U61">
            <v>6786.75</v>
          </cell>
          <cell r="V61">
            <v>6761.9</v>
          </cell>
          <cell r="W61">
            <v>6791.92</v>
          </cell>
          <cell r="X61">
            <v>6817.43</v>
          </cell>
          <cell r="Y61">
            <v>6820.86</v>
          </cell>
          <cell r="Z61">
            <v>6963.91</v>
          </cell>
          <cell r="AA61">
            <v>6847.06</v>
          </cell>
          <cell r="AB61">
            <v>6852.43</v>
          </cell>
          <cell r="AC61">
            <v>7019.95</v>
          </cell>
          <cell r="AD61">
            <v>6762.4</v>
          </cell>
          <cell r="AE61">
            <v>6828.71</v>
          </cell>
          <cell r="AF61">
            <v>6994</v>
          </cell>
          <cell r="AG61">
            <v>6783.03</v>
          </cell>
          <cell r="AH61">
            <v>6830.01</v>
          </cell>
          <cell r="AI61">
            <v>6749.81</v>
          </cell>
          <cell r="AJ61">
            <v>6832.95</v>
          </cell>
          <cell r="AK61">
            <v>6662.05</v>
          </cell>
          <cell r="AL61">
            <v>6835.78</v>
          </cell>
          <cell r="AM61">
            <v>7034.6</v>
          </cell>
          <cell r="AN61">
            <v>6893.15</v>
          </cell>
          <cell r="AO61">
            <v>6937.97</v>
          </cell>
          <cell r="AP61">
            <v>6933.41</v>
          </cell>
          <cell r="AQ61">
            <v>6979.37</v>
          </cell>
          <cell r="AR61">
            <v>6784.92</v>
          </cell>
          <cell r="AS61">
            <v>7022.27</v>
          </cell>
          <cell r="AT61">
            <v>6900.47</v>
          </cell>
          <cell r="AU61">
            <v>6920.51</v>
          </cell>
          <cell r="AV61">
            <v>6969.78</v>
          </cell>
          <cell r="AW61">
            <v>6851.31</v>
          </cell>
          <cell r="AX61">
            <v>6628.62</v>
          </cell>
          <cell r="AY61">
            <v>6768.82</v>
          </cell>
          <cell r="AZ61">
            <v>6564.26</v>
          </cell>
          <cell r="BA61">
            <v>6564.26</v>
          </cell>
        </row>
        <row r="62">
          <cell r="A62" t="str">
            <v>V2000H40B25</v>
          </cell>
          <cell r="B62">
            <v>2000</v>
          </cell>
          <cell r="C62">
            <v>4000</v>
          </cell>
          <cell r="D62">
            <v>2500</v>
          </cell>
          <cell r="E62">
            <v>24</v>
          </cell>
          <cell r="F62">
            <v>3</v>
          </cell>
          <cell r="G62">
            <v>0</v>
          </cell>
          <cell r="H62">
            <v>350</v>
          </cell>
          <cell r="I62">
            <v>70</v>
          </cell>
          <cell r="J62">
            <v>2056.6</v>
          </cell>
          <cell r="K62" t="str">
            <v>Q-11002993</v>
          </cell>
          <cell r="L62" t="str">
            <v>\\hokukon-net2\hop\Program\01_MVPシステム_容量別組立図\.\02_余裕高0_6m\pdf\FB600_2000m3-MVP-4000-組-B2500_Q-11002993.pdf</v>
          </cell>
          <cell r="M62">
            <v>6998.34</v>
          </cell>
          <cell r="N62">
            <v>7061.33</v>
          </cell>
          <cell r="O62">
            <v>6926.21</v>
          </cell>
          <cell r="P62">
            <v>6928.31</v>
          </cell>
          <cell r="Q62">
            <v>7029.63</v>
          </cell>
          <cell r="R62">
            <v>6983.67</v>
          </cell>
          <cell r="S62">
            <v>6968.8</v>
          </cell>
          <cell r="T62">
            <v>6971.35</v>
          </cell>
          <cell r="U62">
            <v>6970.8</v>
          </cell>
          <cell r="V62">
            <v>6946.1</v>
          </cell>
          <cell r="W62">
            <v>6976.64</v>
          </cell>
          <cell r="X62">
            <v>7001.63</v>
          </cell>
          <cell r="Y62">
            <v>7004.92</v>
          </cell>
          <cell r="Z62">
            <v>7147.28</v>
          </cell>
          <cell r="AA62">
            <v>7031.54</v>
          </cell>
          <cell r="AB62">
            <v>7036.71</v>
          </cell>
          <cell r="AC62">
            <v>7203.42</v>
          </cell>
          <cell r="AD62">
            <v>6948.25</v>
          </cell>
          <cell r="AE62">
            <v>7013.91</v>
          </cell>
          <cell r="AF62">
            <v>7178.16</v>
          </cell>
          <cell r="AG62">
            <v>6968.03</v>
          </cell>
          <cell r="AH62">
            <v>7014.19</v>
          </cell>
          <cell r="AI62">
            <v>6935.09</v>
          </cell>
          <cell r="AJ62">
            <v>7017.5</v>
          </cell>
          <cell r="AK62">
            <v>6848.54</v>
          </cell>
          <cell r="AL62">
            <v>7020.33</v>
          </cell>
          <cell r="AM62">
            <v>7217.82</v>
          </cell>
          <cell r="AN62">
            <v>7077.08</v>
          </cell>
          <cell r="AO62">
            <v>7121.54</v>
          </cell>
          <cell r="AP62">
            <v>7116.99</v>
          </cell>
          <cell r="AQ62">
            <v>7162.93</v>
          </cell>
          <cell r="AR62">
            <v>6969.51</v>
          </cell>
          <cell r="AS62">
            <v>7205.71</v>
          </cell>
          <cell r="AT62">
            <v>7084.59</v>
          </cell>
          <cell r="AU62">
            <v>7104.98</v>
          </cell>
          <cell r="AV62">
            <v>7153.34</v>
          </cell>
          <cell r="AW62">
            <v>7035.86</v>
          </cell>
          <cell r="AX62">
            <v>6815.41</v>
          </cell>
          <cell r="AY62">
            <v>6953.75</v>
          </cell>
          <cell r="AZ62">
            <v>6751.25</v>
          </cell>
          <cell r="BA62">
            <v>6751.25</v>
          </cell>
        </row>
        <row r="63">
          <cell r="A63" t="str">
            <v>V2000H40B20</v>
          </cell>
          <cell r="B63">
            <v>2000</v>
          </cell>
          <cell r="C63">
            <v>4000</v>
          </cell>
          <cell r="D63">
            <v>2000</v>
          </cell>
          <cell r="E63">
            <v>20</v>
          </cell>
          <cell r="F63">
            <v>4</v>
          </cell>
          <cell r="G63">
            <v>0</v>
          </cell>
          <cell r="H63">
            <v>350</v>
          </cell>
          <cell r="I63">
            <v>70</v>
          </cell>
          <cell r="J63">
            <v>2015.8</v>
          </cell>
          <cell r="K63" t="str">
            <v>Q-11002992</v>
          </cell>
          <cell r="L63" t="str">
            <v>\\hokukon-net2\hop\Program\01_MVPシステム_容量別組立図\.\02_余裕高0_6m\pdf\FB600_2000m3-MVP-4000-組-B2000_Q-11002992.pdf</v>
          </cell>
          <cell r="M63">
            <v>7177.16</v>
          </cell>
          <cell r="N63">
            <v>7239.71</v>
          </cell>
          <cell r="O63">
            <v>7108.49</v>
          </cell>
          <cell r="P63">
            <v>7110.56</v>
          </cell>
          <cell r="Q63">
            <v>7207.74</v>
          </cell>
          <cell r="R63">
            <v>7162.44</v>
          </cell>
          <cell r="S63">
            <v>7146.77</v>
          </cell>
          <cell r="T63">
            <v>7149.27</v>
          </cell>
          <cell r="U63">
            <v>7155.22</v>
          </cell>
          <cell r="V63">
            <v>7130.26</v>
          </cell>
          <cell r="W63">
            <v>7159.93</v>
          </cell>
          <cell r="X63">
            <v>7186.88</v>
          </cell>
          <cell r="Y63">
            <v>7190.55</v>
          </cell>
          <cell r="Z63">
            <v>7331.95</v>
          </cell>
          <cell r="AA63">
            <v>7218.73</v>
          </cell>
          <cell r="AB63">
            <v>7221.75</v>
          </cell>
          <cell r="AC63">
            <v>7382.16</v>
          </cell>
          <cell r="AD63">
            <v>7128.22</v>
          </cell>
          <cell r="AE63">
            <v>7194.79</v>
          </cell>
          <cell r="AF63">
            <v>7357.13</v>
          </cell>
          <cell r="AG63">
            <v>7152.55</v>
          </cell>
          <cell r="AH63">
            <v>7198.59</v>
          </cell>
          <cell r="AI63">
            <v>7121.45</v>
          </cell>
          <cell r="AJ63">
            <v>7200.24</v>
          </cell>
          <cell r="AK63">
            <v>7034.8</v>
          </cell>
          <cell r="AL63">
            <v>7203.03</v>
          </cell>
          <cell r="AM63">
            <v>7397.42</v>
          </cell>
          <cell r="AN63">
            <v>7259.98</v>
          </cell>
          <cell r="AO63">
            <v>7302.04</v>
          </cell>
          <cell r="AP63">
            <v>7298.83</v>
          </cell>
          <cell r="AQ63">
            <v>7344.08</v>
          </cell>
          <cell r="AR63">
            <v>7148.13</v>
          </cell>
          <cell r="AS63">
            <v>7380.02</v>
          </cell>
          <cell r="AT63">
            <v>7263.83</v>
          </cell>
          <cell r="AU63">
            <v>7283.78</v>
          </cell>
          <cell r="AV63">
            <v>7329.58</v>
          </cell>
          <cell r="AW63">
            <v>7213.85</v>
          </cell>
          <cell r="AX63">
            <v>6998.5</v>
          </cell>
          <cell r="AY63">
            <v>7132.78</v>
          </cell>
          <cell r="AZ63">
            <v>6934.39</v>
          </cell>
          <cell r="BA63">
            <v>6934.39</v>
          </cell>
        </row>
        <row r="64">
          <cell r="A64" t="str">
            <v>V2000H45B30</v>
          </cell>
          <cell r="B64">
            <v>2000</v>
          </cell>
          <cell r="C64">
            <v>4500</v>
          </cell>
          <cell r="D64">
            <v>3000</v>
          </cell>
          <cell r="E64">
            <v>19</v>
          </cell>
          <cell r="F64">
            <v>3</v>
          </cell>
          <cell r="G64">
            <v>0</v>
          </cell>
          <cell r="H64">
            <v>350</v>
          </cell>
          <cell r="I64">
            <v>70</v>
          </cell>
          <cell r="J64">
            <v>2053.1999999999998</v>
          </cell>
          <cell r="K64" t="str">
            <v>Q-11002997</v>
          </cell>
          <cell r="L64" t="str">
            <v>\\hokukon-net2\hop\Program\01_MVPシステム_容量別組立図\.\02_余裕高0_6m\pdf\FB600_2000m3-MVP-4500-組-B3000_Q-11002997.pdf</v>
          </cell>
          <cell r="M64">
            <v>6275</v>
          </cell>
          <cell r="N64">
            <v>6330.03</v>
          </cell>
          <cell r="O64">
            <v>6212.87</v>
          </cell>
          <cell r="P64">
            <v>6214.71</v>
          </cell>
          <cell r="Q64">
            <v>6302.04</v>
          </cell>
          <cell r="R64">
            <v>6261.52</v>
          </cell>
          <cell r="S64">
            <v>6247.9</v>
          </cell>
          <cell r="T64">
            <v>6250.12</v>
          </cell>
          <cell r="U64">
            <v>6253.42</v>
          </cell>
          <cell r="V64">
            <v>6231.79</v>
          </cell>
          <cell r="W64">
            <v>6258.25</v>
          </cell>
          <cell r="X64">
            <v>6281.29</v>
          </cell>
          <cell r="Y64">
            <v>6284.25</v>
          </cell>
          <cell r="Z64">
            <v>6409.38</v>
          </cell>
          <cell r="AA64">
            <v>6308.2</v>
          </cell>
          <cell r="AB64">
            <v>6312.1</v>
          </cell>
          <cell r="AC64">
            <v>6455.51</v>
          </cell>
          <cell r="AD64">
            <v>6231</v>
          </cell>
          <cell r="AE64">
            <v>6289.23</v>
          </cell>
          <cell r="AF64">
            <v>6433.47</v>
          </cell>
          <cell r="AG64">
            <v>6251.18</v>
          </cell>
          <cell r="AH64">
            <v>6291.48</v>
          </cell>
          <cell r="AI64">
            <v>6222.67</v>
          </cell>
          <cell r="AJ64">
            <v>6293.81</v>
          </cell>
          <cell r="AK64">
            <v>6146.45</v>
          </cell>
          <cell r="AL64">
            <v>6295.72</v>
          </cell>
          <cell r="AM64">
            <v>6468.44</v>
          </cell>
          <cell r="AN64">
            <v>6346.61</v>
          </cell>
          <cell r="AO64">
            <v>6384.68</v>
          </cell>
          <cell r="AP64">
            <v>6380.92</v>
          </cell>
          <cell r="AQ64">
            <v>6421.27</v>
          </cell>
          <cell r="AR64">
            <v>6248.93</v>
          </cell>
          <cell r="AS64">
            <v>6454.87</v>
          </cell>
          <cell r="AT64">
            <v>6350.82</v>
          </cell>
          <cell r="AU64">
            <v>6368.18</v>
          </cell>
          <cell r="AV64">
            <v>6410.05</v>
          </cell>
          <cell r="AW64">
            <v>6307.4</v>
          </cell>
          <cell r="AX64">
            <v>6115.34</v>
          </cell>
          <cell r="AY64">
            <v>6235.29</v>
          </cell>
          <cell r="AZ64">
            <v>6058.95</v>
          </cell>
          <cell r="BA64">
            <v>6058.95</v>
          </cell>
        </row>
        <row r="65">
          <cell r="A65" t="str">
            <v>V2000H45B25</v>
          </cell>
          <cell r="B65">
            <v>2000</v>
          </cell>
          <cell r="C65">
            <v>4500</v>
          </cell>
          <cell r="D65">
            <v>2500</v>
          </cell>
          <cell r="E65">
            <v>21</v>
          </cell>
          <cell r="F65">
            <v>3</v>
          </cell>
          <cell r="G65">
            <v>0</v>
          </cell>
          <cell r="H65">
            <v>350</v>
          </cell>
          <cell r="I65">
            <v>70</v>
          </cell>
          <cell r="J65">
            <v>2072.1</v>
          </cell>
          <cell r="K65" t="str">
            <v>Q-11002996</v>
          </cell>
          <cell r="L65" t="str">
            <v>\\hokukon-net2\hop\Program\01_MVPシステム_容量別組立図\.\02_余裕高0_6m\pdf\FB600_2000m3-MVP-4500-組-B2500_Q-11002996.pdf</v>
          </cell>
          <cell r="M65">
            <v>6578.57</v>
          </cell>
          <cell r="N65">
            <v>6634.34</v>
          </cell>
          <cell r="O65">
            <v>6516.29</v>
          </cell>
          <cell r="P65">
            <v>6518.17</v>
          </cell>
          <cell r="Q65">
            <v>6605.76</v>
          </cell>
          <cell r="R65">
            <v>6564.69</v>
          </cell>
          <cell r="S65">
            <v>6550.5</v>
          </cell>
          <cell r="T65">
            <v>6552.76</v>
          </cell>
          <cell r="U65">
            <v>6558.15</v>
          </cell>
          <cell r="V65">
            <v>6535.97</v>
          </cell>
          <cell r="W65">
            <v>6562.96</v>
          </cell>
          <cell r="X65">
            <v>6587.02</v>
          </cell>
          <cell r="Y65">
            <v>6590.14</v>
          </cell>
          <cell r="Z65">
            <v>6717.56</v>
          </cell>
          <cell r="AA65">
            <v>6615.4</v>
          </cell>
          <cell r="AB65">
            <v>6618.48</v>
          </cell>
          <cell r="AC65">
            <v>6762.68</v>
          </cell>
          <cell r="AD65">
            <v>6534.33</v>
          </cell>
          <cell r="AE65">
            <v>6594.04</v>
          </cell>
          <cell r="AF65">
            <v>6740.51</v>
          </cell>
          <cell r="AG65">
            <v>6556.29</v>
          </cell>
          <cell r="AH65">
            <v>6597.17</v>
          </cell>
          <cell r="AI65">
            <v>6527.92</v>
          </cell>
          <cell r="AJ65">
            <v>6599.06</v>
          </cell>
          <cell r="AK65">
            <v>6450.38</v>
          </cell>
          <cell r="AL65">
            <v>6601.08</v>
          </cell>
          <cell r="AM65">
            <v>6776.14</v>
          </cell>
          <cell r="AN65">
            <v>6652.93</v>
          </cell>
          <cell r="AO65">
            <v>6690.86</v>
          </cell>
          <cell r="AP65">
            <v>6687.5</v>
          </cell>
          <cell r="AQ65">
            <v>6728.54</v>
          </cell>
          <cell r="AR65">
            <v>6551.7</v>
          </cell>
          <cell r="AS65">
            <v>6760.45</v>
          </cell>
          <cell r="AT65">
            <v>6656.01</v>
          </cell>
          <cell r="AU65">
            <v>6673.8</v>
          </cell>
          <cell r="AV65">
            <v>6715.32</v>
          </cell>
          <cell r="AW65">
            <v>6611.3</v>
          </cell>
          <cell r="AX65">
            <v>6417.51</v>
          </cell>
          <cell r="AY65">
            <v>6538.04</v>
          </cell>
          <cell r="AZ65">
            <v>6359.89</v>
          </cell>
          <cell r="BA65">
            <v>6359.89</v>
          </cell>
        </row>
        <row r="66">
          <cell r="A66" t="str">
            <v>V2000H45B20</v>
          </cell>
          <cell r="B66">
            <v>2000</v>
          </cell>
          <cell r="C66">
            <v>4500</v>
          </cell>
          <cell r="D66">
            <v>2000</v>
          </cell>
          <cell r="E66">
            <v>18</v>
          </cell>
          <cell r="F66">
            <v>4</v>
          </cell>
          <cell r="G66">
            <v>0</v>
          </cell>
          <cell r="H66">
            <v>350</v>
          </cell>
          <cell r="I66">
            <v>70</v>
          </cell>
          <cell r="J66">
            <v>2088.5</v>
          </cell>
          <cell r="K66" t="str">
            <v>Q-11002995</v>
          </cell>
          <cell r="L66" t="str">
            <v>\\hokukon-net2\hop\Program\01_MVPシステム_容量別組立図\.\02_余裕高0_6m\pdf\FB600_2000m3-MVP-4500-組-B2000_Q-11002995.pdf</v>
          </cell>
          <cell r="M66">
            <v>6950.12</v>
          </cell>
          <cell r="N66">
            <v>7007.07</v>
          </cell>
          <cell r="O66">
            <v>6889.54</v>
          </cell>
          <cell r="P66">
            <v>6891.41</v>
          </cell>
          <cell r="Q66">
            <v>6977.34</v>
          </cell>
          <cell r="R66">
            <v>6935.47</v>
          </cell>
          <cell r="S66">
            <v>6919.95</v>
          </cell>
          <cell r="T66">
            <v>6922.22</v>
          </cell>
          <cell r="U66">
            <v>6934.78</v>
          </cell>
          <cell r="V66">
            <v>6911.6</v>
          </cell>
          <cell r="W66">
            <v>6938.69</v>
          </cell>
          <cell r="X66">
            <v>6965.6</v>
          </cell>
          <cell r="Y66">
            <v>6969.18</v>
          </cell>
          <cell r="Z66">
            <v>7099.67</v>
          </cell>
          <cell r="AA66">
            <v>6997.05</v>
          </cell>
          <cell r="AB66">
            <v>6997.88</v>
          </cell>
          <cell r="AC66">
            <v>7139.83</v>
          </cell>
          <cell r="AD66">
            <v>6905.67</v>
          </cell>
          <cell r="AE66">
            <v>6968.27</v>
          </cell>
          <cell r="AF66">
            <v>7117.42</v>
          </cell>
          <cell r="AG66">
            <v>6933.3</v>
          </cell>
          <cell r="AH66">
            <v>6975.14</v>
          </cell>
          <cell r="AI66">
            <v>6905.93</v>
          </cell>
          <cell r="AJ66">
            <v>6975.34</v>
          </cell>
          <cell r="AK66">
            <v>6825.95</v>
          </cell>
          <cell r="AL66">
            <v>6977.31</v>
          </cell>
          <cell r="AM66">
            <v>7154.56</v>
          </cell>
          <cell r="AN66">
            <v>7031.15</v>
          </cell>
          <cell r="AO66">
            <v>7067.63</v>
          </cell>
          <cell r="AP66">
            <v>7065.53</v>
          </cell>
          <cell r="AQ66">
            <v>7107.26</v>
          </cell>
          <cell r="AR66">
            <v>6921.77</v>
          </cell>
          <cell r="AS66">
            <v>7132.58</v>
          </cell>
          <cell r="AT66">
            <v>7030.27</v>
          </cell>
          <cell r="AU66">
            <v>7048.23</v>
          </cell>
          <cell r="AV66">
            <v>7088.21</v>
          </cell>
          <cell r="AW66">
            <v>6982.86</v>
          </cell>
          <cell r="AX66">
            <v>6788.55</v>
          </cell>
          <cell r="AY66">
            <v>6908.29</v>
          </cell>
          <cell r="AZ66">
            <v>6729.16</v>
          </cell>
          <cell r="BA66">
            <v>6729.16</v>
          </cell>
        </row>
        <row r="67">
          <cell r="A67" t="str">
            <v>V3000H15B30</v>
          </cell>
          <cell r="B67">
            <v>3000</v>
          </cell>
          <cell r="C67">
            <v>1500</v>
          </cell>
          <cell r="D67">
            <v>3000</v>
          </cell>
          <cell r="E67">
            <v>49</v>
          </cell>
          <cell r="F67">
            <v>5</v>
          </cell>
          <cell r="G67">
            <v>0</v>
          </cell>
          <cell r="H67">
            <v>350</v>
          </cell>
          <cell r="I67">
            <v>50</v>
          </cell>
          <cell r="J67">
            <v>3035.6</v>
          </cell>
          <cell r="K67" t="str">
            <v>Q-12001288</v>
          </cell>
          <cell r="L67" t="str">
            <v>\\hokukon-net2\hop\Program\01_MVPシステム_容量別組立図\.\02_余裕高0_6m\pdf\FB600_3000m3-MVP-1500-組-B3000_Q-12001288.pdf</v>
          </cell>
          <cell r="M67">
            <v>19880.53</v>
          </cell>
          <cell r="N67">
            <v>20187.79</v>
          </cell>
          <cell r="O67">
            <v>19444.25</v>
          </cell>
          <cell r="P67">
            <v>19455.21</v>
          </cell>
          <cell r="Q67">
            <v>20046.22</v>
          </cell>
          <cell r="R67">
            <v>19810.55</v>
          </cell>
          <cell r="S67">
            <v>19766.900000000001</v>
          </cell>
          <cell r="T67">
            <v>19780.12</v>
          </cell>
          <cell r="U67">
            <v>19588.2</v>
          </cell>
          <cell r="V67">
            <v>19479.64</v>
          </cell>
          <cell r="W67">
            <v>19636.099999999999</v>
          </cell>
          <cell r="X67">
            <v>19697.009999999998</v>
          </cell>
          <cell r="Y67">
            <v>19704.46</v>
          </cell>
          <cell r="Z67">
            <v>20389.21</v>
          </cell>
          <cell r="AA67">
            <v>19785.919999999998</v>
          </cell>
          <cell r="AB67">
            <v>19869.41</v>
          </cell>
          <cell r="AC67">
            <v>20832.32</v>
          </cell>
          <cell r="AD67">
            <v>19626.900000000001</v>
          </cell>
          <cell r="AE67">
            <v>19905.599999999999</v>
          </cell>
          <cell r="AF67">
            <v>20722.8</v>
          </cell>
          <cell r="AG67">
            <v>19588.3</v>
          </cell>
          <cell r="AH67">
            <v>19805.73</v>
          </cell>
          <cell r="AI67">
            <v>19377.87</v>
          </cell>
          <cell r="AJ67">
            <v>19872.27</v>
          </cell>
          <cell r="AK67">
            <v>18935.28</v>
          </cell>
          <cell r="AL67">
            <v>19846.2</v>
          </cell>
          <cell r="AM67">
            <v>20857.7</v>
          </cell>
          <cell r="AN67">
            <v>20101.310000000001</v>
          </cell>
          <cell r="AO67">
            <v>20380.66</v>
          </cell>
          <cell r="AP67">
            <v>20320.32</v>
          </cell>
          <cell r="AQ67">
            <v>20548.86</v>
          </cell>
          <cell r="AR67">
            <v>19764.669999999998</v>
          </cell>
          <cell r="AS67">
            <v>20989.87</v>
          </cell>
          <cell r="AT67">
            <v>20278.71</v>
          </cell>
          <cell r="AU67">
            <v>20385.759999999998</v>
          </cell>
          <cell r="AV67">
            <v>20689.18</v>
          </cell>
          <cell r="AW67">
            <v>20105.02</v>
          </cell>
          <cell r="AX67">
            <v>18925.849999999999</v>
          </cell>
          <cell r="AY67">
            <v>19695.150000000001</v>
          </cell>
          <cell r="AZ67">
            <v>18630.28</v>
          </cell>
          <cell r="BA67">
            <v>18630.28</v>
          </cell>
        </row>
        <row r="68">
          <cell r="A68" t="str">
            <v>V3000H15B25</v>
          </cell>
          <cell r="B68">
            <v>3000</v>
          </cell>
          <cell r="C68">
            <v>1500</v>
          </cell>
          <cell r="D68">
            <v>2500</v>
          </cell>
          <cell r="E68">
            <v>45</v>
          </cell>
          <cell r="F68">
            <v>6</v>
          </cell>
          <cell r="G68">
            <v>0</v>
          </cell>
          <cell r="H68">
            <v>350</v>
          </cell>
          <cell r="I68">
            <v>50</v>
          </cell>
          <cell r="J68">
            <v>3053.2</v>
          </cell>
          <cell r="K68" t="str">
            <v>Q-12001287</v>
          </cell>
          <cell r="L68" t="str">
            <v>\\hokukon-net2\hop\Program\01_MVPシステム_容量別組立図\.\02_余裕高0_6m\pdf\FB600_3000m3-MVP-1500-組-B2500_Q-12001287.pdf</v>
          </cell>
          <cell r="M68">
            <v>20391.669999999998</v>
          </cell>
          <cell r="N68">
            <v>20701.05</v>
          </cell>
          <cell r="O68">
            <v>19955.490000000002</v>
          </cell>
          <cell r="P68">
            <v>19966.509999999998</v>
          </cell>
          <cell r="Q68">
            <v>20557.8</v>
          </cell>
          <cell r="R68">
            <v>20320.36</v>
          </cell>
          <cell r="S68">
            <v>20274.72</v>
          </cell>
          <cell r="T68">
            <v>20288.05</v>
          </cell>
          <cell r="U68">
            <v>20104.96</v>
          </cell>
          <cell r="V68">
            <v>19994.53</v>
          </cell>
          <cell r="W68">
            <v>20152.25</v>
          </cell>
          <cell r="X68">
            <v>20217.04</v>
          </cell>
          <cell r="Y68">
            <v>20225.150000000001</v>
          </cell>
          <cell r="Z68">
            <v>20917.12</v>
          </cell>
          <cell r="AA68">
            <v>20311.02</v>
          </cell>
          <cell r="AB68">
            <v>20391.419999999998</v>
          </cell>
          <cell r="AC68">
            <v>21355.88</v>
          </cell>
          <cell r="AD68">
            <v>20139.18</v>
          </cell>
          <cell r="AE68">
            <v>20422.61</v>
          </cell>
          <cell r="AF68">
            <v>21247.040000000001</v>
          </cell>
          <cell r="AG68">
            <v>20107.97</v>
          </cell>
          <cell r="AH68">
            <v>20327.32</v>
          </cell>
          <cell r="AI68">
            <v>19898.09</v>
          </cell>
          <cell r="AJ68">
            <v>20392.11</v>
          </cell>
          <cell r="AK68">
            <v>19447.939999999999</v>
          </cell>
          <cell r="AL68">
            <v>20362.86</v>
          </cell>
          <cell r="AM68">
            <v>21381.63</v>
          </cell>
          <cell r="AN68">
            <v>20621.43</v>
          </cell>
          <cell r="AO68">
            <v>20899.86</v>
          </cell>
          <cell r="AP68">
            <v>20840.939999999999</v>
          </cell>
          <cell r="AQ68">
            <v>21071.45</v>
          </cell>
          <cell r="AR68">
            <v>20274.91</v>
          </cell>
          <cell r="AS68">
            <v>21508.35</v>
          </cell>
          <cell r="AT68">
            <v>20797.2</v>
          </cell>
          <cell r="AU68">
            <v>20905.259999999998</v>
          </cell>
          <cell r="AV68">
            <v>21207.39</v>
          </cell>
          <cell r="AW68">
            <v>20619.73</v>
          </cell>
          <cell r="AX68">
            <v>19435.7</v>
          </cell>
          <cell r="AY68">
            <v>20206.41</v>
          </cell>
          <cell r="AZ68">
            <v>19136.490000000002</v>
          </cell>
          <cell r="BA68">
            <v>19136.490000000002</v>
          </cell>
        </row>
        <row r="69">
          <cell r="A69" t="str">
            <v>V3000H15B20</v>
          </cell>
          <cell r="B69">
            <v>3000</v>
          </cell>
          <cell r="C69">
            <v>1500</v>
          </cell>
          <cell r="D69">
            <v>2000</v>
          </cell>
          <cell r="E69">
            <v>49</v>
          </cell>
          <cell r="F69">
            <v>6</v>
          </cell>
          <cell r="G69">
            <v>0</v>
          </cell>
          <cell r="H69">
            <v>350</v>
          </cell>
          <cell r="I69">
            <v>50</v>
          </cell>
          <cell r="J69">
            <v>3051.6</v>
          </cell>
          <cell r="K69" t="str">
            <v>Q-12001286</v>
          </cell>
          <cell r="L69" t="str">
            <v>\\hokukon-net2\hop\Program\01_MVPシステム_容量別組立図\.\02_余裕高0_6m\pdf\FB600_3000m3-MVP-1500-組-B2000_Q-12001286.pdf</v>
          </cell>
          <cell r="M69">
            <v>20829.96</v>
          </cell>
          <cell r="N69">
            <v>21139.79</v>
          </cell>
          <cell r="O69">
            <v>20395.36</v>
          </cell>
          <cell r="P69">
            <v>20406.400000000001</v>
          </cell>
          <cell r="Q69">
            <v>20995.34</v>
          </cell>
          <cell r="R69">
            <v>20757.28</v>
          </cell>
          <cell r="S69">
            <v>20709.88</v>
          </cell>
          <cell r="T69">
            <v>20723.22</v>
          </cell>
          <cell r="U69">
            <v>20548.79</v>
          </cell>
          <cell r="V69">
            <v>20436.900000000001</v>
          </cell>
          <cell r="W69">
            <v>20595.66</v>
          </cell>
          <cell r="X69">
            <v>20663.72</v>
          </cell>
          <cell r="Y69">
            <v>20672.25</v>
          </cell>
          <cell r="Z69">
            <v>21368.5</v>
          </cell>
          <cell r="AA69">
            <v>20762.48</v>
          </cell>
          <cell r="AB69">
            <v>20839.5</v>
          </cell>
          <cell r="AC69">
            <v>21801.919999999998</v>
          </cell>
          <cell r="AD69">
            <v>20579.939999999999</v>
          </cell>
          <cell r="AE69">
            <v>20866.8</v>
          </cell>
          <cell r="AF69">
            <v>21694.79</v>
          </cell>
          <cell r="AG69">
            <v>20555.509999999998</v>
          </cell>
          <cell r="AH69">
            <v>20775.37</v>
          </cell>
          <cell r="AI69">
            <v>20346.98</v>
          </cell>
          <cell r="AJ69">
            <v>20838.599999999999</v>
          </cell>
          <cell r="AK69">
            <v>19891.11</v>
          </cell>
          <cell r="AL69">
            <v>20805.900000000001</v>
          </cell>
          <cell r="AM69">
            <v>21827.74</v>
          </cell>
          <cell r="AN69">
            <v>21066.62</v>
          </cell>
          <cell r="AO69">
            <v>21343.08</v>
          </cell>
          <cell r="AP69">
            <v>21285.69</v>
          </cell>
          <cell r="AQ69">
            <v>21517.4</v>
          </cell>
          <cell r="AR69">
            <v>20712.55</v>
          </cell>
          <cell r="AS69">
            <v>21949.35</v>
          </cell>
          <cell r="AT69">
            <v>21240.81</v>
          </cell>
          <cell r="AU69">
            <v>21349.72</v>
          </cell>
          <cell r="AV69">
            <v>21649.03</v>
          </cell>
          <cell r="AW69">
            <v>21060.71</v>
          </cell>
          <cell r="AX69">
            <v>19876.990000000002</v>
          </cell>
          <cell r="AY69">
            <v>20645.57</v>
          </cell>
          <cell r="AZ69">
            <v>19575.37</v>
          </cell>
          <cell r="BA69">
            <v>19575.37</v>
          </cell>
        </row>
        <row r="70">
          <cell r="A70" t="str">
            <v>V3000H20B30</v>
          </cell>
          <cell r="B70">
            <v>3000</v>
          </cell>
          <cell r="C70">
            <v>2000</v>
          </cell>
          <cell r="D70">
            <v>3000</v>
          </cell>
          <cell r="E70">
            <v>38</v>
          </cell>
          <cell r="F70">
            <v>4</v>
          </cell>
          <cell r="G70">
            <v>0</v>
          </cell>
          <cell r="H70">
            <v>350</v>
          </cell>
          <cell r="I70">
            <v>50</v>
          </cell>
          <cell r="J70">
            <v>3009.8</v>
          </cell>
          <cell r="K70" t="str">
            <v>Q-12001291</v>
          </cell>
          <cell r="L70" t="str">
            <v>\\hokukon-net2\hop\Program\01_MVPシステム_容量別組立図\.\02_余裕高0_6m\pdf\FB600_3000m3-MVP-2000-組-B3000_Q-12001291.pdf</v>
          </cell>
          <cell r="M70">
            <v>13459.11</v>
          </cell>
          <cell r="N70">
            <v>13657.75</v>
          </cell>
          <cell r="O70">
            <v>13181.6</v>
          </cell>
          <cell r="P70">
            <v>13351.51</v>
          </cell>
          <cell r="Q70">
            <v>13565.13</v>
          </cell>
          <cell r="R70">
            <v>13413.67</v>
          </cell>
          <cell r="S70">
            <v>13384.2</v>
          </cell>
          <cell r="T70">
            <v>13392.7</v>
          </cell>
          <cell r="U70">
            <v>13278.45</v>
          </cell>
          <cell r="V70">
            <v>13207.75</v>
          </cell>
          <cell r="W70">
            <v>13307.98</v>
          </cell>
          <cell r="X70">
            <v>13350.39</v>
          </cell>
          <cell r="Y70">
            <v>13355.49</v>
          </cell>
          <cell r="Z70">
            <v>13797.72</v>
          </cell>
          <cell r="AA70">
            <v>13409.59</v>
          </cell>
          <cell r="AB70">
            <v>13461.27</v>
          </cell>
          <cell r="AC70">
            <v>14075.83</v>
          </cell>
          <cell r="AD70">
            <v>13295.91</v>
          </cell>
          <cell r="AE70">
            <v>13478.01</v>
          </cell>
          <cell r="AF70">
            <v>14004.86</v>
          </cell>
          <cell r="AG70">
            <v>13278.31</v>
          </cell>
          <cell r="AH70">
            <v>13419.12</v>
          </cell>
          <cell r="AI70">
            <v>13144.57</v>
          </cell>
          <cell r="AJ70">
            <v>13459.86</v>
          </cell>
          <cell r="AK70">
            <v>12856.92</v>
          </cell>
          <cell r="AL70">
            <v>13442.5</v>
          </cell>
          <cell r="AM70">
            <v>14093.81</v>
          </cell>
          <cell r="AN70">
            <v>13608.9</v>
          </cell>
          <cell r="AO70">
            <v>13786.44</v>
          </cell>
          <cell r="AP70">
            <v>13749.15</v>
          </cell>
          <cell r="AQ70">
            <v>13896.37</v>
          </cell>
          <cell r="AR70">
            <v>13384.47</v>
          </cell>
          <cell r="AS70">
            <v>14171.83</v>
          </cell>
          <cell r="AT70">
            <v>13718.35</v>
          </cell>
          <cell r="AU70">
            <v>13786.4</v>
          </cell>
          <cell r="AV70">
            <v>13979.81</v>
          </cell>
          <cell r="AW70">
            <v>13603.52</v>
          </cell>
          <cell r="AX70">
            <v>12846.05</v>
          </cell>
          <cell r="AY70">
            <v>13339.46</v>
          </cell>
          <cell r="AZ70">
            <v>12654.65</v>
          </cell>
          <cell r="BA70">
            <v>12654.65</v>
          </cell>
        </row>
        <row r="71">
          <cell r="A71" t="str">
            <v>V3000H20B25</v>
          </cell>
          <cell r="B71">
            <v>3000</v>
          </cell>
          <cell r="C71">
            <v>2000</v>
          </cell>
          <cell r="D71">
            <v>2500</v>
          </cell>
          <cell r="E71">
            <v>34</v>
          </cell>
          <cell r="F71">
            <v>5</v>
          </cell>
          <cell r="G71">
            <v>0</v>
          </cell>
          <cell r="H71">
            <v>350</v>
          </cell>
          <cell r="I71">
            <v>50</v>
          </cell>
          <cell r="J71">
            <v>3057.5</v>
          </cell>
          <cell r="K71" t="str">
            <v>Q-12001290</v>
          </cell>
          <cell r="L71" t="str">
            <v>\\hokukon-net2\hop\Program\01_MVPシステム_容量別組立図\.\02_余裕高0_6m\pdf\FB600_3000m3-MVP-2000-組-B2500_Q-12001290.pdf</v>
          </cell>
          <cell r="M71">
            <v>13958.33</v>
          </cell>
          <cell r="N71">
            <v>14160.37</v>
          </cell>
          <cell r="O71">
            <v>13678.75</v>
          </cell>
          <cell r="P71">
            <v>13685.91</v>
          </cell>
          <cell r="Q71">
            <v>14065.66</v>
          </cell>
          <cell r="R71">
            <v>13911.6</v>
          </cell>
          <cell r="S71">
            <v>13880.4</v>
          </cell>
          <cell r="T71">
            <v>13889.04</v>
          </cell>
          <cell r="U71">
            <v>13780.65</v>
          </cell>
          <cell r="V71">
            <v>13707.95</v>
          </cell>
          <cell r="W71">
            <v>13809.78</v>
          </cell>
          <cell r="X71">
            <v>13855.56</v>
          </cell>
          <cell r="Y71">
            <v>13861.22</v>
          </cell>
          <cell r="Z71">
            <v>14312.42</v>
          </cell>
          <cell r="AA71">
            <v>13918.92</v>
          </cell>
          <cell r="AB71">
            <v>13968.75</v>
          </cell>
          <cell r="AC71">
            <v>14589.41</v>
          </cell>
          <cell r="AD71">
            <v>13794.34</v>
          </cell>
          <cell r="AE71">
            <v>13981.55</v>
          </cell>
          <cell r="AF71">
            <v>14518.09</v>
          </cell>
          <cell r="AG71">
            <v>13782.31</v>
          </cell>
          <cell r="AH71">
            <v>13925.81</v>
          </cell>
          <cell r="AI71">
            <v>13647.82</v>
          </cell>
          <cell r="AJ71">
            <v>13965.49</v>
          </cell>
          <cell r="AK71">
            <v>13352.3</v>
          </cell>
          <cell r="AL71">
            <v>13945.9</v>
          </cell>
          <cell r="AM71">
            <v>14607.94</v>
          </cell>
          <cell r="AN71">
            <v>14116.32</v>
          </cell>
          <cell r="AO71">
            <v>14294.62</v>
          </cell>
          <cell r="AP71">
            <v>14258.11</v>
          </cell>
          <cell r="AQ71">
            <v>14407.98</v>
          </cell>
          <cell r="AR71">
            <v>13882.36</v>
          </cell>
          <cell r="AS71">
            <v>14682.21</v>
          </cell>
          <cell r="AT71">
            <v>14225.1</v>
          </cell>
          <cell r="AU71">
            <v>14294.29</v>
          </cell>
          <cell r="AV71">
            <v>14488.5</v>
          </cell>
          <cell r="AW71">
            <v>14106.4</v>
          </cell>
          <cell r="AX71">
            <v>13338.87</v>
          </cell>
          <cell r="AY71">
            <v>13837.62</v>
          </cell>
          <cell r="AZ71">
            <v>13143.19</v>
          </cell>
          <cell r="BA71">
            <v>13143.19</v>
          </cell>
        </row>
        <row r="72">
          <cell r="A72" t="str">
            <v>V3000H20B20</v>
          </cell>
          <cell r="B72">
            <v>3000</v>
          </cell>
          <cell r="C72">
            <v>2000</v>
          </cell>
          <cell r="D72">
            <v>2000</v>
          </cell>
          <cell r="E72">
            <v>37</v>
          </cell>
          <cell r="F72">
            <v>5</v>
          </cell>
          <cell r="G72">
            <v>0</v>
          </cell>
          <cell r="H72">
            <v>350</v>
          </cell>
          <cell r="I72">
            <v>50</v>
          </cell>
          <cell r="J72">
            <v>3057.3</v>
          </cell>
          <cell r="K72" t="str">
            <v>Q-12001289</v>
          </cell>
          <cell r="L72" t="str">
            <v>\\hokukon-net2\hop\Program\01_MVPシステム_容量別組立図\.\02_余裕高0_6m\pdf\FB600_3000m3-MVP-2000-組-B2000_Q-12001289.pdf</v>
          </cell>
          <cell r="M72">
            <v>14276.17</v>
          </cell>
          <cell r="N72">
            <v>14478.55</v>
          </cell>
          <cell r="O72">
            <v>13997.49</v>
          </cell>
          <cell r="P72">
            <v>14004.66</v>
          </cell>
          <cell r="Q72">
            <v>14383.03</v>
          </cell>
          <cell r="R72">
            <v>14228.51</v>
          </cell>
          <cell r="S72">
            <v>14196.19</v>
          </cell>
          <cell r="T72">
            <v>14204.85</v>
          </cell>
          <cell r="U72">
            <v>14101.97</v>
          </cell>
          <cell r="V72">
            <v>14028.34</v>
          </cell>
          <cell r="W72">
            <v>14130.85</v>
          </cell>
          <cell r="X72">
            <v>14178.74</v>
          </cell>
          <cell r="Y72">
            <v>14184.69</v>
          </cell>
          <cell r="Z72">
            <v>14638.78</v>
          </cell>
          <cell r="AA72">
            <v>14245.15</v>
          </cell>
          <cell r="AB72">
            <v>14292.86</v>
          </cell>
          <cell r="AC72">
            <v>14912.41</v>
          </cell>
          <cell r="AD72">
            <v>14113.68</v>
          </cell>
          <cell r="AE72">
            <v>14303.14</v>
          </cell>
          <cell r="AF72">
            <v>14842.15</v>
          </cell>
          <cell r="AG72">
            <v>14105.99</v>
          </cell>
          <cell r="AH72">
            <v>14249.88</v>
          </cell>
          <cell r="AI72">
            <v>13972.34</v>
          </cell>
          <cell r="AJ72">
            <v>14288.57</v>
          </cell>
          <cell r="AK72">
            <v>13673.05</v>
          </cell>
          <cell r="AL72">
            <v>14266.76</v>
          </cell>
          <cell r="AM72">
            <v>14931</v>
          </cell>
          <cell r="AN72">
            <v>14438.64</v>
          </cell>
          <cell r="AO72">
            <v>14615.74</v>
          </cell>
          <cell r="AP72">
            <v>14580.2</v>
          </cell>
          <cell r="AQ72">
            <v>14730.89</v>
          </cell>
          <cell r="AR72">
            <v>14199.75</v>
          </cell>
          <cell r="AS72">
            <v>15002.01</v>
          </cell>
          <cell r="AT72">
            <v>14546.41</v>
          </cell>
          <cell r="AU72">
            <v>14616.18</v>
          </cell>
          <cell r="AV72">
            <v>14808.65</v>
          </cell>
          <cell r="AW72">
            <v>14425.98</v>
          </cell>
          <cell r="AX72">
            <v>13658.39</v>
          </cell>
          <cell r="AY72">
            <v>14155.94</v>
          </cell>
          <cell r="AZ72">
            <v>13461.09</v>
          </cell>
          <cell r="BA72">
            <v>13461.09</v>
          </cell>
        </row>
        <row r="73">
          <cell r="A73" t="str">
            <v>V3000H25B30</v>
          </cell>
          <cell r="B73">
            <v>3000</v>
          </cell>
          <cell r="C73">
            <v>2500</v>
          </cell>
          <cell r="D73">
            <v>3000</v>
          </cell>
          <cell r="E73">
            <v>37</v>
          </cell>
          <cell r="F73">
            <v>5</v>
          </cell>
          <cell r="G73">
            <v>0</v>
          </cell>
          <cell r="H73">
            <v>300</v>
          </cell>
          <cell r="I73">
            <v>50</v>
          </cell>
          <cell r="J73">
            <v>3022.9</v>
          </cell>
          <cell r="K73" t="str">
            <v>Q-12001294</v>
          </cell>
          <cell r="L73" t="str">
            <v>\\hokukon-net2\hop\Program\01_MVPシステム_容量別組立図\.\02_余裕高0_6m\pdf\FB600_3000m3-MVP-2500-組-B3000_Q-12001294.pdf</v>
          </cell>
          <cell r="M73">
            <v>12263.97</v>
          </cell>
          <cell r="N73">
            <v>12402.18</v>
          </cell>
          <cell r="O73">
            <v>12082.57</v>
          </cell>
          <cell r="P73">
            <v>12087.52</v>
          </cell>
          <cell r="Q73">
            <v>12337.55</v>
          </cell>
          <cell r="R73">
            <v>12233.37</v>
          </cell>
          <cell r="S73">
            <v>12207.32</v>
          </cell>
          <cell r="T73">
            <v>12213.29</v>
          </cell>
          <cell r="U73">
            <v>12175.45</v>
          </cell>
          <cell r="V73">
            <v>12121.27</v>
          </cell>
          <cell r="W73">
            <v>12193.36</v>
          </cell>
          <cell r="X73">
            <v>12239.27</v>
          </cell>
          <cell r="Y73">
            <v>12246.78</v>
          </cell>
          <cell r="Z73">
            <v>12564.55</v>
          </cell>
          <cell r="AA73">
            <v>12295.45</v>
          </cell>
          <cell r="AB73">
            <v>12317.53</v>
          </cell>
          <cell r="AC73">
            <v>12723.24</v>
          </cell>
          <cell r="AD73">
            <v>12162.78</v>
          </cell>
          <cell r="AE73">
            <v>12297.5</v>
          </cell>
          <cell r="AF73">
            <v>12671.82</v>
          </cell>
          <cell r="AG73">
            <v>12185.02</v>
          </cell>
          <cell r="AH73">
            <v>12287.08</v>
          </cell>
          <cell r="AI73">
            <v>12098.71</v>
          </cell>
          <cell r="AJ73">
            <v>12306.7</v>
          </cell>
          <cell r="AK73">
            <v>11882.78</v>
          </cell>
          <cell r="AL73">
            <v>12280.73</v>
          </cell>
          <cell r="AM73">
            <v>12734.93</v>
          </cell>
          <cell r="AN73">
            <v>12402.4</v>
          </cell>
          <cell r="AO73">
            <v>12514.92</v>
          </cell>
          <cell r="AP73">
            <v>12499.12</v>
          </cell>
          <cell r="AQ73">
            <v>12600.28</v>
          </cell>
          <cell r="AR73">
            <v>12219.6</v>
          </cell>
          <cell r="AS73">
            <v>12766.18</v>
          </cell>
          <cell r="AT73">
            <v>12464.13</v>
          </cell>
          <cell r="AU73">
            <v>12511.89</v>
          </cell>
          <cell r="AV73">
            <v>12638.45</v>
          </cell>
          <cell r="AW73">
            <v>12370.81</v>
          </cell>
          <cell r="AX73">
            <v>11859.89</v>
          </cell>
          <cell r="AY73">
            <v>12187.68</v>
          </cell>
          <cell r="AZ73">
            <v>11717.34</v>
          </cell>
          <cell r="BA73">
            <v>11717.34</v>
          </cell>
        </row>
        <row r="74">
          <cell r="A74" t="str">
            <v>V3000H25B25</v>
          </cell>
          <cell r="B74">
            <v>3000</v>
          </cell>
          <cell r="C74">
            <v>2500</v>
          </cell>
          <cell r="D74">
            <v>2500</v>
          </cell>
          <cell r="E74">
            <v>34</v>
          </cell>
          <cell r="F74">
            <v>6</v>
          </cell>
          <cell r="G74">
            <v>0</v>
          </cell>
          <cell r="H74">
            <v>300</v>
          </cell>
          <cell r="I74">
            <v>50</v>
          </cell>
          <cell r="J74">
            <v>3002.4</v>
          </cell>
          <cell r="K74" t="str">
            <v>Q-12001293</v>
          </cell>
          <cell r="L74" t="str">
            <v>\\hokukon-net2\hop\Program\01_MVPシステム_容量別組立図\.\02_余裕高0_6m\pdf\FB600_3000m3-MVP-2500-組-B2500_Q-12001293.pdf</v>
          </cell>
          <cell r="M74">
            <v>12618.31</v>
          </cell>
          <cell r="N74">
            <v>12756.06</v>
          </cell>
          <cell r="O74">
            <v>12440.25</v>
          </cell>
          <cell r="P74">
            <v>12445.17</v>
          </cell>
          <cell r="Q74">
            <v>12691.16</v>
          </cell>
          <cell r="R74">
            <v>12587.45</v>
          </cell>
          <cell r="S74">
            <v>12560.15</v>
          </cell>
          <cell r="T74">
            <v>12566.08</v>
          </cell>
          <cell r="U74">
            <v>12536.48</v>
          </cell>
          <cell r="V74">
            <v>12481.65</v>
          </cell>
          <cell r="W74">
            <v>12553.67</v>
          </cell>
          <cell r="X74">
            <v>12602.24</v>
          </cell>
          <cell r="Y74">
            <v>12610</v>
          </cell>
          <cell r="Z74">
            <v>12928.5</v>
          </cell>
          <cell r="AA74">
            <v>12661.36</v>
          </cell>
          <cell r="AB74">
            <v>12680.67</v>
          </cell>
          <cell r="AC74">
            <v>13080.66</v>
          </cell>
          <cell r="AD74">
            <v>12519.52</v>
          </cell>
          <cell r="AE74">
            <v>12656</v>
          </cell>
          <cell r="AF74">
            <v>13030.27</v>
          </cell>
          <cell r="AG74">
            <v>12547.96</v>
          </cell>
          <cell r="AH74">
            <v>12650.29</v>
          </cell>
          <cell r="AI74">
            <v>12463.56</v>
          </cell>
          <cell r="AJ74">
            <v>12668.02</v>
          </cell>
          <cell r="AK74">
            <v>12244.89</v>
          </cell>
          <cell r="AL74">
            <v>12639.89</v>
          </cell>
          <cell r="AM74">
            <v>13092.6</v>
          </cell>
          <cell r="AN74">
            <v>12762.32</v>
          </cell>
          <cell r="AO74">
            <v>12872.26</v>
          </cell>
          <cell r="AP74">
            <v>12858.2</v>
          </cell>
          <cell r="AQ74">
            <v>12959.18</v>
          </cell>
          <cell r="AR74">
            <v>12574.18</v>
          </cell>
          <cell r="AS74">
            <v>13118.6</v>
          </cell>
          <cell r="AT74">
            <v>12821.52</v>
          </cell>
          <cell r="AU74">
            <v>12869.04</v>
          </cell>
          <cell r="AV74">
            <v>12992.76</v>
          </cell>
          <cell r="AW74">
            <v>12726.3</v>
          </cell>
          <cell r="AX74">
            <v>12219.85</v>
          </cell>
          <cell r="AY74">
            <v>12543.47</v>
          </cell>
          <cell r="AZ74">
            <v>12076.31</v>
          </cell>
          <cell r="BA74">
            <v>12076.31</v>
          </cell>
        </row>
        <row r="75">
          <cell r="A75" t="str">
            <v>V3000H25B20</v>
          </cell>
          <cell r="B75">
            <v>3000</v>
          </cell>
          <cell r="C75">
            <v>2500</v>
          </cell>
          <cell r="D75">
            <v>2000</v>
          </cell>
          <cell r="E75">
            <v>38</v>
          </cell>
          <cell r="F75">
            <v>6</v>
          </cell>
          <cell r="G75">
            <v>0</v>
          </cell>
          <cell r="H75">
            <v>300</v>
          </cell>
          <cell r="I75">
            <v>50</v>
          </cell>
          <cell r="J75">
            <v>3018.5</v>
          </cell>
          <cell r="K75" t="str">
            <v>Q-12001292</v>
          </cell>
          <cell r="L75" t="str">
            <v>\\hokukon-net2\hop\Program\01_MVPシステム_容量別組立図\.\02_余裕高0_6m\pdf\FB600_3000m3-MVP-2500-組-B2000_Q-12001292.pdf</v>
          </cell>
          <cell r="M75">
            <v>13194.09</v>
          </cell>
          <cell r="N75">
            <v>13332.82</v>
          </cell>
          <cell r="O75">
            <v>13016.47</v>
          </cell>
          <cell r="P75">
            <v>13226.14</v>
          </cell>
          <cell r="Q75">
            <v>13266.77</v>
          </cell>
          <cell r="R75">
            <v>13162.14</v>
          </cell>
          <cell r="S75">
            <v>13133.25</v>
          </cell>
          <cell r="T75">
            <v>13139.24</v>
          </cell>
          <cell r="U75">
            <v>13116.37</v>
          </cell>
          <cell r="V75">
            <v>13060.12</v>
          </cell>
          <cell r="W75">
            <v>13133.47</v>
          </cell>
          <cell r="X75">
            <v>13184.89</v>
          </cell>
          <cell r="Y75">
            <v>13192.94</v>
          </cell>
          <cell r="Z75">
            <v>13516.49</v>
          </cell>
          <cell r="AA75">
            <v>13248.1</v>
          </cell>
          <cell r="AB75">
            <v>13264.85</v>
          </cell>
          <cell r="AC75">
            <v>13665.13</v>
          </cell>
          <cell r="AD75">
            <v>13096.84</v>
          </cell>
          <cell r="AE75">
            <v>13236.69</v>
          </cell>
          <cell r="AF75">
            <v>13615.8</v>
          </cell>
          <cell r="AG75">
            <v>13130.96</v>
          </cell>
          <cell r="AH75">
            <v>13234.35</v>
          </cell>
          <cell r="AI75">
            <v>13047.22</v>
          </cell>
          <cell r="AJ75">
            <v>13250.9</v>
          </cell>
          <cell r="AK75">
            <v>12822.8</v>
          </cell>
          <cell r="AL75">
            <v>13219.72</v>
          </cell>
          <cell r="AM75">
            <v>13677.06</v>
          </cell>
          <cell r="AN75">
            <v>13344.26</v>
          </cell>
          <cell r="AO75">
            <v>13453.21</v>
          </cell>
          <cell r="AP75">
            <v>13440.55</v>
          </cell>
          <cell r="AQ75">
            <v>13542.88</v>
          </cell>
          <cell r="AR75">
            <v>13149.27</v>
          </cell>
          <cell r="AS75">
            <v>13699.26</v>
          </cell>
          <cell r="AT75">
            <v>13402.71</v>
          </cell>
          <cell r="AU75">
            <v>13451.14</v>
          </cell>
          <cell r="AV75">
            <v>13573.31</v>
          </cell>
          <cell r="AW75">
            <v>13304.86</v>
          </cell>
          <cell r="AX75">
            <v>12796.36</v>
          </cell>
          <cell r="AY75">
            <v>13119.73</v>
          </cell>
          <cell r="AZ75">
            <v>12649.94</v>
          </cell>
          <cell r="BA75">
            <v>12649.94</v>
          </cell>
        </row>
        <row r="76">
          <cell r="A76" t="str">
            <v>V3000H30B30</v>
          </cell>
          <cell r="B76">
            <v>3000</v>
          </cell>
          <cell r="C76">
            <v>3000</v>
          </cell>
          <cell r="D76">
            <v>3000</v>
          </cell>
          <cell r="E76">
            <v>29</v>
          </cell>
          <cell r="F76">
            <v>5</v>
          </cell>
          <cell r="G76">
            <v>0</v>
          </cell>
          <cell r="H76">
            <v>300</v>
          </cell>
          <cell r="I76">
            <v>50</v>
          </cell>
          <cell r="J76">
            <v>3008.3</v>
          </cell>
          <cell r="K76" t="str">
            <v>Q-12001297</v>
          </cell>
          <cell r="L76" t="str">
            <v>\\hokukon-net2\hop\Program\01_MVPシステム_容量別組立図\.\02_余裕高0_6m\pdf\FB600_3000m3-MVP-3000-組-B3000_Q-12001297.pdf</v>
          </cell>
          <cell r="M76">
            <v>10411.15</v>
          </cell>
          <cell r="N76">
            <v>10521.66</v>
          </cell>
          <cell r="O76">
            <v>10271.129999999999</v>
          </cell>
          <cell r="P76">
            <v>10275.040000000001</v>
          </cell>
          <cell r="Q76">
            <v>10468.34</v>
          </cell>
          <cell r="R76">
            <v>10384.44</v>
          </cell>
          <cell r="S76">
            <v>10361.34</v>
          </cell>
          <cell r="T76">
            <v>10366.049999999999</v>
          </cell>
          <cell r="U76">
            <v>10351.219999999999</v>
          </cell>
          <cell r="V76">
            <v>10306.44</v>
          </cell>
          <cell r="W76">
            <v>10362.93</v>
          </cell>
          <cell r="X76">
            <v>10404.69</v>
          </cell>
          <cell r="Y76">
            <v>10412.299999999999</v>
          </cell>
          <cell r="Z76">
            <v>10668.18</v>
          </cell>
          <cell r="AA76">
            <v>10455.84</v>
          </cell>
          <cell r="AB76">
            <v>10467.94</v>
          </cell>
          <cell r="AC76">
            <v>10783.19</v>
          </cell>
          <cell r="AD76">
            <v>10333.65</v>
          </cell>
          <cell r="AE76">
            <v>10445.24</v>
          </cell>
          <cell r="AF76">
            <v>10744.34</v>
          </cell>
          <cell r="AG76">
            <v>10362.17</v>
          </cell>
          <cell r="AH76">
            <v>10442.89</v>
          </cell>
          <cell r="AI76">
            <v>10296.370000000001</v>
          </cell>
          <cell r="AJ76">
            <v>10455.39</v>
          </cell>
          <cell r="AK76">
            <v>10119.1</v>
          </cell>
          <cell r="AL76">
            <v>10431.89</v>
          </cell>
          <cell r="AM76">
            <v>10793.64</v>
          </cell>
          <cell r="AN76">
            <v>10532.49</v>
          </cell>
          <cell r="AO76">
            <v>10617.51</v>
          </cell>
          <cell r="AP76">
            <v>10606.18</v>
          </cell>
          <cell r="AQ76">
            <v>10687.74</v>
          </cell>
          <cell r="AR76">
            <v>10374.91</v>
          </cell>
          <cell r="AS76">
            <v>10807.79</v>
          </cell>
          <cell r="AT76">
            <v>10575.21</v>
          </cell>
          <cell r="AU76">
            <v>10613.68</v>
          </cell>
          <cell r="AV76">
            <v>10708.99</v>
          </cell>
          <cell r="AW76">
            <v>10497.49</v>
          </cell>
          <cell r="AX76">
            <v>10094.450000000001</v>
          </cell>
          <cell r="AY76">
            <v>10350.68</v>
          </cell>
          <cell r="AZ76">
            <v>9980.43</v>
          </cell>
          <cell r="BA76">
            <v>9980.43</v>
          </cell>
        </row>
        <row r="77">
          <cell r="A77" t="str">
            <v>V3000H30B25</v>
          </cell>
          <cell r="B77">
            <v>3000</v>
          </cell>
          <cell r="C77">
            <v>3000</v>
          </cell>
          <cell r="D77">
            <v>2500</v>
          </cell>
          <cell r="E77">
            <v>32</v>
          </cell>
          <cell r="F77">
            <v>5</v>
          </cell>
          <cell r="G77">
            <v>0</v>
          </cell>
          <cell r="H77">
            <v>300</v>
          </cell>
          <cell r="I77">
            <v>50</v>
          </cell>
          <cell r="J77">
            <v>3018.8</v>
          </cell>
          <cell r="K77" t="str">
            <v>Q-12001296</v>
          </cell>
          <cell r="L77" t="str">
            <v>\\hokukon-net2\hop\Program\01_MVPシステム_容量別組立図\.\02_余裕高0_6m\pdf\FB600_3000m3-MVP-3000-組-B2500_Q-12001296.pdf</v>
          </cell>
          <cell r="M77">
            <v>10810.1</v>
          </cell>
          <cell r="N77">
            <v>10921.16</v>
          </cell>
          <cell r="O77">
            <v>10670.52</v>
          </cell>
          <cell r="P77">
            <v>10674.47</v>
          </cell>
          <cell r="Q77">
            <v>10867.11</v>
          </cell>
          <cell r="R77">
            <v>10782.66</v>
          </cell>
          <cell r="S77">
            <v>10758.51</v>
          </cell>
          <cell r="T77">
            <v>10763.26</v>
          </cell>
          <cell r="U77">
            <v>10753.05</v>
          </cell>
          <cell r="V77">
            <v>10707.37</v>
          </cell>
          <cell r="W77">
            <v>10764.66</v>
          </cell>
          <cell r="X77">
            <v>10808.3</v>
          </cell>
          <cell r="Y77">
            <v>10816.12</v>
          </cell>
          <cell r="Z77">
            <v>11075.12</v>
          </cell>
          <cell r="AA77">
            <v>10862.19</v>
          </cell>
          <cell r="AB77">
            <v>10872.51</v>
          </cell>
          <cell r="AC77">
            <v>11187.56</v>
          </cell>
          <cell r="AD77">
            <v>10733.75</v>
          </cell>
          <cell r="AE77">
            <v>10847.51</v>
          </cell>
          <cell r="AF77">
            <v>11149.5</v>
          </cell>
          <cell r="AG77">
            <v>10766.07</v>
          </cell>
          <cell r="AH77">
            <v>10847.42</v>
          </cell>
          <cell r="AI77">
            <v>10700.82</v>
          </cell>
          <cell r="AJ77">
            <v>10859.08</v>
          </cell>
          <cell r="AK77">
            <v>10519.88</v>
          </cell>
          <cell r="AL77">
            <v>10833.57</v>
          </cell>
          <cell r="AM77">
            <v>11198.04</v>
          </cell>
          <cell r="AN77">
            <v>10935.56</v>
          </cell>
          <cell r="AO77">
            <v>11019.77</v>
          </cell>
          <cell r="AP77">
            <v>11009.35</v>
          </cell>
          <cell r="AQ77">
            <v>11091.74</v>
          </cell>
          <cell r="AR77">
            <v>10773.44</v>
          </cell>
          <cell r="AS77">
            <v>11209.52</v>
          </cell>
          <cell r="AT77">
            <v>10977.63</v>
          </cell>
          <cell r="AU77">
            <v>11016.66</v>
          </cell>
          <cell r="AV77">
            <v>11110.79</v>
          </cell>
          <cell r="AW77">
            <v>10898.21</v>
          </cell>
          <cell r="AX77">
            <v>10494.25</v>
          </cell>
          <cell r="AY77">
            <v>10750.02</v>
          </cell>
          <cell r="AZ77">
            <v>10378.44</v>
          </cell>
          <cell r="BA77">
            <v>10378.44</v>
          </cell>
        </row>
        <row r="78">
          <cell r="A78" t="str">
            <v>V3000H30B20</v>
          </cell>
          <cell r="B78">
            <v>3000</v>
          </cell>
          <cell r="C78">
            <v>3000</v>
          </cell>
          <cell r="D78">
            <v>2000</v>
          </cell>
          <cell r="E78">
            <v>36</v>
          </cell>
          <cell r="F78">
            <v>5</v>
          </cell>
          <cell r="G78">
            <v>0</v>
          </cell>
          <cell r="H78">
            <v>300</v>
          </cell>
          <cell r="I78">
            <v>50</v>
          </cell>
          <cell r="J78">
            <v>3058.8</v>
          </cell>
          <cell r="K78" t="str">
            <v>Q-12001295</v>
          </cell>
          <cell r="L78" t="str">
            <v>\\hokukon-net2\hop\Program\01_MVPシステム_容量別組立図\.\02_余裕高0_6m\pdf\FB600_3000m3-MVP-3000-組-B2000_Q-12001295.pdf</v>
          </cell>
          <cell r="M78">
            <v>11412.87</v>
          </cell>
          <cell r="N78">
            <v>11525.59</v>
          </cell>
          <cell r="O78">
            <v>11272.66</v>
          </cell>
          <cell r="P78">
            <v>11276.67</v>
          </cell>
          <cell r="Q78">
            <v>11470.06</v>
          </cell>
          <cell r="R78">
            <v>11384.03</v>
          </cell>
          <cell r="S78">
            <v>11358.29</v>
          </cell>
          <cell r="T78">
            <v>11363.11</v>
          </cell>
          <cell r="U78">
            <v>11359.13</v>
          </cell>
          <cell r="V78">
            <v>11311.81</v>
          </cell>
          <cell r="W78">
            <v>11370.6</v>
          </cell>
          <cell r="X78">
            <v>11417.18</v>
          </cell>
          <cell r="Y78">
            <v>11425.46</v>
          </cell>
          <cell r="Z78">
            <v>11690.87</v>
          </cell>
          <cell r="AA78">
            <v>11475.37</v>
          </cell>
          <cell r="AB78">
            <v>11483.28</v>
          </cell>
          <cell r="AC78">
            <v>11800.77</v>
          </cell>
          <cell r="AD78">
            <v>11337.46</v>
          </cell>
          <cell r="AE78">
            <v>11455.14</v>
          </cell>
          <cell r="AF78">
            <v>11763.57</v>
          </cell>
          <cell r="AG78">
            <v>11375.18</v>
          </cell>
          <cell r="AH78">
            <v>11457.87</v>
          </cell>
          <cell r="AI78">
            <v>11310.1</v>
          </cell>
          <cell r="AJ78">
            <v>11468.54</v>
          </cell>
          <cell r="AK78">
            <v>11122.65</v>
          </cell>
          <cell r="AL78">
            <v>11440.1</v>
          </cell>
          <cell r="AM78">
            <v>11811.35</v>
          </cell>
          <cell r="AN78">
            <v>11544.9</v>
          </cell>
          <cell r="AO78">
            <v>11628.7</v>
          </cell>
          <cell r="AP78">
            <v>11619.28</v>
          </cell>
          <cell r="AQ78">
            <v>11703.57</v>
          </cell>
          <cell r="AR78">
            <v>11375.26</v>
          </cell>
          <cell r="AS78">
            <v>11819.29</v>
          </cell>
          <cell r="AT78">
            <v>11586.4</v>
          </cell>
          <cell r="AU78">
            <v>11626.61</v>
          </cell>
          <cell r="AV78">
            <v>11719.8</v>
          </cell>
          <cell r="AW78">
            <v>11504.09</v>
          </cell>
          <cell r="AX78">
            <v>11095.4</v>
          </cell>
          <cell r="AY78">
            <v>11352.7</v>
          </cell>
          <cell r="AZ78">
            <v>10976.34</v>
          </cell>
          <cell r="BA78">
            <v>10976.34</v>
          </cell>
        </row>
        <row r="79">
          <cell r="A79" t="str">
            <v>V3000H35B30</v>
          </cell>
          <cell r="B79">
            <v>3000</v>
          </cell>
          <cell r="C79">
            <v>3500</v>
          </cell>
          <cell r="D79">
            <v>3000</v>
          </cell>
          <cell r="E79">
            <v>30</v>
          </cell>
          <cell r="F79">
            <v>4</v>
          </cell>
          <cell r="G79">
            <v>0</v>
          </cell>
          <cell r="H79">
            <v>300</v>
          </cell>
          <cell r="I79">
            <v>50</v>
          </cell>
          <cell r="J79">
            <v>3060.5</v>
          </cell>
          <cell r="K79" t="str">
            <v>Q-12001300</v>
          </cell>
          <cell r="L79" t="str">
            <v>\\hokukon-net2\hop\Program\01_MVPシステム_容量別組立図\.\02_余裕高0_6m\pdf\FB600_3000m3-MVP-3500-組-B3000_Q-12001300.pdf</v>
          </cell>
          <cell r="M79">
            <v>9325.4</v>
          </cell>
          <cell r="N79">
            <v>9419.5</v>
          </cell>
          <cell r="O79">
            <v>9208.01</v>
          </cell>
          <cell r="P79">
            <v>9211.33</v>
          </cell>
          <cell r="Q79">
            <v>9373.65</v>
          </cell>
          <cell r="R79">
            <v>9302.61</v>
          </cell>
          <cell r="S79">
            <v>9282.44</v>
          </cell>
          <cell r="T79">
            <v>9286.4500000000007</v>
          </cell>
          <cell r="U79">
            <v>9277.57</v>
          </cell>
          <cell r="V79">
            <v>9239.23</v>
          </cell>
          <cell r="W79">
            <v>9287.0300000000007</v>
          </cell>
          <cell r="X79">
            <v>9323.66</v>
          </cell>
          <cell r="Y79">
            <v>9330.24</v>
          </cell>
          <cell r="Z79">
            <v>9547.9500000000007</v>
          </cell>
          <cell r="AA79">
            <v>9368.1</v>
          </cell>
          <cell r="AB79">
            <v>9377.34</v>
          </cell>
          <cell r="AC79">
            <v>9642.6</v>
          </cell>
          <cell r="AD79">
            <v>9259.9500000000007</v>
          </cell>
          <cell r="AE79">
            <v>9355.58</v>
          </cell>
          <cell r="AF79">
            <v>9609.65</v>
          </cell>
          <cell r="AG79">
            <v>9286.9</v>
          </cell>
          <cell r="AH79">
            <v>9355.82</v>
          </cell>
          <cell r="AI79">
            <v>9231.84</v>
          </cell>
          <cell r="AJ79">
            <v>9365.43</v>
          </cell>
          <cell r="AK79">
            <v>9080.36</v>
          </cell>
          <cell r="AL79">
            <v>9345.17</v>
          </cell>
          <cell r="AM79">
            <v>9651.94</v>
          </cell>
          <cell r="AN79">
            <v>9431.35</v>
          </cell>
          <cell r="AO79">
            <v>9502.41</v>
          </cell>
          <cell r="AP79">
            <v>9493.49</v>
          </cell>
          <cell r="AQ79">
            <v>9562.77</v>
          </cell>
          <cell r="AR79">
            <v>9294.7000000000007</v>
          </cell>
          <cell r="AS79">
            <v>9661.3799999999992</v>
          </cell>
          <cell r="AT79">
            <v>9465.77</v>
          </cell>
          <cell r="AU79">
            <v>9498.2999999999993</v>
          </cell>
          <cell r="AV79">
            <v>9578.27</v>
          </cell>
          <cell r="AW79">
            <v>9398.83</v>
          </cell>
          <cell r="AX79">
            <v>9057.75</v>
          </cell>
          <cell r="AY79">
            <v>9274.1299999999992</v>
          </cell>
          <cell r="AZ79">
            <v>8960.67</v>
          </cell>
          <cell r="BA79">
            <v>8960.67</v>
          </cell>
        </row>
        <row r="80">
          <cell r="A80" t="str">
            <v>V3000H35B25</v>
          </cell>
          <cell r="B80">
            <v>3000</v>
          </cell>
          <cell r="C80">
            <v>3500</v>
          </cell>
          <cell r="D80">
            <v>2500</v>
          </cell>
          <cell r="E80">
            <v>27</v>
          </cell>
          <cell r="F80">
            <v>5</v>
          </cell>
          <cell r="G80">
            <v>0</v>
          </cell>
          <cell r="H80">
            <v>300</v>
          </cell>
          <cell r="I80">
            <v>50</v>
          </cell>
          <cell r="J80">
            <v>3090</v>
          </cell>
          <cell r="K80" t="str">
            <v>Q-12001299</v>
          </cell>
          <cell r="L80" t="str">
            <v>\\hokukon-net2\hop\Program\01_MVPシステム_容量別組立図\.\02_余裕高0_6m\pdf\FB600_3000m3-MVP-3500-組-B2500_Q-12001299.pdf</v>
          </cell>
          <cell r="M80">
            <v>9771.7900000000009</v>
          </cell>
          <cell r="N80">
            <v>9867.2999999999993</v>
          </cell>
          <cell r="O80">
            <v>9655.4599999999991</v>
          </cell>
          <cell r="P80">
            <v>9658.82</v>
          </cell>
          <cell r="Q80">
            <v>9820.17</v>
          </cell>
          <cell r="R80">
            <v>9748.08</v>
          </cell>
          <cell r="S80">
            <v>9726.35</v>
          </cell>
          <cell r="T80">
            <v>9730.4</v>
          </cell>
          <cell r="U80">
            <v>9729.23</v>
          </cell>
          <cell r="V80">
            <v>9689.58</v>
          </cell>
          <cell r="W80">
            <v>9737.91</v>
          </cell>
          <cell r="X80">
            <v>9777.7000000000007</v>
          </cell>
          <cell r="Y80">
            <v>9784.81</v>
          </cell>
          <cell r="Z80">
            <v>10006.99</v>
          </cell>
          <cell r="AA80">
            <v>9825.89</v>
          </cell>
          <cell r="AB80">
            <v>9832.58</v>
          </cell>
          <cell r="AC80">
            <v>10097.11</v>
          </cell>
          <cell r="AD80">
            <v>9707.2099999999991</v>
          </cell>
          <cell r="AE80">
            <v>9806.26</v>
          </cell>
          <cell r="AF80">
            <v>10064.6</v>
          </cell>
          <cell r="AG80">
            <v>9740.43</v>
          </cell>
          <cell r="AH80">
            <v>9810.61</v>
          </cell>
          <cell r="AI80">
            <v>9686.16</v>
          </cell>
          <cell r="AJ80">
            <v>9818.59</v>
          </cell>
          <cell r="AK80">
            <v>9529.56</v>
          </cell>
          <cell r="AL80">
            <v>9796.16</v>
          </cell>
          <cell r="AM80">
            <v>10106.879999999999</v>
          </cell>
          <cell r="AN80">
            <v>9884.82</v>
          </cell>
          <cell r="AO80">
            <v>9954.59</v>
          </cell>
          <cell r="AP80">
            <v>9946.9599999999991</v>
          </cell>
          <cell r="AQ80">
            <v>10017.379999999999</v>
          </cell>
          <cell r="AR80">
            <v>9740.4500000000007</v>
          </cell>
          <cell r="AS80">
            <v>10111.35</v>
          </cell>
          <cell r="AT80">
            <v>9917.07</v>
          </cell>
          <cell r="AU80">
            <v>9950.0499999999993</v>
          </cell>
          <cell r="AV80">
            <v>10028.61</v>
          </cell>
          <cell r="AW80">
            <v>9847.2900000000009</v>
          </cell>
          <cell r="AX80">
            <v>9504.2000000000007</v>
          </cell>
          <cell r="AY80">
            <v>9720.6</v>
          </cell>
          <cell r="AZ80">
            <v>9404.77</v>
          </cell>
          <cell r="BA80">
            <v>9404.77</v>
          </cell>
        </row>
        <row r="81">
          <cell r="A81" t="str">
            <v>V3000H35B20</v>
          </cell>
          <cell r="B81">
            <v>3000</v>
          </cell>
          <cell r="C81">
            <v>3500</v>
          </cell>
          <cell r="D81">
            <v>2000</v>
          </cell>
          <cell r="E81">
            <v>30</v>
          </cell>
          <cell r="F81">
            <v>5</v>
          </cell>
          <cell r="G81">
            <v>0</v>
          </cell>
          <cell r="H81">
            <v>300</v>
          </cell>
          <cell r="I81">
            <v>50</v>
          </cell>
          <cell r="J81">
            <v>3091.9</v>
          </cell>
          <cell r="K81" t="str">
            <v>Q-12001298</v>
          </cell>
          <cell r="L81" t="str">
            <v>\\hokukon-net2\hop\Program\01_MVPシステム_容量別組立図\.\02_余裕高0_6m\pdf\FB600_3000m3-MVP-3500-組-B2000_Q-12001298.pdf</v>
          </cell>
          <cell r="M81">
            <v>10185.76</v>
          </cell>
          <cell r="N81">
            <v>10281.530000000001</v>
          </cell>
          <cell r="O81">
            <v>10070.39</v>
          </cell>
          <cell r="P81">
            <v>10073.76</v>
          </cell>
          <cell r="Q81">
            <v>10233.799999999999</v>
          </cell>
          <cell r="R81">
            <v>10161.41</v>
          </cell>
          <cell r="S81">
            <v>10138.66</v>
          </cell>
          <cell r="T81">
            <v>10142.719999999999</v>
          </cell>
          <cell r="U81">
            <v>10146.540000000001</v>
          </cell>
          <cell r="V81">
            <v>10106.07</v>
          </cell>
          <cell r="W81">
            <v>10155.040000000001</v>
          </cell>
          <cell r="X81">
            <v>10196.73</v>
          </cell>
          <cell r="Y81">
            <v>10204.040000000001</v>
          </cell>
          <cell r="Z81">
            <v>10428.68</v>
          </cell>
          <cell r="AA81">
            <v>10247.6</v>
          </cell>
          <cell r="AB81">
            <v>10252.39</v>
          </cell>
          <cell r="AC81">
            <v>10515.69</v>
          </cell>
          <cell r="AD81">
            <v>10122.629999999999</v>
          </cell>
          <cell r="AE81">
            <v>10223.6</v>
          </cell>
          <cell r="AF81">
            <v>10484.06</v>
          </cell>
          <cell r="AG81">
            <v>10159.83</v>
          </cell>
          <cell r="AH81">
            <v>10230.42</v>
          </cell>
          <cell r="AI81">
            <v>10106.36</v>
          </cell>
          <cell r="AJ81">
            <v>10237.459999999999</v>
          </cell>
          <cell r="AK81">
            <v>9946.44</v>
          </cell>
          <cell r="AL81">
            <v>10213.030000000001</v>
          </cell>
          <cell r="AM81">
            <v>10525.45</v>
          </cell>
          <cell r="AN81">
            <v>10302.82</v>
          </cell>
          <cell r="AO81">
            <v>10371.48</v>
          </cell>
          <cell r="AP81">
            <v>10364.84</v>
          </cell>
          <cell r="AQ81">
            <v>10435.870000000001</v>
          </cell>
          <cell r="AR81">
            <v>10154.129999999999</v>
          </cell>
          <cell r="AS81">
            <v>10527.01</v>
          </cell>
          <cell r="AT81">
            <v>10334.200000000001</v>
          </cell>
          <cell r="AU81">
            <v>10367.620000000001</v>
          </cell>
          <cell r="AV81">
            <v>10444.67</v>
          </cell>
          <cell r="AW81">
            <v>10262.86</v>
          </cell>
          <cell r="AX81">
            <v>9920.0400000000009</v>
          </cell>
          <cell r="AY81">
            <v>10135.17</v>
          </cell>
          <cell r="AZ81">
            <v>9819.11</v>
          </cell>
          <cell r="BA81">
            <v>9819.11</v>
          </cell>
        </row>
        <row r="82">
          <cell r="A82" t="str">
            <v>V3000H40B30</v>
          </cell>
          <cell r="B82">
            <v>3000</v>
          </cell>
          <cell r="C82">
            <v>4000</v>
          </cell>
          <cell r="D82">
            <v>3000</v>
          </cell>
          <cell r="E82">
            <v>21</v>
          </cell>
          <cell r="F82">
            <v>5</v>
          </cell>
          <cell r="G82">
            <v>0</v>
          </cell>
          <cell r="H82">
            <v>350</v>
          </cell>
          <cell r="I82">
            <v>70</v>
          </cell>
          <cell r="J82">
            <v>3139.1</v>
          </cell>
          <cell r="K82" t="str">
            <v>Q-12001302</v>
          </cell>
          <cell r="L82" t="str">
            <v>\\hokukon-net2\hop\Program\01_MVPシステム_容量別組立図\.\02_余裕高0_6m\pdf\FB600_3000m3-MVP-4000-組-B3000_Q-12001302.pdf</v>
          </cell>
          <cell r="M82">
            <v>9799.8700000000008</v>
          </cell>
          <cell r="N82">
            <v>9893.9699999999993</v>
          </cell>
          <cell r="O82">
            <v>9690.41</v>
          </cell>
          <cell r="P82">
            <v>9693.5499999999993</v>
          </cell>
          <cell r="Q82">
            <v>9847.5499999999993</v>
          </cell>
          <cell r="R82">
            <v>9778.9500000000007</v>
          </cell>
          <cell r="S82">
            <v>9758.2000000000007</v>
          </cell>
          <cell r="T82">
            <v>9762.01</v>
          </cell>
          <cell r="U82">
            <v>9754.11</v>
          </cell>
          <cell r="V82">
            <v>9718.06</v>
          </cell>
          <cell r="W82">
            <v>9762.82</v>
          </cell>
          <cell r="X82">
            <v>9797.68</v>
          </cell>
          <cell r="Y82">
            <v>9802.44</v>
          </cell>
          <cell r="Z82">
            <v>10012.39</v>
          </cell>
          <cell r="AA82">
            <v>9839.52</v>
          </cell>
          <cell r="AB82">
            <v>9849.4</v>
          </cell>
          <cell r="AC82">
            <v>10101.52</v>
          </cell>
          <cell r="AD82">
            <v>9724.57</v>
          </cell>
          <cell r="AE82">
            <v>9820.2000000000007</v>
          </cell>
          <cell r="AF82">
            <v>10063.61</v>
          </cell>
          <cell r="AG82">
            <v>9748.76</v>
          </cell>
          <cell r="AH82">
            <v>9817.4699999999993</v>
          </cell>
          <cell r="AI82">
            <v>9698.2099999999991</v>
          </cell>
          <cell r="AJ82">
            <v>9823.67</v>
          </cell>
          <cell r="AK82">
            <v>9570.4</v>
          </cell>
          <cell r="AL82">
            <v>9828.07</v>
          </cell>
          <cell r="AM82">
            <v>10121.77</v>
          </cell>
          <cell r="AN82">
            <v>9910.9599999999991</v>
          </cell>
          <cell r="AO82">
            <v>9979.23</v>
          </cell>
          <cell r="AP82">
            <v>9971.18</v>
          </cell>
          <cell r="AQ82">
            <v>10038.94</v>
          </cell>
          <cell r="AR82">
            <v>9758.2800000000007</v>
          </cell>
          <cell r="AS82">
            <v>10110.07</v>
          </cell>
          <cell r="AT82">
            <v>9926.24</v>
          </cell>
          <cell r="AU82">
            <v>9956.5300000000007</v>
          </cell>
          <cell r="AV82">
            <v>10031</v>
          </cell>
          <cell r="AW82">
            <v>9856.26</v>
          </cell>
          <cell r="AX82">
            <v>9525.7000000000007</v>
          </cell>
          <cell r="AY82">
            <v>9734.68</v>
          </cell>
          <cell r="AZ82">
            <v>9431.6</v>
          </cell>
          <cell r="BA82">
            <v>9431.6</v>
          </cell>
        </row>
        <row r="83">
          <cell r="A83" t="str">
            <v>V3000H40B25</v>
          </cell>
          <cell r="B83">
            <v>3000</v>
          </cell>
          <cell r="C83">
            <v>4000</v>
          </cell>
          <cell r="D83">
            <v>2500</v>
          </cell>
          <cell r="E83">
            <v>23</v>
          </cell>
          <cell r="F83">
            <v>5</v>
          </cell>
          <cell r="G83">
            <v>0</v>
          </cell>
          <cell r="H83">
            <v>350</v>
          </cell>
          <cell r="I83">
            <v>70</v>
          </cell>
          <cell r="J83">
            <v>3127.6</v>
          </cell>
          <cell r="K83" t="str">
            <v>Q-12001302</v>
          </cell>
          <cell r="L83" t="str">
            <v>\\hokukon-net2\hop\Program\01_MVPシステム_容量別組立図\.\02_余裕高0_6m\pdf\FB600_3000m3-MVP-4000-組-B2500_Q-12001302.pdf</v>
          </cell>
          <cell r="M83">
            <v>10157.780000000001</v>
          </cell>
          <cell r="N83">
            <v>10251.84</v>
          </cell>
          <cell r="O83">
            <v>10049.61</v>
          </cell>
          <cell r="P83">
            <v>10052.76</v>
          </cell>
          <cell r="Q83">
            <v>10205.02</v>
          </cell>
          <cell r="R83">
            <v>10136.379999999999</v>
          </cell>
          <cell r="S83">
            <v>10114.879999999999</v>
          </cell>
          <cell r="T83">
            <v>10118.67</v>
          </cell>
          <cell r="U83">
            <v>10114.66</v>
          </cell>
          <cell r="V83">
            <v>10078.14</v>
          </cell>
          <cell r="W83">
            <v>10123.17</v>
          </cell>
          <cell r="X83">
            <v>10159.4</v>
          </cell>
          <cell r="Y83">
            <v>10164.370000000001</v>
          </cell>
          <cell r="Z83">
            <v>10375.42</v>
          </cell>
          <cell r="AA83">
            <v>10203.34</v>
          </cell>
          <cell r="AB83">
            <v>10211.58</v>
          </cell>
          <cell r="AC83">
            <v>10461.5</v>
          </cell>
          <cell r="AD83">
            <v>10083.07</v>
          </cell>
          <cell r="AE83">
            <v>10179.98</v>
          </cell>
          <cell r="AF83">
            <v>10423.9</v>
          </cell>
          <cell r="AG83">
            <v>10110.11</v>
          </cell>
          <cell r="AH83">
            <v>10178.85</v>
          </cell>
          <cell r="AI83">
            <v>10060.52</v>
          </cell>
          <cell r="AJ83">
            <v>10184.18</v>
          </cell>
          <cell r="AK83">
            <v>9932.17</v>
          </cell>
          <cell r="AL83">
            <v>10188.68</v>
          </cell>
          <cell r="AM83">
            <v>10482.36</v>
          </cell>
          <cell r="AN83">
            <v>10272.120000000001</v>
          </cell>
          <cell r="AO83">
            <v>10339.14</v>
          </cell>
          <cell r="AP83">
            <v>10331.950000000001</v>
          </cell>
          <cell r="AQ83">
            <v>10399.969999999999</v>
          </cell>
          <cell r="AR83">
            <v>10115.23</v>
          </cell>
          <cell r="AS83">
            <v>10467.01</v>
          </cell>
          <cell r="AT83">
            <v>10285.16</v>
          </cell>
          <cell r="AU83">
            <v>10315.799999999999</v>
          </cell>
          <cell r="AV83">
            <v>10388.52</v>
          </cell>
          <cell r="AW83">
            <v>10213.84</v>
          </cell>
          <cell r="AX83">
            <v>9884.9500000000007</v>
          </cell>
          <cell r="AY83">
            <v>10091.959999999999</v>
          </cell>
          <cell r="AZ83">
            <v>9790.02</v>
          </cell>
          <cell r="BA83">
            <v>9790.02</v>
          </cell>
        </row>
        <row r="84">
          <cell r="A84" t="str">
            <v>V3000H40B20</v>
          </cell>
          <cell r="B84">
            <v>3000</v>
          </cell>
          <cell r="C84">
            <v>4000</v>
          </cell>
          <cell r="D84">
            <v>2000</v>
          </cell>
          <cell r="E84">
            <v>25</v>
          </cell>
          <cell r="F84">
            <v>5</v>
          </cell>
          <cell r="G84">
            <v>0</v>
          </cell>
          <cell r="H84">
            <v>350</v>
          </cell>
          <cell r="I84">
            <v>70</v>
          </cell>
          <cell r="J84">
            <v>3065.1</v>
          </cell>
          <cell r="K84" t="str">
            <v>Q-12001301</v>
          </cell>
          <cell r="L84" t="str">
            <v>\\hokukon-net2\hop\Program\01_MVPシステム_容量別組立図\.\02_余裕高0_6m\pdf\FB600_3000m3-MVP-4000-組-B2000_Q-12001301.pdf</v>
          </cell>
          <cell r="M84">
            <v>10442.59</v>
          </cell>
          <cell r="N84">
            <v>10535.25</v>
          </cell>
          <cell r="O84">
            <v>10337.49</v>
          </cell>
          <cell r="P84">
            <v>10340.6</v>
          </cell>
          <cell r="Q84">
            <v>10488.67</v>
          </cell>
          <cell r="R84">
            <v>10421.040000000001</v>
          </cell>
          <cell r="S84">
            <v>10398.99</v>
          </cell>
          <cell r="T84">
            <v>10402.74</v>
          </cell>
          <cell r="U84">
            <v>10403.379999999999</v>
          </cell>
          <cell r="V84">
            <v>10366.82</v>
          </cell>
          <cell r="W84">
            <v>10411.450000000001</v>
          </cell>
          <cell r="X84">
            <v>10448.75</v>
          </cell>
          <cell r="Y84">
            <v>10453.92</v>
          </cell>
          <cell r="Z84">
            <v>10663.13</v>
          </cell>
          <cell r="AA84">
            <v>10494.32</v>
          </cell>
          <cell r="AB84">
            <v>10500.72</v>
          </cell>
          <cell r="AC84">
            <v>10744.33</v>
          </cell>
          <cell r="AD84">
            <v>10369.67</v>
          </cell>
          <cell r="AE84">
            <v>10466.540000000001</v>
          </cell>
          <cell r="AF84">
            <v>10707.55</v>
          </cell>
          <cell r="AG84">
            <v>10399.61</v>
          </cell>
          <cell r="AH84">
            <v>10467.459999999999</v>
          </cell>
          <cell r="AI84">
            <v>10351.82</v>
          </cell>
          <cell r="AJ84">
            <v>10471.75</v>
          </cell>
          <cell r="AK84">
            <v>10224.64</v>
          </cell>
          <cell r="AL84">
            <v>10476.18</v>
          </cell>
          <cell r="AM84">
            <v>10765.66</v>
          </cell>
          <cell r="AN84">
            <v>10559.11</v>
          </cell>
          <cell r="AO84">
            <v>10623.77</v>
          </cell>
          <cell r="AP84">
            <v>10617.69</v>
          </cell>
          <cell r="AQ84">
            <v>10684.95</v>
          </cell>
          <cell r="AR84">
            <v>10399.73</v>
          </cell>
          <cell r="AS84">
            <v>10746.31</v>
          </cell>
          <cell r="AT84">
            <v>10569.31</v>
          </cell>
          <cell r="AU84">
            <v>10599.79</v>
          </cell>
          <cell r="AV84">
            <v>10669.66</v>
          </cell>
          <cell r="AW84">
            <v>10497.52</v>
          </cell>
          <cell r="AX84">
            <v>10175.25</v>
          </cell>
          <cell r="AY84">
            <v>10377.07</v>
          </cell>
          <cell r="AZ84">
            <v>10080.719999999999</v>
          </cell>
          <cell r="BA84">
            <v>10080.719999999999</v>
          </cell>
        </row>
        <row r="85">
          <cell r="A85" t="str">
            <v>V3000H45B30</v>
          </cell>
          <cell r="B85">
            <v>3000</v>
          </cell>
          <cell r="C85">
            <v>4500</v>
          </cell>
          <cell r="D85">
            <v>3000</v>
          </cell>
          <cell r="E85">
            <v>22</v>
          </cell>
          <cell r="F85">
            <v>4</v>
          </cell>
          <cell r="G85">
            <v>0</v>
          </cell>
          <cell r="H85">
            <v>350</v>
          </cell>
          <cell r="I85">
            <v>70</v>
          </cell>
          <cell r="J85">
            <v>3067.4</v>
          </cell>
          <cell r="K85" t="str">
            <v>Q-12001306</v>
          </cell>
          <cell r="L85" t="str">
            <v>\\hokukon-net2\hop\Program\01_MVPシステム_容量別組立図\.\02_余裕高0_6m\pdf\FB600_3000m3-MVP-4500-組-B3000_Q-12001306.pdf</v>
          </cell>
          <cell r="M85">
            <v>8928.09</v>
          </cell>
          <cell r="N85">
            <v>9008.2199999999993</v>
          </cell>
          <cell r="O85">
            <v>8835.15</v>
          </cell>
          <cell r="P85">
            <v>8837.84</v>
          </cell>
          <cell r="Q85">
            <v>8968.07</v>
          </cell>
          <cell r="R85">
            <v>8908.5300000000007</v>
          </cell>
          <cell r="S85">
            <v>8889.52</v>
          </cell>
          <cell r="T85">
            <v>8892.7800000000007</v>
          </cell>
          <cell r="U85">
            <v>8891.81</v>
          </cell>
          <cell r="V85">
            <v>8860.67</v>
          </cell>
          <cell r="W85">
            <v>8899.65</v>
          </cell>
          <cell r="X85">
            <v>8931.31</v>
          </cell>
          <cell r="Y85">
            <v>8935.48</v>
          </cell>
          <cell r="Z85">
            <v>9117.59</v>
          </cell>
          <cell r="AA85">
            <v>8969.42</v>
          </cell>
          <cell r="AB85">
            <v>8976.4699999999993</v>
          </cell>
          <cell r="AC85">
            <v>9189.6200000000008</v>
          </cell>
          <cell r="AD85">
            <v>8863.61</v>
          </cell>
          <cell r="AE85">
            <v>8947.18</v>
          </cell>
          <cell r="AF85">
            <v>9157.7099999999991</v>
          </cell>
          <cell r="AG85">
            <v>8888.7000000000007</v>
          </cell>
          <cell r="AH85">
            <v>8947.11</v>
          </cell>
          <cell r="AI85">
            <v>8845.8700000000008</v>
          </cell>
          <cell r="AJ85">
            <v>8951.83</v>
          </cell>
          <cell r="AK85">
            <v>8735.67</v>
          </cell>
          <cell r="AL85">
            <v>8954.76</v>
          </cell>
          <cell r="AM85">
            <v>9207.4599999999991</v>
          </cell>
          <cell r="AN85">
            <v>9027.9500000000007</v>
          </cell>
          <cell r="AO85">
            <v>9085.11</v>
          </cell>
          <cell r="AP85">
            <v>9078.61</v>
          </cell>
          <cell r="AQ85">
            <v>9137.56</v>
          </cell>
          <cell r="AR85">
            <v>8890.01</v>
          </cell>
          <cell r="AS85">
            <v>9192.2000000000007</v>
          </cell>
          <cell r="AT85">
            <v>9037.23</v>
          </cell>
          <cell r="AU85">
            <v>9063.1</v>
          </cell>
          <cell r="AV85">
            <v>9125.6200000000008</v>
          </cell>
          <cell r="AW85">
            <v>8975.67</v>
          </cell>
          <cell r="AX85">
            <v>8693.5</v>
          </cell>
          <cell r="AY85">
            <v>8870.34</v>
          </cell>
          <cell r="AZ85">
            <v>8611.66</v>
          </cell>
          <cell r="BA85">
            <v>8611.66</v>
          </cell>
        </row>
        <row r="86">
          <cell r="A86" t="str">
            <v>V3000H45B25</v>
          </cell>
          <cell r="B86">
            <v>3000</v>
          </cell>
          <cell r="C86">
            <v>4500</v>
          </cell>
          <cell r="D86">
            <v>2500</v>
          </cell>
          <cell r="E86">
            <v>20</v>
          </cell>
          <cell r="F86">
            <v>5</v>
          </cell>
          <cell r="G86">
            <v>0</v>
          </cell>
          <cell r="H86">
            <v>350</v>
          </cell>
          <cell r="I86">
            <v>70</v>
          </cell>
          <cell r="J86">
            <v>3132.8</v>
          </cell>
          <cell r="K86" t="str">
            <v>Q-12001305</v>
          </cell>
          <cell r="L86" t="str">
            <v>\\hokukon-net2\hop\Program\01_MVPシステム_容量別組立図\.\02_余裕高0_6m\pdf\FB600_3000m3-MVP-4500-組-B2500_Q-12001305.pdf</v>
          </cell>
          <cell r="M86">
            <v>9511.06</v>
          </cell>
          <cell r="N86">
            <v>9593.77</v>
          </cell>
          <cell r="O86">
            <v>9418.31</v>
          </cell>
          <cell r="P86">
            <v>9421.07</v>
          </cell>
          <cell r="Q86">
            <v>9551.73</v>
          </cell>
          <cell r="R86">
            <v>9490.48</v>
          </cell>
          <cell r="S86">
            <v>9469.7900000000009</v>
          </cell>
          <cell r="T86">
            <v>9473.1299999999992</v>
          </cell>
          <cell r="U86">
            <v>9479.3700000000008</v>
          </cell>
          <cell r="V86">
            <v>9446.67</v>
          </cell>
          <cell r="W86">
            <v>9486.4</v>
          </cell>
          <cell r="X86">
            <v>9521.5</v>
          </cell>
          <cell r="Y86">
            <v>9526.2000000000007</v>
          </cell>
          <cell r="Z86">
            <v>9714.5</v>
          </cell>
          <cell r="AA86">
            <v>9563.44</v>
          </cell>
          <cell r="AB86">
            <v>9568.2199999999993</v>
          </cell>
          <cell r="AC86">
            <v>9782.75</v>
          </cell>
          <cell r="AD86">
            <v>9445.35</v>
          </cell>
          <cell r="AE86">
            <v>9533.2999999999993</v>
          </cell>
          <cell r="AF86">
            <v>9750.06</v>
          </cell>
          <cell r="AG86">
            <v>9476.59</v>
          </cell>
          <cell r="AH86">
            <v>9537</v>
          </cell>
          <cell r="AI86">
            <v>9434.1</v>
          </cell>
          <cell r="AJ86">
            <v>9540.06</v>
          </cell>
          <cell r="AK86">
            <v>9319.58</v>
          </cell>
          <cell r="AL86">
            <v>9543.07</v>
          </cell>
          <cell r="AM86">
            <v>9802.2199999999993</v>
          </cell>
          <cell r="AN86">
            <v>9619.4</v>
          </cell>
          <cell r="AO86">
            <v>9676.0300000000007</v>
          </cell>
          <cell r="AP86">
            <v>9670.77</v>
          </cell>
          <cell r="AQ86">
            <v>9731.4</v>
          </cell>
          <cell r="AR86">
            <v>9470.93</v>
          </cell>
          <cell r="AS86">
            <v>9780.33</v>
          </cell>
          <cell r="AT86">
            <v>9624.89</v>
          </cell>
          <cell r="AU86">
            <v>9651.44</v>
          </cell>
          <cell r="AV86">
            <v>9713.33</v>
          </cell>
          <cell r="AW86">
            <v>9559.49</v>
          </cell>
          <cell r="AX86">
            <v>9272.11</v>
          </cell>
          <cell r="AY86">
            <v>9451.1</v>
          </cell>
          <cell r="AZ86">
            <v>9187.08</v>
          </cell>
          <cell r="BA86">
            <v>9187.08</v>
          </cell>
        </row>
        <row r="87">
          <cell r="A87" t="str">
            <v>V3000H45B20</v>
          </cell>
          <cell r="B87">
            <v>3000</v>
          </cell>
          <cell r="C87">
            <v>4500</v>
          </cell>
          <cell r="D87">
            <v>2000</v>
          </cell>
          <cell r="E87">
            <v>22</v>
          </cell>
          <cell r="F87">
            <v>5</v>
          </cell>
          <cell r="G87">
            <v>0</v>
          </cell>
          <cell r="H87">
            <v>350</v>
          </cell>
          <cell r="I87">
            <v>70</v>
          </cell>
          <cell r="J87">
            <v>3105</v>
          </cell>
          <cell r="K87" t="str">
            <v>Q-12001304</v>
          </cell>
          <cell r="L87" t="str">
            <v>\\hokukon-net2\hop\Program\01_MVPシステム_容量別組立図\.\02_余裕高0_6m\pdf\FB600_3000m3-MVP-4500-組-B2000_Q-12001304.pdf</v>
          </cell>
          <cell r="M87">
            <v>9882.7199999999993</v>
          </cell>
          <cell r="N87">
            <v>9965.01</v>
          </cell>
          <cell r="O87">
            <v>9791.77</v>
          </cell>
          <cell r="P87">
            <v>9794.52</v>
          </cell>
          <cell r="Q87">
            <v>9922.7000000000007</v>
          </cell>
          <cell r="R87">
            <v>9861.56</v>
          </cell>
          <cell r="S87">
            <v>9840.07</v>
          </cell>
          <cell r="T87">
            <v>9843.4</v>
          </cell>
          <cell r="U87">
            <v>9854.19</v>
          </cell>
          <cell r="V87">
            <v>9821.08</v>
          </cell>
          <cell r="W87">
            <v>9861.0400000000009</v>
          </cell>
          <cell r="X87">
            <v>9897.58</v>
          </cell>
          <cell r="Y87">
            <v>9902.49</v>
          </cell>
          <cell r="Z87">
            <v>10091.39</v>
          </cell>
          <cell r="AA87">
            <v>9941.74</v>
          </cell>
          <cell r="AB87">
            <v>9944.69</v>
          </cell>
          <cell r="AC87">
            <v>10155.74</v>
          </cell>
          <cell r="AD87">
            <v>9817.93</v>
          </cell>
          <cell r="AE87">
            <v>9906.9699999999993</v>
          </cell>
          <cell r="AF87">
            <v>10123.6</v>
          </cell>
          <cell r="AG87">
            <v>9852.42</v>
          </cell>
          <cell r="AH87">
            <v>9912.56</v>
          </cell>
          <cell r="AI87">
            <v>9811.11</v>
          </cell>
          <cell r="AJ87">
            <v>9914.6200000000008</v>
          </cell>
          <cell r="AK87">
            <v>9696.4599999999991</v>
          </cell>
          <cell r="AL87">
            <v>9917.66</v>
          </cell>
          <cell r="AM87">
            <v>10175.82</v>
          </cell>
          <cell r="AN87">
            <v>9994.4599999999991</v>
          </cell>
          <cell r="AO87">
            <v>10049.44</v>
          </cell>
          <cell r="AP87">
            <v>10045.120000000001</v>
          </cell>
          <cell r="AQ87">
            <v>10105.870000000001</v>
          </cell>
          <cell r="AR87">
            <v>9841.52</v>
          </cell>
          <cell r="AS87">
            <v>10149.719999999999</v>
          </cell>
          <cell r="AT87">
            <v>9997.2199999999993</v>
          </cell>
          <cell r="AU87">
            <v>10024.01</v>
          </cell>
          <cell r="AV87">
            <v>10083.73</v>
          </cell>
          <cell r="AW87">
            <v>9930.57</v>
          </cell>
          <cell r="AX87">
            <v>9646.19</v>
          </cell>
          <cell r="AY87">
            <v>9822.19</v>
          </cell>
          <cell r="AZ87">
            <v>9560.52</v>
          </cell>
          <cell r="BA87">
            <v>9560.52</v>
          </cell>
        </row>
        <row r="88">
          <cell r="A88" t="str">
            <v>V5000H15B30</v>
          </cell>
          <cell r="B88">
            <v>5000</v>
          </cell>
          <cell r="C88">
            <v>1500</v>
          </cell>
          <cell r="D88">
            <v>3000</v>
          </cell>
          <cell r="E88">
            <v>60</v>
          </cell>
          <cell r="F88">
            <v>7</v>
          </cell>
          <cell r="G88">
            <v>0</v>
          </cell>
          <cell r="H88">
            <v>350</v>
          </cell>
          <cell r="I88">
            <v>50</v>
          </cell>
          <cell r="J88">
            <v>5058.6000000000004</v>
          </cell>
          <cell r="K88" t="str">
            <v>Q-11003000</v>
          </cell>
          <cell r="L88" t="str">
            <v>\\hokukon-net2\hop\Program\01_MVPシステム_容量別組立図\.\02_余裕高0_6m\pdf\FB600_5000m3-MVP-1500-組-B3000_Q-11003000.pdf</v>
          </cell>
          <cell r="M88">
            <v>32615.66</v>
          </cell>
          <cell r="N88">
            <v>33121.72</v>
          </cell>
          <cell r="O88">
            <v>31891.32</v>
          </cell>
          <cell r="P88">
            <v>31909.39</v>
          </cell>
          <cell r="Q88">
            <v>32890.629999999997</v>
          </cell>
          <cell r="R88">
            <v>32501.1</v>
          </cell>
          <cell r="S88">
            <v>32431.25</v>
          </cell>
          <cell r="T88">
            <v>32453.09</v>
          </cell>
          <cell r="U88">
            <v>32123.49</v>
          </cell>
          <cell r="V88">
            <v>31945.61</v>
          </cell>
          <cell r="W88">
            <v>32204.18</v>
          </cell>
          <cell r="X88">
            <v>32300.05</v>
          </cell>
          <cell r="Y88">
            <v>32312.14</v>
          </cell>
          <cell r="Z88">
            <v>33439.71</v>
          </cell>
          <cell r="AA88">
            <v>32444.13</v>
          </cell>
          <cell r="AB88">
            <v>32584.7</v>
          </cell>
          <cell r="AC88">
            <v>34180.85</v>
          </cell>
          <cell r="AD88">
            <v>32197.4</v>
          </cell>
          <cell r="AE88">
            <v>32653.21</v>
          </cell>
          <cell r="AF88">
            <v>34000.370000000003</v>
          </cell>
          <cell r="AG88">
            <v>32123.54</v>
          </cell>
          <cell r="AH88">
            <v>32481.3</v>
          </cell>
          <cell r="AI88">
            <v>31773.8</v>
          </cell>
          <cell r="AJ88">
            <v>32593.68</v>
          </cell>
          <cell r="AK88">
            <v>31047.74</v>
          </cell>
          <cell r="AL88">
            <v>32551.8</v>
          </cell>
          <cell r="AM88">
            <v>34220.1</v>
          </cell>
          <cell r="AN88">
            <v>32969.519999999997</v>
          </cell>
          <cell r="AO88">
            <v>33433.64</v>
          </cell>
          <cell r="AP88">
            <v>33331.870000000003</v>
          </cell>
          <cell r="AQ88">
            <v>33708.629999999997</v>
          </cell>
          <cell r="AR88">
            <v>32424.82</v>
          </cell>
          <cell r="AS88">
            <v>34447.86</v>
          </cell>
          <cell r="AT88">
            <v>33268.800000000003</v>
          </cell>
          <cell r="AU88">
            <v>33446.480000000003</v>
          </cell>
          <cell r="AV88">
            <v>33949.9</v>
          </cell>
          <cell r="AW88">
            <v>32986.370000000003</v>
          </cell>
          <cell r="AX88">
            <v>31038.880000000001</v>
          </cell>
          <cell r="AY88">
            <v>32310.68</v>
          </cell>
          <cell r="AZ88">
            <v>30552.799999999999</v>
          </cell>
          <cell r="BA88">
            <v>30552.799999999999</v>
          </cell>
        </row>
        <row r="89">
          <cell r="A89" t="str">
            <v>V5000H15B25</v>
          </cell>
          <cell r="B89">
            <v>5000</v>
          </cell>
          <cell r="C89">
            <v>1500</v>
          </cell>
          <cell r="D89">
            <v>2500</v>
          </cell>
          <cell r="E89">
            <v>65</v>
          </cell>
          <cell r="F89">
            <v>7</v>
          </cell>
          <cell r="G89">
            <v>0</v>
          </cell>
          <cell r="H89">
            <v>350</v>
          </cell>
          <cell r="I89">
            <v>50</v>
          </cell>
          <cell r="J89">
            <v>5060.7</v>
          </cell>
          <cell r="K89" t="str">
            <v>Q-11002999</v>
          </cell>
          <cell r="L89" t="str">
            <v>\\hokukon-net2\hop\Program\01_MVPシステム_容量別組立図\.\02_余裕高0_6m\pdf\FB600_5000m3-MVP-1500-組-B2500_Q-11002999.pdf</v>
          </cell>
          <cell r="M89">
            <v>33258.199999999997</v>
          </cell>
          <cell r="N89">
            <v>33765.31</v>
          </cell>
          <cell r="O89">
            <v>32535.43</v>
          </cell>
          <cell r="P89">
            <v>32553.54</v>
          </cell>
          <cell r="Q89">
            <v>33532.35</v>
          </cell>
          <cell r="R89">
            <v>33141.57</v>
          </cell>
          <cell r="S89">
            <v>33069.21</v>
          </cell>
          <cell r="T89">
            <v>33091.1</v>
          </cell>
          <cell r="U89">
            <v>32773.42</v>
          </cell>
          <cell r="V89">
            <v>32593.35</v>
          </cell>
          <cell r="W89">
            <v>32853.599999999999</v>
          </cell>
          <cell r="X89">
            <v>32954.14</v>
          </cell>
          <cell r="Y89">
            <v>32966.89</v>
          </cell>
          <cell r="Z89">
            <v>34101.46</v>
          </cell>
          <cell r="AA89">
            <v>33105.11</v>
          </cell>
          <cell r="AB89">
            <v>33241.050000000003</v>
          </cell>
          <cell r="AC89">
            <v>34835.69</v>
          </cell>
          <cell r="AD89">
            <v>32843.11</v>
          </cell>
          <cell r="AE89">
            <v>33304.1</v>
          </cell>
          <cell r="AF89">
            <v>34657.46</v>
          </cell>
          <cell r="AG89">
            <v>32778.74</v>
          </cell>
          <cell r="AH89">
            <v>33137.519999999997</v>
          </cell>
          <cell r="AI89">
            <v>32430.61</v>
          </cell>
          <cell r="AJ89">
            <v>33247.79</v>
          </cell>
          <cell r="AK89">
            <v>31695.85</v>
          </cell>
          <cell r="AL89">
            <v>33200.97</v>
          </cell>
          <cell r="AM89">
            <v>34875.019999999997</v>
          </cell>
          <cell r="AN89">
            <v>33622.1</v>
          </cell>
          <cell r="AO89">
            <v>34083.83</v>
          </cell>
          <cell r="AP89">
            <v>33984.129999999997</v>
          </cell>
          <cell r="AQ89">
            <v>34362.9</v>
          </cell>
          <cell r="AR89">
            <v>33066.26</v>
          </cell>
          <cell r="AS89">
            <v>35095.78</v>
          </cell>
          <cell r="AT89">
            <v>33919.43</v>
          </cell>
          <cell r="AU89">
            <v>34098.47</v>
          </cell>
          <cell r="AV89">
            <v>34598.33</v>
          </cell>
          <cell r="AW89">
            <v>33633.03</v>
          </cell>
          <cell r="AX89">
            <v>31684.35</v>
          </cell>
          <cell r="AY89">
            <v>32954.199999999997</v>
          </cell>
          <cell r="AZ89">
            <v>31194.43</v>
          </cell>
          <cell r="BA89">
            <v>31194.43</v>
          </cell>
        </row>
        <row r="90">
          <cell r="A90" t="str">
            <v>V5000H15B20</v>
          </cell>
          <cell r="B90">
            <v>5000</v>
          </cell>
          <cell r="C90">
            <v>1500</v>
          </cell>
          <cell r="D90">
            <v>2000</v>
          </cell>
          <cell r="E90">
            <v>62</v>
          </cell>
          <cell r="F90">
            <v>8</v>
          </cell>
          <cell r="G90">
            <v>0</v>
          </cell>
          <cell r="H90">
            <v>350</v>
          </cell>
          <cell r="I90">
            <v>50</v>
          </cell>
          <cell r="J90">
            <v>5019.6000000000004</v>
          </cell>
          <cell r="K90" t="str">
            <v>Q-11002998</v>
          </cell>
          <cell r="L90" t="str">
            <v>\\hokukon-net2\hop\Program\01_MVPシステム_容量別組立図\.\02_余裕高0_6m\pdf\FB600_5000m3-MVP-1500-組-B2000_Q-11002998.pdf</v>
          </cell>
          <cell r="M90">
            <v>33770.53</v>
          </cell>
          <cell r="N90">
            <v>34274.31</v>
          </cell>
          <cell r="O90">
            <v>33057.550000000003</v>
          </cell>
          <cell r="P90">
            <v>33075.54</v>
          </cell>
          <cell r="Q90">
            <v>34041.39</v>
          </cell>
          <cell r="R90">
            <v>33652.81</v>
          </cell>
          <cell r="S90">
            <v>33577.78</v>
          </cell>
          <cell r="T90">
            <v>33599.54</v>
          </cell>
          <cell r="U90">
            <v>33301.78</v>
          </cell>
          <cell r="V90">
            <v>33120.699999999997</v>
          </cell>
          <cell r="W90">
            <v>33380.03</v>
          </cell>
          <cell r="X90">
            <v>33949.03</v>
          </cell>
          <cell r="Y90">
            <v>33499.760000000002</v>
          </cell>
          <cell r="Z90">
            <v>34632.14</v>
          </cell>
          <cell r="AA90">
            <v>33644.49</v>
          </cell>
          <cell r="AB90">
            <v>33772.9</v>
          </cell>
          <cell r="AC90">
            <v>35348.959999999999</v>
          </cell>
          <cell r="AD90">
            <v>33363.47</v>
          </cell>
          <cell r="AE90">
            <v>33826.81</v>
          </cell>
          <cell r="AF90">
            <v>35174.83</v>
          </cell>
          <cell r="AG90">
            <v>33313.07</v>
          </cell>
          <cell r="AH90">
            <v>33670.120000000003</v>
          </cell>
          <cell r="AI90">
            <v>32970.660000000003</v>
          </cell>
          <cell r="AJ90">
            <v>33775.99</v>
          </cell>
          <cell r="AK90">
            <v>32231.94</v>
          </cell>
          <cell r="AL90">
            <v>33723.660000000003</v>
          </cell>
          <cell r="AM90">
            <v>35388.239999999998</v>
          </cell>
          <cell r="AN90">
            <v>34145.18</v>
          </cell>
          <cell r="AO90">
            <v>34599</v>
          </cell>
          <cell r="AP90">
            <v>34503.18</v>
          </cell>
          <cell r="AQ90">
            <v>34880.54</v>
          </cell>
          <cell r="AR90">
            <v>33579.42</v>
          </cell>
          <cell r="AS90">
            <v>35596.589999999997</v>
          </cell>
          <cell r="AT90">
            <v>34436.080000000002</v>
          </cell>
          <cell r="AU90">
            <v>34614.75</v>
          </cell>
          <cell r="AV90">
            <v>35105.22</v>
          </cell>
          <cell r="AW90">
            <v>34146.94</v>
          </cell>
          <cell r="AX90">
            <v>32216.1</v>
          </cell>
          <cell r="AY90">
            <v>33470.92</v>
          </cell>
          <cell r="AZ90">
            <v>31726.13</v>
          </cell>
          <cell r="BA90">
            <v>31726.13</v>
          </cell>
        </row>
        <row r="91">
          <cell r="A91" t="str">
            <v>V5000H20B30</v>
          </cell>
          <cell r="B91">
            <v>5000</v>
          </cell>
          <cell r="C91">
            <v>2000</v>
          </cell>
          <cell r="D91">
            <v>3000</v>
          </cell>
          <cell r="E91">
            <v>44</v>
          </cell>
          <cell r="F91">
            <v>6</v>
          </cell>
          <cell r="G91">
            <v>0</v>
          </cell>
          <cell r="H91">
            <v>350</v>
          </cell>
          <cell r="I91">
            <v>50</v>
          </cell>
          <cell r="J91">
            <v>5026.1000000000004</v>
          </cell>
          <cell r="K91" t="str">
            <v>Q-11003003</v>
          </cell>
          <cell r="L91" t="str">
            <v>\\hokukon-net2\hop\Program\01_MVPシステム_容量別組立図\.\02_余裕高0_6m\pdf\FB600_5000m3-MVP-2000-組-B3000_Q-11003003.pdf</v>
          </cell>
          <cell r="M91">
            <v>21987.599999999999</v>
          </cell>
          <cell r="N91">
            <v>22314.41</v>
          </cell>
          <cell r="O91">
            <v>21526.55</v>
          </cell>
          <cell r="P91">
            <v>21538.17</v>
          </cell>
          <cell r="Q91">
            <v>22163.72</v>
          </cell>
          <cell r="R91">
            <v>21913.42</v>
          </cell>
          <cell r="S91">
            <v>21866.52</v>
          </cell>
          <cell r="T91">
            <v>21880.55</v>
          </cell>
          <cell r="U91">
            <v>21682.15</v>
          </cell>
          <cell r="V91">
            <v>21566.55</v>
          </cell>
          <cell r="W91">
            <v>21732.02</v>
          </cell>
          <cell r="X91">
            <v>21798.45</v>
          </cell>
          <cell r="Y91">
            <v>21806.74</v>
          </cell>
          <cell r="Z91">
            <v>22534.14</v>
          </cell>
          <cell r="AA91">
            <v>21894.07</v>
          </cell>
          <cell r="AB91">
            <v>21981.38</v>
          </cell>
          <cell r="AC91">
            <v>23000.41</v>
          </cell>
          <cell r="AD91">
            <v>21718.73</v>
          </cell>
          <cell r="AE91">
            <v>22015.8</v>
          </cell>
          <cell r="AF91">
            <v>22883.54</v>
          </cell>
          <cell r="AG91">
            <v>21681.82</v>
          </cell>
          <cell r="AH91">
            <v>21913.26</v>
          </cell>
          <cell r="AI91">
            <v>21459.29</v>
          </cell>
          <cell r="AJ91">
            <v>21982.39</v>
          </cell>
          <cell r="AK91">
            <v>20988.32</v>
          </cell>
          <cell r="AL91">
            <v>21954.68</v>
          </cell>
          <cell r="AM91">
            <v>23027.93</v>
          </cell>
          <cell r="AN91">
            <v>22226.44</v>
          </cell>
          <cell r="AO91">
            <v>22521.67</v>
          </cell>
          <cell r="AP91">
            <v>22458.49</v>
          </cell>
          <cell r="AQ91">
            <v>22700.93</v>
          </cell>
          <cell r="AR91">
            <v>21864.79</v>
          </cell>
          <cell r="AS91">
            <v>23164.09</v>
          </cell>
          <cell r="AT91">
            <v>22412.05</v>
          </cell>
          <cell r="AU91">
            <v>22525.040000000001</v>
          </cell>
          <cell r="AV91">
            <v>22846.18</v>
          </cell>
          <cell r="AW91">
            <v>22226.02</v>
          </cell>
          <cell r="AX91">
            <v>20975.61</v>
          </cell>
          <cell r="AY91">
            <v>21791.05</v>
          </cell>
          <cell r="AZ91">
            <v>20661.3</v>
          </cell>
          <cell r="BA91">
            <v>20661.3</v>
          </cell>
        </row>
        <row r="92">
          <cell r="A92" t="str">
            <v>V5000H20B25</v>
          </cell>
          <cell r="B92">
            <v>5000</v>
          </cell>
          <cell r="C92">
            <v>2000</v>
          </cell>
          <cell r="D92">
            <v>2500</v>
          </cell>
          <cell r="E92">
            <v>48</v>
          </cell>
          <cell r="F92">
            <v>6</v>
          </cell>
          <cell r="G92">
            <v>0</v>
          </cell>
          <cell r="H92">
            <v>350</v>
          </cell>
          <cell r="I92">
            <v>50</v>
          </cell>
          <cell r="J92">
            <v>5066.1000000000004</v>
          </cell>
          <cell r="K92" t="str">
            <v>Q-11003002</v>
          </cell>
          <cell r="L92" t="str">
            <v>\\hokukon-net2\hop\Program\01_MVPシステム_容量別組立図\.\02_余裕高0_6m\pdf\FB600_5000m3-MVP-2000-組-B2500_Q-11003002.pdf</v>
          </cell>
          <cell r="M92">
            <v>22609.279999999999</v>
          </cell>
          <cell r="N92">
            <v>22939.119999999999</v>
          </cell>
          <cell r="O92">
            <v>22145.84</v>
          </cell>
          <cell r="P92">
            <v>22157.58</v>
          </cell>
          <cell r="Q92">
            <v>22786.18</v>
          </cell>
          <cell r="R92">
            <v>22533.27</v>
          </cell>
          <cell r="S92">
            <v>22484.44</v>
          </cell>
          <cell r="T92">
            <v>22498.62</v>
          </cell>
          <cell r="U92">
            <v>22306.22</v>
          </cell>
          <cell r="V92">
            <v>22188.42</v>
          </cell>
          <cell r="W92">
            <v>22356.17</v>
          </cell>
          <cell r="X92">
            <v>22426.01</v>
          </cell>
          <cell r="Y92">
            <v>22434.75</v>
          </cell>
          <cell r="Z92">
            <v>23171.87</v>
          </cell>
          <cell r="AA92">
            <v>22526.67</v>
          </cell>
          <cell r="AB92">
            <v>22611.69</v>
          </cell>
          <cell r="AC92">
            <v>23637.23</v>
          </cell>
          <cell r="AD92">
            <v>22340.49</v>
          </cell>
          <cell r="AE92">
            <v>22643</v>
          </cell>
          <cell r="AF92">
            <v>23520.959999999999</v>
          </cell>
          <cell r="AG92">
            <v>22309.25</v>
          </cell>
          <cell r="AH92">
            <v>22543.02</v>
          </cell>
          <cell r="AI92">
            <v>22086.13</v>
          </cell>
          <cell r="AJ92">
            <v>22611.35</v>
          </cell>
          <cell r="AK92">
            <v>21606.22</v>
          </cell>
          <cell r="AL92">
            <v>22580.28</v>
          </cell>
          <cell r="AM92">
            <v>23664.98</v>
          </cell>
          <cell r="AN92">
            <v>22856.15</v>
          </cell>
          <cell r="AO92">
            <v>23152.02</v>
          </cell>
          <cell r="AP92">
            <v>23089.68</v>
          </cell>
          <cell r="AQ92">
            <v>23335.16</v>
          </cell>
          <cell r="AR92">
            <v>22484.92</v>
          </cell>
          <cell r="AS92">
            <v>23797.79</v>
          </cell>
          <cell r="AT92">
            <v>23041.95</v>
          </cell>
          <cell r="AU92">
            <v>23156.639999999999</v>
          </cell>
          <cell r="AV92">
            <v>23477.87</v>
          </cell>
          <cell r="AW92">
            <v>22852.080000000002</v>
          </cell>
          <cell r="AX92">
            <v>21591.84</v>
          </cell>
          <cell r="AY92">
            <v>22411.97</v>
          </cell>
          <cell r="AZ92">
            <v>21272.83</v>
          </cell>
          <cell r="BA92">
            <v>21272.83</v>
          </cell>
        </row>
        <row r="93">
          <cell r="A93" t="str">
            <v>V5000H20B20</v>
          </cell>
          <cell r="B93">
            <v>5000</v>
          </cell>
          <cell r="C93">
            <v>2000</v>
          </cell>
          <cell r="D93">
            <v>2000</v>
          </cell>
          <cell r="E93">
            <v>52</v>
          </cell>
          <cell r="F93">
            <v>6</v>
          </cell>
          <cell r="G93">
            <v>0</v>
          </cell>
          <cell r="H93">
            <v>350</v>
          </cell>
          <cell r="I93">
            <v>50</v>
          </cell>
          <cell r="J93">
            <v>5038.8</v>
          </cell>
          <cell r="K93" t="str">
            <v>Q-11003001</v>
          </cell>
          <cell r="L93" t="str">
            <v>\\hokukon-net2\hop\Program\01_MVPシステム_容量別組立図\.\02_余裕高0_6m\pdf\FB600_5000m3-MVP-2000-組-B2000_Q-11003001.pdf</v>
          </cell>
          <cell r="M93">
            <v>23030.58</v>
          </cell>
          <cell r="N93">
            <v>23359.32</v>
          </cell>
          <cell r="O93">
            <v>22571.11</v>
          </cell>
          <cell r="P93">
            <v>22582.81</v>
          </cell>
          <cell r="Q93">
            <v>23205.84</v>
          </cell>
          <cell r="R93">
            <v>22953.48</v>
          </cell>
          <cell r="S93">
            <v>22902.99</v>
          </cell>
          <cell r="T93">
            <v>22917.13</v>
          </cell>
          <cell r="U93">
            <v>22735.1</v>
          </cell>
          <cell r="V93">
            <v>22616.31</v>
          </cell>
          <cell r="W93">
            <v>22784.32</v>
          </cell>
          <cell r="X93">
            <v>22857.360000000001</v>
          </cell>
          <cell r="Y93">
            <v>22866.560000000001</v>
          </cell>
          <cell r="Z93">
            <v>23604.73</v>
          </cell>
          <cell r="AA93">
            <v>22962.66</v>
          </cell>
          <cell r="AB93">
            <v>23043.66</v>
          </cell>
          <cell r="AC93">
            <v>24061.95</v>
          </cell>
          <cell r="AD93">
            <v>22765.72</v>
          </cell>
          <cell r="AE93">
            <v>23070.44</v>
          </cell>
          <cell r="AF93">
            <v>23948.03</v>
          </cell>
          <cell r="AG93">
            <v>22742</v>
          </cell>
          <cell r="AH93">
            <v>22975.25</v>
          </cell>
          <cell r="AI93">
            <v>22521.46</v>
          </cell>
          <cell r="AJ93">
            <v>23041.52</v>
          </cell>
          <cell r="AK93">
            <v>22037.71</v>
          </cell>
          <cell r="AL93">
            <v>23006.95</v>
          </cell>
          <cell r="AM93">
            <v>24089.68</v>
          </cell>
          <cell r="AN93">
            <v>23283.82</v>
          </cell>
          <cell r="AO93">
            <v>23576.14</v>
          </cell>
          <cell r="AP93">
            <v>23515.759999999998</v>
          </cell>
          <cell r="AQ93">
            <v>23761.32</v>
          </cell>
          <cell r="AR93">
            <v>22906.16</v>
          </cell>
          <cell r="AS93">
            <v>24216.25</v>
          </cell>
          <cell r="AT93">
            <v>23466.92</v>
          </cell>
          <cell r="AU93">
            <v>23581.96</v>
          </cell>
          <cell r="AV93">
            <v>23898.59</v>
          </cell>
          <cell r="AW93">
            <v>23275.09</v>
          </cell>
          <cell r="AX93">
            <v>22021.25</v>
          </cell>
          <cell r="AY93">
            <v>22835.14</v>
          </cell>
          <cell r="AZ93">
            <v>21701.16</v>
          </cell>
          <cell r="BA93">
            <v>21701.16</v>
          </cell>
        </row>
        <row r="94">
          <cell r="A94" t="str">
            <v>V5000H25B30</v>
          </cell>
          <cell r="B94">
            <v>5000</v>
          </cell>
          <cell r="C94">
            <v>2500</v>
          </cell>
          <cell r="D94">
            <v>3000</v>
          </cell>
          <cell r="E94">
            <v>45</v>
          </cell>
          <cell r="F94">
            <v>7</v>
          </cell>
          <cell r="G94">
            <v>0</v>
          </cell>
          <cell r="H94">
            <v>300</v>
          </cell>
          <cell r="I94">
            <v>50</v>
          </cell>
          <cell r="J94">
            <v>5027.3999999999996</v>
          </cell>
          <cell r="K94" t="str">
            <v>Q-11003006</v>
          </cell>
          <cell r="L94" t="str">
            <v>\\hokukon-net2\hop\Program\01_MVPシステム_容量別組立図\.\02_余裕高0_6m\pdf\FB600_5000m3-MVP-2500-組-B3000_Q-11003006.pdf</v>
          </cell>
          <cell r="M94">
            <v>19784.55</v>
          </cell>
          <cell r="N94">
            <v>20010.400000000001</v>
          </cell>
          <cell r="O94">
            <v>19483.189999999999</v>
          </cell>
          <cell r="P94">
            <v>19491.3</v>
          </cell>
          <cell r="Q94">
            <v>19906.3</v>
          </cell>
          <cell r="R94">
            <v>19735.2</v>
          </cell>
          <cell r="S94">
            <v>19694.47</v>
          </cell>
          <cell r="T94">
            <v>19704.259999999998</v>
          </cell>
          <cell r="U94">
            <v>19629.650000000001</v>
          </cell>
          <cell r="V94">
            <v>19542.080000000002</v>
          </cell>
          <cell r="W94">
            <v>19660.66</v>
          </cell>
          <cell r="X94">
            <v>19731.59</v>
          </cell>
          <cell r="Y94">
            <v>19743.330000000002</v>
          </cell>
          <cell r="Z94">
            <v>20261.8</v>
          </cell>
          <cell r="AA94">
            <v>19820.349999999999</v>
          </cell>
          <cell r="AB94">
            <v>19859.849999999999</v>
          </cell>
          <cell r="AC94">
            <v>20531.61</v>
          </cell>
          <cell r="AD94">
            <v>19617.490000000002</v>
          </cell>
          <cell r="AE94">
            <v>19834.8</v>
          </cell>
          <cell r="AF94">
            <v>20447.11</v>
          </cell>
          <cell r="AG94">
            <v>19644.599999999999</v>
          </cell>
          <cell r="AH94">
            <v>19811.07</v>
          </cell>
          <cell r="AI94">
            <v>19500.54</v>
          </cell>
          <cell r="AJ94">
            <v>19845.89</v>
          </cell>
          <cell r="AK94">
            <v>19150.71</v>
          </cell>
          <cell r="AL94">
            <v>19804.79</v>
          </cell>
          <cell r="AM94">
            <v>20548.87</v>
          </cell>
          <cell r="AN94">
            <v>20001.259999999998</v>
          </cell>
          <cell r="AO94">
            <v>20189</v>
          </cell>
          <cell r="AP94">
            <v>20161.27</v>
          </cell>
          <cell r="AQ94">
            <v>20326.7</v>
          </cell>
          <cell r="AR94">
            <v>19711.580000000002</v>
          </cell>
          <cell r="AS94">
            <v>20609.18</v>
          </cell>
          <cell r="AT94">
            <v>20108.23</v>
          </cell>
          <cell r="AU94">
            <v>20187.150000000001</v>
          </cell>
          <cell r="AV94">
            <v>20397.78</v>
          </cell>
          <cell r="AW94">
            <v>19959.080000000002</v>
          </cell>
          <cell r="AX94">
            <v>19119.27</v>
          </cell>
          <cell r="AY94">
            <v>19659.48</v>
          </cell>
          <cell r="AZ94">
            <v>18886.84</v>
          </cell>
          <cell r="BA94">
            <v>18886.84</v>
          </cell>
        </row>
        <row r="95">
          <cell r="A95" t="str">
            <v>V5000H25B25</v>
          </cell>
          <cell r="B95">
            <v>5000</v>
          </cell>
          <cell r="C95">
            <v>2500</v>
          </cell>
          <cell r="D95">
            <v>2500</v>
          </cell>
          <cell r="E95">
            <v>44</v>
          </cell>
          <cell r="F95">
            <v>8</v>
          </cell>
          <cell r="G95">
            <v>0</v>
          </cell>
          <cell r="H95">
            <v>300</v>
          </cell>
          <cell r="I95">
            <v>50</v>
          </cell>
          <cell r="J95">
            <v>5074.1000000000004</v>
          </cell>
          <cell r="K95" t="str">
            <v>Q-11003005</v>
          </cell>
          <cell r="L95" t="str">
            <v>\\hokukon-net2\hop\Program\01_MVPシステム_容量別組立図\.\02_余裕高0_6m\pdf\FB600_5000m3-MVP-2500-組-B2500_Q-11003005.pdf</v>
          </cell>
          <cell r="M95">
            <v>20682.47</v>
          </cell>
          <cell r="N95">
            <v>20910.93</v>
          </cell>
          <cell r="O95">
            <v>20381.16</v>
          </cell>
          <cell r="P95">
            <v>20389.37</v>
          </cell>
          <cell r="Q95">
            <v>20804.8</v>
          </cell>
          <cell r="R95">
            <v>20631.72</v>
          </cell>
          <cell r="S95">
            <v>20588.45</v>
          </cell>
          <cell r="T95">
            <v>20598.330000000002</v>
          </cell>
          <cell r="U95">
            <v>20534.5</v>
          </cell>
          <cell r="V95">
            <v>20444.53</v>
          </cell>
          <cell r="W95">
            <v>20565.150000000001</v>
          </cell>
          <cell r="X95">
            <v>20640.95</v>
          </cell>
          <cell r="Y95">
            <v>20653.21</v>
          </cell>
          <cell r="Z95">
            <v>21181.01</v>
          </cell>
          <cell r="AA95">
            <v>20735.86</v>
          </cell>
          <cell r="AB95">
            <v>20771.72</v>
          </cell>
          <cell r="AC95">
            <v>21445.7</v>
          </cell>
          <cell r="AD95">
            <v>20516.79</v>
          </cell>
          <cell r="AE95">
            <v>20740.07</v>
          </cell>
          <cell r="AF95">
            <v>21361.86</v>
          </cell>
          <cell r="AG95">
            <v>20553.25</v>
          </cell>
          <cell r="AH95">
            <v>20722.41</v>
          </cell>
          <cell r="AI95">
            <v>20409.78</v>
          </cell>
          <cell r="AJ95">
            <v>20755.189999999999</v>
          </cell>
          <cell r="AK95">
            <v>20050.18</v>
          </cell>
          <cell r="AL95">
            <v>20709.79</v>
          </cell>
          <cell r="AM95">
            <v>21463.31</v>
          </cell>
          <cell r="AN95">
            <v>20910.29</v>
          </cell>
          <cell r="AO95">
            <v>21097.119999999999</v>
          </cell>
          <cell r="AP95">
            <v>21071.56</v>
          </cell>
          <cell r="AQ95">
            <v>21239.4</v>
          </cell>
          <cell r="AR95">
            <v>20608.52</v>
          </cell>
          <cell r="AS95">
            <v>21517.24</v>
          </cell>
          <cell r="AT95">
            <v>21015.759999999998</v>
          </cell>
          <cell r="AU95">
            <v>21095.85</v>
          </cell>
          <cell r="AV95">
            <v>21305.24</v>
          </cell>
          <cell r="AW95">
            <v>20861.66</v>
          </cell>
          <cell r="AX95">
            <v>20015.669999999998</v>
          </cell>
          <cell r="AY95">
            <v>20557.73</v>
          </cell>
          <cell r="AZ95">
            <v>19778.060000000001</v>
          </cell>
          <cell r="BA95">
            <v>19778.060000000001</v>
          </cell>
        </row>
        <row r="96">
          <cell r="A96" t="str">
            <v>V5000H25B20</v>
          </cell>
          <cell r="B96">
            <v>5000</v>
          </cell>
          <cell r="C96">
            <v>2500</v>
          </cell>
          <cell r="D96">
            <v>2000</v>
          </cell>
          <cell r="E96">
            <v>49</v>
          </cell>
          <cell r="F96">
            <v>8</v>
          </cell>
          <cell r="G96">
            <v>0</v>
          </cell>
          <cell r="H96">
            <v>300</v>
          </cell>
          <cell r="I96">
            <v>50</v>
          </cell>
          <cell r="J96">
            <v>5076.3</v>
          </cell>
          <cell r="K96" t="str">
            <v>Q-11003004</v>
          </cell>
          <cell r="L96" t="str">
            <v>\\hokukon-net2\hop\Program\01_MVPシステム_容量別組立図\.\02_余裕高0_6m\pdf\FB600_5000m3-MVP-2500-組-B2000_Q-11003004.pdf</v>
          </cell>
          <cell r="M96">
            <v>21564.01</v>
          </cell>
          <cell r="N96">
            <v>21792.95</v>
          </cell>
          <cell r="O96">
            <v>21264.91</v>
          </cell>
          <cell r="P96">
            <v>21273.15</v>
          </cell>
          <cell r="Q96">
            <v>21685.49</v>
          </cell>
          <cell r="R96">
            <v>21511.7</v>
          </cell>
          <cell r="S96">
            <v>21466.02</v>
          </cell>
          <cell r="T96">
            <v>21475.94</v>
          </cell>
          <cell r="U96">
            <v>21423.67</v>
          </cell>
          <cell r="V96">
            <v>21331.8</v>
          </cell>
          <cell r="W96">
            <v>21454.03</v>
          </cell>
          <cell r="X96">
            <v>21534.23</v>
          </cell>
          <cell r="Y96">
            <v>21546.880000000001</v>
          </cell>
          <cell r="Z96">
            <v>22080.49</v>
          </cell>
          <cell r="AA96">
            <v>21635.48</v>
          </cell>
          <cell r="AB96">
            <v>21666.91</v>
          </cell>
          <cell r="AC96">
            <v>22338.01</v>
          </cell>
          <cell r="AD96">
            <v>21401.74</v>
          </cell>
          <cell r="AE96">
            <v>21629.55</v>
          </cell>
          <cell r="AF96">
            <v>22256.34</v>
          </cell>
          <cell r="AG96">
            <v>21447.51</v>
          </cell>
          <cell r="AH96">
            <v>21617.67</v>
          </cell>
          <cell r="AI96">
            <v>21305.87</v>
          </cell>
          <cell r="AJ96">
            <v>21648.31</v>
          </cell>
          <cell r="AK96">
            <v>20938.41</v>
          </cell>
          <cell r="AL96">
            <v>21597.99</v>
          </cell>
          <cell r="AM96">
            <v>22355.48</v>
          </cell>
          <cell r="AN96">
            <v>21801</v>
          </cell>
          <cell r="AO96">
            <v>21985.26</v>
          </cell>
          <cell r="AP96">
            <v>21962.18</v>
          </cell>
          <cell r="AQ96">
            <v>22131.4</v>
          </cell>
          <cell r="AR96">
            <v>21489.29</v>
          </cell>
          <cell r="AS96">
            <v>22402.85</v>
          </cell>
          <cell r="AT96">
            <v>21904.720000000001</v>
          </cell>
          <cell r="AU96">
            <v>21985.89</v>
          </cell>
          <cell r="AV96">
            <v>22191.71</v>
          </cell>
          <cell r="AW96">
            <v>21746.99</v>
          </cell>
          <cell r="AX96">
            <v>20901.84</v>
          </cell>
          <cell r="AY96">
            <v>21440.73</v>
          </cell>
          <cell r="AZ96">
            <v>20660.509999999998</v>
          </cell>
          <cell r="BA96">
            <v>20660.509999999998</v>
          </cell>
        </row>
        <row r="97">
          <cell r="A97" t="str">
            <v>V5000H30B30</v>
          </cell>
          <cell r="B97">
            <v>5000</v>
          </cell>
          <cell r="C97">
            <v>3000</v>
          </cell>
          <cell r="D97">
            <v>3000</v>
          </cell>
          <cell r="E97">
            <v>41</v>
          </cell>
          <cell r="F97">
            <v>6</v>
          </cell>
          <cell r="G97">
            <v>0</v>
          </cell>
          <cell r="H97">
            <v>300</v>
          </cell>
          <cell r="I97">
            <v>50</v>
          </cell>
          <cell r="J97">
            <v>5011.6000000000004</v>
          </cell>
          <cell r="K97" t="str">
            <v>Q-11003009</v>
          </cell>
          <cell r="L97" t="str">
            <v>\\hokukon-net2\hop\Program\01_MVPシステム_容量別組立図\.\02_余裕高0_6m\pdf\FB600_5000m3-MVP-3000-組-B3000_Q-11003009.pdf</v>
          </cell>
          <cell r="M97">
            <v>16714.259999999998</v>
          </cell>
          <cell r="N97">
            <v>16894.32</v>
          </cell>
          <cell r="O97">
            <v>16479.830000000002</v>
          </cell>
          <cell r="P97">
            <v>16486.259999999998</v>
          </cell>
          <cell r="Q97">
            <v>16808.599999999999</v>
          </cell>
          <cell r="R97">
            <v>16670.599999999999</v>
          </cell>
          <cell r="S97">
            <v>16634.810000000001</v>
          </cell>
          <cell r="T97">
            <v>16642.57</v>
          </cell>
          <cell r="U97">
            <v>16604.36</v>
          </cell>
          <cell r="V97">
            <v>16532.060000000001</v>
          </cell>
          <cell r="W97">
            <v>16625.580000000002</v>
          </cell>
          <cell r="X97">
            <v>16689.11</v>
          </cell>
          <cell r="Y97">
            <v>16701.02</v>
          </cell>
          <cell r="Z97">
            <v>17118.310000000001</v>
          </cell>
          <cell r="AA97">
            <v>16770.080000000002</v>
          </cell>
          <cell r="AB97">
            <v>16793.099999999999</v>
          </cell>
          <cell r="AC97">
            <v>17317.75</v>
          </cell>
          <cell r="AD97">
            <v>16586.439999999999</v>
          </cell>
          <cell r="AE97">
            <v>16765.650000000001</v>
          </cell>
          <cell r="AF97">
            <v>17254.689999999999</v>
          </cell>
          <cell r="AG97">
            <v>16622.64</v>
          </cell>
          <cell r="AH97">
            <v>16753.439999999999</v>
          </cell>
          <cell r="AI97">
            <v>16512.009999999998</v>
          </cell>
          <cell r="AJ97">
            <v>16777.14</v>
          </cell>
          <cell r="AK97">
            <v>16225.41</v>
          </cell>
          <cell r="AL97">
            <v>16739.63</v>
          </cell>
          <cell r="AM97">
            <v>17332.64</v>
          </cell>
          <cell r="AN97">
            <v>16901.59</v>
          </cell>
          <cell r="AO97">
            <v>17044.43</v>
          </cell>
          <cell r="AP97">
            <v>17023.560000000001</v>
          </cell>
          <cell r="AQ97">
            <v>17157.23</v>
          </cell>
          <cell r="AR97">
            <v>16654.28</v>
          </cell>
          <cell r="AS97">
            <v>17366.080000000002</v>
          </cell>
          <cell r="AT97">
            <v>16978.39</v>
          </cell>
          <cell r="AU97">
            <v>17042.63</v>
          </cell>
          <cell r="AV97">
            <v>17201.689999999999</v>
          </cell>
          <cell r="AW97">
            <v>16855.34</v>
          </cell>
          <cell r="AX97">
            <v>16192.09</v>
          </cell>
          <cell r="AY97">
            <v>16614.97</v>
          </cell>
          <cell r="AZ97">
            <v>16006.62</v>
          </cell>
          <cell r="BA97">
            <v>16006.62</v>
          </cell>
        </row>
        <row r="98">
          <cell r="A98" t="str">
            <v>V5000H30B25</v>
          </cell>
          <cell r="B98">
            <v>5000</v>
          </cell>
          <cell r="C98">
            <v>3000</v>
          </cell>
          <cell r="D98">
            <v>2500</v>
          </cell>
          <cell r="E98">
            <v>46</v>
          </cell>
          <cell r="F98">
            <v>6</v>
          </cell>
          <cell r="G98">
            <v>0</v>
          </cell>
          <cell r="H98">
            <v>300</v>
          </cell>
          <cell r="I98">
            <v>50</v>
          </cell>
          <cell r="J98">
            <v>5109.3999999999996</v>
          </cell>
          <cell r="K98" t="str">
            <v>Q-11003008</v>
          </cell>
          <cell r="L98" t="str">
            <v>\\hokukon-net2\hop\Program\01_MVPシステム_容量別組立図\.\02_余裕高0_6m\pdf\FB600_5000m3-MVP-3000-組-B2500_Q-11003008.pdf</v>
          </cell>
          <cell r="M98">
            <v>17659.560000000001</v>
          </cell>
          <cell r="N98">
            <v>17843.36</v>
          </cell>
          <cell r="O98">
            <v>17422.099999999999</v>
          </cell>
          <cell r="P98">
            <v>17428.669999999998</v>
          </cell>
          <cell r="Q98">
            <v>17755.05</v>
          </cell>
          <cell r="R98">
            <v>17613.89</v>
          </cell>
          <cell r="S98">
            <v>17575.810000000001</v>
          </cell>
          <cell r="T98">
            <v>17583.740000000002</v>
          </cell>
          <cell r="U98">
            <v>17552.57</v>
          </cell>
          <cell r="V98">
            <v>17477.599999999999</v>
          </cell>
          <cell r="W98">
            <v>17573.97</v>
          </cell>
          <cell r="X98">
            <v>17641.650000000001</v>
          </cell>
          <cell r="Y98">
            <v>17654.13</v>
          </cell>
          <cell r="Z98">
            <v>18083.28</v>
          </cell>
          <cell r="AA98">
            <v>17728.59</v>
          </cell>
          <cell r="AB98">
            <v>17748.95</v>
          </cell>
          <cell r="AC98">
            <v>18281.689999999999</v>
          </cell>
          <cell r="AD98">
            <v>17531.740000000002</v>
          </cell>
          <cell r="AE98">
            <v>17717.400000000001</v>
          </cell>
          <cell r="AF98">
            <v>18219.05</v>
          </cell>
          <cell r="AG98">
            <v>17574.8</v>
          </cell>
          <cell r="AH98">
            <v>17708.59</v>
          </cell>
          <cell r="AI98">
            <v>17463.32</v>
          </cell>
          <cell r="AJ98">
            <v>17731.34</v>
          </cell>
          <cell r="AK98">
            <v>17165.96</v>
          </cell>
          <cell r="AL98">
            <v>17689.77</v>
          </cell>
          <cell r="AM98">
            <v>18296.759999999998</v>
          </cell>
          <cell r="AN98">
            <v>17856.599999999999</v>
          </cell>
          <cell r="AO98">
            <v>18000.37</v>
          </cell>
          <cell r="AP98">
            <v>17980.63</v>
          </cell>
          <cell r="AQ98">
            <v>18117.849999999999</v>
          </cell>
          <cell r="AR98">
            <v>17597.89</v>
          </cell>
          <cell r="AS98">
            <v>18326.39</v>
          </cell>
          <cell r="AT98">
            <v>17933.650000000001</v>
          </cell>
          <cell r="AU98">
            <v>17999.95</v>
          </cell>
          <cell r="AV98">
            <v>18159.46</v>
          </cell>
          <cell r="AW98">
            <v>17805.900000000001</v>
          </cell>
          <cell r="AX98">
            <v>17130.599999999999</v>
          </cell>
          <cell r="AY98">
            <v>17559.36</v>
          </cell>
          <cell r="AZ98">
            <v>16939.23</v>
          </cell>
          <cell r="BA98">
            <v>16939.23</v>
          </cell>
        </row>
        <row r="99">
          <cell r="A99" t="str">
            <v>V5000H30B20</v>
          </cell>
          <cell r="B99">
            <v>5000</v>
          </cell>
          <cell r="C99">
            <v>3000</v>
          </cell>
          <cell r="D99">
            <v>2000</v>
          </cell>
          <cell r="E99">
            <v>44</v>
          </cell>
          <cell r="F99">
            <v>7</v>
          </cell>
          <cell r="G99">
            <v>0</v>
          </cell>
          <cell r="H99">
            <v>300</v>
          </cell>
          <cell r="I99">
            <v>50</v>
          </cell>
          <cell r="J99">
            <v>5088.8999999999996</v>
          </cell>
          <cell r="K99" t="str">
            <v>Q-11003007</v>
          </cell>
          <cell r="L99" t="str">
            <v>\\hokukon-net2\hop\Program\01_MVPシステム_容量別組立図\.\02_余裕高0_6m\pdf\FB600_5000m3-MVP-3000-組-B2000_Q-11003007.pdf</v>
          </cell>
          <cell r="M99">
            <v>18372.38</v>
          </cell>
          <cell r="N99">
            <v>18556.02</v>
          </cell>
          <cell r="O99">
            <v>18139.259999999998</v>
          </cell>
          <cell r="P99">
            <v>18145.830000000002</v>
          </cell>
          <cell r="Q99">
            <v>18466.63</v>
          </cell>
          <cell r="R99">
            <v>18325.29</v>
          </cell>
          <cell r="S99">
            <v>18284.77</v>
          </cell>
          <cell r="T99">
            <v>18292.7</v>
          </cell>
          <cell r="U99">
            <v>18275.560000000001</v>
          </cell>
          <cell r="V99">
            <v>18198.98</v>
          </cell>
          <cell r="W99">
            <v>18295.759999999998</v>
          </cell>
          <cell r="X99">
            <v>18368.25</v>
          </cell>
          <cell r="Y99">
            <v>18381.490000000002</v>
          </cell>
          <cell r="Z99">
            <v>18814.09</v>
          </cell>
          <cell r="AA99">
            <v>18461.57</v>
          </cell>
          <cell r="AB99">
            <v>18476.77</v>
          </cell>
          <cell r="AC99">
            <v>19002.36</v>
          </cell>
          <cell r="AD99">
            <v>18248.580000000002</v>
          </cell>
          <cell r="AE99">
            <v>18438.259999999998</v>
          </cell>
          <cell r="AF99">
            <v>18942</v>
          </cell>
          <cell r="AG99">
            <v>18302.28</v>
          </cell>
          <cell r="AH99">
            <v>18436.400000000001</v>
          </cell>
          <cell r="AI99">
            <v>18193.57</v>
          </cell>
          <cell r="AJ99">
            <v>18456.23</v>
          </cell>
          <cell r="AK99">
            <v>17889.84</v>
          </cell>
          <cell r="AL99">
            <v>18410.3</v>
          </cell>
          <cell r="AM99">
            <v>19017.63</v>
          </cell>
          <cell r="AN99">
            <v>18579.439999999999</v>
          </cell>
          <cell r="AO99">
            <v>18719.16</v>
          </cell>
          <cell r="AP99">
            <v>18702</v>
          </cell>
          <cell r="AQ99">
            <v>18839.86</v>
          </cell>
          <cell r="AR99">
            <v>18310.259999999998</v>
          </cell>
          <cell r="AS99">
            <v>19038.490000000002</v>
          </cell>
          <cell r="AT99">
            <v>18652.650000000001</v>
          </cell>
          <cell r="AU99">
            <v>18719.41</v>
          </cell>
          <cell r="AV99">
            <v>18874.02</v>
          </cell>
          <cell r="AW99">
            <v>18521.41</v>
          </cell>
          <cell r="AX99">
            <v>17850.87</v>
          </cell>
          <cell r="AY99">
            <v>18273.97</v>
          </cell>
          <cell r="AZ99">
            <v>17657.22</v>
          </cell>
          <cell r="BA99">
            <v>17657.22</v>
          </cell>
        </row>
        <row r="100">
          <cell r="A100" t="str">
            <v>V5000H35B30</v>
          </cell>
          <cell r="B100">
            <v>5000</v>
          </cell>
          <cell r="C100">
            <v>3500</v>
          </cell>
          <cell r="D100">
            <v>3000</v>
          </cell>
          <cell r="E100">
            <v>41</v>
          </cell>
          <cell r="F100">
            <v>5</v>
          </cell>
          <cell r="G100">
            <v>0</v>
          </cell>
          <cell r="H100">
            <v>300</v>
          </cell>
          <cell r="I100">
            <v>50</v>
          </cell>
          <cell r="J100">
            <v>5108.5</v>
          </cell>
          <cell r="K100" t="str">
            <v>Q-11003012</v>
          </cell>
          <cell r="L100" t="str">
            <v>\\hokukon-net2\hop\Program\01_MVPシステム_容量別組立図\.\02_余裕高0_6m\pdf\FB600_5000m3-MVP-3500-組-B3000_Q-11003012.pdf</v>
          </cell>
          <cell r="M100">
            <v>14924.82</v>
          </cell>
          <cell r="N100">
            <v>15078.2</v>
          </cell>
          <cell r="O100">
            <v>14727.95</v>
          </cell>
          <cell r="P100">
            <v>14733.42</v>
          </cell>
          <cell r="Q100">
            <v>15004.6</v>
          </cell>
          <cell r="R100">
            <v>14887.71</v>
          </cell>
          <cell r="S100">
            <v>14856.5</v>
          </cell>
          <cell r="T100">
            <v>14863.07</v>
          </cell>
          <cell r="U100">
            <v>14836.13</v>
          </cell>
          <cell r="V100">
            <v>14774.28</v>
          </cell>
          <cell r="W100">
            <v>14853.4</v>
          </cell>
          <cell r="X100">
            <v>14909.14</v>
          </cell>
          <cell r="Y100">
            <v>14919.44</v>
          </cell>
          <cell r="Z100">
            <v>15274.49</v>
          </cell>
          <cell r="AA100">
            <v>14979.3</v>
          </cell>
          <cell r="AB100">
            <v>14997.39</v>
          </cell>
          <cell r="AC100">
            <v>15439.43</v>
          </cell>
          <cell r="AD100">
            <v>14816.81</v>
          </cell>
          <cell r="AE100">
            <v>14970.28</v>
          </cell>
          <cell r="AF100">
            <v>15385.82</v>
          </cell>
          <cell r="AG100">
            <v>14851.62</v>
          </cell>
          <cell r="AH100">
            <v>14963.3</v>
          </cell>
          <cell r="AI100">
            <v>14758.86</v>
          </cell>
          <cell r="AJ100">
            <v>14981.95</v>
          </cell>
          <cell r="AK100">
            <v>14514.03</v>
          </cell>
          <cell r="AL100">
            <v>14949.67</v>
          </cell>
          <cell r="AM100">
            <v>15452.78</v>
          </cell>
          <cell r="AN100">
            <v>15088.34</v>
          </cell>
          <cell r="AO100">
            <v>15208.01</v>
          </cell>
          <cell r="AP100">
            <v>15191.33</v>
          </cell>
          <cell r="AQ100">
            <v>15304.85</v>
          </cell>
          <cell r="AR100">
            <v>14874.1</v>
          </cell>
          <cell r="AS100">
            <v>15477.32</v>
          </cell>
          <cell r="AT100">
            <v>15150.81</v>
          </cell>
          <cell r="AU100">
            <v>15205.13</v>
          </cell>
          <cell r="AV100">
            <v>15338.86</v>
          </cell>
          <cell r="AW100">
            <v>15044.86</v>
          </cell>
          <cell r="AX100">
            <v>14483.18</v>
          </cell>
          <cell r="AY100">
            <v>14840.67</v>
          </cell>
          <cell r="AZ100">
            <v>14325.27</v>
          </cell>
          <cell r="BA100">
            <v>14325.27</v>
          </cell>
        </row>
        <row r="101">
          <cell r="A101" t="str">
            <v>V5000H35B25</v>
          </cell>
          <cell r="B101">
            <v>5000</v>
          </cell>
          <cell r="C101">
            <v>3500</v>
          </cell>
          <cell r="D101">
            <v>2500</v>
          </cell>
          <cell r="E101">
            <v>38</v>
          </cell>
          <cell r="F101">
            <v>6</v>
          </cell>
          <cell r="G101">
            <v>0</v>
          </cell>
          <cell r="H101">
            <v>300</v>
          </cell>
          <cell r="I101">
            <v>50</v>
          </cell>
          <cell r="J101">
            <v>5116.6000000000004</v>
          </cell>
          <cell r="K101" t="str">
            <v>Q-11003011</v>
          </cell>
          <cell r="L101" t="str">
            <v>\\hokukon-net2\hop\Program\01_MVPシステム_容量別組立図\.\02_余裕高0_6m\pdf\FB600_5000m3-MVP-3500-組-B2500_Q-11003011.pdf</v>
          </cell>
          <cell r="M101">
            <v>15524.38</v>
          </cell>
          <cell r="N101">
            <v>15678.54</v>
          </cell>
          <cell r="O101">
            <v>15330.01</v>
          </cell>
          <cell r="P101">
            <v>15335.49</v>
          </cell>
          <cell r="Q101">
            <v>15603.69</v>
          </cell>
          <cell r="R101">
            <v>15486.04</v>
          </cell>
          <cell r="S101">
            <v>15452.85</v>
          </cell>
          <cell r="T101">
            <v>15459.45</v>
          </cell>
          <cell r="U101">
            <v>15443.14</v>
          </cell>
          <cell r="V101">
            <v>15379.81</v>
          </cell>
          <cell r="W101">
            <v>15459.43</v>
          </cell>
          <cell r="X101">
            <v>15519.15</v>
          </cell>
          <cell r="Y101">
            <v>15530.09</v>
          </cell>
          <cell r="Z101">
            <v>15889.32</v>
          </cell>
          <cell r="AA101">
            <v>15594.33</v>
          </cell>
          <cell r="AB101">
            <v>15608.67</v>
          </cell>
          <cell r="AC101">
            <v>16047.19</v>
          </cell>
          <cell r="AD101">
            <v>15418.6</v>
          </cell>
          <cell r="AE101">
            <v>15575.86</v>
          </cell>
          <cell r="AF101">
            <v>15994.87</v>
          </cell>
          <cell r="AG101">
            <v>15461.74</v>
          </cell>
          <cell r="AH101">
            <v>15574.29</v>
          </cell>
          <cell r="AI101">
            <v>15370.64</v>
          </cell>
          <cell r="AJ101">
            <v>15590.7</v>
          </cell>
          <cell r="AK101">
            <v>15119.97</v>
          </cell>
          <cell r="AL101">
            <v>15555.24</v>
          </cell>
          <cell r="AM101">
            <v>16060.87</v>
          </cell>
          <cell r="AN101">
            <v>15696.4</v>
          </cell>
          <cell r="AO101">
            <v>15813.56</v>
          </cell>
          <cell r="AP101">
            <v>15798.74</v>
          </cell>
          <cell r="AQ101">
            <v>15913.23</v>
          </cell>
          <cell r="AR101">
            <v>15473</v>
          </cell>
          <cell r="AS101">
            <v>16078.66</v>
          </cell>
          <cell r="AT101">
            <v>15755.91</v>
          </cell>
          <cell r="AU101">
            <v>15810.73</v>
          </cell>
          <cell r="AV101">
            <v>15941.49</v>
          </cell>
          <cell r="AW101">
            <v>15646.79</v>
          </cell>
          <cell r="AX101">
            <v>15085.94</v>
          </cell>
          <cell r="AY101">
            <v>15441.01</v>
          </cell>
          <cell r="AZ101">
            <v>14925.66</v>
          </cell>
          <cell r="BA101">
            <v>14925.66</v>
          </cell>
        </row>
        <row r="102">
          <cell r="A102" t="str">
            <v>V5000H35B20</v>
          </cell>
          <cell r="B102">
            <v>5000</v>
          </cell>
          <cell r="C102">
            <v>3500</v>
          </cell>
          <cell r="D102">
            <v>2000</v>
          </cell>
          <cell r="E102">
            <v>42</v>
          </cell>
          <cell r="F102">
            <v>6</v>
          </cell>
          <cell r="G102">
            <v>0</v>
          </cell>
          <cell r="H102">
            <v>300</v>
          </cell>
          <cell r="I102">
            <v>50</v>
          </cell>
          <cell r="J102">
            <v>5089.6000000000004</v>
          </cell>
          <cell r="K102" t="str">
            <v>Q-11003010</v>
          </cell>
          <cell r="L102" t="str">
            <v>\\hokukon-net2\hop\Program\01_MVPシステム_容量別組立図\.\02_余裕高0_6m\pdf\FB600_5000m3-MVP-3500-組-B2000_Q-11003010.pdf</v>
          </cell>
          <cell r="M102">
            <v>16144.32</v>
          </cell>
          <cell r="N102">
            <v>16298.04</v>
          </cell>
          <cell r="O102">
            <v>15952.67</v>
          </cell>
          <cell r="P102">
            <v>15958.13</v>
          </cell>
          <cell r="Q102">
            <v>16222.55</v>
          </cell>
          <cell r="R102">
            <v>16104.99</v>
          </cell>
          <cell r="S102">
            <v>16070.23</v>
          </cell>
          <cell r="T102">
            <v>16076.8</v>
          </cell>
          <cell r="U102">
            <v>16069.28</v>
          </cell>
          <cell r="V102">
            <v>16004.9</v>
          </cell>
          <cell r="W102">
            <v>16085.13</v>
          </cell>
          <cell r="X102">
            <v>16147.77</v>
          </cell>
          <cell r="Y102">
            <v>16159.06</v>
          </cell>
          <cell r="Z102">
            <v>16520.5</v>
          </cell>
          <cell r="AA102">
            <v>16227.2</v>
          </cell>
          <cell r="AB102">
            <v>16238.15</v>
          </cell>
          <cell r="AC102">
            <v>16672.04</v>
          </cell>
          <cell r="AD102">
            <v>16041.59</v>
          </cell>
          <cell r="AE102">
            <v>16201.31</v>
          </cell>
          <cell r="AF102">
            <v>16621.560000000001</v>
          </cell>
          <cell r="AG102">
            <v>16091.35</v>
          </cell>
          <cell r="AH102">
            <v>16203.95</v>
          </cell>
          <cell r="AI102">
            <v>16002.13</v>
          </cell>
          <cell r="AJ102">
            <v>16218.65</v>
          </cell>
          <cell r="AK102">
            <v>15747.22</v>
          </cell>
          <cell r="AL102">
            <v>16179.96</v>
          </cell>
          <cell r="AM102">
            <v>16685.669999999998</v>
          </cell>
          <cell r="AN102">
            <v>16322.34</v>
          </cell>
          <cell r="AO102">
            <v>16436.900000000001</v>
          </cell>
          <cell r="AP102">
            <v>16423.82</v>
          </cell>
          <cell r="AQ102">
            <v>16538.75</v>
          </cell>
          <cell r="AR102">
            <v>16092.69</v>
          </cell>
          <cell r="AS102">
            <v>16698.259999999998</v>
          </cell>
          <cell r="AT102">
            <v>16379.94</v>
          </cell>
          <cell r="AU102">
            <v>16435.2</v>
          </cell>
          <cell r="AV102">
            <v>16562.55</v>
          </cell>
          <cell r="AW102">
            <v>16268.72</v>
          </cell>
          <cell r="AX102">
            <v>15711.5</v>
          </cell>
          <cell r="AY102">
            <v>16062.37</v>
          </cell>
          <cell r="AZ102">
            <v>15549.58</v>
          </cell>
          <cell r="BA102">
            <v>15549.58</v>
          </cell>
        </row>
        <row r="103">
          <cell r="A103" t="str">
            <v>V5000H40B30</v>
          </cell>
          <cell r="B103">
            <v>5000</v>
          </cell>
          <cell r="C103">
            <v>4000</v>
          </cell>
          <cell r="D103">
            <v>3000</v>
          </cell>
          <cell r="E103">
            <v>29</v>
          </cell>
          <cell r="F103">
            <v>6</v>
          </cell>
          <cell r="G103">
            <v>0</v>
          </cell>
          <cell r="H103">
            <v>350</v>
          </cell>
          <cell r="I103">
            <v>70</v>
          </cell>
          <cell r="J103">
            <v>5099.5</v>
          </cell>
          <cell r="K103" t="str">
            <v>Q-11003015</v>
          </cell>
          <cell r="L103" t="str">
            <v>\\hokukon-net2\hop\Program\01_MVPシステム_容量別組立図\.\02_余裕高0_6m\pdf\FB600_5000m3-MVP-4000-組-B3000_Q-11003015.pdf</v>
          </cell>
          <cell r="M103">
            <v>15174.47</v>
          </cell>
          <cell r="N103">
            <v>15323.18</v>
          </cell>
          <cell r="O103">
            <v>14994.88</v>
          </cell>
          <cell r="P103">
            <v>14999.91</v>
          </cell>
          <cell r="Q103">
            <v>15251.09</v>
          </cell>
          <cell r="R103">
            <v>15141.69</v>
          </cell>
          <cell r="S103">
            <v>15110.89</v>
          </cell>
          <cell r="T103">
            <v>15116.96</v>
          </cell>
          <cell r="U103">
            <v>15089.55</v>
          </cell>
          <cell r="V103">
            <v>15033.35</v>
          </cell>
          <cell r="W103">
            <v>15105.5</v>
          </cell>
          <cell r="X103">
            <v>15155.84</v>
          </cell>
          <cell r="Y103">
            <v>15162.82</v>
          </cell>
          <cell r="Z103">
            <v>15494.72</v>
          </cell>
          <cell r="AA103">
            <v>15218.99</v>
          </cell>
          <cell r="AB103">
            <v>15238.28</v>
          </cell>
          <cell r="AC103">
            <v>15648.36</v>
          </cell>
          <cell r="AD103">
            <v>15054.36</v>
          </cell>
          <cell r="AE103">
            <v>15202.54</v>
          </cell>
          <cell r="AF103">
            <v>15588.8</v>
          </cell>
          <cell r="AG103">
            <v>15081.48</v>
          </cell>
          <cell r="AH103">
            <v>15189.5</v>
          </cell>
          <cell r="AI103">
            <v>14998.3</v>
          </cell>
          <cell r="AJ103">
            <v>15202.85</v>
          </cell>
          <cell r="AK103">
            <v>14798.13</v>
          </cell>
          <cell r="AL103">
            <v>15210.26</v>
          </cell>
          <cell r="AM103">
            <v>15678.02</v>
          </cell>
          <cell r="AN103">
            <v>15338.98</v>
          </cell>
          <cell r="AO103">
            <v>15451.4</v>
          </cell>
          <cell r="AP103">
            <v>15436.18</v>
          </cell>
          <cell r="AQ103">
            <v>15543.93</v>
          </cell>
          <cell r="AR103">
            <v>15108.79</v>
          </cell>
          <cell r="AS103">
            <v>15671.25</v>
          </cell>
          <cell r="AT103">
            <v>15371.4</v>
          </cell>
          <cell r="AU103">
            <v>15420.89</v>
          </cell>
          <cell r="AV103">
            <v>15542.53</v>
          </cell>
          <cell r="AW103">
            <v>15264.68</v>
          </cell>
          <cell r="AX103">
            <v>14735.39</v>
          </cell>
          <cell r="AY103">
            <v>15071.52</v>
          </cell>
          <cell r="AZ103">
            <v>14587.19</v>
          </cell>
          <cell r="BA103">
            <v>14587.19</v>
          </cell>
        </row>
        <row r="104">
          <cell r="A104" t="str">
            <v>V5000H40B25</v>
          </cell>
          <cell r="B104">
            <v>5000</v>
          </cell>
          <cell r="C104">
            <v>4000</v>
          </cell>
          <cell r="D104">
            <v>2500</v>
          </cell>
          <cell r="E104">
            <v>32</v>
          </cell>
          <cell r="F104">
            <v>6</v>
          </cell>
          <cell r="G104">
            <v>0</v>
          </cell>
          <cell r="H104">
            <v>350</v>
          </cell>
          <cell r="I104">
            <v>70</v>
          </cell>
          <cell r="J104">
            <v>5115.8999999999996</v>
          </cell>
          <cell r="K104" t="str">
            <v>Q-11003014</v>
          </cell>
          <cell r="L104" t="str">
            <v>\\hokukon-net2\hop\Program\01_MVPシステム_容量別組立図\.\02_余裕高0_6m\pdf\FB600_5000m3-MVP-4000-組-B2500_Q-11003014.pdf</v>
          </cell>
          <cell r="M104">
            <v>15875.64</v>
          </cell>
          <cell r="N104">
            <v>16025.37</v>
          </cell>
          <cell r="O104">
            <v>15696.84</v>
          </cell>
          <cell r="P104">
            <v>15701.89</v>
          </cell>
          <cell r="Q104">
            <v>15952.13</v>
          </cell>
          <cell r="R104">
            <v>15841.9</v>
          </cell>
          <cell r="S104">
            <v>15809.7</v>
          </cell>
          <cell r="T104">
            <v>15815.82</v>
          </cell>
          <cell r="U104">
            <v>15794.29</v>
          </cell>
          <cell r="V104">
            <v>15736.89</v>
          </cell>
          <cell r="W104">
            <v>15810.06</v>
          </cell>
          <cell r="X104">
            <v>15862.91</v>
          </cell>
          <cell r="Y104">
            <v>15870.25</v>
          </cell>
          <cell r="Z104">
            <v>16206.25</v>
          </cell>
          <cell r="AA104">
            <v>15929.82</v>
          </cell>
          <cell r="AB104">
            <v>15946.66</v>
          </cell>
          <cell r="AC104">
            <v>16356.14</v>
          </cell>
          <cell r="AD104">
            <v>15755.66</v>
          </cell>
          <cell r="AE104">
            <v>15906.9</v>
          </cell>
          <cell r="AF104">
            <v>16296.7</v>
          </cell>
          <cell r="AG104">
            <v>15787.44</v>
          </cell>
          <cell r="AH104">
            <v>15896.28</v>
          </cell>
          <cell r="AI104">
            <v>15705.19</v>
          </cell>
          <cell r="AJ104">
            <v>15908.34</v>
          </cell>
          <cell r="AK104">
            <v>15502.77</v>
          </cell>
          <cell r="AL104">
            <v>15915.97</v>
          </cell>
          <cell r="AM104">
            <v>16387.03</v>
          </cell>
          <cell r="AN104">
            <v>16046.45</v>
          </cell>
          <cell r="AO104">
            <v>16157.72</v>
          </cell>
          <cell r="AP104">
            <v>16143.74</v>
          </cell>
          <cell r="AQ104">
            <v>16252.66</v>
          </cell>
          <cell r="AR104">
            <v>15807.99</v>
          </cell>
          <cell r="AS104">
            <v>16374.43</v>
          </cell>
          <cell r="AT104">
            <v>16075.56</v>
          </cell>
          <cell r="AU104">
            <v>16126</v>
          </cell>
          <cell r="AV104">
            <v>16245.72</v>
          </cell>
          <cell r="AW104">
            <v>15966.03</v>
          </cell>
          <cell r="AX104">
            <v>15435.64</v>
          </cell>
          <cell r="AY104">
            <v>15771</v>
          </cell>
          <cell r="AZ104">
            <v>15285.06</v>
          </cell>
          <cell r="BA104">
            <v>15285.06</v>
          </cell>
        </row>
        <row r="105">
          <cell r="A105" t="str">
            <v>V5000H40B20</v>
          </cell>
          <cell r="B105">
            <v>5000</v>
          </cell>
          <cell r="C105">
            <v>4000</v>
          </cell>
          <cell r="D105">
            <v>2000</v>
          </cell>
          <cell r="E105">
            <v>35</v>
          </cell>
          <cell r="F105">
            <v>6</v>
          </cell>
          <cell r="G105">
            <v>0</v>
          </cell>
          <cell r="H105">
            <v>350</v>
          </cell>
          <cell r="I105">
            <v>70</v>
          </cell>
          <cell r="J105">
            <v>5040.6000000000004</v>
          </cell>
          <cell r="K105" t="str">
            <v>Q-11003013</v>
          </cell>
          <cell r="L105" t="str">
            <v>\\hokukon-net2\hop\Program\01_MVPシステム_容量別組立図\.\02_余裕高0_6m\pdf\FB600_5000m3-MVP-4000-組-B2000_Q-11003013.pdf</v>
          </cell>
          <cell r="M105">
            <v>16443.669999999998</v>
          </cell>
          <cell r="N105">
            <v>16591.95</v>
          </cell>
          <cell r="O105">
            <v>16268.9</v>
          </cell>
          <cell r="P105">
            <v>16273.92</v>
          </cell>
          <cell r="Q105">
            <v>16518.66</v>
          </cell>
          <cell r="R105">
            <v>16409.439999999999</v>
          </cell>
          <cell r="S105">
            <v>16376.15</v>
          </cell>
          <cell r="T105">
            <v>16382.2</v>
          </cell>
          <cell r="U105">
            <v>16368.21</v>
          </cell>
          <cell r="V105">
            <v>16310.45</v>
          </cell>
          <cell r="W105">
            <v>16383.39</v>
          </cell>
          <cell r="X105">
            <v>16438.330000000002</v>
          </cell>
          <cell r="Y105">
            <v>16446</v>
          </cell>
          <cell r="Z105">
            <v>16780.97</v>
          </cell>
          <cell r="AA105">
            <v>16508.400000000001</v>
          </cell>
          <cell r="AB105">
            <v>16522.2</v>
          </cell>
          <cell r="AC105">
            <v>16923.73</v>
          </cell>
          <cell r="AD105">
            <v>16325.94</v>
          </cell>
          <cell r="AE105">
            <v>16478.03</v>
          </cell>
          <cell r="AF105">
            <v>16865.29</v>
          </cell>
          <cell r="AG105">
            <v>16362.71</v>
          </cell>
          <cell r="AH105">
            <v>16470.7</v>
          </cell>
          <cell r="AI105">
            <v>16282.97</v>
          </cell>
          <cell r="AJ105">
            <v>16481.080000000002</v>
          </cell>
          <cell r="AK105">
            <v>16081.31</v>
          </cell>
          <cell r="AL105">
            <v>16488.71</v>
          </cell>
          <cell r="AM105">
            <v>16955.53</v>
          </cell>
          <cell r="AN105">
            <v>16619.07</v>
          </cell>
          <cell r="AO105">
            <v>16727.07</v>
          </cell>
          <cell r="AP105">
            <v>16714.84</v>
          </cell>
          <cell r="AQ105">
            <v>16823.18</v>
          </cell>
          <cell r="AR105">
            <v>16375.03</v>
          </cell>
          <cell r="AS105">
            <v>16936.23</v>
          </cell>
          <cell r="AT105">
            <v>16643.669999999998</v>
          </cell>
          <cell r="AU105">
            <v>16694.21</v>
          </cell>
          <cell r="AV105">
            <v>16809.78</v>
          </cell>
          <cell r="AW105">
            <v>16532.68</v>
          </cell>
          <cell r="AX105">
            <v>16010.17</v>
          </cell>
          <cell r="AY105">
            <v>16338.88</v>
          </cell>
          <cell r="AZ105">
            <v>15859.36</v>
          </cell>
          <cell r="BA105">
            <v>15859.36</v>
          </cell>
        </row>
        <row r="106">
          <cell r="A106" t="str">
            <v>V5000H45B30</v>
          </cell>
          <cell r="B106">
            <v>5000</v>
          </cell>
          <cell r="C106">
            <v>4500</v>
          </cell>
          <cell r="D106">
            <v>3000</v>
          </cell>
          <cell r="E106">
            <v>30</v>
          </cell>
          <cell r="F106">
            <v>5</v>
          </cell>
          <cell r="G106">
            <v>0</v>
          </cell>
          <cell r="H106">
            <v>350</v>
          </cell>
          <cell r="I106">
            <v>70</v>
          </cell>
          <cell r="J106">
            <v>5099.8999999999996</v>
          </cell>
          <cell r="K106" t="str">
            <v>Q-11003018</v>
          </cell>
          <cell r="L106" t="str">
            <v>\\hokukon-net2\hop\Program\01_MVPシステム_容量別組立図\.\02_余裕高0_6m\pdf\FB600_5000m3-MVP-4500-組-B3000_Q-11003018.pdf</v>
          </cell>
          <cell r="M106">
            <v>14077.35</v>
          </cell>
          <cell r="N106">
            <v>14206.61</v>
          </cell>
          <cell r="O106">
            <v>13921.29</v>
          </cell>
          <cell r="P106">
            <v>13925.69</v>
          </cell>
          <cell r="Q106">
            <v>14142.99</v>
          </cell>
          <cell r="R106">
            <v>14045.9</v>
          </cell>
          <cell r="S106">
            <v>14016.97</v>
          </cell>
          <cell r="T106">
            <v>14022.3</v>
          </cell>
          <cell r="U106">
            <v>14007.37</v>
          </cell>
          <cell r="V106">
            <v>13957.84</v>
          </cell>
          <cell r="W106">
            <v>14022.11</v>
          </cell>
          <cell r="X106">
            <v>14068.94</v>
          </cell>
          <cell r="Y106">
            <v>14075.17</v>
          </cell>
          <cell r="Z106">
            <v>14369.34</v>
          </cell>
          <cell r="AA106">
            <v>14127.82</v>
          </cell>
          <cell r="AB106">
            <v>14142.53</v>
          </cell>
          <cell r="AC106">
            <v>14497.02</v>
          </cell>
          <cell r="AD106">
            <v>13972.27</v>
          </cell>
          <cell r="AE106">
            <v>14104.46</v>
          </cell>
          <cell r="AF106">
            <v>14445.93</v>
          </cell>
          <cell r="AG106">
            <v>14002.84</v>
          </cell>
          <cell r="AH106">
            <v>14096.55</v>
          </cell>
          <cell r="AI106">
            <v>13930.67</v>
          </cell>
          <cell r="AJ106">
            <v>14107.38</v>
          </cell>
          <cell r="AK106">
            <v>13754.46</v>
          </cell>
          <cell r="AL106">
            <v>14112.45</v>
          </cell>
          <cell r="AM106">
            <v>14523.65</v>
          </cell>
          <cell r="AN106">
            <v>14228.67</v>
          </cell>
          <cell r="AO106">
            <v>14324.97</v>
          </cell>
          <cell r="AP106">
            <v>14312.22</v>
          </cell>
          <cell r="AQ106">
            <v>14408.03</v>
          </cell>
          <cell r="AR106">
            <v>14015.73</v>
          </cell>
          <cell r="AS106">
            <v>14509.42</v>
          </cell>
          <cell r="AT106">
            <v>14251</v>
          </cell>
          <cell r="AU106">
            <v>14294.17</v>
          </cell>
          <cell r="AV106">
            <v>14398.64</v>
          </cell>
          <cell r="AW106">
            <v>14155.07</v>
          </cell>
          <cell r="AX106">
            <v>13693.39</v>
          </cell>
          <cell r="AY106">
            <v>13984.16</v>
          </cell>
          <cell r="AZ106">
            <v>13561.74</v>
          </cell>
          <cell r="BA106">
            <v>13561.74</v>
          </cell>
        </row>
        <row r="107">
          <cell r="A107" t="str">
            <v>V5000H45B25</v>
          </cell>
          <cell r="B107">
            <v>5000</v>
          </cell>
          <cell r="C107">
            <v>4500</v>
          </cell>
          <cell r="D107">
            <v>2500</v>
          </cell>
          <cell r="E107">
            <v>28</v>
          </cell>
          <cell r="F107">
            <v>6</v>
          </cell>
          <cell r="G107">
            <v>0</v>
          </cell>
          <cell r="H107">
            <v>350</v>
          </cell>
          <cell r="I107">
            <v>70</v>
          </cell>
          <cell r="J107">
            <v>5150.1000000000004</v>
          </cell>
          <cell r="K107" t="str">
            <v>Q-11003017</v>
          </cell>
          <cell r="L107" t="str">
            <v>\\hokukon-net2\hop\Program\01_MVPシステム_容量別組立図\.\02_余裕高0_6m\pdf\FB600_5000m3-MVP-4500-組-B2500_Q-11003017.pdf</v>
          </cell>
          <cell r="M107">
            <v>14845.99</v>
          </cell>
          <cell r="N107">
            <v>14977.59</v>
          </cell>
          <cell r="O107">
            <v>14691.08</v>
          </cell>
          <cell r="P107">
            <v>14695.53</v>
          </cell>
          <cell r="Q107">
            <v>14912</v>
          </cell>
          <cell r="R107">
            <v>14813.26</v>
          </cell>
          <cell r="S107">
            <v>14782.32</v>
          </cell>
          <cell r="T107">
            <v>14787.7</v>
          </cell>
          <cell r="U107">
            <v>14782.11</v>
          </cell>
          <cell r="V107">
            <v>14730.82</v>
          </cell>
          <cell r="W107">
            <v>14795.96</v>
          </cell>
          <cell r="X107">
            <v>14846.83</v>
          </cell>
          <cell r="Y107">
            <v>14853.72</v>
          </cell>
          <cell r="Z107">
            <v>15154.2</v>
          </cell>
          <cell r="AA107">
            <v>14910.62</v>
          </cell>
          <cell r="AB107">
            <v>14922.15</v>
          </cell>
          <cell r="AC107">
            <v>15276.21</v>
          </cell>
          <cell r="AD107">
            <v>14740.21</v>
          </cell>
          <cell r="AE107">
            <v>14877.25</v>
          </cell>
          <cell r="AF107">
            <v>15224.65</v>
          </cell>
          <cell r="AG107">
            <v>14778.41</v>
          </cell>
          <cell r="AH107">
            <v>14873.91</v>
          </cell>
          <cell r="AI107">
            <v>14707.2</v>
          </cell>
          <cell r="AJ107">
            <v>14882.6</v>
          </cell>
          <cell r="AK107">
            <v>14526.73</v>
          </cell>
          <cell r="AL107">
            <v>14887.8</v>
          </cell>
          <cell r="AM107">
            <v>15304.75</v>
          </cell>
          <cell r="AN107">
            <v>15007.27</v>
          </cell>
          <cell r="AO107">
            <v>15102.23</v>
          </cell>
          <cell r="AP107">
            <v>15091.16</v>
          </cell>
          <cell r="AQ107">
            <v>15188.65</v>
          </cell>
          <cell r="AR107">
            <v>14781.82</v>
          </cell>
          <cell r="AS107">
            <v>15281.92</v>
          </cell>
          <cell r="AT107">
            <v>15024.52</v>
          </cell>
          <cell r="AU107">
            <v>15068.52</v>
          </cell>
          <cell r="AV107">
            <v>15171.23</v>
          </cell>
          <cell r="AW107">
            <v>14924.27</v>
          </cell>
          <cell r="AX107">
            <v>14459.08</v>
          </cell>
          <cell r="AY107">
            <v>14750.38</v>
          </cell>
          <cell r="AZ107">
            <v>14323.98</v>
          </cell>
          <cell r="BA107">
            <v>14323.98</v>
          </cell>
        </row>
        <row r="108">
          <cell r="A108" t="str">
            <v>V5000H45B20</v>
          </cell>
          <cell r="B108">
            <v>5000</v>
          </cell>
          <cell r="C108">
            <v>4500</v>
          </cell>
          <cell r="D108">
            <v>2000</v>
          </cell>
          <cell r="E108">
            <v>31</v>
          </cell>
          <cell r="F108">
            <v>6</v>
          </cell>
          <cell r="G108">
            <v>0</v>
          </cell>
          <cell r="H108">
            <v>350</v>
          </cell>
          <cell r="I108">
            <v>70</v>
          </cell>
          <cell r="J108">
            <v>5134</v>
          </cell>
          <cell r="K108" t="str">
            <v>Q-11003016</v>
          </cell>
          <cell r="L108" t="str">
            <v>\\hokukon-net2\hop\Program\01_MVPシステム_容量別組立図\.\02_余裕高0_6m\pdf\FB600_5000m3-MVP-4500-組-B2000_Q-11003016.pdf</v>
          </cell>
          <cell r="M108">
            <v>15556.93</v>
          </cell>
          <cell r="N108">
            <v>15688.62</v>
          </cell>
          <cell r="O108">
            <v>15403.97</v>
          </cell>
          <cell r="P108">
            <v>15408.43</v>
          </cell>
          <cell r="Q108">
            <v>15622.2</v>
          </cell>
          <cell r="R108">
            <v>15523.05</v>
          </cell>
          <cell r="S108">
            <v>15490.64</v>
          </cell>
          <cell r="T108">
            <v>15496.01</v>
          </cell>
          <cell r="U108">
            <v>15497.71</v>
          </cell>
          <cell r="V108">
            <v>15445.48</v>
          </cell>
          <cell r="W108">
            <v>15511.39</v>
          </cell>
          <cell r="X108">
            <v>15564.9</v>
          </cell>
          <cell r="Y108">
            <v>15572.14</v>
          </cell>
          <cell r="Z108">
            <v>15875.41</v>
          </cell>
          <cell r="AA108">
            <v>15632.68</v>
          </cell>
          <cell r="AB108">
            <v>15641.27</v>
          </cell>
          <cell r="AC108">
            <v>15991.89</v>
          </cell>
          <cell r="AD108">
            <v>15451.99</v>
          </cell>
          <cell r="AE108">
            <v>15591.64</v>
          </cell>
          <cell r="AF108">
            <v>15940.91</v>
          </cell>
          <cell r="AG108">
            <v>15495.66</v>
          </cell>
          <cell r="AH108">
            <v>15591.28</v>
          </cell>
          <cell r="AI108">
            <v>15425.94</v>
          </cell>
          <cell r="AJ108">
            <v>15598.45</v>
          </cell>
          <cell r="AK108">
            <v>15244.15</v>
          </cell>
          <cell r="AL108">
            <v>15603.7</v>
          </cell>
          <cell r="AM108">
            <v>16021.59</v>
          </cell>
          <cell r="AN108">
            <v>15724.65</v>
          </cell>
          <cell r="AO108">
            <v>15817.51</v>
          </cell>
          <cell r="AP108">
            <v>15807.89</v>
          </cell>
          <cell r="AQ108">
            <v>15906.18</v>
          </cell>
          <cell r="AR108">
            <v>15490.6</v>
          </cell>
          <cell r="AS108">
            <v>15991.8</v>
          </cell>
          <cell r="AT108">
            <v>15737.6</v>
          </cell>
          <cell r="AU108">
            <v>15782.3</v>
          </cell>
          <cell r="AV108">
            <v>15882.08</v>
          </cell>
          <cell r="AW108">
            <v>15634.71</v>
          </cell>
          <cell r="AX108">
            <v>15171.6</v>
          </cell>
          <cell r="AY108">
            <v>15459.81</v>
          </cell>
          <cell r="AZ108">
            <v>15034.63</v>
          </cell>
          <cell r="BA108">
            <v>15034.63</v>
          </cell>
        </row>
      </sheetData>
      <sheetData sheetId="6" refreshError="1"/>
      <sheetData sheetId="7" refreshError="1">
        <row r="4">
          <cell r="H4" t="str">
            <v>H2500</v>
          </cell>
        </row>
        <row r="6">
          <cell r="AE6">
            <v>0.3</v>
          </cell>
        </row>
        <row r="7">
          <cell r="T7">
            <v>56403.02</v>
          </cell>
        </row>
        <row r="13">
          <cell r="AC13" t="str">
            <v>-</v>
          </cell>
        </row>
        <row r="14">
          <cell r="AC14" t="str">
            <v>名古屋営業所</v>
          </cell>
        </row>
        <row r="15">
          <cell r="AC15" t="str">
            <v>寺下</v>
          </cell>
        </row>
        <row r="34">
          <cell r="P34" t="str">
            <v>中部</v>
          </cell>
        </row>
        <row r="35">
          <cell r="F35" t="str">
            <v>ラフテレーン</v>
          </cell>
          <cell r="J35">
            <v>50</v>
          </cell>
        </row>
        <row r="36">
          <cell r="F36" t="str">
            <v>トラック</v>
          </cell>
          <cell r="J36">
            <v>4.9000000000000004</v>
          </cell>
        </row>
      </sheetData>
      <sheetData sheetId="8" refreshError="1"/>
      <sheetData sheetId="9" refreshError="1">
        <row r="3">
          <cell r="B3" t="str">
            <v>型枠工(一般)</v>
          </cell>
          <cell r="C3" t="str">
            <v>型枠工(基礎)</v>
          </cell>
          <cell r="D3" t="str">
            <v>基礎砕石</v>
          </cell>
          <cell r="E3" t="str">
            <v>鉄筋工(加工組立)</v>
          </cell>
          <cell r="H3" t="str">
            <v>なし</v>
          </cell>
          <cell r="I3" t="str">
            <v>35超え80t吊以下</v>
          </cell>
          <cell r="J3" t="str">
            <v>80越え150t吊以下</v>
          </cell>
          <cell r="K3" t="str">
            <v>150越え300t吊以下</v>
          </cell>
          <cell r="N3" t="str">
            <v>なし</v>
          </cell>
          <cell r="O3" t="str">
            <v>80t以上120t以下</v>
          </cell>
          <cell r="P3" t="str">
            <v>120t越え160t以下</v>
          </cell>
          <cell r="Q3" t="str">
            <v>160t越え360t以下</v>
          </cell>
          <cell r="T3" t="str">
            <v>なし</v>
          </cell>
          <cell r="U3" t="str">
            <v>35超え80t吊以下</v>
          </cell>
          <cell r="V3" t="str">
            <v>80越え150t吊以下</v>
          </cell>
          <cell r="W3" t="str">
            <v>150越え300t吊以下</v>
          </cell>
          <cell r="Z3" t="str">
            <v>なし</v>
          </cell>
          <cell r="AA3" t="str">
            <v>80t以上120t以下</v>
          </cell>
          <cell r="AB3" t="str">
            <v>120t越え160t以下</v>
          </cell>
          <cell r="AC3" t="str">
            <v>160t越え360t以下</v>
          </cell>
        </row>
        <row r="4">
          <cell r="B4">
            <v>8324</v>
          </cell>
          <cell r="C4">
            <v>4327</v>
          </cell>
          <cell r="D4">
            <v>1239</v>
          </cell>
          <cell r="E4">
            <v>64000</v>
          </cell>
          <cell r="H4">
            <v>0</v>
          </cell>
          <cell r="I4">
            <v>237200</v>
          </cell>
          <cell r="J4">
            <v>586200</v>
          </cell>
          <cell r="K4">
            <v>1070000</v>
          </cell>
          <cell r="N4">
            <v>0</v>
          </cell>
          <cell r="O4">
            <v>428800</v>
          </cell>
          <cell r="P4">
            <v>563100</v>
          </cell>
          <cell r="Q4">
            <v>1154000</v>
          </cell>
          <cell r="T4">
            <v>0</v>
          </cell>
          <cell r="U4">
            <v>735400</v>
          </cell>
          <cell r="V4">
            <v>1451000</v>
          </cell>
          <cell r="W4">
            <v>2640000</v>
          </cell>
          <cell r="Z4">
            <v>0</v>
          </cell>
          <cell r="AA4">
            <v>955800</v>
          </cell>
          <cell r="AB4">
            <v>1279000</v>
          </cell>
          <cell r="AC4">
            <v>2596000</v>
          </cell>
        </row>
        <row r="5">
          <cell r="B5">
            <v>8554</v>
          </cell>
          <cell r="C5">
            <v>4428</v>
          </cell>
          <cell r="D5">
            <v>1259</v>
          </cell>
          <cell r="E5">
            <v>66000</v>
          </cell>
          <cell r="H5">
            <v>0</v>
          </cell>
          <cell r="I5">
            <v>231900</v>
          </cell>
          <cell r="J5">
            <v>575800</v>
          </cell>
          <cell r="K5">
            <v>1051000</v>
          </cell>
          <cell r="N5">
            <v>0</v>
          </cell>
          <cell r="O5">
            <v>422000</v>
          </cell>
          <cell r="P5">
            <v>554000</v>
          </cell>
          <cell r="Q5">
            <v>1135000</v>
          </cell>
          <cell r="T5">
            <v>0</v>
          </cell>
          <cell r="U5">
            <v>718900</v>
          </cell>
          <cell r="V5">
            <v>1425000</v>
          </cell>
          <cell r="W5">
            <v>2593000</v>
          </cell>
          <cell r="Z5">
            <v>0</v>
          </cell>
          <cell r="AA5">
            <v>940700</v>
          </cell>
          <cell r="AB5">
            <v>1258000</v>
          </cell>
          <cell r="AC5">
            <v>2555000</v>
          </cell>
        </row>
        <row r="6">
          <cell r="B6">
            <v>9222</v>
          </cell>
          <cell r="C6">
            <v>4838</v>
          </cell>
          <cell r="D6">
            <v>1369</v>
          </cell>
          <cell r="E6">
            <v>66000</v>
          </cell>
          <cell r="H6">
            <v>0</v>
          </cell>
          <cell r="I6">
            <v>240600</v>
          </cell>
          <cell r="J6">
            <v>592800</v>
          </cell>
          <cell r="K6">
            <v>1082000</v>
          </cell>
          <cell r="N6">
            <v>0</v>
          </cell>
          <cell r="O6">
            <v>433100</v>
          </cell>
          <cell r="P6">
            <v>568800</v>
          </cell>
          <cell r="Q6">
            <v>1165000</v>
          </cell>
          <cell r="T6">
            <v>0</v>
          </cell>
          <cell r="U6">
            <v>745700</v>
          </cell>
          <cell r="V6">
            <v>1467000</v>
          </cell>
          <cell r="W6">
            <v>2669000</v>
          </cell>
          <cell r="Z6">
            <v>0</v>
          </cell>
          <cell r="AA6">
            <v>965200</v>
          </cell>
          <cell r="AB6">
            <v>1292000</v>
          </cell>
          <cell r="AC6">
            <v>2622000</v>
          </cell>
        </row>
        <row r="7">
          <cell r="B7">
            <v>7861</v>
          </cell>
          <cell r="C7">
            <v>4028</v>
          </cell>
          <cell r="D7">
            <v>1259</v>
          </cell>
          <cell r="E7">
            <v>64000</v>
          </cell>
          <cell r="H7">
            <v>0</v>
          </cell>
          <cell r="I7">
            <v>228600</v>
          </cell>
          <cell r="J7">
            <v>569200</v>
          </cell>
          <cell r="K7">
            <v>1039000</v>
          </cell>
          <cell r="N7">
            <v>0</v>
          </cell>
          <cell r="O7">
            <v>417800</v>
          </cell>
          <cell r="P7">
            <v>548300</v>
          </cell>
          <cell r="Q7">
            <v>1124000</v>
          </cell>
          <cell r="T7">
            <v>0</v>
          </cell>
          <cell r="U7">
            <v>708600</v>
          </cell>
          <cell r="V7">
            <v>1409000</v>
          </cell>
          <cell r="W7">
            <v>2564000</v>
          </cell>
          <cell r="Z7">
            <v>0</v>
          </cell>
          <cell r="AA7">
            <v>931200</v>
          </cell>
          <cell r="AB7">
            <v>1245000</v>
          </cell>
          <cell r="AC7">
            <v>2529000</v>
          </cell>
        </row>
        <row r="8">
          <cell r="B8">
            <v>7874</v>
          </cell>
          <cell r="C8">
            <v>4055</v>
          </cell>
          <cell r="D8">
            <v>1199</v>
          </cell>
          <cell r="E8">
            <v>64000</v>
          </cell>
          <cell r="H8">
            <v>0</v>
          </cell>
          <cell r="I8">
            <v>229200</v>
          </cell>
          <cell r="J8">
            <v>570200</v>
          </cell>
          <cell r="K8">
            <v>1042000</v>
          </cell>
          <cell r="N8">
            <v>0</v>
          </cell>
          <cell r="O8">
            <v>418700</v>
          </cell>
          <cell r="P8">
            <v>549400</v>
          </cell>
          <cell r="Q8">
            <v>1126000</v>
          </cell>
          <cell r="T8">
            <v>0</v>
          </cell>
          <cell r="U8">
            <v>710700</v>
          </cell>
          <cell r="V8">
            <v>1412000</v>
          </cell>
          <cell r="W8">
            <v>2570000</v>
          </cell>
          <cell r="Z8">
            <v>0</v>
          </cell>
          <cell r="AA8">
            <v>933100</v>
          </cell>
          <cell r="AB8">
            <v>1248000</v>
          </cell>
          <cell r="AC8">
            <v>2534000</v>
          </cell>
        </row>
        <row r="9">
          <cell r="B9">
            <v>7596</v>
          </cell>
          <cell r="C9">
            <v>3873</v>
          </cell>
          <cell r="D9">
            <v>1198</v>
          </cell>
          <cell r="E9">
            <v>66000</v>
          </cell>
          <cell r="H9">
            <v>0</v>
          </cell>
          <cell r="I9">
            <v>240600</v>
          </cell>
          <cell r="J9">
            <v>592800</v>
          </cell>
          <cell r="K9">
            <v>1082000</v>
          </cell>
          <cell r="N9">
            <v>0</v>
          </cell>
          <cell r="O9">
            <v>433100</v>
          </cell>
          <cell r="P9">
            <v>568800</v>
          </cell>
          <cell r="Q9">
            <v>1165000</v>
          </cell>
          <cell r="T9">
            <v>0</v>
          </cell>
          <cell r="U9">
            <v>745700</v>
          </cell>
          <cell r="V9">
            <v>1467000</v>
          </cell>
          <cell r="W9">
            <v>2669000</v>
          </cell>
          <cell r="Z9">
            <v>0</v>
          </cell>
          <cell r="AA9">
            <v>965200</v>
          </cell>
          <cell r="AB9">
            <v>1292000</v>
          </cell>
          <cell r="AC9">
            <v>2622000</v>
          </cell>
        </row>
        <row r="10">
          <cell r="B10">
            <v>7850</v>
          </cell>
          <cell r="C10">
            <v>4002</v>
          </cell>
          <cell r="D10">
            <v>1216</v>
          </cell>
          <cell r="E10">
            <v>63000</v>
          </cell>
          <cell r="H10">
            <v>0</v>
          </cell>
          <cell r="I10">
            <v>214000</v>
          </cell>
          <cell r="J10">
            <v>543300</v>
          </cell>
          <cell r="K10">
            <v>992300</v>
          </cell>
          <cell r="N10">
            <v>0</v>
          </cell>
          <cell r="O10">
            <v>399000</v>
          </cell>
          <cell r="P10">
            <v>523600</v>
          </cell>
          <cell r="Q10">
            <v>1073000</v>
          </cell>
          <cell r="T10">
            <v>0</v>
          </cell>
          <cell r="U10">
            <v>663400</v>
          </cell>
          <cell r="V10">
            <v>1345000</v>
          </cell>
          <cell r="W10">
            <v>2447000</v>
          </cell>
          <cell r="Z10">
            <v>0</v>
          </cell>
          <cell r="AA10">
            <v>889400</v>
          </cell>
          <cell r="AB10">
            <v>1189000</v>
          </cell>
          <cell r="AC10">
            <v>2415000</v>
          </cell>
        </row>
        <row r="11">
          <cell r="B11">
            <v>7660</v>
          </cell>
          <cell r="C11">
            <v>3921</v>
          </cell>
          <cell r="D11">
            <v>1086</v>
          </cell>
          <cell r="E11">
            <v>63000</v>
          </cell>
          <cell r="H11">
            <v>0</v>
          </cell>
          <cell r="I11">
            <v>212700</v>
          </cell>
          <cell r="J11">
            <v>540600</v>
          </cell>
          <cell r="K11">
            <v>987600</v>
          </cell>
          <cell r="N11">
            <v>0</v>
          </cell>
          <cell r="O11">
            <v>397300</v>
          </cell>
          <cell r="P11">
            <v>521299.99999999994</v>
          </cell>
          <cell r="Q11">
            <v>1069000</v>
          </cell>
          <cell r="T11">
            <v>0</v>
          </cell>
          <cell r="U11">
            <v>659300</v>
          </cell>
          <cell r="V11">
            <v>1338000</v>
          </cell>
          <cell r="W11">
            <v>2436000</v>
          </cell>
          <cell r="Z11">
            <v>0</v>
          </cell>
          <cell r="AA11">
            <v>885600</v>
          </cell>
          <cell r="AB11">
            <v>1184000</v>
          </cell>
          <cell r="AC11">
            <v>2405000</v>
          </cell>
        </row>
        <row r="12">
          <cell r="B12">
            <v>7767</v>
          </cell>
          <cell r="C12">
            <v>3957</v>
          </cell>
          <cell r="D12">
            <v>1252</v>
          </cell>
          <cell r="E12">
            <v>63000</v>
          </cell>
          <cell r="H12">
            <v>0</v>
          </cell>
          <cell r="I12">
            <v>212700</v>
          </cell>
          <cell r="J12">
            <v>540600</v>
          </cell>
          <cell r="K12">
            <v>987600</v>
          </cell>
          <cell r="N12">
            <v>0</v>
          </cell>
          <cell r="O12">
            <v>397300</v>
          </cell>
          <cell r="P12">
            <v>521299.99999999994</v>
          </cell>
          <cell r="Q12">
            <v>1069000</v>
          </cell>
          <cell r="T12">
            <v>0</v>
          </cell>
          <cell r="U12">
            <v>659300</v>
          </cell>
          <cell r="V12">
            <v>1338000</v>
          </cell>
          <cell r="W12">
            <v>2436000</v>
          </cell>
          <cell r="Z12">
            <v>0</v>
          </cell>
          <cell r="AA12">
            <v>885600</v>
          </cell>
          <cell r="AB12">
            <v>1184000</v>
          </cell>
          <cell r="AC12">
            <v>2405000</v>
          </cell>
        </row>
        <row r="13">
          <cell r="B13">
            <v>8091</v>
          </cell>
          <cell r="C13">
            <v>4138</v>
          </cell>
          <cell r="D13">
            <v>1113</v>
          </cell>
          <cell r="E13">
            <v>64000</v>
          </cell>
          <cell r="H13">
            <v>0</v>
          </cell>
          <cell r="I13">
            <v>222700</v>
          </cell>
          <cell r="J13">
            <v>560300</v>
          </cell>
          <cell r="K13">
            <v>1023000</v>
          </cell>
          <cell r="N13">
            <v>0</v>
          </cell>
          <cell r="O13">
            <v>410000</v>
          </cell>
          <cell r="P13">
            <v>538400</v>
          </cell>
          <cell r="Q13">
            <v>1103000</v>
          </cell>
          <cell r="T13">
            <v>0</v>
          </cell>
          <cell r="U13">
            <v>690200</v>
          </cell>
          <cell r="V13">
            <v>1387000</v>
          </cell>
          <cell r="W13">
            <v>2523000</v>
          </cell>
          <cell r="Z13">
            <v>0</v>
          </cell>
          <cell r="AA13">
            <v>913900</v>
          </cell>
          <cell r="AB13">
            <v>1223000</v>
          </cell>
          <cell r="AC13">
            <v>2482000</v>
          </cell>
        </row>
        <row r="14">
          <cell r="B14">
            <v>7919</v>
          </cell>
          <cell r="C14">
            <v>4035</v>
          </cell>
          <cell r="D14">
            <v>1162</v>
          </cell>
          <cell r="E14">
            <v>64000</v>
          </cell>
          <cell r="H14">
            <v>0</v>
          </cell>
          <cell r="I14">
            <v>228000</v>
          </cell>
          <cell r="J14">
            <v>570800</v>
          </cell>
          <cell r="K14">
            <v>1042000</v>
          </cell>
          <cell r="N14">
            <v>0</v>
          </cell>
          <cell r="O14">
            <v>416800</v>
          </cell>
          <cell r="P14">
            <v>547500</v>
          </cell>
          <cell r="Q14">
            <v>1122000</v>
          </cell>
          <cell r="T14">
            <v>0</v>
          </cell>
          <cell r="U14">
            <v>706700</v>
          </cell>
          <cell r="V14">
            <v>1413000</v>
          </cell>
          <cell r="W14">
            <v>2570000</v>
          </cell>
          <cell r="Z14">
            <v>0</v>
          </cell>
          <cell r="AA14">
            <v>929000</v>
          </cell>
          <cell r="AB14">
            <v>1244000</v>
          </cell>
          <cell r="AC14">
            <v>2524000</v>
          </cell>
        </row>
        <row r="15">
          <cell r="B15">
            <v>8255</v>
          </cell>
          <cell r="C15">
            <v>4201</v>
          </cell>
          <cell r="D15">
            <v>1092</v>
          </cell>
          <cell r="E15">
            <v>64000</v>
          </cell>
          <cell r="H15">
            <v>0</v>
          </cell>
          <cell r="I15">
            <v>231300</v>
          </cell>
          <cell r="J15">
            <v>577400</v>
          </cell>
          <cell r="K15">
            <v>1054000</v>
          </cell>
          <cell r="N15">
            <v>0</v>
          </cell>
          <cell r="O15">
            <v>421100</v>
          </cell>
          <cell r="P15">
            <v>553200</v>
          </cell>
          <cell r="Q15">
            <v>1133000</v>
          </cell>
          <cell r="T15">
            <v>0</v>
          </cell>
          <cell r="U15">
            <v>717000</v>
          </cell>
          <cell r="V15">
            <v>1429000</v>
          </cell>
          <cell r="W15">
            <v>2600000</v>
          </cell>
          <cell r="Z15">
            <v>0</v>
          </cell>
          <cell r="AA15">
            <v>938500</v>
          </cell>
          <cell r="AB15">
            <v>1256000</v>
          </cell>
          <cell r="AC15">
            <v>2550000</v>
          </cell>
        </row>
        <row r="16">
          <cell r="B16">
            <v>8251</v>
          </cell>
          <cell r="C16">
            <v>4194</v>
          </cell>
          <cell r="D16">
            <v>1123</v>
          </cell>
          <cell r="E16">
            <v>64000</v>
          </cell>
          <cell r="H16">
            <v>0</v>
          </cell>
          <cell r="I16">
            <v>232600</v>
          </cell>
          <cell r="J16">
            <v>580000</v>
          </cell>
          <cell r="K16">
            <v>1058000</v>
          </cell>
          <cell r="N16">
            <v>0</v>
          </cell>
          <cell r="O16">
            <v>422800</v>
          </cell>
          <cell r="P16">
            <v>555500</v>
          </cell>
          <cell r="Q16">
            <v>1138000</v>
          </cell>
          <cell r="T16">
            <v>0</v>
          </cell>
          <cell r="U16">
            <v>721200</v>
          </cell>
          <cell r="V16">
            <v>1436000</v>
          </cell>
          <cell r="W16">
            <v>2611000</v>
          </cell>
          <cell r="Z16">
            <v>0</v>
          </cell>
          <cell r="AA16">
            <v>942200</v>
          </cell>
          <cell r="AB16">
            <v>1262000</v>
          </cell>
          <cell r="AC16">
            <v>2560000</v>
          </cell>
        </row>
        <row r="17">
          <cell r="B17">
            <v>8208</v>
          </cell>
          <cell r="C17">
            <v>4186</v>
          </cell>
          <cell r="D17">
            <v>1361</v>
          </cell>
          <cell r="E17">
            <v>61000</v>
          </cell>
          <cell r="H17">
            <v>0</v>
          </cell>
          <cell r="I17">
            <v>225300</v>
          </cell>
          <cell r="J17">
            <v>565600</v>
          </cell>
          <cell r="K17">
            <v>1032000</v>
          </cell>
          <cell r="N17">
            <v>0</v>
          </cell>
          <cell r="O17">
            <v>413400</v>
          </cell>
          <cell r="P17">
            <v>543000</v>
          </cell>
          <cell r="Q17">
            <v>1112000</v>
          </cell>
          <cell r="T17">
            <v>0</v>
          </cell>
          <cell r="U17">
            <v>698500</v>
          </cell>
          <cell r="V17">
            <v>1400000</v>
          </cell>
          <cell r="W17">
            <v>2547000</v>
          </cell>
          <cell r="Z17">
            <v>0</v>
          </cell>
          <cell r="AA17">
            <v>921500</v>
          </cell>
          <cell r="AB17">
            <v>1233000</v>
          </cell>
          <cell r="AC17">
            <v>2503000</v>
          </cell>
        </row>
        <row r="18">
          <cell r="B18">
            <v>7409</v>
          </cell>
          <cell r="C18">
            <v>3749</v>
          </cell>
          <cell r="D18">
            <v>1351</v>
          </cell>
          <cell r="E18">
            <v>62000</v>
          </cell>
          <cell r="H18">
            <v>0</v>
          </cell>
          <cell r="I18">
            <v>220000</v>
          </cell>
          <cell r="J18">
            <v>555100</v>
          </cell>
          <cell r="K18">
            <v>1013000</v>
          </cell>
          <cell r="N18">
            <v>0</v>
          </cell>
          <cell r="O18">
            <v>406700</v>
          </cell>
          <cell r="P18">
            <v>533900</v>
          </cell>
          <cell r="Q18">
            <v>1094000</v>
          </cell>
          <cell r="T18">
            <v>0</v>
          </cell>
          <cell r="U18">
            <v>682000</v>
          </cell>
          <cell r="V18">
            <v>1374000</v>
          </cell>
          <cell r="W18">
            <v>2500000</v>
          </cell>
          <cell r="Z18">
            <v>0</v>
          </cell>
          <cell r="AA18">
            <v>906400</v>
          </cell>
          <cell r="AB18">
            <v>1212000</v>
          </cell>
          <cell r="AC18">
            <v>2462000</v>
          </cell>
        </row>
        <row r="19">
          <cell r="B19">
            <v>7247</v>
          </cell>
          <cell r="C19">
            <v>3687</v>
          </cell>
          <cell r="D19">
            <v>1191</v>
          </cell>
          <cell r="E19">
            <v>62000</v>
          </cell>
          <cell r="H19">
            <v>0</v>
          </cell>
          <cell r="I19">
            <v>215900</v>
          </cell>
          <cell r="J19">
            <v>535400</v>
          </cell>
          <cell r="K19">
            <v>977800</v>
          </cell>
          <cell r="N19">
            <v>0</v>
          </cell>
          <cell r="O19">
            <v>391400</v>
          </cell>
          <cell r="P19">
            <v>514100</v>
          </cell>
          <cell r="Q19">
            <v>1053000</v>
          </cell>
          <cell r="T19">
            <v>0</v>
          </cell>
          <cell r="U19">
            <v>669200</v>
          </cell>
          <cell r="V19">
            <v>1325000</v>
          </cell>
          <cell r="W19">
            <v>2411000</v>
          </cell>
          <cell r="Z19">
            <v>0</v>
          </cell>
          <cell r="AA19">
            <v>872500</v>
          </cell>
          <cell r="AB19">
            <v>1168000</v>
          </cell>
          <cell r="AC19">
            <v>2370000</v>
          </cell>
        </row>
        <row r="20">
          <cell r="B20">
            <v>7895</v>
          </cell>
          <cell r="C20">
            <v>4037</v>
          </cell>
          <cell r="D20">
            <v>1336</v>
          </cell>
          <cell r="E20">
            <v>60000</v>
          </cell>
          <cell r="H20">
            <v>0</v>
          </cell>
          <cell r="I20">
            <v>231800</v>
          </cell>
          <cell r="J20">
            <v>566900</v>
          </cell>
          <cell r="K20">
            <v>1034000</v>
          </cell>
          <cell r="N20">
            <v>0</v>
          </cell>
          <cell r="O20">
            <v>411800</v>
          </cell>
          <cell r="P20">
            <v>541500</v>
          </cell>
          <cell r="Q20">
            <v>1109000</v>
          </cell>
          <cell r="T20">
            <v>0</v>
          </cell>
          <cell r="U20">
            <v>718700</v>
          </cell>
          <cell r="V20">
            <v>1403000</v>
          </cell>
          <cell r="W20">
            <v>2552000</v>
          </cell>
          <cell r="Z20">
            <v>0</v>
          </cell>
          <cell r="AA20">
            <v>917800</v>
          </cell>
          <cell r="AB20">
            <v>1230000</v>
          </cell>
          <cell r="AC20">
            <v>2494000</v>
          </cell>
        </row>
        <row r="21">
          <cell r="B21">
            <v>7933</v>
          </cell>
          <cell r="C21">
            <v>4025</v>
          </cell>
          <cell r="D21">
            <v>1298</v>
          </cell>
          <cell r="E21">
            <v>59000</v>
          </cell>
          <cell r="H21">
            <v>0</v>
          </cell>
          <cell r="I21">
            <v>226500</v>
          </cell>
          <cell r="J21">
            <v>556400</v>
          </cell>
          <cell r="K21">
            <v>1015000</v>
          </cell>
          <cell r="N21">
            <v>0</v>
          </cell>
          <cell r="O21">
            <v>405000</v>
          </cell>
          <cell r="P21">
            <v>532300</v>
          </cell>
          <cell r="Q21">
            <v>1090000</v>
          </cell>
          <cell r="T21">
            <v>0</v>
          </cell>
          <cell r="U21">
            <v>702200</v>
          </cell>
          <cell r="V21">
            <v>1377000</v>
          </cell>
          <cell r="W21">
            <v>2505000</v>
          </cell>
          <cell r="Z21">
            <v>0</v>
          </cell>
          <cell r="AA21">
            <v>902700</v>
          </cell>
          <cell r="AB21">
            <v>1209000</v>
          </cell>
          <cell r="AC21">
            <v>2453000</v>
          </cell>
        </row>
        <row r="22">
          <cell r="B22">
            <v>8124</v>
          </cell>
          <cell r="C22">
            <v>4162</v>
          </cell>
          <cell r="D22">
            <v>1206</v>
          </cell>
          <cell r="E22">
            <v>58000</v>
          </cell>
          <cell r="H22">
            <v>0</v>
          </cell>
          <cell r="I22">
            <v>217900</v>
          </cell>
          <cell r="J22">
            <v>548000</v>
          </cell>
          <cell r="K22">
            <v>1000000</v>
          </cell>
          <cell r="N22">
            <v>0</v>
          </cell>
          <cell r="O22">
            <v>401100</v>
          </cell>
          <cell r="P22">
            <v>526600</v>
          </cell>
          <cell r="Q22">
            <v>1079000</v>
          </cell>
          <cell r="T22">
            <v>0</v>
          </cell>
          <cell r="U22">
            <v>675400</v>
          </cell>
          <cell r="V22">
            <v>1356000</v>
          </cell>
          <cell r="W22">
            <v>2468000</v>
          </cell>
          <cell r="Z22">
            <v>0</v>
          </cell>
          <cell r="AA22">
            <v>893900</v>
          </cell>
          <cell r="AB22">
            <v>1196000</v>
          </cell>
          <cell r="AC22">
            <v>2428000</v>
          </cell>
        </row>
        <row r="23">
          <cell r="B23">
            <v>7984</v>
          </cell>
          <cell r="C23">
            <v>4047</v>
          </cell>
          <cell r="D23">
            <v>1222</v>
          </cell>
          <cell r="E23">
            <v>58000</v>
          </cell>
          <cell r="H23">
            <v>0</v>
          </cell>
          <cell r="I23">
            <v>216500</v>
          </cell>
          <cell r="J23">
            <v>545400</v>
          </cell>
          <cell r="K23">
            <v>996000</v>
          </cell>
          <cell r="N23">
            <v>0</v>
          </cell>
          <cell r="O23">
            <v>399400</v>
          </cell>
          <cell r="P23">
            <v>524400</v>
          </cell>
          <cell r="Q23">
            <v>1074000</v>
          </cell>
          <cell r="T23">
            <v>0</v>
          </cell>
          <cell r="U23">
            <v>671300</v>
          </cell>
          <cell r="V23">
            <v>1350000</v>
          </cell>
          <cell r="W23">
            <v>2456000</v>
          </cell>
          <cell r="Z23">
            <v>0</v>
          </cell>
          <cell r="AA23">
            <v>890200</v>
          </cell>
          <cell r="AB23">
            <v>1191000</v>
          </cell>
          <cell r="AC23">
            <v>2418000</v>
          </cell>
        </row>
        <row r="24">
          <cell r="B24">
            <v>8182</v>
          </cell>
          <cell r="C24">
            <v>4198</v>
          </cell>
          <cell r="D24">
            <v>1235</v>
          </cell>
          <cell r="E24">
            <v>57000</v>
          </cell>
          <cell r="H24">
            <v>0</v>
          </cell>
          <cell r="I24">
            <v>223900</v>
          </cell>
          <cell r="J24">
            <v>559800</v>
          </cell>
          <cell r="K24">
            <v>1022000</v>
          </cell>
          <cell r="N24">
            <v>0</v>
          </cell>
          <cell r="O24">
            <v>408700</v>
          </cell>
          <cell r="P24">
            <v>536900</v>
          </cell>
          <cell r="Q24">
            <v>1100000</v>
          </cell>
          <cell r="T24">
            <v>0</v>
          </cell>
          <cell r="U24">
            <v>694000</v>
          </cell>
          <cell r="V24">
            <v>1386000</v>
          </cell>
          <cell r="W24">
            <v>2521000</v>
          </cell>
          <cell r="Z24">
            <v>0</v>
          </cell>
          <cell r="AA24">
            <v>910900</v>
          </cell>
          <cell r="AB24">
            <v>1219000</v>
          </cell>
          <cell r="AC24">
            <v>2475000</v>
          </cell>
        </row>
        <row r="25">
          <cell r="B25">
            <v>7737</v>
          </cell>
          <cell r="C25">
            <v>3955</v>
          </cell>
          <cell r="D25">
            <v>1235</v>
          </cell>
          <cell r="E25">
            <v>58000</v>
          </cell>
          <cell r="H25">
            <v>0</v>
          </cell>
          <cell r="I25">
            <v>217200</v>
          </cell>
          <cell r="J25">
            <v>546700</v>
          </cell>
          <cell r="K25">
            <v>998400</v>
          </cell>
          <cell r="N25">
            <v>0</v>
          </cell>
          <cell r="O25">
            <v>400200</v>
          </cell>
          <cell r="P25">
            <v>525500</v>
          </cell>
          <cell r="Q25">
            <v>1077000</v>
          </cell>
          <cell r="T25">
            <v>0</v>
          </cell>
          <cell r="U25">
            <v>673400</v>
          </cell>
          <cell r="V25">
            <v>1353000</v>
          </cell>
          <cell r="W25">
            <v>2462000</v>
          </cell>
          <cell r="Z25">
            <v>0</v>
          </cell>
          <cell r="AA25">
            <v>892100</v>
          </cell>
          <cell r="AB25">
            <v>1193000</v>
          </cell>
          <cell r="AC25">
            <v>2423000</v>
          </cell>
        </row>
        <row r="26">
          <cell r="B26">
            <v>6974</v>
          </cell>
          <cell r="C26">
            <v>3550</v>
          </cell>
          <cell r="D26">
            <v>1294</v>
          </cell>
          <cell r="E26">
            <v>60000</v>
          </cell>
          <cell r="H26">
            <v>0</v>
          </cell>
          <cell r="I26">
            <v>198800</v>
          </cell>
          <cell r="J26">
            <v>498800</v>
          </cell>
          <cell r="K26">
            <v>910900</v>
          </cell>
          <cell r="N26">
            <v>0</v>
          </cell>
          <cell r="O26">
            <v>365200</v>
          </cell>
          <cell r="P26">
            <v>479500</v>
          </cell>
          <cell r="Q26">
            <v>982900</v>
          </cell>
          <cell r="T26">
            <v>0</v>
          </cell>
          <cell r="U26">
            <v>616200</v>
          </cell>
          <cell r="V26">
            <v>1235000</v>
          </cell>
          <cell r="W26">
            <v>2246000</v>
          </cell>
          <cell r="Z26">
            <v>0</v>
          </cell>
          <cell r="AA26">
            <v>814000</v>
          </cell>
          <cell r="AB26">
            <v>1089000</v>
          </cell>
          <cell r="AC26">
            <v>2211000</v>
          </cell>
        </row>
        <row r="27">
          <cell r="B27">
            <v>7175</v>
          </cell>
          <cell r="C27">
            <v>3640</v>
          </cell>
          <cell r="D27">
            <v>1101</v>
          </cell>
          <cell r="E27">
            <v>51000</v>
          </cell>
          <cell r="H27">
            <v>0</v>
          </cell>
          <cell r="I27">
            <v>200100</v>
          </cell>
          <cell r="J27">
            <v>501400</v>
          </cell>
          <cell r="K27">
            <v>915700</v>
          </cell>
          <cell r="N27">
            <v>0</v>
          </cell>
          <cell r="O27">
            <v>366900</v>
          </cell>
          <cell r="P27">
            <v>481800</v>
          </cell>
          <cell r="Q27">
            <v>987600</v>
          </cell>
          <cell r="T27">
            <v>0</v>
          </cell>
          <cell r="U27">
            <v>620300</v>
          </cell>
          <cell r="V27">
            <v>1241000</v>
          </cell>
          <cell r="W27">
            <v>2258000</v>
          </cell>
          <cell r="Z27">
            <v>0</v>
          </cell>
          <cell r="AA27">
            <v>817800</v>
          </cell>
          <cell r="AB27">
            <v>1094000</v>
          </cell>
          <cell r="AC27">
            <v>2221000</v>
          </cell>
        </row>
        <row r="28">
          <cell r="B28">
            <v>7397</v>
          </cell>
          <cell r="C28">
            <v>3756</v>
          </cell>
          <cell r="D28">
            <v>1096</v>
          </cell>
          <cell r="E28">
            <v>51000</v>
          </cell>
          <cell r="H28">
            <v>0</v>
          </cell>
          <cell r="I28">
            <v>196800</v>
          </cell>
          <cell r="J28">
            <v>494800</v>
          </cell>
          <cell r="K28">
            <v>903800</v>
          </cell>
          <cell r="N28">
            <v>0</v>
          </cell>
          <cell r="O28">
            <v>362700</v>
          </cell>
          <cell r="P28">
            <v>476100</v>
          </cell>
          <cell r="Q28">
            <v>976000</v>
          </cell>
          <cell r="T28">
            <v>0</v>
          </cell>
          <cell r="U28">
            <v>610000</v>
          </cell>
          <cell r="V28">
            <v>1225000</v>
          </cell>
          <cell r="W28">
            <v>2229000</v>
          </cell>
          <cell r="Z28">
            <v>0</v>
          </cell>
          <cell r="AA28">
            <v>808400</v>
          </cell>
          <cell r="AB28">
            <v>1081000</v>
          </cell>
          <cell r="AC28">
            <v>2195000</v>
          </cell>
        </row>
        <row r="29">
          <cell r="B29">
            <v>7610</v>
          </cell>
          <cell r="C29">
            <v>3889</v>
          </cell>
          <cell r="D29">
            <v>983</v>
          </cell>
          <cell r="E29">
            <v>51000</v>
          </cell>
          <cell r="H29">
            <v>0</v>
          </cell>
          <cell r="I29">
            <v>205400</v>
          </cell>
          <cell r="J29">
            <v>511900</v>
          </cell>
          <cell r="K29">
            <v>934700</v>
          </cell>
          <cell r="N29">
            <v>0</v>
          </cell>
          <cell r="O29">
            <v>373700</v>
          </cell>
          <cell r="P29">
            <v>490900</v>
          </cell>
          <cell r="Q29">
            <v>1006000</v>
          </cell>
          <cell r="T29">
            <v>0</v>
          </cell>
          <cell r="U29">
            <v>636800</v>
          </cell>
          <cell r="V29">
            <v>1267000</v>
          </cell>
          <cell r="W29">
            <v>2305000</v>
          </cell>
          <cell r="Z29">
            <v>0</v>
          </cell>
          <cell r="AA29">
            <v>832900</v>
          </cell>
          <cell r="AB29">
            <v>1115000</v>
          </cell>
          <cell r="AC29">
            <v>2263000</v>
          </cell>
        </row>
        <row r="30">
          <cell r="B30">
            <v>7323</v>
          </cell>
          <cell r="C30">
            <v>3720</v>
          </cell>
          <cell r="D30">
            <v>1025</v>
          </cell>
          <cell r="E30">
            <v>51000</v>
          </cell>
          <cell r="H30">
            <v>0</v>
          </cell>
          <cell r="I30">
            <v>192100</v>
          </cell>
          <cell r="J30">
            <v>485700</v>
          </cell>
          <cell r="K30">
            <v>887100</v>
          </cell>
          <cell r="N30">
            <v>0</v>
          </cell>
          <cell r="O30">
            <v>356800</v>
          </cell>
          <cell r="P30">
            <v>468100</v>
          </cell>
          <cell r="Q30">
            <v>959900</v>
          </cell>
          <cell r="T30">
            <v>0</v>
          </cell>
          <cell r="U30">
            <v>595500</v>
          </cell>
          <cell r="V30">
            <v>1202000</v>
          </cell>
          <cell r="W30">
            <v>2188000</v>
          </cell>
          <cell r="Z30">
            <v>0</v>
          </cell>
          <cell r="AA30">
            <v>795200</v>
          </cell>
          <cell r="AB30">
            <v>1063000</v>
          </cell>
          <cell r="AC30">
            <v>2159000</v>
          </cell>
        </row>
        <row r="31">
          <cell r="B31">
            <v>7572</v>
          </cell>
          <cell r="C31">
            <v>3860</v>
          </cell>
          <cell r="D31">
            <v>1132</v>
          </cell>
          <cell r="E31">
            <v>51000</v>
          </cell>
          <cell r="H31">
            <v>0</v>
          </cell>
          <cell r="I31">
            <v>206700</v>
          </cell>
          <cell r="J31">
            <v>514500</v>
          </cell>
          <cell r="K31">
            <v>939400</v>
          </cell>
          <cell r="N31">
            <v>0</v>
          </cell>
          <cell r="O31">
            <v>375400</v>
          </cell>
          <cell r="P31">
            <v>493200</v>
          </cell>
          <cell r="Q31">
            <v>1010000</v>
          </cell>
          <cell r="T31">
            <v>0</v>
          </cell>
          <cell r="U31">
            <v>640900</v>
          </cell>
          <cell r="V31">
            <v>1274000</v>
          </cell>
          <cell r="W31">
            <v>2317000</v>
          </cell>
          <cell r="Z31">
            <v>0</v>
          </cell>
          <cell r="AA31">
            <v>836700</v>
          </cell>
          <cell r="AB31">
            <v>1120000</v>
          </cell>
          <cell r="AC31">
            <v>2273000</v>
          </cell>
        </row>
        <row r="32">
          <cell r="B32">
            <v>7655</v>
          </cell>
          <cell r="C32">
            <v>3905</v>
          </cell>
          <cell r="D32">
            <v>1114</v>
          </cell>
          <cell r="E32">
            <v>51000</v>
          </cell>
          <cell r="H32">
            <v>0</v>
          </cell>
          <cell r="I32">
            <v>202100</v>
          </cell>
          <cell r="J32">
            <v>505300</v>
          </cell>
          <cell r="K32">
            <v>922800</v>
          </cell>
          <cell r="N32">
            <v>0</v>
          </cell>
          <cell r="O32">
            <v>369500</v>
          </cell>
          <cell r="P32">
            <v>485200</v>
          </cell>
          <cell r="Q32">
            <v>994500</v>
          </cell>
          <cell r="T32">
            <v>0</v>
          </cell>
          <cell r="U32">
            <v>626500</v>
          </cell>
          <cell r="V32">
            <v>1251000</v>
          </cell>
          <cell r="W32">
            <v>2276000</v>
          </cell>
          <cell r="Z32">
            <v>0</v>
          </cell>
          <cell r="AA32">
            <v>823500</v>
          </cell>
          <cell r="AB32">
            <v>1102000</v>
          </cell>
          <cell r="AC32">
            <v>2237000</v>
          </cell>
        </row>
        <row r="33">
          <cell r="B33">
            <v>6469</v>
          </cell>
          <cell r="C33">
            <v>3332</v>
          </cell>
          <cell r="D33">
            <v>1225</v>
          </cell>
          <cell r="E33">
            <v>55000</v>
          </cell>
          <cell r="H33">
            <v>0</v>
          </cell>
          <cell r="I33">
            <v>189000</v>
          </cell>
          <cell r="J33">
            <v>491100</v>
          </cell>
          <cell r="K33">
            <v>897500</v>
          </cell>
          <cell r="N33">
            <v>0</v>
          </cell>
          <cell r="O33">
            <v>363300</v>
          </cell>
          <cell r="P33">
            <v>476100</v>
          </cell>
          <cell r="Q33">
            <v>977000</v>
          </cell>
          <cell r="T33">
            <v>0</v>
          </cell>
          <cell r="U33">
            <v>586000</v>
          </cell>
          <cell r="V33">
            <v>1216000</v>
          </cell>
          <cell r="W33">
            <v>2213000</v>
          </cell>
          <cell r="Z33">
            <v>0</v>
          </cell>
          <cell r="AA33">
            <v>809800</v>
          </cell>
          <cell r="AB33">
            <v>1081000</v>
          </cell>
          <cell r="AC33">
            <v>2198000</v>
          </cell>
        </row>
        <row r="34">
          <cell r="B34">
            <v>6438</v>
          </cell>
          <cell r="C34">
            <v>3292</v>
          </cell>
          <cell r="D34">
            <v>1398</v>
          </cell>
          <cell r="E34">
            <v>55000</v>
          </cell>
          <cell r="H34">
            <v>0</v>
          </cell>
          <cell r="I34">
            <v>191000</v>
          </cell>
          <cell r="J34">
            <v>495100</v>
          </cell>
          <cell r="K34">
            <v>904600</v>
          </cell>
          <cell r="N34">
            <v>0</v>
          </cell>
          <cell r="O34">
            <v>365900</v>
          </cell>
          <cell r="P34">
            <v>479500</v>
          </cell>
          <cell r="Q34">
            <v>983900</v>
          </cell>
          <cell r="T34">
            <v>0</v>
          </cell>
          <cell r="U34">
            <v>592200</v>
          </cell>
          <cell r="V34">
            <v>1225000</v>
          </cell>
          <cell r="W34">
            <v>2231000</v>
          </cell>
          <cell r="Z34">
            <v>0</v>
          </cell>
          <cell r="AA34">
            <v>815400</v>
          </cell>
          <cell r="AB34">
            <v>1089000</v>
          </cell>
          <cell r="AC34">
            <v>2213000</v>
          </cell>
        </row>
        <row r="35">
          <cell r="B35">
            <v>6937</v>
          </cell>
          <cell r="C35">
            <v>3545</v>
          </cell>
          <cell r="D35">
            <v>1121</v>
          </cell>
          <cell r="E35">
            <v>52000</v>
          </cell>
          <cell r="H35">
            <v>0</v>
          </cell>
          <cell r="I35">
            <v>197700</v>
          </cell>
          <cell r="J35">
            <v>508200</v>
          </cell>
          <cell r="K35">
            <v>928400</v>
          </cell>
          <cell r="N35">
            <v>0</v>
          </cell>
          <cell r="O35">
            <v>374300</v>
          </cell>
          <cell r="P35">
            <v>490900</v>
          </cell>
          <cell r="Q35">
            <v>1006000</v>
          </cell>
          <cell r="T35">
            <v>0</v>
          </cell>
          <cell r="U35">
            <v>612800</v>
          </cell>
          <cell r="V35">
            <v>1258000</v>
          </cell>
          <cell r="W35">
            <v>2290000</v>
          </cell>
          <cell r="Z35">
            <v>0</v>
          </cell>
          <cell r="AA35">
            <v>834300</v>
          </cell>
          <cell r="AB35">
            <v>1115000</v>
          </cell>
          <cell r="AC35">
            <v>2265000</v>
          </cell>
        </row>
        <row r="36">
          <cell r="B36">
            <v>6885</v>
          </cell>
          <cell r="C36">
            <v>3500</v>
          </cell>
          <cell r="D36">
            <v>1026</v>
          </cell>
          <cell r="E36">
            <v>52000</v>
          </cell>
          <cell r="H36">
            <v>0</v>
          </cell>
          <cell r="I36">
            <v>199700</v>
          </cell>
          <cell r="J36">
            <v>512100</v>
          </cell>
          <cell r="K36">
            <v>935500</v>
          </cell>
          <cell r="N36">
            <v>0</v>
          </cell>
          <cell r="O36">
            <v>376900</v>
          </cell>
          <cell r="P36">
            <v>494300</v>
          </cell>
          <cell r="Q36">
            <v>1013000</v>
          </cell>
          <cell r="T36">
            <v>0</v>
          </cell>
          <cell r="U36">
            <v>619000</v>
          </cell>
          <cell r="V36">
            <v>1268000</v>
          </cell>
          <cell r="W36">
            <v>2307000</v>
          </cell>
          <cell r="Z36">
            <v>0</v>
          </cell>
          <cell r="AA36">
            <v>840000</v>
          </cell>
          <cell r="AB36">
            <v>1123000</v>
          </cell>
          <cell r="AC36">
            <v>2280000</v>
          </cell>
        </row>
        <row r="37">
          <cell r="B37">
            <v>6558</v>
          </cell>
          <cell r="C37">
            <v>3334</v>
          </cell>
          <cell r="D37">
            <v>1170</v>
          </cell>
          <cell r="E37">
            <v>54000</v>
          </cell>
          <cell r="H37">
            <v>0</v>
          </cell>
          <cell r="I37">
            <v>191000</v>
          </cell>
          <cell r="J37">
            <v>495100</v>
          </cell>
          <cell r="K37">
            <v>904600</v>
          </cell>
          <cell r="N37">
            <v>0</v>
          </cell>
          <cell r="O37">
            <v>365900</v>
          </cell>
          <cell r="P37">
            <v>479500</v>
          </cell>
          <cell r="Q37">
            <v>983900</v>
          </cell>
          <cell r="T37">
            <v>0</v>
          </cell>
          <cell r="U37">
            <v>592200</v>
          </cell>
          <cell r="V37">
            <v>1225000</v>
          </cell>
          <cell r="W37">
            <v>2231000</v>
          </cell>
          <cell r="Z37">
            <v>0</v>
          </cell>
          <cell r="AA37">
            <v>815400</v>
          </cell>
          <cell r="AB37">
            <v>1089000</v>
          </cell>
          <cell r="AC37">
            <v>2213000</v>
          </cell>
        </row>
        <row r="38">
          <cell r="B38">
            <v>7104</v>
          </cell>
          <cell r="C38">
            <v>3602</v>
          </cell>
          <cell r="D38">
            <v>1123</v>
          </cell>
          <cell r="E38">
            <v>54000</v>
          </cell>
          <cell r="H38">
            <v>0</v>
          </cell>
          <cell r="I38">
            <v>209300</v>
          </cell>
          <cell r="J38">
            <v>534100</v>
          </cell>
          <cell r="K38">
            <v>975700</v>
          </cell>
          <cell r="N38">
            <v>0</v>
          </cell>
          <cell r="O38">
            <v>393100</v>
          </cell>
          <cell r="P38">
            <v>515600</v>
          </cell>
          <cell r="Q38">
            <v>1057000</v>
          </cell>
          <cell r="T38">
            <v>0</v>
          </cell>
          <cell r="U38">
            <v>649000</v>
          </cell>
          <cell r="V38">
            <v>1322000</v>
          </cell>
          <cell r="W38">
            <v>2406000</v>
          </cell>
          <cell r="Z38">
            <v>0</v>
          </cell>
          <cell r="AA38">
            <v>876200</v>
          </cell>
          <cell r="AB38">
            <v>1171000</v>
          </cell>
          <cell r="AC38">
            <v>2379000</v>
          </cell>
        </row>
        <row r="39">
          <cell r="B39">
            <v>7146</v>
          </cell>
          <cell r="C39">
            <v>3614</v>
          </cell>
          <cell r="D39">
            <v>1192</v>
          </cell>
          <cell r="E39">
            <v>54000</v>
          </cell>
          <cell r="H39">
            <v>0</v>
          </cell>
          <cell r="I39">
            <v>214700</v>
          </cell>
          <cell r="J39">
            <v>544600</v>
          </cell>
          <cell r="K39">
            <v>994700</v>
          </cell>
          <cell r="N39">
            <v>0</v>
          </cell>
          <cell r="O39">
            <v>399900</v>
          </cell>
          <cell r="P39">
            <v>524700</v>
          </cell>
          <cell r="Q39">
            <v>1075000</v>
          </cell>
          <cell r="T39">
            <v>0</v>
          </cell>
          <cell r="U39">
            <v>665500</v>
          </cell>
          <cell r="V39">
            <v>1348000</v>
          </cell>
          <cell r="W39">
            <v>2453000</v>
          </cell>
          <cell r="Z39">
            <v>0</v>
          </cell>
          <cell r="AA39">
            <v>891300</v>
          </cell>
          <cell r="AB39">
            <v>1192000</v>
          </cell>
          <cell r="AC39">
            <v>2420000</v>
          </cell>
        </row>
        <row r="40">
          <cell r="B40">
            <v>6882</v>
          </cell>
          <cell r="C40">
            <v>3505</v>
          </cell>
          <cell r="D40">
            <v>1146</v>
          </cell>
          <cell r="E40">
            <v>54000</v>
          </cell>
          <cell r="H40">
            <v>0</v>
          </cell>
          <cell r="I40">
            <v>206700</v>
          </cell>
          <cell r="J40">
            <v>528900</v>
          </cell>
          <cell r="K40">
            <v>966200</v>
          </cell>
          <cell r="N40">
            <v>0</v>
          </cell>
          <cell r="O40">
            <v>389700</v>
          </cell>
          <cell r="P40">
            <v>511100</v>
          </cell>
          <cell r="Q40">
            <v>1048000</v>
          </cell>
          <cell r="T40">
            <v>0</v>
          </cell>
          <cell r="U40">
            <v>640700</v>
          </cell>
          <cell r="V40">
            <v>1309000</v>
          </cell>
          <cell r="W40">
            <v>2383000</v>
          </cell>
          <cell r="Z40">
            <v>0</v>
          </cell>
          <cell r="AA40">
            <v>868600</v>
          </cell>
          <cell r="AB40">
            <v>1161000</v>
          </cell>
          <cell r="AC40">
            <v>2358000</v>
          </cell>
        </row>
        <row r="41">
          <cell r="B41">
            <v>6815</v>
          </cell>
          <cell r="C41">
            <v>3470</v>
          </cell>
          <cell r="D41">
            <v>1148</v>
          </cell>
          <cell r="E41">
            <v>54000</v>
          </cell>
          <cell r="H41">
            <v>0</v>
          </cell>
          <cell r="I41">
            <v>205300</v>
          </cell>
          <cell r="J41">
            <v>526200</v>
          </cell>
          <cell r="K41">
            <v>961400</v>
          </cell>
          <cell r="N41">
            <v>0</v>
          </cell>
          <cell r="O41">
            <v>388000</v>
          </cell>
          <cell r="P41">
            <v>508800</v>
          </cell>
          <cell r="Q41">
            <v>1043000</v>
          </cell>
          <cell r="T41">
            <v>0</v>
          </cell>
          <cell r="U41">
            <v>636600</v>
          </cell>
          <cell r="V41">
            <v>1303000</v>
          </cell>
          <cell r="W41">
            <v>2371000</v>
          </cell>
          <cell r="Z41">
            <v>0</v>
          </cell>
          <cell r="AA41">
            <v>864800</v>
          </cell>
          <cell r="AB41">
            <v>1156000</v>
          </cell>
          <cell r="AC41">
            <v>2348000</v>
          </cell>
        </row>
        <row r="42">
          <cell r="B42">
            <v>7198</v>
          </cell>
          <cell r="C42">
            <v>3645</v>
          </cell>
          <cell r="D42">
            <v>1242</v>
          </cell>
          <cell r="E42">
            <v>56000</v>
          </cell>
          <cell r="H42">
            <v>0</v>
          </cell>
          <cell r="I42">
            <v>209100</v>
          </cell>
          <cell r="J42">
            <v>536500</v>
          </cell>
          <cell r="K42">
            <v>979900</v>
          </cell>
          <cell r="N42">
            <v>0</v>
          </cell>
          <cell r="O42">
            <v>394100</v>
          </cell>
          <cell r="P42">
            <v>517100</v>
          </cell>
          <cell r="Q42">
            <v>1060000</v>
          </cell>
          <cell r="T42">
            <v>0</v>
          </cell>
          <cell r="U42">
            <v>648200</v>
          </cell>
          <cell r="V42">
            <v>1328000</v>
          </cell>
          <cell r="W42">
            <v>2417000</v>
          </cell>
          <cell r="Z42">
            <v>0</v>
          </cell>
          <cell r="AA42">
            <v>878400</v>
          </cell>
          <cell r="AB42">
            <v>1174000</v>
          </cell>
          <cell r="AC42">
            <v>2385000</v>
          </cell>
        </row>
        <row r="43">
          <cell r="B43">
            <v>7169</v>
          </cell>
          <cell r="C43">
            <v>3712</v>
          </cell>
          <cell r="D43">
            <v>1253</v>
          </cell>
          <cell r="E43">
            <v>55000</v>
          </cell>
          <cell r="H43">
            <v>0</v>
          </cell>
          <cell r="I43">
            <v>193100</v>
          </cell>
          <cell r="J43">
            <v>505000</v>
          </cell>
          <cell r="K43">
            <v>922800</v>
          </cell>
          <cell r="N43">
            <v>0</v>
          </cell>
          <cell r="O43">
            <v>373800</v>
          </cell>
          <cell r="P43">
            <v>489800</v>
          </cell>
          <cell r="Q43">
            <v>1005000</v>
          </cell>
          <cell r="T43">
            <v>0</v>
          </cell>
          <cell r="U43">
            <v>598700</v>
          </cell>
          <cell r="V43">
            <v>1250000</v>
          </cell>
          <cell r="W43">
            <v>2276000</v>
          </cell>
          <cell r="Z43">
            <v>0</v>
          </cell>
          <cell r="AA43">
            <v>833100</v>
          </cell>
          <cell r="AB43">
            <v>1112000</v>
          </cell>
          <cell r="AC43">
            <v>2261000</v>
          </cell>
        </row>
        <row r="44">
          <cell r="B44">
            <v>6870</v>
          </cell>
          <cell r="C44">
            <v>3510</v>
          </cell>
          <cell r="D44">
            <v>1164</v>
          </cell>
          <cell r="E44">
            <v>55000</v>
          </cell>
          <cell r="H44">
            <v>0</v>
          </cell>
          <cell r="I44">
            <v>198500</v>
          </cell>
          <cell r="J44">
            <v>515500</v>
          </cell>
          <cell r="K44">
            <v>941900</v>
          </cell>
          <cell r="N44">
            <v>0</v>
          </cell>
          <cell r="O44">
            <v>380600</v>
          </cell>
          <cell r="P44">
            <v>498900</v>
          </cell>
          <cell r="Q44">
            <v>1023000</v>
          </cell>
          <cell r="T44">
            <v>0</v>
          </cell>
          <cell r="U44">
            <v>615200</v>
          </cell>
          <cell r="V44">
            <v>1276000</v>
          </cell>
          <cell r="W44">
            <v>2323000</v>
          </cell>
          <cell r="Z44">
            <v>0</v>
          </cell>
          <cell r="AA44">
            <v>848200</v>
          </cell>
          <cell r="AB44">
            <v>1133000</v>
          </cell>
          <cell r="AC44">
            <v>2302000</v>
          </cell>
        </row>
        <row r="45">
          <cell r="B45">
            <v>6988</v>
          </cell>
          <cell r="C45">
            <v>3562</v>
          </cell>
          <cell r="D45">
            <v>1180</v>
          </cell>
          <cell r="E45">
            <v>59000</v>
          </cell>
          <cell r="H45">
            <v>0</v>
          </cell>
          <cell r="I45">
            <v>201100</v>
          </cell>
          <cell r="J45">
            <v>520700.00000000006</v>
          </cell>
          <cell r="K45">
            <v>951400</v>
          </cell>
          <cell r="N45">
            <v>0</v>
          </cell>
          <cell r="O45">
            <v>384000</v>
          </cell>
          <cell r="P45">
            <v>503500</v>
          </cell>
          <cell r="Q45">
            <v>1032000</v>
          </cell>
          <cell r="T45">
            <v>0</v>
          </cell>
          <cell r="U45">
            <v>623500</v>
          </cell>
          <cell r="V45">
            <v>1289000</v>
          </cell>
          <cell r="W45">
            <v>2346000</v>
          </cell>
          <cell r="Z45">
            <v>0</v>
          </cell>
          <cell r="AA45">
            <v>855800</v>
          </cell>
          <cell r="AB45">
            <v>1143000</v>
          </cell>
          <cell r="AC45">
            <v>2323000</v>
          </cell>
        </row>
        <row r="46">
          <cell r="B46">
            <v>6725</v>
          </cell>
          <cell r="C46">
            <v>3430</v>
          </cell>
          <cell r="D46">
            <v>1109</v>
          </cell>
          <cell r="E46">
            <v>54000</v>
          </cell>
          <cell r="H46">
            <v>0</v>
          </cell>
          <cell r="I46">
            <v>195100</v>
          </cell>
          <cell r="J46">
            <v>508900</v>
          </cell>
          <cell r="K46">
            <v>930000</v>
          </cell>
          <cell r="N46">
            <v>0</v>
          </cell>
          <cell r="O46">
            <v>376300</v>
          </cell>
          <cell r="P46">
            <v>493200</v>
          </cell>
          <cell r="Q46">
            <v>1012000</v>
          </cell>
          <cell r="T46">
            <v>0</v>
          </cell>
          <cell r="U46">
            <v>604900</v>
          </cell>
          <cell r="V46">
            <v>1260000</v>
          </cell>
          <cell r="W46">
            <v>2293000</v>
          </cell>
          <cell r="Z46">
            <v>0</v>
          </cell>
          <cell r="AA46">
            <v>838800</v>
          </cell>
          <cell r="AB46">
            <v>1120000</v>
          </cell>
          <cell r="AC46">
            <v>2276000</v>
          </cell>
        </row>
        <row r="47">
          <cell r="B47">
            <v>6880</v>
          </cell>
          <cell r="C47">
            <v>3532</v>
          </cell>
          <cell r="D47">
            <v>1240</v>
          </cell>
          <cell r="E47">
            <v>53000</v>
          </cell>
          <cell r="H47">
            <v>0</v>
          </cell>
          <cell r="I47">
            <v>209100</v>
          </cell>
          <cell r="J47">
            <v>536500</v>
          </cell>
          <cell r="K47">
            <v>979900</v>
          </cell>
          <cell r="N47">
            <v>0</v>
          </cell>
          <cell r="O47">
            <v>394100</v>
          </cell>
          <cell r="P47">
            <v>517100</v>
          </cell>
          <cell r="Q47">
            <v>1060000</v>
          </cell>
          <cell r="T47">
            <v>0</v>
          </cell>
          <cell r="U47">
            <v>648200</v>
          </cell>
          <cell r="V47">
            <v>1328000</v>
          </cell>
          <cell r="W47">
            <v>2417000</v>
          </cell>
          <cell r="Z47">
            <v>0</v>
          </cell>
          <cell r="AA47">
            <v>878400</v>
          </cell>
          <cell r="AB47">
            <v>1174000</v>
          </cell>
          <cell r="AC47">
            <v>2385000</v>
          </cell>
        </row>
        <row r="48">
          <cell r="B48">
            <v>7522</v>
          </cell>
          <cell r="C48">
            <v>3870</v>
          </cell>
          <cell r="D48">
            <v>1244</v>
          </cell>
          <cell r="E48">
            <v>55000</v>
          </cell>
          <cell r="H48">
            <v>0</v>
          </cell>
          <cell r="I48">
            <v>222400</v>
          </cell>
          <cell r="J48">
            <v>562700</v>
          </cell>
          <cell r="K48">
            <v>1027000</v>
          </cell>
          <cell r="N48">
            <v>0</v>
          </cell>
          <cell r="O48">
            <v>411100</v>
          </cell>
          <cell r="P48">
            <v>539900</v>
          </cell>
          <cell r="Q48">
            <v>1106000</v>
          </cell>
          <cell r="T48">
            <v>0</v>
          </cell>
          <cell r="U48">
            <v>689500</v>
          </cell>
          <cell r="V48">
            <v>1393000</v>
          </cell>
          <cell r="W48">
            <v>2534000</v>
          </cell>
          <cell r="Z48">
            <v>0</v>
          </cell>
          <cell r="AA48">
            <v>916200</v>
          </cell>
          <cell r="AB48">
            <v>1226000</v>
          </cell>
          <cell r="AC48">
            <v>2489000</v>
          </cell>
        </row>
        <row r="49">
          <cell r="B49">
            <v>9751</v>
          </cell>
          <cell r="C49">
            <v>5017</v>
          </cell>
          <cell r="D49">
            <v>1645</v>
          </cell>
          <cell r="E49">
            <v>50000</v>
          </cell>
          <cell r="H49">
            <v>0</v>
          </cell>
          <cell r="I49">
            <v>241800</v>
          </cell>
          <cell r="J49">
            <v>595200</v>
          </cell>
          <cell r="K49">
            <v>1086000</v>
          </cell>
          <cell r="N49">
            <v>0</v>
          </cell>
          <cell r="O49">
            <v>431600</v>
          </cell>
          <cell r="P49">
            <v>567700</v>
          </cell>
          <cell r="Q49">
            <v>1162000</v>
          </cell>
          <cell r="T49">
            <v>0</v>
          </cell>
          <cell r="U49">
            <v>749700</v>
          </cell>
          <cell r="V49">
            <v>1473000</v>
          </cell>
          <cell r="W49">
            <v>2679000</v>
          </cell>
          <cell r="Z49">
            <v>0</v>
          </cell>
          <cell r="AA49">
            <v>961900</v>
          </cell>
          <cell r="AB49">
            <v>1289000</v>
          </cell>
          <cell r="AC49">
            <v>2615000</v>
          </cell>
        </row>
        <row r="52">
          <cell r="A52" t="str">
            <v>2019.4建設物価</v>
          </cell>
        </row>
        <row r="54">
          <cell r="B54">
            <v>20</v>
          </cell>
          <cell r="C54">
            <v>25</v>
          </cell>
          <cell r="D54">
            <v>35</v>
          </cell>
          <cell r="E54">
            <v>45</v>
          </cell>
          <cell r="F54">
            <v>50</v>
          </cell>
          <cell r="G54">
            <v>60</v>
          </cell>
          <cell r="H54">
            <v>70</v>
          </cell>
          <cell r="I54">
            <v>80</v>
          </cell>
          <cell r="J54">
            <v>90</v>
          </cell>
          <cell r="K54">
            <v>100</v>
          </cell>
          <cell r="L54">
            <v>120</v>
          </cell>
          <cell r="M54">
            <v>150</v>
          </cell>
          <cell r="N54">
            <v>200</v>
          </cell>
          <cell r="O54">
            <v>4.9000000000000004</v>
          </cell>
          <cell r="P54">
            <v>100</v>
          </cell>
          <cell r="Q54">
            <v>120</v>
          </cell>
          <cell r="R54">
            <v>160</v>
          </cell>
          <cell r="S54">
            <v>200</v>
          </cell>
        </row>
        <row r="55">
          <cell r="A55" t="str">
            <v>関東</v>
          </cell>
          <cell r="B55">
            <v>50000</v>
          </cell>
          <cell r="C55">
            <v>53000</v>
          </cell>
          <cell r="D55">
            <v>73000</v>
          </cell>
          <cell r="E55">
            <v>90000</v>
          </cell>
          <cell r="F55">
            <v>95000</v>
          </cell>
          <cell r="G55">
            <v>106000</v>
          </cell>
          <cell r="H55">
            <v>130000</v>
          </cell>
          <cell r="I55">
            <v>84950</v>
          </cell>
          <cell r="J55">
            <v>96600</v>
          </cell>
          <cell r="K55">
            <v>109650</v>
          </cell>
          <cell r="L55">
            <v>114000</v>
          </cell>
          <cell r="M55">
            <v>138200</v>
          </cell>
          <cell r="N55">
            <v>155800</v>
          </cell>
          <cell r="O55">
            <v>41000</v>
          </cell>
          <cell r="P55">
            <v>200000</v>
          </cell>
          <cell r="Q55">
            <v>225000</v>
          </cell>
          <cell r="R55">
            <v>310000</v>
          </cell>
          <cell r="S55">
            <v>430000</v>
          </cell>
        </row>
        <row r="56">
          <cell r="A56" t="str">
            <v>近畿</v>
          </cell>
          <cell r="B56">
            <v>45000</v>
          </cell>
          <cell r="C56">
            <v>50000</v>
          </cell>
          <cell r="D56">
            <v>70000</v>
          </cell>
          <cell r="E56">
            <v>81000</v>
          </cell>
          <cell r="F56">
            <v>87000</v>
          </cell>
          <cell r="G56">
            <v>99000</v>
          </cell>
          <cell r="H56">
            <v>137000</v>
          </cell>
          <cell r="I56">
            <v>71910</v>
          </cell>
          <cell r="J56">
            <v>80080</v>
          </cell>
          <cell r="K56">
            <v>87040</v>
          </cell>
          <cell r="L56">
            <v>92260</v>
          </cell>
          <cell r="M56">
            <v>109940</v>
          </cell>
          <cell r="N56">
            <v>134060</v>
          </cell>
          <cell r="O56">
            <v>37000</v>
          </cell>
          <cell r="P56">
            <v>200000</v>
          </cell>
          <cell r="Q56">
            <v>225000</v>
          </cell>
          <cell r="R56">
            <v>290000</v>
          </cell>
          <cell r="S56">
            <v>420000</v>
          </cell>
        </row>
        <row r="57">
          <cell r="A57" t="str">
            <v>中部</v>
          </cell>
          <cell r="B57">
            <v>47000</v>
          </cell>
          <cell r="C57">
            <v>52000</v>
          </cell>
          <cell r="D57">
            <v>74000</v>
          </cell>
          <cell r="E57">
            <v>87000</v>
          </cell>
          <cell r="F57">
            <v>93000</v>
          </cell>
          <cell r="G57">
            <v>106000</v>
          </cell>
          <cell r="H57">
            <v>144000</v>
          </cell>
          <cell r="I57">
            <v>78860</v>
          </cell>
          <cell r="J57">
            <v>84000</v>
          </cell>
          <cell r="K57">
            <v>92260</v>
          </cell>
          <cell r="L57">
            <v>103560</v>
          </cell>
          <cell r="M57">
            <v>117330</v>
          </cell>
          <cell r="N57">
            <v>138840</v>
          </cell>
          <cell r="O57">
            <v>39000</v>
          </cell>
          <cell r="P57">
            <v>200000</v>
          </cell>
          <cell r="Q57">
            <v>225000</v>
          </cell>
          <cell r="R57">
            <v>301000</v>
          </cell>
          <cell r="S57">
            <v>417000</v>
          </cell>
        </row>
        <row r="58">
          <cell r="A58" t="str">
            <v>中国</v>
          </cell>
          <cell r="B58">
            <v>52000</v>
          </cell>
          <cell r="C58">
            <v>55000</v>
          </cell>
          <cell r="D58">
            <v>78000</v>
          </cell>
          <cell r="E58">
            <v>88000</v>
          </cell>
          <cell r="F58">
            <v>98000</v>
          </cell>
          <cell r="G58">
            <v>110000</v>
          </cell>
          <cell r="H58">
            <v>150000</v>
          </cell>
          <cell r="I58">
            <v>75530</v>
          </cell>
          <cell r="J58">
            <v>80480</v>
          </cell>
          <cell r="K58">
            <v>92980</v>
          </cell>
          <cell r="L58">
            <v>101310</v>
          </cell>
          <cell r="M58">
            <v>112110</v>
          </cell>
          <cell r="N58">
            <v>139400</v>
          </cell>
          <cell r="O58">
            <v>38000</v>
          </cell>
          <cell r="P58">
            <v>200000</v>
          </cell>
          <cell r="Q58">
            <v>230000</v>
          </cell>
          <cell r="R58">
            <v>320000</v>
          </cell>
          <cell r="S58">
            <v>470000</v>
          </cell>
        </row>
        <row r="59">
          <cell r="A59" t="str">
            <v>四国</v>
          </cell>
          <cell r="B59">
            <v>48000</v>
          </cell>
          <cell r="C59">
            <v>53000</v>
          </cell>
          <cell r="D59">
            <v>73000</v>
          </cell>
          <cell r="E59">
            <v>86000</v>
          </cell>
          <cell r="F59">
            <v>95000</v>
          </cell>
          <cell r="G59">
            <v>107000</v>
          </cell>
          <cell r="H59">
            <v>140000</v>
          </cell>
          <cell r="I59">
            <v>83860</v>
          </cell>
          <cell r="J59">
            <v>92980</v>
          </cell>
          <cell r="K59">
            <v>101310</v>
          </cell>
          <cell r="L59">
            <v>109650</v>
          </cell>
          <cell r="M59">
            <v>120440</v>
          </cell>
          <cell r="N59">
            <v>137320</v>
          </cell>
          <cell r="O59">
            <v>38000</v>
          </cell>
          <cell r="P59">
            <v>196000</v>
          </cell>
          <cell r="Q59">
            <v>233000</v>
          </cell>
          <cell r="R59">
            <v>328000</v>
          </cell>
          <cell r="S59">
            <v>470000</v>
          </cell>
        </row>
        <row r="60">
          <cell r="A60" t="str">
            <v>北陸</v>
          </cell>
          <cell r="B60">
            <v>46000</v>
          </cell>
          <cell r="C60">
            <v>52000</v>
          </cell>
          <cell r="D60">
            <v>74000</v>
          </cell>
          <cell r="E60">
            <v>85000</v>
          </cell>
          <cell r="F60">
            <v>90000</v>
          </cell>
          <cell r="G60">
            <v>102000</v>
          </cell>
          <cell r="H60">
            <v>125000</v>
          </cell>
          <cell r="I60">
            <v>79690</v>
          </cell>
          <cell r="J60">
            <v>92980</v>
          </cell>
          <cell r="K60">
            <v>94650</v>
          </cell>
          <cell r="L60">
            <v>109650</v>
          </cell>
          <cell r="M60">
            <v>112110</v>
          </cell>
          <cell r="N60">
            <v>137320</v>
          </cell>
          <cell r="O60">
            <v>36000</v>
          </cell>
          <cell r="P60">
            <v>195000</v>
          </cell>
          <cell r="Q60">
            <v>226000</v>
          </cell>
          <cell r="R60">
            <v>317000</v>
          </cell>
          <cell r="S60">
            <v>464000</v>
          </cell>
        </row>
        <row r="61">
          <cell r="A61" t="str">
            <v>東北</v>
          </cell>
          <cell r="B61">
            <v>53000</v>
          </cell>
          <cell r="C61">
            <v>58000</v>
          </cell>
          <cell r="D61">
            <v>80000</v>
          </cell>
          <cell r="E61">
            <v>92000</v>
          </cell>
          <cell r="F61">
            <v>99000</v>
          </cell>
          <cell r="G61">
            <v>110000</v>
          </cell>
          <cell r="H61">
            <v>140000</v>
          </cell>
          <cell r="I61">
            <v>83860</v>
          </cell>
          <cell r="J61">
            <v>92980</v>
          </cell>
          <cell r="K61">
            <v>105480</v>
          </cell>
          <cell r="L61">
            <v>109650</v>
          </cell>
          <cell r="M61">
            <v>128780</v>
          </cell>
          <cell r="N61">
            <v>149820</v>
          </cell>
          <cell r="O61">
            <v>43000</v>
          </cell>
          <cell r="P61">
            <v>210000</v>
          </cell>
          <cell r="Q61">
            <v>240000</v>
          </cell>
          <cell r="R61">
            <v>340000</v>
          </cell>
          <cell r="S61">
            <v>450000</v>
          </cell>
        </row>
        <row r="62">
          <cell r="A62" t="str">
            <v>九州</v>
          </cell>
          <cell r="B62">
            <v>48000</v>
          </cell>
          <cell r="C62">
            <v>51000</v>
          </cell>
          <cell r="D62">
            <v>75000</v>
          </cell>
          <cell r="E62">
            <v>87000</v>
          </cell>
          <cell r="F62">
            <v>94000</v>
          </cell>
          <cell r="G62">
            <v>102000</v>
          </cell>
          <cell r="H62">
            <v>140000</v>
          </cell>
          <cell r="I62">
            <v>79280</v>
          </cell>
          <cell r="J62">
            <v>87560</v>
          </cell>
          <cell r="K62">
            <v>96310</v>
          </cell>
          <cell r="L62">
            <v>106310</v>
          </cell>
          <cell r="M62">
            <v>113360</v>
          </cell>
          <cell r="N62">
            <v>135240</v>
          </cell>
          <cell r="O62">
            <v>37000</v>
          </cell>
          <cell r="P62">
            <v>200000</v>
          </cell>
          <cell r="Q62">
            <v>241000</v>
          </cell>
          <cell r="R62">
            <v>349000</v>
          </cell>
          <cell r="S62">
            <v>470000</v>
          </cell>
        </row>
        <row r="63">
          <cell r="A63" t="str">
            <v>沖縄</v>
          </cell>
          <cell r="B63">
            <v>48000</v>
          </cell>
          <cell r="C63">
            <v>52000</v>
          </cell>
          <cell r="D63">
            <v>73000</v>
          </cell>
          <cell r="E63">
            <v>87000</v>
          </cell>
          <cell r="F63">
            <v>93000</v>
          </cell>
          <cell r="G63">
            <v>100000</v>
          </cell>
          <cell r="H63">
            <v>160000</v>
          </cell>
          <cell r="I63">
            <v>92190</v>
          </cell>
          <cell r="J63">
            <v>105480</v>
          </cell>
          <cell r="K63">
            <v>113810</v>
          </cell>
          <cell r="L63">
            <v>122150</v>
          </cell>
          <cell r="M63">
            <v>137110</v>
          </cell>
          <cell r="N63">
            <v>158150</v>
          </cell>
          <cell r="O63">
            <v>36000</v>
          </cell>
          <cell r="P63">
            <v>228000</v>
          </cell>
          <cell r="Q63">
            <v>270000</v>
          </cell>
          <cell r="R63">
            <v>380000</v>
          </cell>
          <cell r="S63">
            <v>590000</v>
          </cell>
        </row>
        <row r="72">
          <cell r="I72">
            <v>80</v>
          </cell>
          <cell r="J72">
            <v>90</v>
          </cell>
          <cell r="K72">
            <v>100</v>
          </cell>
          <cell r="L72">
            <v>120</v>
          </cell>
          <cell r="M72">
            <v>150</v>
          </cell>
          <cell r="N72">
            <v>200</v>
          </cell>
        </row>
        <row r="73">
          <cell r="A73" t="str">
            <v>H1500①ふた部材下</v>
          </cell>
          <cell r="B73" t="str">
            <v>H1500</v>
          </cell>
          <cell r="C73" t="str">
            <v>①ふた部材下</v>
          </cell>
          <cell r="D73">
            <v>36360</v>
          </cell>
          <cell r="E73">
            <v>63800</v>
          </cell>
          <cell r="H73" t="str">
            <v>関東</v>
          </cell>
          <cell r="I73">
            <v>1750000</v>
          </cell>
          <cell r="J73">
            <v>2000000</v>
          </cell>
          <cell r="K73">
            <v>2300000</v>
          </cell>
          <cell r="L73">
            <v>2400000</v>
          </cell>
          <cell r="M73">
            <v>2900000</v>
          </cell>
          <cell r="N73">
            <v>3300000</v>
          </cell>
        </row>
        <row r="74">
          <cell r="A74" t="str">
            <v>H1500②本体部材下</v>
          </cell>
          <cell r="B74" t="str">
            <v>H1500</v>
          </cell>
          <cell r="C74" t="str">
            <v>②本体部材下</v>
          </cell>
          <cell r="D74">
            <v>44110</v>
          </cell>
          <cell r="E74">
            <v>77400</v>
          </cell>
          <cell r="H74" t="str">
            <v>近畿</v>
          </cell>
          <cell r="I74">
            <v>1450000</v>
          </cell>
          <cell r="J74">
            <v>1620000</v>
          </cell>
          <cell r="K74">
            <v>1780000</v>
          </cell>
          <cell r="L74">
            <v>1900000</v>
          </cell>
          <cell r="M74">
            <v>2250000</v>
          </cell>
          <cell r="N74">
            <v>2800000</v>
          </cell>
        </row>
        <row r="75">
          <cell r="A75" t="str">
            <v>H2000①ふた部材下</v>
          </cell>
          <cell r="B75" t="str">
            <v>H2000</v>
          </cell>
          <cell r="C75" t="str">
            <v>①ふた部材下</v>
          </cell>
          <cell r="D75">
            <v>52250</v>
          </cell>
          <cell r="E75">
            <v>95000</v>
          </cell>
          <cell r="H75" t="str">
            <v>中部</v>
          </cell>
          <cell r="I75">
            <v>1610000</v>
          </cell>
          <cell r="J75">
            <v>1710000</v>
          </cell>
          <cell r="K75">
            <v>1900000</v>
          </cell>
          <cell r="L75">
            <v>2160000</v>
          </cell>
          <cell r="M75">
            <v>2420000</v>
          </cell>
          <cell r="N75">
            <v>2910000</v>
          </cell>
        </row>
        <row r="76">
          <cell r="A76" t="str">
            <v>H2000②本体部材下</v>
          </cell>
          <cell r="B76" t="str">
            <v>H2000</v>
          </cell>
          <cell r="C76" t="str">
            <v>②本体部材下</v>
          </cell>
          <cell r="D76">
            <v>52740</v>
          </cell>
          <cell r="E76">
            <v>95900</v>
          </cell>
          <cell r="H76" t="str">
            <v>中国</v>
          </cell>
          <cell r="I76">
            <v>1600000</v>
          </cell>
          <cell r="J76">
            <v>1700000</v>
          </cell>
          <cell r="K76">
            <v>2000000</v>
          </cell>
          <cell r="L76">
            <v>2200000</v>
          </cell>
          <cell r="M76">
            <v>2400000</v>
          </cell>
          <cell r="N76">
            <v>3050000</v>
          </cell>
        </row>
        <row r="77">
          <cell r="A77" t="str">
            <v>H2500①ふた部材下</v>
          </cell>
          <cell r="B77" t="str">
            <v>H2500</v>
          </cell>
          <cell r="C77" t="str">
            <v>①ふた部材下</v>
          </cell>
          <cell r="D77">
            <v>64460</v>
          </cell>
          <cell r="E77">
            <v>117200</v>
          </cell>
          <cell r="H77" t="str">
            <v>四国</v>
          </cell>
          <cell r="I77">
            <v>1800000</v>
          </cell>
          <cell r="J77">
            <v>2000000</v>
          </cell>
          <cell r="K77">
            <v>2200000</v>
          </cell>
          <cell r="L77">
            <v>2400000</v>
          </cell>
          <cell r="M77">
            <v>2600000</v>
          </cell>
          <cell r="N77">
            <v>3000000</v>
          </cell>
        </row>
        <row r="78">
          <cell r="A78" t="str">
            <v>H2500②本体部材下</v>
          </cell>
          <cell r="B78" t="str">
            <v>H2500</v>
          </cell>
          <cell r="C78" t="str">
            <v>②本体部材下</v>
          </cell>
          <cell r="D78">
            <v>78320</v>
          </cell>
          <cell r="E78">
            <v>142400</v>
          </cell>
          <cell r="H78" t="str">
            <v>北陸</v>
          </cell>
          <cell r="I78">
            <v>1700000</v>
          </cell>
          <cell r="J78">
            <v>2000000</v>
          </cell>
          <cell r="K78">
            <v>2040000</v>
          </cell>
          <cell r="L78">
            <v>2400000</v>
          </cell>
          <cell r="M78">
            <v>2400000</v>
          </cell>
          <cell r="N78">
            <v>3000000</v>
          </cell>
        </row>
        <row r="79">
          <cell r="A79" t="str">
            <v>H3000①ふた部材下</v>
          </cell>
          <cell r="B79" t="str">
            <v>H3000</v>
          </cell>
          <cell r="C79" t="str">
            <v>①ふた部材下</v>
          </cell>
          <cell r="D79">
            <v>70560</v>
          </cell>
          <cell r="E79">
            <v>128300</v>
          </cell>
          <cell r="H79" t="str">
            <v>東北</v>
          </cell>
          <cell r="I79">
            <v>1800000</v>
          </cell>
          <cell r="J79">
            <v>2000000</v>
          </cell>
          <cell r="K79">
            <v>2300000</v>
          </cell>
          <cell r="L79">
            <v>2400000</v>
          </cell>
          <cell r="M79">
            <v>2800000</v>
          </cell>
          <cell r="N79">
            <v>3300000</v>
          </cell>
        </row>
        <row r="80">
          <cell r="A80" t="str">
            <v>H3000②本体部材下</v>
          </cell>
          <cell r="B80" t="str">
            <v>H3000</v>
          </cell>
          <cell r="C80" t="str">
            <v>②本体部材下</v>
          </cell>
          <cell r="D80">
            <v>85090</v>
          </cell>
          <cell r="E80">
            <v>172900</v>
          </cell>
          <cell r="H80" t="str">
            <v>九州</v>
          </cell>
          <cell r="I80">
            <v>1690000</v>
          </cell>
          <cell r="J80">
            <v>1870000</v>
          </cell>
          <cell r="K80">
            <v>2080000</v>
          </cell>
          <cell r="L80">
            <v>2320000</v>
          </cell>
          <cell r="M80">
            <v>2430000</v>
          </cell>
          <cell r="N80">
            <v>2950000</v>
          </cell>
        </row>
        <row r="81">
          <cell r="A81" t="str">
            <v>H3500①ふた部材下</v>
          </cell>
          <cell r="B81" t="str">
            <v>H3500</v>
          </cell>
          <cell r="C81" t="str">
            <v>①ふた部材下</v>
          </cell>
          <cell r="D81">
            <v>87720</v>
          </cell>
          <cell r="E81">
            <v>159500</v>
          </cell>
          <cell r="H81" t="str">
            <v>沖縄</v>
          </cell>
          <cell r="I81">
            <v>2000000</v>
          </cell>
          <cell r="J81">
            <v>2300000</v>
          </cell>
          <cell r="K81">
            <v>2500000</v>
          </cell>
          <cell r="L81">
            <v>2700000</v>
          </cell>
          <cell r="M81">
            <v>3000000</v>
          </cell>
          <cell r="N81">
            <v>3500000</v>
          </cell>
        </row>
        <row r="82">
          <cell r="A82" t="str">
            <v>H3500②本体部材下</v>
          </cell>
          <cell r="B82" t="str">
            <v>H3500</v>
          </cell>
          <cell r="C82" t="str">
            <v>②本体部材下</v>
          </cell>
          <cell r="D82">
            <v>109570</v>
          </cell>
          <cell r="E82">
            <v>217400</v>
          </cell>
        </row>
        <row r="83">
          <cell r="A83" t="str">
            <v>H4000①ふた部材下</v>
          </cell>
          <cell r="B83" t="str">
            <v>H4000</v>
          </cell>
          <cell r="C83" t="str">
            <v>①ふた部材下</v>
          </cell>
          <cell r="D83">
            <v>104880</v>
          </cell>
          <cell r="E83">
            <v>190700</v>
          </cell>
        </row>
        <row r="84">
          <cell r="A84" t="str">
            <v>H4000②本体部材下</v>
          </cell>
          <cell r="B84" t="str">
            <v>H4000</v>
          </cell>
          <cell r="C84" t="str">
            <v>②本体部材下</v>
          </cell>
          <cell r="D84">
            <v>127390</v>
          </cell>
          <cell r="E84">
            <v>249800</v>
          </cell>
        </row>
        <row r="85">
          <cell r="A85" t="str">
            <v>H4500①ふた部材下</v>
          </cell>
          <cell r="B85" t="str">
            <v>H4500</v>
          </cell>
          <cell r="C85" t="str">
            <v>①ふた部材下</v>
          </cell>
          <cell r="D85">
            <v>110990</v>
          </cell>
          <cell r="E85">
            <v>201800</v>
          </cell>
        </row>
        <row r="86">
          <cell r="A86" t="str">
            <v>H4500②本体部材下</v>
          </cell>
          <cell r="B86" t="str">
            <v>H4500</v>
          </cell>
          <cell r="C86" t="str">
            <v>②本体部材下</v>
          </cell>
          <cell r="D86">
            <v>147560</v>
          </cell>
          <cell r="E86">
            <v>268300</v>
          </cell>
        </row>
        <row r="87">
          <cell r="A87" t="str">
            <v>リアガード3段</v>
          </cell>
          <cell r="B87" t="str">
            <v>3段</v>
          </cell>
          <cell r="C87" t="str">
            <v>-</v>
          </cell>
          <cell r="D87">
            <v>45000</v>
          </cell>
          <cell r="E87">
            <v>60000</v>
          </cell>
        </row>
        <row r="88">
          <cell r="A88" t="str">
            <v>リアガード4段</v>
          </cell>
          <cell r="B88" t="str">
            <v>4段</v>
          </cell>
          <cell r="C88" t="str">
            <v>-</v>
          </cell>
          <cell r="D88">
            <v>60000</v>
          </cell>
          <cell r="E88">
            <v>80000</v>
          </cell>
        </row>
        <row r="89">
          <cell r="A89" t="str">
            <v>リアガード5段</v>
          </cell>
          <cell r="B89" t="str">
            <v>5段</v>
          </cell>
          <cell r="C89" t="str">
            <v>-</v>
          </cell>
          <cell r="D89">
            <v>75000</v>
          </cell>
          <cell r="E89">
            <v>100000</v>
          </cell>
        </row>
      </sheetData>
      <sheetData sheetId="10" refreshError="1">
        <row r="1">
          <cell r="A1">
            <v>2018</v>
          </cell>
        </row>
        <row r="3">
          <cell r="C3" t="str">
            <v>特殊作業員</v>
          </cell>
          <cell r="D3" t="str">
            <v>普通作業員</v>
          </cell>
          <cell r="E3" t="str">
            <v>軽作業員</v>
          </cell>
          <cell r="F3" t="str">
            <v>とび工</v>
          </cell>
          <cell r="G3" t="str">
            <v>ブロック工</v>
          </cell>
          <cell r="H3" t="str">
            <v>運転手（特殊）</v>
          </cell>
          <cell r="I3" t="str">
            <v>橋りょう世話役</v>
          </cell>
          <cell r="J3" t="str">
            <v>世話役</v>
          </cell>
          <cell r="K3" t="str">
            <v>型わく工</v>
          </cell>
          <cell r="L3" t="str">
            <v>左官</v>
          </cell>
          <cell r="M3" t="str">
            <v>防水工</v>
          </cell>
          <cell r="N3" t="str">
            <v>鉄筋工</v>
          </cell>
          <cell r="O3" t="str">
            <v>塗装工</v>
          </cell>
          <cell r="P3" t="str">
            <v>運転手（一般）</v>
          </cell>
          <cell r="Q3" t="str">
            <v>大工</v>
          </cell>
          <cell r="R3" t="str">
            <v>はつり工</v>
          </cell>
          <cell r="S3" t="str">
            <v>交通誘導員A</v>
          </cell>
          <cell r="T3" t="str">
            <v>交通誘導員B</v>
          </cell>
          <cell r="U3" t="str">
            <v>地域</v>
          </cell>
        </row>
        <row r="4">
          <cell r="B4" t="str">
            <v>北海道</v>
          </cell>
          <cell r="C4">
            <v>20500</v>
          </cell>
          <cell r="D4">
            <v>16900</v>
          </cell>
          <cell r="E4">
            <v>14000</v>
          </cell>
          <cell r="F4">
            <v>22600</v>
          </cell>
          <cell r="G4">
            <v>21600</v>
          </cell>
          <cell r="H4">
            <v>20200</v>
          </cell>
          <cell r="I4">
            <v>36700</v>
          </cell>
          <cell r="J4">
            <v>21500</v>
          </cell>
          <cell r="K4">
            <v>22300</v>
          </cell>
          <cell r="L4">
            <v>23900</v>
          </cell>
          <cell r="M4">
            <v>25100</v>
          </cell>
          <cell r="N4">
            <v>23100</v>
          </cell>
          <cell r="O4">
            <v>23100</v>
          </cell>
          <cell r="P4">
            <v>17200</v>
          </cell>
          <cell r="Q4">
            <v>23900</v>
          </cell>
          <cell r="R4">
            <v>24200</v>
          </cell>
          <cell r="S4">
            <v>13700</v>
          </cell>
          <cell r="T4">
            <v>11600</v>
          </cell>
          <cell r="U4" t="str">
            <v>北海道</v>
          </cell>
        </row>
        <row r="5">
          <cell r="B5" t="str">
            <v>青森</v>
          </cell>
          <cell r="C5">
            <v>23800</v>
          </cell>
          <cell r="D5">
            <v>17500</v>
          </cell>
          <cell r="E5">
            <v>13400</v>
          </cell>
          <cell r="F5">
            <v>23600</v>
          </cell>
          <cell r="G5">
            <v>25400</v>
          </cell>
          <cell r="H5">
            <v>25700</v>
          </cell>
          <cell r="I5">
            <v>35600</v>
          </cell>
          <cell r="J5">
            <v>25600</v>
          </cell>
          <cell r="K5">
            <v>28500</v>
          </cell>
          <cell r="L5">
            <v>25500</v>
          </cell>
          <cell r="M5">
            <v>22300</v>
          </cell>
          <cell r="N5">
            <v>25100</v>
          </cell>
          <cell r="O5">
            <v>21100</v>
          </cell>
          <cell r="P5">
            <v>23400</v>
          </cell>
          <cell r="Q5">
            <v>25300</v>
          </cell>
          <cell r="R5">
            <v>23500</v>
          </cell>
          <cell r="S5">
            <v>12700</v>
          </cell>
          <cell r="T5">
            <v>11200</v>
          </cell>
          <cell r="U5" t="str">
            <v>東北</v>
          </cell>
        </row>
        <row r="6">
          <cell r="B6" t="str">
            <v>岩手</v>
          </cell>
          <cell r="C6">
            <v>22900</v>
          </cell>
          <cell r="D6">
            <v>18900</v>
          </cell>
          <cell r="E6">
            <v>13900</v>
          </cell>
          <cell r="F6">
            <v>22600</v>
          </cell>
          <cell r="G6">
            <v>26600</v>
          </cell>
          <cell r="H6">
            <v>25400</v>
          </cell>
          <cell r="I6">
            <v>36800</v>
          </cell>
          <cell r="J6">
            <v>25500</v>
          </cell>
          <cell r="K6">
            <v>28700</v>
          </cell>
          <cell r="L6">
            <v>27000</v>
          </cell>
          <cell r="M6">
            <v>22400</v>
          </cell>
          <cell r="N6">
            <v>24900</v>
          </cell>
          <cell r="O6">
            <v>22000</v>
          </cell>
          <cell r="P6">
            <v>21500</v>
          </cell>
          <cell r="Q6">
            <v>25900</v>
          </cell>
          <cell r="R6">
            <v>23500</v>
          </cell>
          <cell r="S6">
            <v>13600</v>
          </cell>
          <cell r="T6">
            <v>11800</v>
          </cell>
          <cell r="U6" t="str">
            <v>東北</v>
          </cell>
        </row>
        <row r="7">
          <cell r="B7" t="str">
            <v>宮城</v>
          </cell>
          <cell r="C7">
            <v>24200</v>
          </cell>
          <cell r="D7">
            <v>18800</v>
          </cell>
          <cell r="E7">
            <v>14900</v>
          </cell>
          <cell r="F7">
            <v>25600</v>
          </cell>
          <cell r="G7">
            <v>27300</v>
          </cell>
          <cell r="H7">
            <v>26600</v>
          </cell>
          <cell r="I7">
            <v>40100</v>
          </cell>
          <cell r="J7">
            <v>25600</v>
          </cell>
          <cell r="K7">
            <v>32300</v>
          </cell>
          <cell r="L7">
            <v>29200</v>
          </cell>
          <cell r="M7">
            <v>24400</v>
          </cell>
          <cell r="N7">
            <v>29900</v>
          </cell>
          <cell r="O7">
            <v>25700</v>
          </cell>
          <cell r="P7">
            <v>23900</v>
          </cell>
          <cell r="Q7">
            <v>28100</v>
          </cell>
          <cell r="R7">
            <v>23200</v>
          </cell>
          <cell r="S7">
            <v>14900</v>
          </cell>
          <cell r="T7">
            <v>12700</v>
          </cell>
          <cell r="U7" t="str">
            <v>東北</v>
          </cell>
        </row>
        <row r="8">
          <cell r="B8" t="str">
            <v>秋田</v>
          </cell>
          <cell r="C8">
            <v>22400</v>
          </cell>
          <cell r="D8">
            <v>17700</v>
          </cell>
          <cell r="E8">
            <v>14300</v>
          </cell>
          <cell r="F8">
            <v>23300</v>
          </cell>
          <cell r="G8">
            <v>26600</v>
          </cell>
          <cell r="H8">
            <v>24700</v>
          </cell>
          <cell r="I8">
            <v>36600</v>
          </cell>
          <cell r="J8">
            <v>26400</v>
          </cell>
          <cell r="K8">
            <v>25600</v>
          </cell>
          <cell r="L8">
            <v>25700</v>
          </cell>
          <cell r="M8">
            <v>22800</v>
          </cell>
          <cell r="N8">
            <v>25600</v>
          </cell>
          <cell r="O8">
            <v>22700</v>
          </cell>
          <cell r="P8">
            <v>23900</v>
          </cell>
          <cell r="Q8">
            <v>27800</v>
          </cell>
          <cell r="R8">
            <v>23500</v>
          </cell>
          <cell r="S8">
            <v>12800</v>
          </cell>
          <cell r="T8">
            <v>11000</v>
          </cell>
          <cell r="U8" t="str">
            <v>東北</v>
          </cell>
        </row>
        <row r="9">
          <cell r="B9" t="str">
            <v>山形</v>
          </cell>
          <cell r="C9">
            <v>22500</v>
          </cell>
          <cell r="D9">
            <v>17700</v>
          </cell>
          <cell r="E9">
            <v>15000</v>
          </cell>
          <cell r="F9">
            <v>23400</v>
          </cell>
          <cell r="G9">
            <v>27400</v>
          </cell>
          <cell r="H9">
            <v>23400</v>
          </cell>
          <cell r="I9">
            <v>35800</v>
          </cell>
          <cell r="J9">
            <v>24700</v>
          </cell>
          <cell r="K9">
            <v>26100</v>
          </cell>
          <cell r="L9">
            <v>25300</v>
          </cell>
          <cell r="M9">
            <v>25500</v>
          </cell>
          <cell r="N9">
            <v>26100</v>
          </cell>
          <cell r="O9">
            <v>25300</v>
          </cell>
          <cell r="P9">
            <v>21200</v>
          </cell>
          <cell r="Q9">
            <v>24200</v>
          </cell>
          <cell r="R9">
            <v>23500</v>
          </cell>
          <cell r="S9">
            <v>14500</v>
          </cell>
          <cell r="T9">
            <v>12400</v>
          </cell>
          <cell r="U9" t="str">
            <v>東北</v>
          </cell>
        </row>
        <row r="10">
          <cell r="B10" t="str">
            <v>福島</v>
          </cell>
          <cell r="C10">
            <v>24300</v>
          </cell>
          <cell r="D10">
            <v>18700</v>
          </cell>
          <cell r="E10">
            <v>16200</v>
          </cell>
          <cell r="F10">
            <v>25400</v>
          </cell>
          <cell r="G10">
            <v>27800</v>
          </cell>
          <cell r="H10">
            <v>22600</v>
          </cell>
          <cell r="I10">
            <v>35800</v>
          </cell>
          <cell r="J10">
            <v>23300</v>
          </cell>
          <cell r="K10">
            <v>24200</v>
          </cell>
          <cell r="L10">
            <v>25400</v>
          </cell>
          <cell r="M10">
            <v>25200</v>
          </cell>
          <cell r="N10">
            <v>26400</v>
          </cell>
          <cell r="O10">
            <v>25400</v>
          </cell>
          <cell r="P10">
            <v>20400</v>
          </cell>
          <cell r="Q10">
            <v>26900</v>
          </cell>
          <cell r="R10">
            <v>23300</v>
          </cell>
          <cell r="S10">
            <v>14900</v>
          </cell>
          <cell r="T10">
            <v>12700</v>
          </cell>
          <cell r="U10" t="str">
            <v>東北</v>
          </cell>
        </row>
        <row r="11">
          <cell r="B11" t="str">
            <v>茨城</v>
          </cell>
          <cell r="C11">
            <v>21500</v>
          </cell>
          <cell r="D11">
            <v>19900</v>
          </cell>
          <cell r="E11">
            <v>13900</v>
          </cell>
          <cell r="F11">
            <v>25300</v>
          </cell>
          <cell r="G11">
            <v>25100</v>
          </cell>
          <cell r="H11">
            <v>23300</v>
          </cell>
          <cell r="I11">
            <v>33000</v>
          </cell>
          <cell r="J11">
            <v>23100</v>
          </cell>
          <cell r="K11">
            <v>24500</v>
          </cell>
          <cell r="L11">
            <v>26400</v>
          </cell>
          <cell r="M11">
            <v>26600</v>
          </cell>
          <cell r="N11">
            <v>24800</v>
          </cell>
          <cell r="O11">
            <v>24600</v>
          </cell>
          <cell r="P11">
            <v>19200</v>
          </cell>
          <cell r="Q11">
            <v>25600</v>
          </cell>
          <cell r="R11">
            <v>24600</v>
          </cell>
          <cell r="S11">
            <v>14400</v>
          </cell>
          <cell r="T11">
            <v>13100</v>
          </cell>
          <cell r="U11" t="str">
            <v>関東</v>
          </cell>
        </row>
        <row r="12">
          <cell r="B12" t="str">
            <v>栃木</v>
          </cell>
          <cell r="C12">
            <v>21300</v>
          </cell>
          <cell r="D12">
            <v>18700</v>
          </cell>
          <cell r="E12">
            <v>13800</v>
          </cell>
          <cell r="F12">
            <v>24000</v>
          </cell>
          <cell r="G12">
            <v>25200</v>
          </cell>
          <cell r="H12">
            <v>21000</v>
          </cell>
          <cell r="I12">
            <v>33400</v>
          </cell>
          <cell r="J12">
            <v>23000</v>
          </cell>
          <cell r="K12">
            <v>24400</v>
          </cell>
          <cell r="L12">
            <v>26700</v>
          </cell>
          <cell r="M12">
            <v>27500</v>
          </cell>
          <cell r="N12">
            <v>24900</v>
          </cell>
          <cell r="O12">
            <v>26000</v>
          </cell>
          <cell r="P12">
            <v>20000</v>
          </cell>
          <cell r="Q12">
            <v>26000</v>
          </cell>
          <cell r="R12">
            <v>24800</v>
          </cell>
          <cell r="S12">
            <v>14000</v>
          </cell>
          <cell r="T12">
            <v>12100</v>
          </cell>
          <cell r="U12" t="str">
            <v>関東</v>
          </cell>
        </row>
        <row r="13">
          <cell r="B13" t="str">
            <v>群馬</v>
          </cell>
          <cell r="C13">
            <v>21300</v>
          </cell>
          <cell r="D13">
            <v>19700</v>
          </cell>
          <cell r="E13">
            <v>14700</v>
          </cell>
          <cell r="F13">
            <v>22800</v>
          </cell>
          <cell r="G13">
            <v>25000</v>
          </cell>
          <cell r="H13">
            <v>21300</v>
          </cell>
          <cell r="I13">
            <v>33300</v>
          </cell>
          <cell r="J13">
            <v>23100</v>
          </cell>
          <cell r="K13">
            <v>24200</v>
          </cell>
          <cell r="L13">
            <v>23500</v>
          </cell>
          <cell r="M13">
            <v>25300</v>
          </cell>
          <cell r="N13">
            <v>24100</v>
          </cell>
          <cell r="O13">
            <v>22600</v>
          </cell>
          <cell r="P13">
            <v>17900</v>
          </cell>
          <cell r="Q13">
            <v>25100</v>
          </cell>
          <cell r="R13">
            <v>24800</v>
          </cell>
          <cell r="S13">
            <v>13400</v>
          </cell>
          <cell r="T13">
            <v>11800</v>
          </cell>
          <cell r="U13" t="str">
            <v>関東</v>
          </cell>
        </row>
        <row r="14">
          <cell r="B14" t="str">
            <v>埼玉</v>
          </cell>
          <cell r="C14">
            <v>22900</v>
          </cell>
          <cell r="D14">
            <v>20200</v>
          </cell>
          <cell r="E14">
            <v>14600</v>
          </cell>
          <cell r="F14">
            <v>26400</v>
          </cell>
          <cell r="G14">
            <v>25300</v>
          </cell>
          <cell r="H14">
            <v>24200</v>
          </cell>
          <cell r="I14">
            <v>33600</v>
          </cell>
          <cell r="J14">
            <v>23400</v>
          </cell>
          <cell r="K14">
            <v>25600</v>
          </cell>
          <cell r="L14">
            <v>26500</v>
          </cell>
          <cell r="M14">
            <v>28500</v>
          </cell>
          <cell r="N14">
            <v>26700</v>
          </cell>
          <cell r="O14">
            <v>26400</v>
          </cell>
          <cell r="P14">
            <v>21100</v>
          </cell>
          <cell r="Q14">
            <v>25300</v>
          </cell>
          <cell r="R14">
            <v>24800</v>
          </cell>
          <cell r="S14">
            <v>14300</v>
          </cell>
          <cell r="T14">
            <v>12600</v>
          </cell>
          <cell r="U14" t="str">
            <v>関東</v>
          </cell>
        </row>
        <row r="15">
          <cell r="B15" t="str">
            <v>千葉</v>
          </cell>
          <cell r="C15">
            <v>23700</v>
          </cell>
          <cell r="D15">
            <v>19900</v>
          </cell>
          <cell r="E15">
            <v>14500</v>
          </cell>
          <cell r="F15">
            <v>27300</v>
          </cell>
          <cell r="G15">
            <v>25300</v>
          </cell>
          <cell r="H15">
            <v>23600</v>
          </cell>
          <cell r="I15">
            <v>33600</v>
          </cell>
          <cell r="J15">
            <v>23900</v>
          </cell>
          <cell r="K15">
            <v>24800</v>
          </cell>
          <cell r="L15">
            <v>27000</v>
          </cell>
          <cell r="M15">
            <v>28600</v>
          </cell>
          <cell r="N15">
            <v>27700</v>
          </cell>
          <cell r="O15">
            <v>26600</v>
          </cell>
          <cell r="P15">
            <v>21000</v>
          </cell>
          <cell r="Q15">
            <v>25300</v>
          </cell>
          <cell r="R15">
            <v>24800</v>
          </cell>
          <cell r="S15">
            <v>14700</v>
          </cell>
          <cell r="T15">
            <v>12800</v>
          </cell>
          <cell r="U15" t="str">
            <v>関東</v>
          </cell>
        </row>
        <row r="16">
          <cell r="B16" t="str">
            <v>東京</v>
          </cell>
          <cell r="C16">
            <v>24200</v>
          </cell>
          <cell r="D16">
            <v>21100</v>
          </cell>
          <cell r="E16">
            <v>15100</v>
          </cell>
          <cell r="F16">
            <v>27000</v>
          </cell>
          <cell r="G16">
            <v>25300</v>
          </cell>
          <cell r="H16">
            <v>23800</v>
          </cell>
          <cell r="I16">
            <v>34000</v>
          </cell>
          <cell r="J16">
            <v>24600</v>
          </cell>
          <cell r="K16">
            <v>25700</v>
          </cell>
          <cell r="L16">
            <v>27300</v>
          </cell>
          <cell r="M16">
            <v>29600</v>
          </cell>
          <cell r="N16">
            <v>27200</v>
          </cell>
          <cell r="O16">
            <v>27900</v>
          </cell>
          <cell r="P16">
            <v>19700</v>
          </cell>
          <cell r="Q16">
            <v>25300</v>
          </cell>
          <cell r="R16">
            <v>24800</v>
          </cell>
          <cell r="S16">
            <v>15200</v>
          </cell>
          <cell r="T16">
            <v>13200</v>
          </cell>
          <cell r="U16" t="str">
            <v>関東</v>
          </cell>
        </row>
        <row r="17">
          <cell r="B17" t="str">
            <v>神奈川</v>
          </cell>
          <cell r="C17">
            <v>24400</v>
          </cell>
          <cell r="D17">
            <v>21100</v>
          </cell>
          <cell r="E17">
            <v>14800</v>
          </cell>
          <cell r="F17">
            <v>27100</v>
          </cell>
          <cell r="G17">
            <v>25100</v>
          </cell>
          <cell r="H17">
            <v>24700</v>
          </cell>
          <cell r="I17">
            <v>33200</v>
          </cell>
          <cell r="J17">
            <v>25100</v>
          </cell>
          <cell r="K17">
            <v>25600</v>
          </cell>
          <cell r="L17">
            <v>26600</v>
          </cell>
          <cell r="M17">
            <v>27100</v>
          </cell>
          <cell r="N17">
            <v>25600</v>
          </cell>
          <cell r="O17">
            <v>27900</v>
          </cell>
          <cell r="P17">
            <v>21100</v>
          </cell>
          <cell r="Q17">
            <v>25300</v>
          </cell>
          <cell r="R17">
            <v>24800</v>
          </cell>
          <cell r="S17">
            <v>15100</v>
          </cell>
          <cell r="T17">
            <v>13200</v>
          </cell>
          <cell r="U17" t="str">
            <v>関東</v>
          </cell>
        </row>
        <row r="18">
          <cell r="B18" t="str">
            <v>山梨</v>
          </cell>
          <cell r="C18">
            <v>23300</v>
          </cell>
          <cell r="D18">
            <v>21000</v>
          </cell>
          <cell r="E18">
            <v>14500</v>
          </cell>
          <cell r="F18">
            <v>24200</v>
          </cell>
          <cell r="G18">
            <v>24900</v>
          </cell>
          <cell r="H18">
            <v>23800</v>
          </cell>
          <cell r="I18">
            <v>32700</v>
          </cell>
          <cell r="J18">
            <v>23800</v>
          </cell>
          <cell r="K18">
            <v>25700</v>
          </cell>
          <cell r="L18">
            <v>26200</v>
          </cell>
          <cell r="M18">
            <v>26700</v>
          </cell>
          <cell r="N18">
            <v>25100</v>
          </cell>
          <cell r="O18">
            <v>26400</v>
          </cell>
          <cell r="P18">
            <v>20600</v>
          </cell>
          <cell r="Q18">
            <v>25400</v>
          </cell>
          <cell r="R18">
            <v>24800</v>
          </cell>
          <cell r="S18">
            <v>13800</v>
          </cell>
          <cell r="T18">
            <v>12100</v>
          </cell>
          <cell r="U18" t="str">
            <v>関東</v>
          </cell>
        </row>
        <row r="19">
          <cell r="B19" t="str">
            <v>長野</v>
          </cell>
          <cell r="C19">
            <v>22500</v>
          </cell>
          <cell r="D19">
            <v>19400</v>
          </cell>
          <cell r="E19">
            <v>15400</v>
          </cell>
          <cell r="F19">
            <v>23900</v>
          </cell>
          <cell r="G19">
            <v>23600</v>
          </cell>
          <cell r="H19">
            <v>21400</v>
          </cell>
          <cell r="I19">
            <v>32500</v>
          </cell>
          <cell r="J19">
            <v>23200</v>
          </cell>
          <cell r="K19">
            <v>22700</v>
          </cell>
          <cell r="L19">
            <v>22800</v>
          </cell>
          <cell r="M19">
            <v>25100</v>
          </cell>
          <cell r="N19">
            <v>23600</v>
          </cell>
          <cell r="O19">
            <v>23800</v>
          </cell>
          <cell r="P19">
            <v>18600</v>
          </cell>
          <cell r="Q19">
            <v>25000</v>
          </cell>
          <cell r="R19">
            <v>25100</v>
          </cell>
          <cell r="S19">
            <v>12800</v>
          </cell>
          <cell r="T19">
            <v>10900</v>
          </cell>
          <cell r="U19" t="str">
            <v>関東</v>
          </cell>
        </row>
        <row r="20">
          <cell r="B20" t="str">
            <v>新潟</v>
          </cell>
          <cell r="C20">
            <v>22000</v>
          </cell>
          <cell r="D20">
            <v>18600</v>
          </cell>
          <cell r="E20">
            <v>16300</v>
          </cell>
          <cell r="F20">
            <v>23300</v>
          </cell>
          <cell r="G20">
            <v>23900</v>
          </cell>
          <cell r="H20">
            <v>21800</v>
          </cell>
          <cell r="I20">
            <v>33000</v>
          </cell>
          <cell r="J20">
            <v>21400</v>
          </cell>
          <cell r="K20">
            <v>23200</v>
          </cell>
          <cell r="L20">
            <v>23200</v>
          </cell>
          <cell r="M20">
            <v>23600</v>
          </cell>
          <cell r="N20">
            <v>24400</v>
          </cell>
          <cell r="O20">
            <v>23800</v>
          </cell>
          <cell r="P20">
            <v>19100</v>
          </cell>
          <cell r="Q20">
            <v>23600</v>
          </cell>
          <cell r="R20">
            <v>23000</v>
          </cell>
          <cell r="S20">
            <v>14200</v>
          </cell>
          <cell r="T20">
            <v>12400</v>
          </cell>
          <cell r="U20" t="str">
            <v>北陸</v>
          </cell>
        </row>
        <row r="21">
          <cell r="B21" t="str">
            <v>富山</v>
          </cell>
          <cell r="C21">
            <v>24500</v>
          </cell>
          <cell r="D21">
            <v>19700</v>
          </cell>
          <cell r="E21">
            <v>15200</v>
          </cell>
          <cell r="F21">
            <v>26100</v>
          </cell>
          <cell r="G21">
            <v>24900</v>
          </cell>
          <cell r="H21">
            <v>23000</v>
          </cell>
          <cell r="I21">
            <v>33900</v>
          </cell>
          <cell r="J21">
            <v>22700</v>
          </cell>
          <cell r="K21">
            <v>25700</v>
          </cell>
          <cell r="L21">
            <v>24000</v>
          </cell>
          <cell r="M21">
            <v>23600</v>
          </cell>
          <cell r="N21">
            <v>26300</v>
          </cell>
          <cell r="O21">
            <v>25400</v>
          </cell>
          <cell r="P21">
            <v>19100</v>
          </cell>
          <cell r="Q21">
            <v>24200</v>
          </cell>
          <cell r="R21">
            <v>22900</v>
          </cell>
          <cell r="S21">
            <v>14100</v>
          </cell>
          <cell r="T21">
            <v>12800</v>
          </cell>
          <cell r="U21" t="str">
            <v>北陸</v>
          </cell>
        </row>
        <row r="22">
          <cell r="B22" t="str">
            <v>石川</v>
          </cell>
          <cell r="C22">
            <v>23600</v>
          </cell>
          <cell r="D22">
            <v>20300</v>
          </cell>
          <cell r="E22">
            <v>15100</v>
          </cell>
          <cell r="F22">
            <v>26100</v>
          </cell>
          <cell r="G22">
            <v>24900</v>
          </cell>
          <cell r="H22">
            <v>22500</v>
          </cell>
          <cell r="I22">
            <v>34400</v>
          </cell>
          <cell r="J22">
            <v>24200</v>
          </cell>
          <cell r="K22">
            <v>25100</v>
          </cell>
          <cell r="L22">
            <v>23500</v>
          </cell>
          <cell r="M22">
            <v>24500</v>
          </cell>
          <cell r="N22">
            <v>25800</v>
          </cell>
          <cell r="O22">
            <v>24900</v>
          </cell>
          <cell r="P22">
            <v>19900</v>
          </cell>
          <cell r="Q22">
            <v>24100</v>
          </cell>
          <cell r="R22">
            <v>22900</v>
          </cell>
          <cell r="S22">
            <v>14600</v>
          </cell>
          <cell r="T22">
            <v>12700</v>
          </cell>
          <cell r="U22" t="str">
            <v>北陸</v>
          </cell>
        </row>
        <row r="23">
          <cell r="B23" t="str">
            <v>岐阜</v>
          </cell>
          <cell r="C23">
            <v>22200</v>
          </cell>
          <cell r="D23">
            <v>19800</v>
          </cell>
          <cell r="E23">
            <v>14700</v>
          </cell>
          <cell r="F23">
            <v>25400</v>
          </cell>
          <cell r="G23">
            <v>26300</v>
          </cell>
          <cell r="H23">
            <v>23000</v>
          </cell>
          <cell r="I23">
            <v>32800</v>
          </cell>
          <cell r="J23">
            <v>23600</v>
          </cell>
          <cell r="K23">
            <v>26000</v>
          </cell>
          <cell r="L23">
            <v>23600</v>
          </cell>
          <cell r="M23">
            <v>24100</v>
          </cell>
          <cell r="N23">
            <v>24300</v>
          </cell>
          <cell r="O23">
            <v>24600</v>
          </cell>
          <cell r="P23">
            <v>19900</v>
          </cell>
          <cell r="Q23">
            <v>26200</v>
          </cell>
          <cell r="R23">
            <v>24800</v>
          </cell>
          <cell r="S23">
            <v>14200</v>
          </cell>
          <cell r="T23">
            <v>12800</v>
          </cell>
          <cell r="U23" t="str">
            <v>中部</v>
          </cell>
        </row>
        <row r="24">
          <cell r="B24" t="str">
            <v>静岡</v>
          </cell>
          <cell r="C24">
            <v>22000</v>
          </cell>
          <cell r="D24">
            <v>20900</v>
          </cell>
          <cell r="E24">
            <v>13400</v>
          </cell>
          <cell r="F24">
            <v>24600</v>
          </cell>
          <cell r="G24">
            <v>27500</v>
          </cell>
          <cell r="H24">
            <v>22500</v>
          </cell>
          <cell r="I24">
            <v>33100</v>
          </cell>
          <cell r="J24">
            <v>23800</v>
          </cell>
          <cell r="K24">
            <v>24600</v>
          </cell>
          <cell r="L24">
            <v>25000</v>
          </cell>
          <cell r="M24">
            <v>26500</v>
          </cell>
          <cell r="N24">
            <v>24900</v>
          </cell>
          <cell r="O24">
            <v>26200</v>
          </cell>
          <cell r="P24">
            <v>20200</v>
          </cell>
          <cell r="Q24">
            <v>26200</v>
          </cell>
          <cell r="R24">
            <v>24900</v>
          </cell>
          <cell r="S24">
            <v>14700</v>
          </cell>
          <cell r="T24">
            <v>12700</v>
          </cell>
          <cell r="U24" t="str">
            <v>中部</v>
          </cell>
        </row>
        <row r="25">
          <cell r="B25" t="str">
            <v>愛知</v>
          </cell>
          <cell r="C25">
            <v>23100</v>
          </cell>
          <cell r="D25">
            <v>19800</v>
          </cell>
          <cell r="E25">
            <v>15100</v>
          </cell>
          <cell r="F25">
            <v>26100</v>
          </cell>
          <cell r="G25">
            <v>27500</v>
          </cell>
          <cell r="H25">
            <v>22700</v>
          </cell>
          <cell r="I25">
            <v>32400</v>
          </cell>
          <cell r="J25">
            <v>23600</v>
          </cell>
          <cell r="K25">
            <v>26300</v>
          </cell>
          <cell r="L25">
            <v>24300</v>
          </cell>
          <cell r="M25">
            <v>26000</v>
          </cell>
          <cell r="N25">
            <v>24300</v>
          </cell>
          <cell r="O25">
            <v>25700</v>
          </cell>
          <cell r="P25">
            <v>20500</v>
          </cell>
          <cell r="Q25">
            <v>26200</v>
          </cell>
          <cell r="R25">
            <v>24800</v>
          </cell>
          <cell r="S25">
            <v>15100</v>
          </cell>
          <cell r="T25">
            <v>13000</v>
          </cell>
          <cell r="U25" t="str">
            <v>中部</v>
          </cell>
        </row>
        <row r="26">
          <cell r="B26" t="str">
            <v>三重</v>
          </cell>
          <cell r="C26">
            <v>22100</v>
          </cell>
          <cell r="D26">
            <v>19100</v>
          </cell>
          <cell r="E26">
            <v>14300</v>
          </cell>
          <cell r="F26">
            <v>26700</v>
          </cell>
          <cell r="G26">
            <v>24900</v>
          </cell>
          <cell r="H26">
            <v>22300</v>
          </cell>
          <cell r="I26">
            <v>33700</v>
          </cell>
          <cell r="J26">
            <v>22800</v>
          </cell>
          <cell r="K26">
            <v>24600</v>
          </cell>
          <cell r="L26">
            <v>23800</v>
          </cell>
          <cell r="M26">
            <v>25900</v>
          </cell>
          <cell r="N26">
            <v>24600</v>
          </cell>
          <cell r="O26">
            <v>25000</v>
          </cell>
          <cell r="P26">
            <v>19700</v>
          </cell>
          <cell r="Q26">
            <v>26200</v>
          </cell>
          <cell r="R26">
            <v>24900</v>
          </cell>
          <cell r="S26">
            <v>14400</v>
          </cell>
          <cell r="T26">
            <v>12400</v>
          </cell>
          <cell r="U26" t="str">
            <v>中部</v>
          </cell>
        </row>
        <row r="27">
          <cell r="B27" t="str">
            <v>福井</v>
          </cell>
          <cell r="C27">
            <v>20100</v>
          </cell>
          <cell r="D27">
            <v>17100</v>
          </cell>
          <cell r="E27">
            <v>13000</v>
          </cell>
          <cell r="F27">
            <v>21800</v>
          </cell>
          <cell r="G27">
            <v>22200</v>
          </cell>
          <cell r="H27">
            <v>19400</v>
          </cell>
          <cell r="I27">
            <v>32100</v>
          </cell>
          <cell r="J27">
            <v>22100</v>
          </cell>
          <cell r="K27">
            <v>21900</v>
          </cell>
          <cell r="L27">
            <v>21400</v>
          </cell>
          <cell r="M27">
            <v>22500</v>
          </cell>
          <cell r="N27">
            <v>22100</v>
          </cell>
          <cell r="O27">
            <v>23500</v>
          </cell>
          <cell r="P27">
            <v>19000</v>
          </cell>
          <cell r="Q27">
            <v>20600</v>
          </cell>
          <cell r="R27">
            <v>22700</v>
          </cell>
          <cell r="S27">
            <v>13400</v>
          </cell>
          <cell r="T27">
            <v>11800</v>
          </cell>
          <cell r="U27" t="str">
            <v>近畿</v>
          </cell>
        </row>
        <row r="28">
          <cell r="B28" t="str">
            <v>滋賀</v>
          </cell>
          <cell r="C28">
            <v>20300</v>
          </cell>
          <cell r="D28">
            <v>18300</v>
          </cell>
          <cell r="E28">
            <v>13900</v>
          </cell>
          <cell r="F28">
            <v>23100</v>
          </cell>
          <cell r="G28">
            <v>22900</v>
          </cell>
          <cell r="H28">
            <v>20500</v>
          </cell>
          <cell r="I28">
            <v>31700</v>
          </cell>
          <cell r="J28">
            <v>22300</v>
          </cell>
          <cell r="K28">
            <v>22200</v>
          </cell>
          <cell r="L28">
            <v>22100</v>
          </cell>
          <cell r="M28">
            <v>23100</v>
          </cell>
          <cell r="N28">
            <v>23200</v>
          </cell>
          <cell r="O28">
            <v>23500</v>
          </cell>
          <cell r="P28">
            <v>18200</v>
          </cell>
          <cell r="Q28">
            <v>21500</v>
          </cell>
          <cell r="R28">
            <v>22600</v>
          </cell>
          <cell r="S28">
            <v>12900</v>
          </cell>
          <cell r="T28">
            <v>10900</v>
          </cell>
          <cell r="U28" t="str">
            <v>近畿</v>
          </cell>
        </row>
        <row r="29">
          <cell r="B29" t="str">
            <v>京都</v>
          </cell>
          <cell r="C29">
            <v>19800</v>
          </cell>
          <cell r="D29">
            <v>19100</v>
          </cell>
          <cell r="E29">
            <v>13100</v>
          </cell>
          <cell r="F29">
            <v>22800</v>
          </cell>
          <cell r="G29">
            <v>23100</v>
          </cell>
          <cell r="H29">
            <v>19500</v>
          </cell>
          <cell r="I29">
            <v>31700</v>
          </cell>
          <cell r="J29">
            <v>22000</v>
          </cell>
          <cell r="K29">
            <v>22900</v>
          </cell>
          <cell r="L29">
            <v>22400</v>
          </cell>
          <cell r="M29">
            <v>23100</v>
          </cell>
          <cell r="N29">
            <v>22400</v>
          </cell>
          <cell r="O29">
            <v>24300</v>
          </cell>
          <cell r="P29">
            <v>17400</v>
          </cell>
          <cell r="Q29">
            <v>21300</v>
          </cell>
          <cell r="R29">
            <v>22600</v>
          </cell>
          <cell r="S29">
            <v>13000</v>
          </cell>
          <cell r="T29">
            <v>10500</v>
          </cell>
          <cell r="U29" t="str">
            <v>近畿</v>
          </cell>
        </row>
        <row r="30">
          <cell r="B30" t="str">
            <v>大阪</v>
          </cell>
          <cell r="C30">
            <v>21200</v>
          </cell>
          <cell r="D30">
            <v>18700</v>
          </cell>
          <cell r="E30">
            <v>13000</v>
          </cell>
          <cell r="F30">
            <v>24300</v>
          </cell>
          <cell r="G30">
            <v>22900</v>
          </cell>
          <cell r="H30">
            <v>21000</v>
          </cell>
          <cell r="I30">
            <v>32300</v>
          </cell>
          <cell r="J30">
            <v>22800</v>
          </cell>
          <cell r="K30">
            <v>24100</v>
          </cell>
          <cell r="L30">
            <v>22500</v>
          </cell>
          <cell r="M30">
            <v>23200</v>
          </cell>
          <cell r="N30">
            <v>22800</v>
          </cell>
          <cell r="O30">
            <v>25000</v>
          </cell>
          <cell r="P30">
            <v>17600</v>
          </cell>
          <cell r="Q30">
            <v>20900</v>
          </cell>
          <cell r="R30">
            <v>22600</v>
          </cell>
          <cell r="S30">
            <v>12800</v>
          </cell>
          <cell r="T30">
            <v>11100</v>
          </cell>
          <cell r="U30" t="str">
            <v>近畿</v>
          </cell>
        </row>
        <row r="31">
          <cell r="B31" t="str">
            <v>兵庫</v>
          </cell>
          <cell r="C31">
            <v>19100</v>
          </cell>
          <cell r="D31">
            <v>18900</v>
          </cell>
          <cell r="E31">
            <v>12500</v>
          </cell>
          <cell r="F31">
            <v>23100</v>
          </cell>
          <cell r="G31">
            <v>23000</v>
          </cell>
          <cell r="H31">
            <v>19700</v>
          </cell>
          <cell r="I31">
            <v>32000</v>
          </cell>
          <cell r="J31">
            <v>21700</v>
          </cell>
          <cell r="K31">
            <v>22700</v>
          </cell>
          <cell r="L31">
            <v>21400</v>
          </cell>
          <cell r="M31">
            <v>22400</v>
          </cell>
          <cell r="N31">
            <v>21400</v>
          </cell>
          <cell r="O31">
            <v>22400</v>
          </cell>
          <cell r="P31">
            <v>17400</v>
          </cell>
          <cell r="Q31">
            <v>21200</v>
          </cell>
          <cell r="R31">
            <v>22600</v>
          </cell>
          <cell r="S31">
            <v>13100</v>
          </cell>
          <cell r="T31">
            <v>10900</v>
          </cell>
          <cell r="U31" t="str">
            <v>近畿</v>
          </cell>
        </row>
        <row r="32">
          <cell r="B32" t="str">
            <v>奈良</v>
          </cell>
          <cell r="C32">
            <v>21400</v>
          </cell>
          <cell r="D32">
            <v>18800</v>
          </cell>
          <cell r="E32">
            <v>13800</v>
          </cell>
          <cell r="F32">
            <v>23600</v>
          </cell>
          <cell r="G32">
            <v>23100</v>
          </cell>
          <cell r="H32">
            <v>20300</v>
          </cell>
          <cell r="I32">
            <v>31500</v>
          </cell>
          <cell r="J32">
            <v>23000</v>
          </cell>
          <cell r="K32">
            <v>23800</v>
          </cell>
          <cell r="L32">
            <v>23000</v>
          </cell>
          <cell r="M32">
            <v>23100</v>
          </cell>
          <cell r="N32">
            <v>22900</v>
          </cell>
          <cell r="O32">
            <v>24900</v>
          </cell>
          <cell r="P32">
            <v>17800</v>
          </cell>
          <cell r="Q32">
            <v>21500</v>
          </cell>
          <cell r="R32">
            <v>22600</v>
          </cell>
          <cell r="S32">
            <v>13200</v>
          </cell>
          <cell r="T32">
            <v>11000</v>
          </cell>
          <cell r="U32" t="str">
            <v>近畿</v>
          </cell>
        </row>
        <row r="33">
          <cell r="B33" t="str">
            <v>和歌山</v>
          </cell>
          <cell r="C33">
            <v>20700</v>
          </cell>
          <cell r="D33">
            <v>19000</v>
          </cell>
          <cell r="E33">
            <v>13000</v>
          </cell>
          <cell r="F33">
            <v>23400</v>
          </cell>
          <cell r="G33">
            <v>23100</v>
          </cell>
          <cell r="H33">
            <v>19100</v>
          </cell>
          <cell r="I33">
            <v>31600</v>
          </cell>
          <cell r="J33">
            <v>23000</v>
          </cell>
          <cell r="K33">
            <v>24200</v>
          </cell>
          <cell r="L33">
            <v>22600</v>
          </cell>
          <cell r="M33">
            <v>22900</v>
          </cell>
          <cell r="N33">
            <v>22000</v>
          </cell>
          <cell r="O33">
            <v>24300</v>
          </cell>
          <cell r="P33">
            <v>17300</v>
          </cell>
          <cell r="Q33">
            <v>21300</v>
          </cell>
          <cell r="R33">
            <v>22600</v>
          </cell>
          <cell r="S33">
            <v>12800</v>
          </cell>
          <cell r="T33">
            <v>10900</v>
          </cell>
          <cell r="U33" t="str">
            <v>近畿</v>
          </cell>
        </row>
        <row r="34">
          <cell r="B34" t="str">
            <v>鳥取</v>
          </cell>
          <cell r="C34">
            <v>18200</v>
          </cell>
          <cell r="D34">
            <v>14800</v>
          </cell>
          <cell r="E34">
            <v>13000</v>
          </cell>
          <cell r="F34">
            <v>21300</v>
          </cell>
          <cell r="G34">
            <v>19200</v>
          </cell>
          <cell r="H34">
            <v>17000</v>
          </cell>
          <cell r="I34">
            <v>29500</v>
          </cell>
          <cell r="J34">
            <v>19800</v>
          </cell>
          <cell r="K34">
            <v>20700</v>
          </cell>
          <cell r="L34">
            <v>20200</v>
          </cell>
          <cell r="M34">
            <v>22700</v>
          </cell>
          <cell r="N34">
            <v>21000</v>
          </cell>
          <cell r="O34">
            <v>20900</v>
          </cell>
          <cell r="P34">
            <v>14900</v>
          </cell>
          <cell r="Q34">
            <v>21000</v>
          </cell>
          <cell r="R34">
            <v>20900</v>
          </cell>
          <cell r="S34">
            <v>13400</v>
          </cell>
          <cell r="T34">
            <v>10700</v>
          </cell>
          <cell r="U34" t="str">
            <v>中国</v>
          </cell>
        </row>
        <row r="35">
          <cell r="B35" t="str">
            <v>島根</v>
          </cell>
          <cell r="C35">
            <v>18500</v>
          </cell>
          <cell r="D35">
            <v>15900</v>
          </cell>
          <cell r="E35">
            <v>13100</v>
          </cell>
          <cell r="F35">
            <v>21200</v>
          </cell>
          <cell r="G35">
            <v>19200</v>
          </cell>
          <cell r="H35">
            <v>18500</v>
          </cell>
          <cell r="I35">
            <v>29200</v>
          </cell>
          <cell r="J35">
            <v>19000</v>
          </cell>
          <cell r="K35">
            <v>20000</v>
          </cell>
          <cell r="L35">
            <v>19500</v>
          </cell>
          <cell r="M35">
            <v>21600</v>
          </cell>
          <cell r="N35">
            <v>20300</v>
          </cell>
          <cell r="O35">
            <v>19400</v>
          </cell>
          <cell r="P35">
            <v>15200</v>
          </cell>
          <cell r="Q35">
            <v>21400</v>
          </cell>
          <cell r="R35">
            <v>20900</v>
          </cell>
          <cell r="S35">
            <v>13400</v>
          </cell>
          <cell r="T35">
            <v>11400</v>
          </cell>
          <cell r="U35" t="str">
            <v>中国</v>
          </cell>
        </row>
        <row r="36">
          <cell r="B36" t="str">
            <v>岡山</v>
          </cell>
          <cell r="C36">
            <v>19600</v>
          </cell>
          <cell r="D36">
            <v>17300</v>
          </cell>
          <cell r="E36">
            <v>13300</v>
          </cell>
          <cell r="F36">
            <v>22100</v>
          </cell>
          <cell r="G36">
            <v>19200</v>
          </cell>
          <cell r="H36">
            <v>19900</v>
          </cell>
          <cell r="I36">
            <v>29500</v>
          </cell>
          <cell r="J36">
            <v>20400</v>
          </cell>
          <cell r="K36">
            <v>21500</v>
          </cell>
          <cell r="L36">
            <v>20500</v>
          </cell>
          <cell r="M36">
            <v>23000</v>
          </cell>
          <cell r="N36">
            <v>21600</v>
          </cell>
          <cell r="O36">
            <v>20800</v>
          </cell>
          <cell r="P36">
            <v>17100</v>
          </cell>
          <cell r="Q36">
            <v>21000</v>
          </cell>
          <cell r="R36">
            <v>20900</v>
          </cell>
          <cell r="S36">
            <v>13900</v>
          </cell>
          <cell r="T36">
            <v>12000</v>
          </cell>
          <cell r="U36" t="str">
            <v>中国</v>
          </cell>
        </row>
        <row r="37">
          <cell r="B37" t="str">
            <v>広島</v>
          </cell>
          <cell r="C37">
            <v>19900</v>
          </cell>
          <cell r="D37">
            <v>18000</v>
          </cell>
          <cell r="E37">
            <v>13200</v>
          </cell>
          <cell r="F37">
            <v>21800</v>
          </cell>
          <cell r="G37">
            <v>19300</v>
          </cell>
          <cell r="H37">
            <v>20300</v>
          </cell>
          <cell r="I37">
            <v>29600</v>
          </cell>
          <cell r="J37">
            <v>19800</v>
          </cell>
          <cell r="K37">
            <v>20900</v>
          </cell>
          <cell r="L37">
            <v>20200</v>
          </cell>
          <cell r="M37">
            <v>22200</v>
          </cell>
          <cell r="N37">
            <v>21400</v>
          </cell>
          <cell r="O37">
            <v>19800</v>
          </cell>
          <cell r="P37">
            <v>17100</v>
          </cell>
          <cell r="Q37">
            <v>21300</v>
          </cell>
          <cell r="R37">
            <v>20900</v>
          </cell>
          <cell r="S37">
            <v>13900</v>
          </cell>
          <cell r="T37">
            <v>11800</v>
          </cell>
          <cell r="U37" t="str">
            <v>中国</v>
          </cell>
        </row>
        <row r="38">
          <cell r="B38" t="str">
            <v>山口</v>
          </cell>
          <cell r="C38">
            <v>18600</v>
          </cell>
          <cell r="D38">
            <v>16600</v>
          </cell>
          <cell r="E38">
            <v>13200</v>
          </cell>
          <cell r="F38">
            <v>21900</v>
          </cell>
          <cell r="G38">
            <v>19300</v>
          </cell>
          <cell r="H38">
            <v>18800</v>
          </cell>
          <cell r="I38">
            <v>29600</v>
          </cell>
          <cell r="J38">
            <v>20300</v>
          </cell>
          <cell r="K38">
            <v>20100</v>
          </cell>
          <cell r="L38">
            <v>20000</v>
          </cell>
          <cell r="M38">
            <v>22000</v>
          </cell>
          <cell r="N38">
            <v>20900</v>
          </cell>
          <cell r="O38">
            <v>19200</v>
          </cell>
          <cell r="P38">
            <v>16500</v>
          </cell>
          <cell r="Q38">
            <v>21600</v>
          </cell>
          <cell r="R38">
            <v>21000</v>
          </cell>
          <cell r="S38">
            <v>13700</v>
          </cell>
          <cell r="T38">
            <v>11400</v>
          </cell>
          <cell r="U38" t="str">
            <v>中国</v>
          </cell>
        </row>
        <row r="39">
          <cell r="B39" t="str">
            <v>徳島</v>
          </cell>
          <cell r="C39">
            <v>20400</v>
          </cell>
          <cell r="D39">
            <v>18300</v>
          </cell>
          <cell r="E39">
            <v>13700</v>
          </cell>
          <cell r="F39">
            <v>21700</v>
          </cell>
          <cell r="G39">
            <v>26600</v>
          </cell>
          <cell r="H39">
            <v>18300</v>
          </cell>
          <cell r="I39">
            <v>29000</v>
          </cell>
          <cell r="J39">
            <v>20800</v>
          </cell>
          <cell r="K39">
            <v>21300</v>
          </cell>
          <cell r="L39">
            <v>22000</v>
          </cell>
          <cell r="M39">
            <v>21700</v>
          </cell>
          <cell r="N39">
            <v>20700</v>
          </cell>
          <cell r="O39">
            <v>20300</v>
          </cell>
          <cell r="P39">
            <v>17100</v>
          </cell>
          <cell r="Q39">
            <v>21200</v>
          </cell>
          <cell r="R39">
            <v>20900</v>
          </cell>
          <cell r="S39">
            <v>13400</v>
          </cell>
          <cell r="T39">
            <v>12000</v>
          </cell>
          <cell r="U39" t="str">
            <v>四国</v>
          </cell>
        </row>
        <row r="40">
          <cell r="B40" t="str">
            <v>香川</v>
          </cell>
          <cell r="C40">
            <v>21200</v>
          </cell>
          <cell r="D40">
            <v>18800</v>
          </cell>
          <cell r="E40">
            <v>13700</v>
          </cell>
          <cell r="F40">
            <v>21800</v>
          </cell>
          <cell r="G40">
            <v>27300</v>
          </cell>
          <cell r="H40">
            <v>19600</v>
          </cell>
          <cell r="I40">
            <v>29300</v>
          </cell>
          <cell r="J40">
            <v>20800</v>
          </cell>
          <cell r="K40">
            <v>21200</v>
          </cell>
          <cell r="L40">
            <v>22000</v>
          </cell>
          <cell r="M40">
            <v>21800</v>
          </cell>
          <cell r="N40">
            <v>20900</v>
          </cell>
          <cell r="O40">
            <v>20300</v>
          </cell>
          <cell r="P40">
            <v>17900</v>
          </cell>
          <cell r="Q40">
            <v>21200</v>
          </cell>
          <cell r="R40">
            <v>20900</v>
          </cell>
          <cell r="S40">
            <v>13500</v>
          </cell>
          <cell r="T40">
            <v>12100</v>
          </cell>
          <cell r="U40" t="str">
            <v>四国</v>
          </cell>
        </row>
        <row r="41">
          <cell r="B41" t="str">
            <v>愛媛</v>
          </cell>
          <cell r="C41">
            <v>20000</v>
          </cell>
          <cell r="D41">
            <v>16400</v>
          </cell>
          <cell r="E41">
            <v>13300</v>
          </cell>
          <cell r="F41">
            <v>21600</v>
          </cell>
          <cell r="G41">
            <v>26500</v>
          </cell>
          <cell r="H41">
            <v>19900</v>
          </cell>
          <cell r="I41">
            <v>28300</v>
          </cell>
          <cell r="J41">
            <v>21800</v>
          </cell>
          <cell r="K41">
            <v>21100</v>
          </cell>
          <cell r="L41">
            <v>21800</v>
          </cell>
          <cell r="M41">
            <v>21500</v>
          </cell>
          <cell r="N41">
            <v>19700</v>
          </cell>
          <cell r="O41">
            <v>20200</v>
          </cell>
          <cell r="P41">
            <v>17600</v>
          </cell>
          <cell r="Q41">
            <v>21200</v>
          </cell>
          <cell r="R41">
            <v>20900</v>
          </cell>
          <cell r="S41">
            <v>12900</v>
          </cell>
          <cell r="T41">
            <v>10900</v>
          </cell>
          <cell r="U41" t="str">
            <v>四国</v>
          </cell>
        </row>
        <row r="42">
          <cell r="B42" t="str">
            <v>高知</v>
          </cell>
          <cell r="C42">
            <v>19800</v>
          </cell>
          <cell r="D42">
            <v>16700</v>
          </cell>
          <cell r="E42">
            <v>14100</v>
          </cell>
          <cell r="F42">
            <v>22000</v>
          </cell>
          <cell r="G42">
            <v>26500</v>
          </cell>
          <cell r="H42">
            <v>20300</v>
          </cell>
          <cell r="I42">
            <v>29000</v>
          </cell>
          <cell r="J42">
            <v>20600</v>
          </cell>
          <cell r="K42">
            <v>20800</v>
          </cell>
          <cell r="L42">
            <v>21700</v>
          </cell>
          <cell r="M42">
            <v>21500</v>
          </cell>
          <cell r="N42">
            <v>19800</v>
          </cell>
          <cell r="O42">
            <v>20500</v>
          </cell>
          <cell r="P42">
            <v>18000</v>
          </cell>
          <cell r="Q42">
            <v>21200</v>
          </cell>
          <cell r="R42">
            <v>20900</v>
          </cell>
          <cell r="S42">
            <v>12300</v>
          </cell>
          <cell r="T42">
            <v>10400</v>
          </cell>
          <cell r="U42" t="str">
            <v>四国</v>
          </cell>
        </row>
        <row r="43">
          <cell r="B43" t="str">
            <v>福岡</v>
          </cell>
          <cell r="C43">
            <v>21500</v>
          </cell>
          <cell r="D43">
            <v>19200</v>
          </cell>
          <cell r="E43">
            <v>13500</v>
          </cell>
          <cell r="F43">
            <v>23100</v>
          </cell>
          <cell r="G43">
            <v>23200</v>
          </cell>
          <cell r="H43">
            <v>20900</v>
          </cell>
          <cell r="I43">
            <v>33000</v>
          </cell>
          <cell r="J43">
            <v>22600</v>
          </cell>
          <cell r="K43">
            <v>22400</v>
          </cell>
          <cell r="L43">
            <v>22600</v>
          </cell>
          <cell r="M43">
            <v>22300</v>
          </cell>
          <cell r="N43">
            <v>22400</v>
          </cell>
          <cell r="O43">
            <v>23100</v>
          </cell>
          <cell r="P43">
            <v>18000</v>
          </cell>
          <cell r="Q43">
            <v>23800</v>
          </cell>
          <cell r="R43">
            <v>20400</v>
          </cell>
          <cell r="S43">
            <v>13200</v>
          </cell>
          <cell r="T43">
            <v>11700</v>
          </cell>
          <cell r="U43" t="str">
            <v>九州</v>
          </cell>
        </row>
        <row r="44">
          <cell r="B44" t="str">
            <v>佐賀</v>
          </cell>
          <cell r="C44">
            <v>19000</v>
          </cell>
          <cell r="D44">
            <v>16400</v>
          </cell>
          <cell r="E44">
            <v>13000</v>
          </cell>
          <cell r="F44">
            <v>21700</v>
          </cell>
          <cell r="G44">
            <v>23500</v>
          </cell>
          <cell r="H44">
            <v>23000</v>
          </cell>
          <cell r="I44">
            <v>33300</v>
          </cell>
          <cell r="J44">
            <v>21600</v>
          </cell>
          <cell r="K44">
            <v>24200</v>
          </cell>
          <cell r="L44">
            <v>22700</v>
          </cell>
          <cell r="M44">
            <v>22400</v>
          </cell>
          <cell r="N44">
            <v>22000</v>
          </cell>
          <cell r="O44">
            <v>23800</v>
          </cell>
          <cell r="P44">
            <v>18600</v>
          </cell>
          <cell r="Q44">
            <v>23900</v>
          </cell>
          <cell r="R44">
            <v>20400</v>
          </cell>
          <cell r="S44">
            <v>13100</v>
          </cell>
          <cell r="T44">
            <v>11500</v>
          </cell>
          <cell r="U44" t="str">
            <v>九州</v>
          </cell>
        </row>
        <row r="45">
          <cell r="B45" t="str">
            <v>長崎</v>
          </cell>
          <cell r="C45">
            <v>19800</v>
          </cell>
          <cell r="D45">
            <v>17300</v>
          </cell>
          <cell r="E45">
            <v>13800</v>
          </cell>
          <cell r="F45">
            <v>21600</v>
          </cell>
          <cell r="G45">
            <v>23300</v>
          </cell>
          <cell r="H45">
            <v>19600</v>
          </cell>
          <cell r="I45">
            <v>33200</v>
          </cell>
          <cell r="J45">
            <v>21200</v>
          </cell>
          <cell r="K45">
            <v>22100</v>
          </cell>
          <cell r="L45">
            <v>22600</v>
          </cell>
          <cell r="M45">
            <v>22100</v>
          </cell>
          <cell r="N45">
            <v>21900</v>
          </cell>
          <cell r="O45">
            <v>23400</v>
          </cell>
          <cell r="P45">
            <v>17200</v>
          </cell>
          <cell r="Q45">
            <v>23800</v>
          </cell>
          <cell r="R45">
            <v>20500</v>
          </cell>
          <cell r="S45">
            <v>13300</v>
          </cell>
          <cell r="T45">
            <v>12200</v>
          </cell>
          <cell r="U45" t="str">
            <v>九州</v>
          </cell>
        </row>
        <row r="46">
          <cell r="B46" t="str">
            <v>熊本</v>
          </cell>
          <cell r="C46">
            <v>20200</v>
          </cell>
          <cell r="D46">
            <v>17700</v>
          </cell>
          <cell r="E46">
            <v>14500</v>
          </cell>
          <cell r="F46">
            <v>22600</v>
          </cell>
          <cell r="G46">
            <v>23100</v>
          </cell>
          <cell r="H46">
            <v>20400</v>
          </cell>
          <cell r="I46">
            <v>32100</v>
          </cell>
          <cell r="J46">
            <v>22100</v>
          </cell>
          <cell r="K46">
            <v>22300</v>
          </cell>
          <cell r="L46">
            <v>22300</v>
          </cell>
          <cell r="M46">
            <v>22300</v>
          </cell>
          <cell r="N46">
            <v>22600</v>
          </cell>
          <cell r="O46">
            <v>23300</v>
          </cell>
          <cell r="P46">
            <v>17700</v>
          </cell>
          <cell r="Q46">
            <v>23800</v>
          </cell>
          <cell r="R46">
            <v>20600</v>
          </cell>
          <cell r="S46">
            <v>12900</v>
          </cell>
          <cell r="T46">
            <v>11100</v>
          </cell>
          <cell r="U46" t="str">
            <v>九州</v>
          </cell>
        </row>
        <row r="47">
          <cell r="B47" t="str">
            <v>大分</v>
          </cell>
          <cell r="C47">
            <v>19300</v>
          </cell>
          <cell r="D47">
            <v>16500</v>
          </cell>
          <cell r="E47">
            <v>13700</v>
          </cell>
          <cell r="F47">
            <v>22200</v>
          </cell>
          <cell r="G47">
            <v>22800</v>
          </cell>
          <cell r="H47">
            <v>21800</v>
          </cell>
          <cell r="I47">
            <v>32500</v>
          </cell>
          <cell r="J47">
            <v>22300</v>
          </cell>
          <cell r="K47">
            <v>21600</v>
          </cell>
          <cell r="L47">
            <v>22400</v>
          </cell>
          <cell r="M47">
            <v>22300</v>
          </cell>
          <cell r="N47">
            <v>22400</v>
          </cell>
          <cell r="O47">
            <v>22300</v>
          </cell>
          <cell r="P47">
            <v>19800</v>
          </cell>
          <cell r="Q47">
            <v>23500</v>
          </cell>
          <cell r="R47">
            <v>20400</v>
          </cell>
          <cell r="S47">
            <v>13100</v>
          </cell>
          <cell r="T47">
            <v>10600</v>
          </cell>
          <cell r="U47" t="str">
            <v>九州</v>
          </cell>
        </row>
        <row r="48">
          <cell r="B48" t="str">
            <v>宮崎</v>
          </cell>
          <cell r="C48">
            <v>21500</v>
          </cell>
          <cell r="D48">
            <v>16100</v>
          </cell>
          <cell r="E48">
            <v>13800</v>
          </cell>
          <cell r="F48">
            <v>22400</v>
          </cell>
          <cell r="G48">
            <v>22800</v>
          </cell>
          <cell r="H48">
            <v>21800</v>
          </cell>
          <cell r="I48">
            <v>33000</v>
          </cell>
          <cell r="J48">
            <v>22600</v>
          </cell>
          <cell r="K48">
            <v>22600</v>
          </cell>
          <cell r="L48">
            <v>22300</v>
          </cell>
          <cell r="M48">
            <v>22000</v>
          </cell>
          <cell r="N48">
            <v>21100</v>
          </cell>
          <cell r="O48">
            <v>22800</v>
          </cell>
          <cell r="P48">
            <v>18400</v>
          </cell>
          <cell r="Q48">
            <v>23300</v>
          </cell>
          <cell r="R48">
            <v>20400</v>
          </cell>
          <cell r="S48">
            <v>13100</v>
          </cell>
          <cell r="T48">
            <v>10200</v>
          </cell>
          <cell r="U48" t="str">
            <v>九州</v>
          </cell>
        </row>
        <row r="49">
          <cell r="B49" t="str">
            <v>鹿児島</v>
          </cell>
          <cell r="C49">
            <v>23600</v>
          </cell>
          <cell r="D49">
            <v>17400</v>
          </cell>
          <cell r="E49">
            <v>14800</v>
          </cell>
          <cell r="F49">
            <v>22800</v>
          </cell>
          <cell r="G49">
            <v>22800</v>
          </cell>
          <cell r="H49">
            <v>24100</v>
          </cell>
          <cell r="I49">
            <v>33300</v>
          </cell>
          <cell r="J49">
            <v>24500</v>
          </cell>
          <cell r="K49">
            <v>24900</v>
          </cell>
          <cell r="L49">
            <v>22700</v>
          </cell>
          <cell r="M49">
            <v>22100</v>
          </cell>
          <cell r="N49">
            <v>22300</v>
          </cell>
          <cell r="O49">
            <v>23200</v>
          </cell>
          <cell r="P49">
            <v>21100</v>
          </cell>
          <cell r="Q49">
            <v>23900</v>
          </cell>
          <cell r="R49">
            <v>20400</v>
          </cell>
          <cell r="S49">
            <v>14000</v>
          </cell>
          <cell r="T49">
            <v>11900</v>
          </cell>
          <cell r="U49" t="str">
            <v>九州</v>
          </cell>
        </row>
        <row r="50">
          <cell r="B50" t="str">
            <v>沖縄</v>
          </cell>
          <cell r="C50">
            <v>21200</v>
          </cell>
          <cell r="D50">
            <v>18700</v>
          </cell>
          <cell r="E50">
            <v>14400</v>
          </cell>
          <cell r="F50">
            <v>27300</v>
          </cell>
          <cell r="G50">
            <v>17200</v>
          </cell>
          <cell r="H50">
            <v>24100</v>
          </cell>
          <cell r="I50">
            <v>38400</v>
          </cell>
          <cell r="J50">
            <v>24000</v>
          </cell>
          <cell r="K50">
            <v>25800</v>
          </cell>
          <cell r="L50">
            <v>24900</v>
          </cell>
          <cell r="M50">
            <v>29500</v>
          </cell>
          <cell r="N50">
            <v>25000</v>
          </cell>
          <cell r="O50">
            <v>23700</v>
          </cell>
          <cell r="P50">
            <v>21200</v>
          </cell>
          <cell r="Q50">
            <v>23800</v>
          </cell>
          <cell r="R50">
            <v>17400</v>
          </cell>
          <cell r="S50">
            <v>11700</v>
          </cell>
          <cell r="T50">
            <v>10300</v>
          </cell>
          <cell r="U50" t="str">
            <v>沖縄</v>
          </cell>
        </row>
      </sheetData>
      <sheetData sheetId="11" refreshError="1">
        <row r="5">
          <cell r="C5" t="str">
            <v>大阪</v>
          </cell>
        </row>
        <row r="6">
          <cell r="C6" t="str">
            <v>H4500</v>
          </cell>
        </row>
        <row r="7">
          <cell r="C7">
            <v>5000</v>
          </cell>
        </row>
        <row r="8">
          <cell r="C8">
            <v>2</v>
          </cell>
        </row>
        <row r="9">
          <cell r="C9">
            <v>0</v>
          </cell>
          <cell r="H9">
            <v>2370.3049999999998</v>
          </cell>
        </row>
        <row r="12">
          <cell r="C12">
            <v>45</v>
          </cell>
        </row>
      </sheetData>
      <sheetData sheetId="12" refreshError="1">
        <row r="3">
          <cell r="B3" t="str">
            <v>関東営業所</v>
          </cell>
          <cell r="C3" t="str">
            <v>東京都千代田区麹町5-7-2(4F)
TEL:03-3263-0102  FAX:03-3263-2005</v>
          </cell>
        </row>
        <row r="4">
          <cell r="B4" t="str">
            <v>神奈川営業所</v>
          </cell>
          <cell r="C4" t="str">
            <v>神奈川県相模原市緑区西橋本5-1-1(ラ・フロール4階 4-F号室)
TEL:042-703-7390  FAX:042-703-7391</v>
          </cell>
        </row>
        <row r="5">
          <cell r="B5" t="str">
            <v>東北営業所</v>
          </cell>
          <cell r="C5" t="str">
            <v>宮城県仙台市青葉区錦町1-10-11(5F)
TEL:022-706-4016  FAX:022-212-5113</v>
          </cell>
        </row>
        <row r="6">
          <cell r="B6" t="str">
            <v>大阪営業所</v>
          </cell>
          <cell r="C6" t="str">
            <v>大阪府吹田市垂水町3-15-27（ホクコン大阪ビル5F）
TEL:06-6380-3650  FAX:06-6368-3486</v>
          </cell>
        </row>
        <row r="7">
          <cell r="B7" t="str">
            <v>和歌山営業所</v>
          </cell>
          <cell r="C7" t="str">
            <v>和歌山県和歌山市太田1-6-13（駅前第一ビル4F）
TEL:073-473-1280  FAX:073-473-1282</v>
          </cell>
        </row>
        <row r="8">
          <cell r="B8" t="str">
            <v>兵庫営業所</v>
          </cell>
          <cell r="C8" t="str">
            <v>兵庫県明石市本町1-2-29（明石追手ビル7F 703）
TEL:078-915-0017  FAX:078-915-0037</v>
          </cell>
        </row>
        <row r="9">
          <cell r="B9" t="str">
            <v>京都営業所</v>
          </cell>
          <cell r="C9" t="str">
            <v>京都府城陽市寺田南堤下8-1
TEL:0774-52-3389  FAX:0774-52-6702</v>
          </cell>
        </row>
        <row r="10">
          <cell r="B10" t="str">
            <v>奈良営業所</v>
          </cell>
          <cell r="C10" t="str">
            <v>奈良県奈良市北之庄町41-2（キノシタビル3F）
TEL:0742-50-3500  FAX:0742-50-3501</v>
          </cell>
        </row>
        <row r="11">
          <cell r="B11" t="str">
            <v>滋賀営業所</v>
          </cell>
          <cell r="C11" t="str">
            <v>滋賀県愛知郡愛荘町岩倉635
TEL:0749-37-2525  FAX:0749-37-2526</v>
          </cell>
        </row>
        <row r="12">
          <cell r="B12" t="str">
            <v>北近畿営業所</v>
          </cell>
          <cell r="C12" t="str">
            <v>京都府福知山市和久市町142-1
TEL:0773-22-2857  FAX:0773-22-6542</v>
          </cell>
        </row>
        <row r="13">
          <cell r="B13" t="str">
            <v>石川営業所</v>
          </cell>
          <cell r="C13" t="str">
            <v>石川県金沢市西念2-2-1（デスタン12ビル2F）
TEL:076-263-1321  FAX:076-263-1325</v>
          </cell>
        </row>
        <row r="14">
          <cell r="B14" t="str">
            <v>富山営業所</v>
          </cell>
          <cell r="C14" t="str">
            <v>富山県富山市布瀬本町4-12
TEL:076-422-0811  FAX:076-491-1473</v>
          </cell>
        </row>
        <row r="15">
          <cell r="B15" t="str">
            <v>魚津営業所</v>
          </cell>
          <cell r="C15" t="str">
            <v>富山県魚津市上村木1-14-14（ルネ宮田ビル２Ｆ）
TEL:0765-22-7720  FAX:0765-22-7727</v>
          </cell>
        </row>
        <row r="16">
          <cell r="B16" t="str">
            <v>福井営業所</v>
          </cell>
          <cell r="C16" t="str">
            <v>福井県福井市今市町66-20-2（ホクコン本社ビル）
TEL:0776-38-6360　　FAX:0776-38-6361</v>
          </cell>
        </row>
        <row r="17">
          <cell r="B17" t="str">
            <v>小浜営業所</v>
          </cell>
          <cell r="C17" t="str">
            <v>福井県小浜市千種1-3-20（千種ビル2A-1）
TEL:0770-52-1894  FAX:0770-52-2980</v>
          </cell>
        </row>
        <row r="18">
          <cell r="B18" t="str">
            <v>名古屋営業所</v>
          </cell>
          <cell r="C18" t="str">
            <v>愛知県名古屋市中村区岩塚本通2-1-2　MSビル3F
TEL:052-419-1010  FAX:052-413-1003</v>
          </cell>
        </row>
        <row r="19">
          <cell r="B19" t="str">
            <v>三河営業所</v>
          </cell>
          <cell r="C19" t="str">
            <v>愛知県岡崎市吹矢町89（鶴田ビル2F）
TEL:0564-22-7152  FAX:0564-22-7153</v>
          </cell>
        </row>
        <row r="20">
          <cell r="B20" t="str">
            <v>三重営業所</v>
          </cell>
          <cell r="C20" t="str">
            <v>三重県津市栄町2-478
TEL:059-226-2631  FAX:059-226-2665</v>
          </cell>
        </row>
        <row r="21">
          <cell r="B21" t="str">
            <v>岐阜営業所</v>
          </cell>
          <cell r="C21" t="str">
            <v>岐阜県岐阜市茜部菱野1-54（栄進ビル3F）
TEL:058-268-8730  FAX:058-268-8725</v>
          </cell>
        </row>
        <row r="22">
          <cell r="B22" t="str">
            <v>静岡営業所</v>
          </cell>
          <cell r="C22" t="str">
            <v>静岡県静岡市葵区黒金町59-6（大同生命静岡ビル10F）
TEL:054-250-0015  FAX:054-250-0017</v>
          </cell>
        </row>
        <row r="23">
          <cell r="B23" t="str">
            <v>富士営業所</v>
          </cell>
          <cell r="C23" t="str">
            <v>静岡県富士市加島町9-17（フェリックス富士4階）
TEL:0545-32-7541  FAX:0545-32-7547</v>
          </cell>
        </row>
        <row r="24">
          <cell r="B24" t="str">
            <v>山陰営業所</v>
          </cell>
          <cell r="C24" t="str">
            <v>鳥取県西伯郡大山町神原113-4
TEL:0859-53-4511  FAX:0859-53-4701</v>
          </cell>
        </row>
        <row r="25">
          <cell r="B25" t="str">
            <v>鳥取営業所</v>
          </cell>
          <cell r="C25" t="str">
            <v>鳥取県鳥取市秋里882-11（シティハイツアキサト101）
TEL:0857-23-4261  FAX:0857-23-6320</v>
          </cell>
        </row>
        <row r="26">
          <cell r="B26" t="str">
            <v>島根営業所</v>
          </cell>
          <cell r="C26" t="str">
            <v>島根県出雲市大津新崎町1-46-2（栄光ビル2FB）
TEL:0853-22-4511  FAX:0853-22-4531</v>
          </cell>
        </row>
      </sheetData>
      <sheetData sheetId="13" refreshError="1"/>
      <sheetData sheetId="14" refreshError="1"/>
      <sheetData sheetId="15" refreshError="1"/>
      <sheetData sheetId="16" refreshError="1"/>
      <sheetData sheetId="17" refreshError="1">
        <row r="74">
          <cell r="C74">
            <v>101</v>
          </cell>
        </row>
      </sheetData>
      <sheetData sheetId="18" refreshError="1"/>
      <sheetData sheetId="19" refreshError="1"/>
      <sheetData sheetId="20" refreshError="1"/>
      <sheetData sheetId="21" refreshError="1">
        <row r="2">
          <cell r="AI2">
            <v>0</v>
          </cell>
        </row>
        <row r="99">
          <cell r="AL99">
            <v>2500</v>
          </cell>
        </row>
      </sheetData>
      <sheetData sheetId="22" refreshError="1"/>
      <sheetData sheetId="23" refreshError="1"/>
      <sheetData sheetId="24" refreshError="1">
        <row r="160">
          <cell r="B160">
            <v>150</v>
          </cell>
          <cell r="C160">
            <v>202</v>
          </cell>
          <cell r="D160">
            <v>250</v>
          </cell>
        </row>
        <row r="161">
          <cell r="B161">
            <v>200</v>
          </cell>
          <cell r="C161">
            <v>254</v>
          </cell>
          <cell r="D161">
            <v>300</v>
          </cell>
        </row>
        <row r="162">
          <cell r="B162">
            <v>250</v>
          </cell>
          <cell r="C162">
            <v>306</v>
          </cell>
          <cell r="D162">
            <v>350</v>
          </cell>
        </row>
        <row r="163">
          <cell r="B163">
            <v>300</v>
          </cell>
          <cell r="C163">
            <v>360</v>
          </cell>
          <cell r="D163">
            <v>450</v>
          </cell>
        </row>
        <row r="164">
          <cell r="B164">
            <v>350</v>
          </cell>
          <cell r="C164">
            <v>414</v>
          </cell>
          <cell r="D164">
            <v>450</v>
          </cell>
        </row>
        <row r="165">
          <cell r="B165">
            <v>400</v>
          </cell>
          <cell r="C165">
            <v>470</v>
          </cell>
          <cell r="D165">
            <v>550</v>
          </cell>
        </row>
        <row r="166">
          <cell r="B166">
            <v>450</v>
          </cell>
          <cell r="C166">
            <v>526</v>
          </cell>
          <cell r="D166">
            <v>600</v>
          </cell>
        </row>
        <row r="167">
          <cell r="B167">
            <v>500</v>
          </cell>
          <cell r="C167">
            <v>584</v>
          </cell>
          <cell r="D167">
            <v>650</v>
          </cell>
        </row>
        <row r="168">
          <cell r="B168">
            <v>600</v>
          </cell>
          <cell r="C168">
            <v>700</v>
          </cell>
          <cell r="D168">
            <v>800</v>
          </cell>
        </row>
        <row r="169">
          <cell r="B169">
            <v>700</v>
          </cell>
          <cell r="C169">
            <v>816</v>
          </cell>
          <cell r="D169">
            <v>900</v>
          </cell>
        </row>
        <row r="170">
          <cell r="B170">
            <v>800</v>
          </cell>
          <cell r="C170">
            <v>932</v>
          </cell>
          <cell r="D170">
            <v>1000</v>
          </cell>
        </row>
        <row r="171">
          <cell r="B171">
            <v>900</v>
          </cell>
          <cell r="C171">
            <v>1050</v>
          </cell>
          <cell r="D171">
            <v>1150</v>
          </cell>
        </row>
        <row r="172">
          <cell r="B172">
            <v>1000</v>
          </cell>
          <cell r="C172">
            <v>1164</v>
          </cell>
          <cell r="D172">
            <v>1250</v>
          </cell>
        </row>
        <row r="173">
          <cell r="B173">
            <v>1100</v>
          </cell>
          <cell r="C173">
            <v>1276</v>
          </cell>
          <cell r="D173">
            <v>1350</v>
          </cell>
        </row>
        <row r="174">
          <cell r="B174">
            <v>1200</v>
          </cell>
          <cell r="C174">
            <v>1390</v>
          </cell>
          <cell r="D174">
            <v>1500</v>
          </cell>
        </row>
        <row r="175">
          <cell r="B175">
            <v>1350</v>
          </cell>
          <cell r="C175">
            <v>1556</v>
          </cell>
          <cell r="D175">
            <v>1650</v>
          </cell>
        </row>
        <row r="179">
          <cell r="B179">
            <v>50</v>
          </cell>
          <cell r="C179">
            <v>60</v>
          </cell>
          <cell r="D179">
            <v>150</v>
          </cell>
        </row>
        <row r="180">
          <cell r="B180">
            <v>65</v>
          </cell>
          <cell r="C180">
            <v>76</v>
          </cell>
          <cell r="D180">
            <v>150</v>
          </cell>
        </row>
        <row r="181">
          <cell r="B181">
            <v>75</v>
          </cell>
          <cell r="C181">
            <v>89</v>
          </cell>
          <cell r="D181">
            <v>150</v>
          </cell>
        </row>
        <row r="182">
          <cell r="B182">
            <v>100</v>
          </cell>
          <cell r="C182">
            <v>114</v>
          </cell>
          <cell r="D182">
            <v>200</v>
          </cell>
        </row>
        <row r="183">
          <cell r="B183">
            <v>125</v>
          </cell>
          <cell r="C183">
            <v>140</v>
          </cell>
          <cell r="D183">
            <v>200</v>
          </cell>
        </row>
        <row r="184">
          <cell r="B184">
            <v>150</v>
          </cell>
          <cell r="C184">
            <v>165</v>
          </cell>
          <cell r="D184">
            <v>250</v>
          </cell>
        </row>
        <row r="185">
          <cell r="B185">
            <v>200</v>
          </cell>
          <cell r="C185">
            <v>216</v>
          </cell>
          <cell r="D185">
            <v>300</v>
          </cell>
        </row>
        <row r="186">
          <cell r="B186">
            <v>250</v>
          </cell>
          <cell r="C186">
            <v>267</v>
          </cell>
          <cell r="D186">
            <v>350</v>
          </cell>
        </row>
        <row r="187">
          <cell r="B187">
            <v>300</v>
          </cell>
          <cell r="C187">
            <v>318</v>
          </cell>
          <cell r="D187">
            <v>400</v>
          </cell>
        </row>
        <row r="188">
          <cell r="B188">
            <v>350</v>
          </cell>
          <cell r="C188">
            <v>370</v>
          </cell>
          <cell r="D188">
            <v>450</v>
          </cell>
        </row>
        <row r="189">
          <cell r="B189">
            <v>400</v>
          </cell>
          <cell r="C189">
            <v>420</v>
          </cell>
          <cell r="D189">
            <v>500</v>
          </cell>
        </row>
        <row r="190">
          <cell r="B190">
            <v>450</v>
          </cell>
          <cell r="C190">
            <v>470</v>
          </cell>
          <cell r="D190">
            <v>550</v>
          </cell>
        </row>
        <row r="191">
          <cell r="B191">
            <v>500</v>
          </cell>
          <cell r="C191">
            <v>520</v>
          </cell>
          <cell r="D191">
            <v>600</v>
          </cell>
        </row>
        <row r="192">
          <cell r="B192">
            <v>600</v>
          </cell>
          <cell r="C192">
            <v>630</v>
          </cell>
          <cell r="D192">
            <v>700</v>
          </cell>
        </row>
      </sheetData>
      <sheetData sheetId="25" refreshError="1">
        <row r="3">
          <cell r="D3" t="str">
            <v>1500本体A</v>
          </cell>
          <cell r="E3">
            <v>6820</v>
          </cell>
          <cell r="F3" t="str">
            <v>H1500</v>
          </cell>
        </row>
        <row r="4">
          <cell r="D4" t="str">
            <v>1500本体A1</v>
          </cell>
          <cell r="E4">
            <v>7230</v>
          </cell>
          <cell r="F4" t="str">
            <v>H1500</v>
          </cell>
        </row>
        <row r="5">
          <cell r="D5" t="str">
            <v>1500本体A3</v>
          </cell>
          <cell r="E5">
            <v>7255</v>
          </cell>
          <cell r="F5" t="str">
            <v>H1500</v>
          </cell>
        </row>
        <row r="6">
          <cell r="D6" t="str">
            <v>1500本体A4</v>
          </cell>
          <cell r="E6">
            <v>6410</v>
          </cell>
          <cell r="F6" t="str">
            <v>H1500</v>
          </cell>
        </row>
        <row r="7">
          <cell r="D7" t="str">
            <v>1500本体A5</v>
          </cell>
          <cell r="E7">
            <v>6820</v>
          </cell>
          <cell r="F7" t="str">
            <v>H1500</v>
          </cell>
        </row>
        <row r="8">
          <cell r="D8" t="str">
            <v>1500本体B</v>
          </cell>
          <cell r="E8">
            <v>6580</v>
          </cell>
          <cell r="F8" t="str">
            <v>H1500</v>
          </cell>
        </row>
        <row r="9">
          <cell r="D9" t="str">
            <v>1500本体B1</v>
          </cell>
          <cell r="E9">
            <v>6990</v>
          </cell>
          <cell r="F9" t="str">
            <v>H1500</v>
          </cell>
        </row>
        <row r="10">
          <cell r="D10" t="str">
            <v>1500本体B2</v>
          </cell>
          <cell r="E10">
            <v>7400</v>
          </cell>
          <cell r="F10" t="str">
            <v>H1500</v>
          </cell>
        </row>
        <row r="11">
          <cell r="D11" t="str">
            <v>1500本体B3</v>
          </cell>
          <cell r="E11">
            <v>7185</v>
          </cell>
          <cell r="F11" t="str">
            <v>H1500</v>
          </cell>
        </row>
        <row r="12">
          <cell r="D12" t="str">
            <v>1500本体B4</v>
          </cell>
          <cell r="E12">
            <v>7015</v>
          </cell>
          <cell r="F12" t="str">
            <v>H1500</v>
          </cell>
        </row>
        <row r="13">
          <cell r="D13" t="str">
            <v>1500本体B5</v>
          </cell>
          <cell r="E13">
            <v>7425</v>
          </cell>
          <cell r="F13" t="str">
            <v>H1500</v>
          </cell>
        </row>
        <row r="14">
          <cell r="D14" t="str">
            <v>1500本体C</v>
          </cell>
          <cell r="E14">
            <v>7060</v>
          </cell>
          <cell r="F14" t="str">
            <v>H1500</v>
          </cell>
        </row>
        <row r="15">
          <cell r="D15" t="str">
            <v>1500端面A</v>
          </cell>
          <cell r="E15">
            <v>6880</v>
          </cell>
          <cell r="F15" t="str">
            <v>H1500</v>
          </cell>
        </row>
        <row r="16">
          <cell r="D16" t="str">
            <v>1500端面B</v>
          </cell>
          <cell r="E16">
            <v>6880</v>
          </cell>
          <cell r="F16" t="str">
            <v>H1500</v>
          </cell>
        </row>
        <row r="17">
          <cell r="D17" t="str">
            <v>1500端面C</v>
          </cell>
          <cell r="E17">
            <v>7075</v>
          </cell>
          <cell r="F17" t="str">
            <v>H1500</v>
          </cell>
        </row>
        <row r="18">
          <cell r="D18" t="str">
            <v>1500端面D15A</v>
          </cell>
          <cell r="E18">
            <v>3525</v>
          </cell>
          <cell r="F18" t="str">
            <v>3000×1900×250</v>
          </cell>
          <cell r="G18" t="str">
            <v>B=3.0m</v>
          </cell>
        </row>
        <row r="19">
          <cell r="D19" t="str">
            <v>1500端面D15B</v>
          </cell>
          <cell r="E19">
            <v>2930</v>
          </cell>
          <cell r="F19" t="str">
            <v>2500×1900×250</v>
          </cell>
          <cell r="G19" t="str">
            <v>B=2.5m</v>
          </cell>
        </row>
        <row r="20">
          <cell r="D20" t="str">
            <v>1500端面D15C</v>
          </cell>
          <cell r="E20">
            <v>2340</v>
          </cell>
          <cell r="F20" t="str">
            <v>2000×1900×250</v>
          </cell>
          <cell r="G20" t="str">
            <v>B=2.0m</v>
          </cell>
        </row>
        <row r="21">
          <cell r="D21" t="str">
            <v>1500端面D15D</v>
          </cell>
          <cell r="E21">
            <v>3620</v>
          </cell>
          <cell r="F21" t="str">
            <v>3000×1950×250</v>
          </cell>
          <cell r="G21" t="str">
            <v>B=3.0m,ふたt=250</v>
          </cell>
        </row>
        <row r="22">
          <cell r="D22" t="str">
            <v>1500端面D15E</v>
          </cell>
          <cell r="E22">
            <v>3010</v>
          </cell>
          <cell r="F22" t="str">
            <v>2500×1950×250</v>
          </cell>
          <cell r="G22" t="str">
            <v>B=2.5m,ふたt=250</v>
          </cell>
        </row>
        <row r="23">
          <cell r="D23" t="str">
            <v>1500端面D15F</v>
          </cell>
          <cell r="E23">
            <v>2400</v>
          </cell>
          <cell r="F23" t="str">
            <v>2000×1950×250</v>
          </cell>
          <cell r="G23" t="str">
            <v>B=2.0m,ふたt=250</v>
          </cell>
        </row>
        <row r="24">
          <cell r="D24" t="str">
            <v>1500端面E</v>
          </cell>
          <cell r="E24">
            <v>6685</v>
          </cell>
          <cell r="F24" t="str">
            <v>H1500</v>
          </cell>
        </row>
        <row r="25">
          <cell r="D25" t="str">
            <v>1500ふたA1A</v>
          </cell>
          <cell r="E25">
            <v>2940</v>
          </cell>
          <cell r="F25" t="str">
            <v>3000×2000×200</v>
          </cell>
          <cell r="G25" t="str">
            <v>B=3.0m,L=2.0m</v>
          </cell>
        </row>
        <row r="26">
          <cell r="D26" t="str">
            <v>1500ふたA2A</v>
          </cell>
          <cell r="E26">
            <v>2445</v>
          </cell>
          <cell r="F26" t="str">
            <v>2500×2000×200</v>
          </cell>
          <cell r="G26" t="str">
            <v>B=2.5m,L=2.0m</v>
          </cell>
        </row>
        <row r="27">
          <cell r="D27" t="str">
            <v>1500ふたA3A</v>
          </cell>
          <cell r="E27">
            <v>1945</v>
          </cell>
          <cell r="F27" t="str">
            <v>2000×2000×200</v>
          </cell>
          <cell r="G27" t="str">
            <v>B=2.0m,L=2.0m</v>
          </cell>
        </row>
        <row r="28">
          <cell r="D28" t="str">
            <v>1500ふたA4A</v>
          </cell>
          <cell r="E28">
            <v>1090</v>
          </cell>
          <cell r="F28" t="str">
            <v>3000× 750×200</v>
          </cell>
          <cell r="G28" t="str">
            <v>B=3.0m,L=0.75m</v>
          </cell>
        </row>
        <row r="29">
          <cell r="D29" t="str">
            <v>1500ふたA5A</v>
          </cell>
          <cell r="E29">
            <v>905</v>
          </cell>
          <cell r="F29" t="str">
            <v>2500× 750×200</v>
          </cell>
          <cell r="G29" t="str">
            <v>B=2.5m,L=0.75m</v>
          </cell>
        </row>
        <row r="30">
          <cell r="D30" t="str">
            <v>1500ふたA6A</v>
          </cell>
          <cell r="E30">
            <v>720</v>
          </cell>
          <cell r="F30" t="str">
            <v>2000× 750×200</v>
          </cell>
          <cell r="G30" t="str">
            <v>B=2.0m,L=0.75m</v>
          </cell>
        </row>
        <row r="31">
          <cell r="D31" t="str">
            <v>1500ふたA1B</v>
          </cell>
          <cell r="E31">
            <v>3680</v>
          </cell>
          <cell r="F31" t="str">
            <v>3000×2000×250</v>
          </cell>
          <cell r="G31" t="str">
            <v>B=3.0m,L=2.0m,t=250</v>
          </cell>
        </row>
        <row r="32">
          <cell r="D32" t="str">
            <v>1500ふたA2B</v>
          </cell>
          <cell r="E32">
            <v>3055</v>
          </cell>
          <cell r="F32" t="str">
            <v>2500×2000×250</v>
          </cell>
          <cell r="G32" t="str">
            <v>B=2.5m,L=2.0m,t=250</v>
          </cell>
        </row>
        <row r="33">
          <cell r="D33" t="str">
            <v>1500ふたA3B</v>
          </cell>
          <cell r="E33">
            <v>2435</v>
          </cell>
          <cell r="F33" t="str">
            <v>2000×2000×250</v>
          </cell>
          <cell r="G33" t="str">
            <v>B=2.0m,L=2.0m,t=250</v>
          </cell>
        </row>
        <row r="34">
          <cell r="D34" t="str">
            <v>1500ふたA4B</v>
          </cell>
          <cell r="E34">
            <v>1365</v>
          </cell>
          <cell r="F34" t="str">
            <v>3000× 750×250</v>
          </cell>
          <cell r="G34" t="str">
            <v>B=3.0m,L=0.75m,t=250</v>
          </cell>
        </row>
        <row r="35">
          <cell r="D35" t="str">
            <v>1500ふたA5B</v>
          </cell>
          <cell r="E35">
            <v>1135</v>
          </cell>
          <cell r="F35" t="str">
            <v>2500× 750×250</v>
          </cell>
          <cell r="G35" t="str">
            <v>B=2.5m,L=0.75m,t=250</v>
          </cell>
        </row>
        <row r="36">
          <cell r="D36" t="str">
            <v>1500ふたA6B</v>
          </cell>
          <cell r="E36">
            <v>905</v>
          </cell>
          <cell r="F36" t="str">
            <v>2000× 750×250</v>
          </cell>
          <cell r="G36" t="str">
            <v>B=2.0m,L=0.75m,t=250</v>
          </cell>
        </row>
        <row r="37">
          <cell r="D37" t="str">
            <v>2000本体A</v>
          </cell>
          <cell r="E37">
            <v>7570</v>
          </cell>
          <cell r="F37" t="str">
            <v>H2000</v>
          </cell>
        </row>
        <row r="38">
          <cell r="D38" t="str">
            <v>2000本体A1</v>
          </cell>
          <cell r="E38">
            <v>8230</v>
          </cell>
          <cell r="F38" t="str">
            <v>H2000</v>
          </cell>
        </row>
        <row r="39">
          <cell r="D39" t="str">
            <v>2000本体A3</v>
          </cell>
          <cell r="E39">
            <v>8300</v>
          </cell>
          <cell r="F39" t="str">
            <v>H2000</v>
          </cell>
        </row>
        <row r="40">
          <cell r="D40" t="str">
            <v>2000本体A4</v>
          </cell>
          <cell r="E40">
            <v>6910</v>
          </cell>
          <cell r="F40" t="str">
            <v>H2000</v>
          </cell>
        </row>
        <row r="41">
          <cell r="D41" t="str">
            <v>2000本体A5</v>
          </cell>
          <cell r="E41">
            <v>7570</v>
          </cell>
          <cell r="F41" t="str">
            <v>H2000</v>
          </cell>
        </row>
        <row r="42">
          <cell r="D42" t="str">
            <v>2000本体B</v>
          </cell>
          <cell r="E42">
            <v>7080</v>
          </cell>
          <cell r="F42" t="str">
            <v>H2000</v>
          </cell>
        </row>
        <row r="43">
          <cell r="D43" t="str">
            <v>2000本体B1</v>
          </cell>
          <cell r="E43">
            <v>7740</v>
          </cell>
          <cell r="F43" t="str">
            <v>H2000</v>
          </cell>
        </row>
        <row r="44">
          <cell r="D44" t="str">
            <v>2000本体B2</v>
          </cell>
          <cell r="E44">
            <v>8400</v>
          </cell>
          <cell r="F44" t="str">
            <v>H2000</v>
          </cell>
        </row>
        <row r="45">
          <cell r="D45" t="str">
            <v>2000本体B3</v>
          </cell>
          <cell r="E45">
            <v>8185</v>
          </cell>
          <cell r="F45" t="str">
            <v>H2000</v>
          </cell>
        </row>
        <row r="46">
          <cell r="D46" t="str">
            <v>2000本体B4</v>
          </cell>
          <cell r="E46">
            <v>7805</v>
          </cell>
          <cell r="F46" t="str">
            <v>H2000</v>
          </cell>
        </row>
        <row r="47">
          <cell r="D47" t="str">
            <v>2000本体B5</v>
          </cell>
          <cell r="E47">
            <v>8465</v>
          </cell>
          <cell r="F47" t="str">
            <v>H2000</v>
          </cell>
        </row>
        <row r="48">
          <cell r="D48" t="str">
            <v>2000本体C</v>
          </cell>
          <cell r="E48">
            <v>8060</v>
          </cell>
          <cell r="F48" t="str">
            <v>H2000</v>
          </cell>
        </row>
        <row r="49">
          <cell r="D49" t="str">
            <v>2000端面A</v>
          </cell>
          <cell r="E49">
            <v>8360</v>
          </cell>
          <cell r="F49" t="str">
            <v>H2000</v>
          </cell>
        </row>
        <row r="50">
          <cell r="D50" t="str">
            <v>2000端面B</v>
          </cell>
          <cell r="E50">
            <v>8360</v>
          </cell>
          <cell r="F50" t="str">
            <v>H2000</v>
          </cell>
        </row>
        <row r="51">
          <cell r="D51" t="str">
            <v>2000端面C</v>
          </cell>
          <cell r="E51">
            <v>8595</v>
          </cell>
          <cell r="F51" t="str">
            <v>H2000</v>
          </cell>
        </row>
        <row r="52">
          <cell r="D52" t="str">
            <v>2000端面D20A</v>
          </cell>
          <cell r="E52">
            <v>4455</v>
          </cell>
          <cell r="F52" t="str">
            <v>3000×2400×250</v>
          </cell>
        </row>
        <row r="53">
          <cell r="D53" t="str">
            <v>2000端面D20B</v>
          </cell>
          <cell r="E53">
            <v>3705</v>
          </cell>
          <cell r="F53" t="str">
            <v>2500×2400×250</v>
          </cell>
        </row>
        <row r="54">
          <cell r="D54" t="str">
            <v>2000端面D20C</v>
          </cell>
          <cell r="E54">
            <v>2955</v>
          </cell>
          <cell r="F54" t="str">
            <v>2000×2400×250</v>
          </cell>
        </row>
        <row r="55">
          <cell r="D55" t="str">
            <v>2000端面D20D</v>
          </cell>
          <cell r="E55">
            <v>4545</v>
          </cell>
          <cell r="F55" t="str">
            <v>3000×2450×250</v>
          </cell>
        </row>
        <row r="56">
          <cell r="D56" t="str">
            <v>2000端面D20E</v>
          </cell>
          <cell r="E56">
            <v>3780</v>
          </cell>
          <cell r="F56" t="str">
            <v>2500×2450×250</v>
          </cell>
        </row>
        <row r="57">
          <cell r="D57" t="str">
            <v>2000端面D20F</v>
          </cell>
          <cell r="E57">
            <v>3015</v>
          </cell>
          <cell r="F57" t="str">
            <v>2000×2450×250</v>
          </cell>
        </row>
        <row r="58">
          <cell r="D58" t="str">
            <v>2000端面E</v>
          </cell>
          <cell r="E58">
            <v>8120</v>
          </cell>
          <cell r="F58" t="str">
            <v>H2000</v>
          </cell>
        </row>
        <row r="59">
          <cell r="D59" t="str">
            <v>2000ふたA1A</v>
          </cell>
          <cell r="E59">
            <v>2940</v>
          </cell>
          <cell r="F59" t="str">
            <v>3000×2000×200</v>
          </cell>
          <cell r="G59" t="str">
            <v>B=3.0m,L=2.0m</v>
          </cell>
        </row>
        <row r="60">
          <cell r="D60" t="str">
            <v>2000ふたA2A</v>
          </cell>
          <cell r="E60">
            <v>2445</v>
          </cell>
          <cell r="F60" t="str">
            <v>2500×2000×200</v>
          </cell>
          <cell r="G60" t="str">
            <v>B=2.5m,L=2.0m</v>
          </cell>
        </row>
        <row r="61">
          <cell r="D61" t="str">
            <v>2000ふたA3A</v>
          </cell>
          <cell r="E61">
            <v>1945</v>
          </cell>
          <cell r="F61" t="str">
            <v>2000×2000×200</v>
          </cell>
          <cell r="G61" t="str">
            <v>B=2.0m,L=2.0m</v>
          </cell>
        </row>
        <row r="62">
          <cell r="D62" t="str">
            <v>2000ふたA4A</v>
          </cell>
          <cell r="E62">
            <v>1090</v>
          </cell>
          <cell r="F62" t="str">
            <v>3000× 750×200</v>
          </cell>
          <cell r="G62" t="str">
            <v>B=3.0m,L=0.75m</v>
          </cell>
        </row>
        <row r="63">
          <cell r="D63" t="str">
            <v>2000ふたA5A</v>
          </cell>
          <cell r="E63">
            <v>905</v>
          </cell>
          <cell r="F63" t="str">
            <v>2500× 750×200</v>
          </cell>
          <cell r="G63" t="str">
            <v>B=2.5m,L=0.75m</v>
          </cell>
        </row>
        <row r="64">
          <cell r="D64" t="str">
            <v>2000ふたA6A</v>
          </cell>
          <cell r="E64">
            <v>720</v>
          </cell>
          <cell r="F64" t="str">
            <v>2000× 750×200</v>
          </cell>
          <cell r="G64" t="str">
            <v>B=2.0m,L=0.75m</v>
          </cell>
        </row>
        <row r="65">
          <cell r="D65" t="str">
            <v>2000ふたA1B</v>
          </cell>
          <cell r="E65">
            <v>3680</v>
          </cell>
          <cell r="F65" t="str">
            <v>3000×2000×250</v>
          </cell>
          <cell r="G65" t="str">
            <v>B=3.0m,L=2.0m,t=250</v>
          </cell>
        </row>
        <row r="66">
          <cell r="D66" t="str">
            <v>2000ふたA2B</v>
          </cell>
          <cell r="E66">
            <v>3055</v>
          </cell>
          <cell r="F66" t="str">
            <v>2500×2000×250</v>
          </cell>
          <cell r="G66" t="str">
            <v>B=2.5m,L=2.0m,t=250</v>
          </cell>
        </row>
        <row r="67">
          <cell r="D67" t="str">
            <v>2000ふたA3B</v>
          </cell>
          <cell r="E67">
            <v>2435</v>
          </cell>
          <cell r="F67" t="str">
            <v>2000×2000×250</v>
          </cell>
          <cell r="G67" t="str">
            <v>B=2.0m,L=2.0m,t=250</v>
          </cell>
        </row>
        <row r="68">
          <cell r="D68" t="str">
            <v>2000ふたA4B</v>
          </cell>
          <cell r="E68">
            <v>1365</v>
          </cell>
          <cell r="F68" t="str">
            <v>3000× 750×250</v>
          </cell>
          <cell r="G68" t="str">
            <v>B=3.0m,L=0.75m,t=250</v>
          </cell>
        </row>
        <row r="69">
          <cell r="D69" t="str">
            <v>2000ふたA5B</v>
          </cell>
          <cell r="E69">
            <v>1135</v>
          </cell>
          <cell r="F69" t="str">
            <v>2500× 750×250</v>
          </cell>
          <cell r="G69" t="str">
            <v>B=2.5m,L=0.75m,t=250</v>
          </cell>
        </row>
        <row r="70">
          <cell r="D70" t="str">
            <v>2000ふたA6B</v>
          </cell>
          <cell r="E70">
            <v>905</v>
          </cell>
          <cell r="F70" t="str">
            <v>2000× 750×250</v>
          </cell>
          <cell r="G70" t="str">
            <v>B=2.0m,L=0.75m,t=250</v>
          </cell>
        </row>
        <row r="71">
          <cell r="D71" t="str">
            <v>2500本体A</v>
          </cell>
          <cell r="E71">
            <v>6550</v>
          </cell>
          <cell r="F71" t="str">
            <v>H2500</v>
          </cell>
        </row>
        <row r="72">
          <cell r="D72" t="str">
            <v>2500本体A1</v>
          </cell>
          <cell r="E72">
            <v>7390</v>
          </cell>
          <cell r="F72" t="str">
            <v>H2500</v>
          </cell>
        </row>
        <row r="73">
          <cell r="D73" t="str">
            <v>2500本体A3</v>
          </cell>
          <cell r="E73">
            <v>7520</v>
          </cell>
          <cell r="F73" t="str">
            <v>H2500</v>
          </cell>
        </row>
        <row r="74">
          <cell r="D74" t="str">
            <v>2500本体A4</v>
          </cell>
          <cell r="E74">
            <v>5705</v>
          </cell>
          <cell r="F74" t="str">
            <v>H2500</v>
          </cell>
        </row>
        <row r="75">
          <cell r="D75" t="str">
            <v>2500本体A5</v>
          </cell>
          <cell r="E75">
            <v>6550</v>
          </cell>
          <cell r="F75" t="str">
            <v>H2500</v>
          </cell>
        </row>
        <row r="76">
          <cell r="D76" t="str">
            <v>2500本体B</v>
          </cell>
          <cell r="E76">
            <v>5835</v>
          </cell>
          <cell r="F76" t="str">
            <v>H2500</v>
          </cell>
        </row>
        <row r="77">
          <cell r="D77" t="str">
            <v>2500本体B1</v>
          </cell>
          <cell r="E77">
            <v>6675</v>
          </cell>
          <cell r="F77" t="str">
            <v>H2500</v>
          </cell>
        </row>
        <row r="78">
          <cell r="D78" t="str">
            <v>2500本体B2</v>
          </cell>
          <cell r="E78">
            <v>7515</v>
          </cell>
          <cell r="F78" t="str">
            <v>H2500</v>
          </cell>
        </row>
        <row r="79">
          <cell r="D79" t="str">
            <v>2500本体B3</v>
          </cell>
          <cell r="E79">
            <v>7345</v>
          </cell>
          <cell r="F79" t="str">
            <v>H2500</v>
          </cell>
        </row>
        <row r="80">
          <cell r="D80" t="str">
            <v>2500本体B4</v>
          </cell>
          <cell r="E80">
            <v>6805</v>
          </cell>
          <cell r="F80" t="str">
            <v>H2500</v>
          </cell>
        </row>
        <row r="81">
          <cell r="D81" t="str">
            <v>2500本体B5</v>
          </cell>
          <cell r="E81">
            <v>7645</v>
          </cell>
          <cell r="F81" t="str">
            <v>H2500</v>
          </cell>
        </row>
        <row r="82">
          <cell r="D82" t="str">
            <v>2500本体C</v>
          </cell>
          <cell r="E82">
            <v>7260</v>
          </cell>
          <cell r="F82" t="str">
            <v>H2500</v>
          </cell>
        </row>
        <row r="83">
          <cell r="D83" t="str">
            <v>2500端面A</v>
          </cell>
          <cell r="E83">
            <v>7210</v>
          </cell>
          <cell r="F83" t="str">
            <v>H2500</v>
          </cell>
        </row>
        <row r="84">
          <cell r="D84" t="str">
            <v>2500端面B</v>
          </cell>
          <cell r="E84">
            <v>7210</v>
          </cell>
          <cell r="F84" t="str">
            <v>H2500</v>
          </cell>
        </row>
        <row r="85">
          <cell r="D85" t="str">
            <v>2500端面C</v>
          </cell>
          <cell r="E85">
            <v>7465</v>
          </cell>
          <cell r="F85" t="str">
            <v>H2500</v>
          </cell>
        </row>
        <row r="86">
          <cell r="D86" t="str">
            <v>2500端面D25A</v>
          </cell>
          <cell r="E86">
            <v>5380</v>
          </cell>
          <cell r="F86" t="str">
            <v>3000×2900×250</v>
          </cell>
        </row>
        <row r="87">
          <cell r="D87" t="str">
            <v>2500端面D25B</v>
          </cell>
          <cell r="E87">
            <v>4475</v>
          </cell>
          <cell r="F87" t="str">
            <v>2500×2900×250</v>
          </cell>
        </row>
        <row r="88">
          <cell r="D88" t="str">
            <v>2500端面D25C</v>
          </cell>
          <cell r="E88">
            <v>3570</v>
          </cell>
          <cell r="F88" t="str">
            <v>2000×2900×250</v>
          </cell>
        </row>
        <row r="89">
          <cell r="D89" t="str">
            <v>2500端面D25D</v>
          </cell>
          <cell r="E89">
            <v>5475</v>
          </cell>
          <cell r="F89" t="str">
            <v>3000×2950×250</v>
          </cell>
        </row>
        <row r="90">
          <cell r="D90" t="str">
            <v>2500端面D25E</v>
          </cell>
          <cell r="E90">
            <v>4555</v>
          </cell>
          <cell r="F90" t="str">
            <v>2500×2950×250</v>
          </cell>
        </row>
        <row r="91">
          <cell r="D91" t="str">
            <v>2500端面D25F</v>
          </cell>
          <cell r="E91">
            <v>3630</v>
          </cell>
          <cell r="F91" t="str">
            <v>2000×2950×250</v>
          </cell>
        </row>
        <row r="92">
          <cell r="D92" t="str">
            <v>2500端面E</v>
          </cell>
          <cell r="E92">
            <v>6950</v>
          </cell>
          <cell r="F92" t="str">
            <v>H2500</v>
          </cell>
        </row>
        <row r="93">
          <cell r="D93" t="str">
            <v>2500ふたB1A</v>
          </cell>
          <cell r="E93">
            <v>2200</v>
          </cell>
          <cell r="F93" t="str">
            <v>3000×1500×200</v>
          </cell>
          <cell r="G93" t="str">
            <v>B=3.0m,L=1.5m</v>
          </cell>
        </row>
        <row r="94">
          <cell r="D94" t="str">
            <v>2500ふたB2A</v>
          </cell>
          <cell r="E94">
            <v>1830</v>
          </cell>
          <cell r="F94" t="str">
            <v>2500×1500×200</v>
          </cell>
          <cell r="G94" t="str">
            <v>B=2.5m,L=1.5m</v>
          </cell>
        </row>
        <row r="95">
          <cell r="D95" t="str">
            <v>2500ふたB3A</v>
          </cell>
          <cell r="E95">
            <v>1455</v>
          </cell>
          <cell r="F95" t="str">
            <v>2000×1500×200</v>
          </cell>
          <cell r="G95" t="str">
            <v>B=2.0m,L=1.5m</v>
          </cell>
        </row>
        <row r="96">
          <cell r="D96" t="str">
            <v>2500ふたB4A</v>
          </cell>
          <cell r="E96">
            <v>720</v>
          </cell>
          <cell r="F96" t="str">
            <v>3000× 500×200</v>
          </cell>
          <cell r="G96" t="str">
            <v>B=3.0m,L=0.50m</v>
          </cell>
        </row>
        <row r="97">
          <cell r="D97" t="str">
            <v>2500ふたB5A</v>
          </cell>
          <cell r="E97">
            <v>600</v>
          </cell>
          <cell r="F97" t="str">
            <v>2500× 500×200</v>
          </cell>
          <cell r="G97" t="str">
            <v>B=2.5m,L=0.50m</v>
          </cell>
        </row>
        <row r="98">
          <cell r="D98" t="str">
            <v>2500ふたB6A</v>
          </cell>
          <cell r="E98">
            <v>475</v>
          </cell>
          <cell r="F98" t="str">
            <v>2000× 500×200</v>
          </cell>
          <cell r="G98" t="str">
            <v>B=2.0m,L=0.50m</v>
          </cell>
        </row>
        <row r="99">
          <cell r="D99" t="str">
            <v>2500ふたB1B</v>
          </cell>
          <cell r="E99">
            <v>2755</v>
          </cell>
          <cell r="F99" t="str">
            <v>3000×1500×250</v>
          </cell>
          <cell r="G99" t="str">
            <v>B=3.0m,L=1.5m,t=250</v>
          </cell>
        </row>
        <row r="100">
          <cell r="D100" t="str">
            <v>2500ふたB2B</v>
          </cell>
          <cell r="E100">
            <v>2290</v>
          </cell>
          <cell r="F100" t="str">
            <v>2500×1500×250</v>
          </cell>
          <cell r="G100" t="str">
            <v>B=2.5m,L=1.5m,t=250</v>
          </cell>
        </row>
        <row r="101">
          <cell r="D101" t="str">
            <v>2500ふたB3B</v>
          </cell>
          <cell r="E101">
            <v>1820</v>
          </cell>
          <cell r="F101" t="str">
            <v>2000×1500×250</v>
          </cell>
          <cell r="G101" t="str">
            <v>B=2.0m,L=1.5m,t=250</v>
          </cell>
        </row>
        <row r="102">
          <cell r="D102" t="str">
            <v>2500ふたB4B</v>
          </cell>
          <cell r="E102">
            <v>905</v>
          </cell>
          <cell r="F102" t="str">
            <v>3000× 500×250</v>
          </cell>
          <cell r="G102" t="str">
            <v>B=3.0m,L=0.50m,t=250</v>
          </cell>
        </row>
        <row r="103">
          <cell r="D103" t="str">
            <v>2500ふたB5B</v>
          </cell>
          <cell r="E103">
            <v>750</v>
          </cell>
          <cell r="F103" t="str">
            <v>2500× 500×250</v>
          </cell>
          <cell r="G103" t="str">
            <v>B=2.5m,L=0.50m,t=250</v>
          </cell>
        </row>
        <row r="104">
          <cell r="D104" t="str">
            <v>2500ふたB6B</v>
          </cell>
          <cell r="E104">
            <v>595</v>
          </cell>
          <cell r="F104" t="str">
            <v>2000× 500×250</v>
          </cell>
          <cell r="G104" t="str">
            <v>B=2.0m,L=0.50m,t=250</v>
          </cell>
        </row>
        <row r="105">
          <cell r="D105" t="str">
            <v>3000本体A</v>
          </cell>
          <cell r="E105">
            <v>7250</v>
          </cell>
          <cell r="F105" t="str">
            <v>H3000</v>
          </cell>
        </row>
        <row r="106">
          <cell r="D106" t="str">
            <v>3000本体A1</v>
          </cell>
          <cell r="E106">
            <v>8325</v>
          </cell>
          <cell r="F106" t="str">
            <v>H3000</v>
          </cell>
        </row>
        <row r="107">
          <cell r="D107" t="str">
            <v>3000本体A3</v>
          </cell>
          <cell r="E107">
            <v>8500</v>
          </cell>
          <cell r="F107" t="str">
            <v>H3000</v>
          </cell>
        </row>
        <row r="108">
          <cell r="D108" t="str">
            <v>3000本体A4</v>
          </cell>
          <cell r="E108">
            <v>6175</v>
          </cell>
          <cell r="F108" t="str">
            <v>H3000</v>
          </cell>
        </row>
        <row r="109">
          <cell r="D109" t="str">
            <v>3000本体A5</v>
          </cell>
          <cell r="E109">
            <v>7250</v>
          </cell>
          <cell r="F109" t="str">
            <v>H3000</v>
          </cell>
        </row>
        <row r="110">
          <cell r="D110" t="str">
            <v>3000本体B</v>
          </cell>
          <cell r="E110">
            <v>6305</v>
          </cell>
          <cell r="F110" t="str">
            <v>H3000</v>
          </cell>
        </row>
        <row r="111">
          <cell r="D111" t="str">
            <v>3000本体B1</v>
          </cell>
          <cell r="E111">
            <v>7380</v>
          </cell>
          <cell r="F111" t="str">
            <v>H3000</v>
          </cell>
        </row>
        <row r="112">
          <cell r="D112" t="str">
            <v>3000本体B2</v>
          </cell>
          <cell r="E112">
            <v>8455</v>
          </cell>
          <cell r="F112" t="str">
            <v>H3000</v>
          </cell>
        </row>
        <row r="113">
          <cell r="D113" t="str">
            <v>3000本体B3</v>
          </cell>
          <cell r="E113">
            <v>8285</v>
          </cell>
          <cell r="F113" t="str">
            <v>H3000</v>
          </cell>
        </row>
        <row r="114">
          <cell r="D114" t="str">
            <v>3000本体B4</v>
          </cell>
          <cell r="E114">
            <v>7550</v>
          </cell>
          <cell r="F114" t="str">
            <v>H3000</v>
          </cell>
        </row>
        <row r="115">
          <cell r="D115" t="str">
            <v>3000本体B5</v>
          </cell>
          <cell r="E115">
            <v>8625</v>
          </cell>
          <cell r="F115" t="str">
            <v>H3000</v>
          </cell>
        </row>
        <row r="116">
          <cell r="D116" t="str">
            <v>3000本体C</v>
          </cell>
          <cell r="E116">
            <v>8200</v>
          </cell>
          <cell r="F116" t="str">
            <v>H3000</v>
          </cell>
        </row>
        <row r="117">
          <cell r="D117" t="str">
            <v>3000端面A</v>
          </cell>
          <cell r="E117">
            <v>8345</v>
          </cell>
          <cell r="F117" t="str">
            <v>H3000</v>
          </cell>
        </row>
        <row r="118">
          <cell r="D118" t="str">
            <v>3000端面B</v>
          </cell>
          <cell r="E118">
            <v>8345</v>
          </cell>
          <cell r="F118" t="str">
            <v>H3000</v>
          </cell>
        </row>
        <row r="119">
          <cell r="D119" t="str">
            <v>3000端面C</v>
          </cell>
          <cell r="E119">
            <v>8645</v>
          </cell>
          <cell r="F119" t="str">
            <v>H3000</v>
          </cell>
        </row>
        <row r="120">
          <cell r="D120" t="str">
            <v>3000端面D30A</v>
          </cell>
          <cell r="E120">
            <v>6310</v>
          </cell>
          <cell r="F120" t="str">
            <v>3000×3400×250</v>
          </cell>
        </row>
        <row r="121">
          <cell r="D121" t="str">
            <v>3000端面D30B</v>
          </cell>
          <cell r="E121">
            <v>5250</v>
          </cell>
          <cell r="F121" t="str">
            <v>2500×3400×250</v>
          </cell>
        </row>
        <row r="122">
          <cell r="D122" t="str">
            <v>3000端面D30C</v>
          </cell>
          <cell r="E122">
            <v>4185</v>
          </cell>
          <cell r="F122" t="str">
            <v>2000×3400×250</v>
          </cell>
        </row>
        <row r="123">
          <cell r="D123" t="str">
            <v>3000端面D30D</v>
          </cell>
          <cell r="E123">
            <v>6405</v>
          </cell>
          <cell r="F123" t="str">
            <v>3000×3450×250</v>
          </cell>
        </row>
        <row r="124">
          <cell r="D124" t="str">
            <v>3000端面D30E</v>
          </cell>
          <cell r="E124">
            <v>5325</v>
          </cell>
          <cell r="F124" t="str">
            <v>2500×3450×250</v>
          </cell>
        </row>
        <row r="125">
          <cell r="D125" t="str">
            <v>3000端面D30F</v>
          </cell>
          <cell r="E125">
            <v>4245</v>
          </cell>
          <cell r="F125" t="str">
            <v>2000×3450×250</v>
          </cell>
        </row>
        <row r="126">
          <cell r="D126" t="str">
            <v>3000端面E</v>
          </cell>
          <cell r="E126">
            <v>8045</v>
          </cell>
          <cell r="F126" t="str">
            <v>H3000</v>
          </cell>
        </row>
        <row r="127">
          <cell r="D127" t="str">
            <v>3000ふたB1A</v>
          </cell>
          <cell r="E127">
            <v>2200</v>
          </cell>
          <cell r="F127" t="str">
            <v>3000×1500×200</v>
          </cell>
          <cell r="G127" t="str">
            <v>B=3.0m,L=1.5m</v>
          </cell>
        </row>
        <row r="128">
          <cell r="D128" t="str">
            <v>3000ふたB2A</v>
          </cell>
          <cell r="E128">
            <v>1830</v>
          </cell>
          <cell r="F128" t="str">
            <v>2500×1500×200</v>
          </cell>
          <cell r="G128" t="str">
            <v>B=2.5m,L=1.5m</v>
          </cell>
        </row>
        <row r="129">
          <cell r="D129" t="str">
            <v>3000ふたB3A</v>
          </cell>
          <cell r="E129">
            <v>1455</v>
          </cell>
          <cell r="F129" t="str">
            <v>2000×1500×200</v>
          </cell>
          <cell r="G129" t="str">
            <v>B=2.0m,L=1.5m</v>
          </cell>
        </row>
        <row r="130">
          <cell r="D130" t="str">
            <v>3000ふたB4A</v>
          </cell>
          <cell r="E130">
            <v>720</v>
          </cell>
          <cell r="F130" t="str">
            <v>3000× 500×200</v>
          </cell>
          <cell r="G130" t="str">
            <v>B=3.0m,L=0.50m</v>
          </cell>
        </row>
        <row r="131">
          <cell r="D131" t="str">
            <v>3000ふたB5A</v>
          </cell>
          <cell r="E131">
            <v>600</v>
          </cell>
          <cell r="F131" t="str">
            <v>2500× 500×200</v>
          </cell>
          <cell r="G131" t="str">
            <v>B=2.5m,L=0.50m</v>
          </cell>
        </row>
        <row r="132">
          <cell r="D132" t="str">
            <v>3000ふたB6A</v>
          </cell>
          <cell r="E132">
            <v>475</v>
          </cell>
          <cell r="F132" t="str">
            <v>2000× 500×200</v>
          </cell>
          <cell r="G132" t="str">
            <v>B=2.0m,L=0.50m</v>
          </cell>
        </row>
        <row r="133">
          <cell r="D133" t="str">
            <v>3000ふたB1B</v>
          </cell>
          <cell r="E133">
            <v>2755</v>
          </cell>
          <cell r="F133" t="str">
            <v>3000×1500×250</v>
          </cell>
          <cell r="G133" t="str">
            <v>B=3.0m,L=1.5m,t=250</v>
          </cell>
        </row>
        <row r="134">
          <cell r="D134" t="str">
            <v>3000ふたB2B</v>
          </cell>
          <cell r="E134">
            <v>2290</v>
          </cell>
          <cell r="F134" t="str">
            <v>2500×1500×250</v>
          </cell>
          <cell r="G134" t="str">
            <v>B=2.5m,L=1.5m,t=250</v>
          </cell>
        </row>
        <row r="135">
          <cell r="D135" t="str">
            <v>3000ふたB3B</v>
          </cell>
          <cell r="E135">
            <v>1820</v>
          </cell>
          <cell r="F135" t="str">
            <v>2000×1500×250</v>
          </cell>
          <cell r="G135" t="str">
            <v>B=2.0m,L=1.5m,t=250</v>
          </cell>
        </row>
        <row r="136">
          <cell r="D136" t="str">
            <v>3000ふたB4B</v>
          </cell>
          <cell r="E136">
            <v>905</v>
          </cell>
          <cell r="F136" t="str">
            <v>3000× 500×250</v>
          </cell>
          <cell r="G136" t="str">
            <v>B=3.0m,L=0.50m,t=250</v>
          </cell>
        </row>
        <row r="137">
          <cell r="D137" t="str">
            <v>3000ふたB5B</v>
          </cell>
          <cell r="E137">
            <v>750</v>
          </cell>
          <cell r="F137" t="str">
            <v>2500× 500×250</v>
          </cell>
          <cell r="G137" t="str">
            <v>B=2.5m,L=0.50m,t=250</v>
          </cell>
        </row>
        <row r="138">
          <cell r="D138" t="str">
            <v>3000ふたB6B</v>
          </cell>
          <cell r="E138">
            <v>595</v>
          </cell>
          <cell r="F138" t="str">
            <v>2000× 500×250</v>
          </cell>
          <cell r="G138" t="str">
            <v>B=2.0m,L=0.50m,t=250</v>
          </cell>
        </row>
        <row r="139">
          <cell r="D139" t="str">
            <v>3500本体A</v>
          </cell>
          <cell r="E139">
            <v>7955</v>
          </cell>
          <cell r="F139" t="str">
            <v>H3500</v>
          </cell>
        </row>
        <row r="140">
          <cell r="D140" t="str">
            <v>3500本体A1</v>
          </cell>
          <cell r="E140">
            <v>9265</v>
          </cell>
        </row>
        <row r="141">
          <cell r="D141" t="str">
            <v>3500本体A3</v>
          </cell>
          <cell r="E141">
            <v>9480</v>
          </cell>
          <cell r="F141" t="str">
            <v>H3500</v>
          </cell>
        </row>
        <row r="142">
          <cell r="D142" t="str">
            <v>3500本体A4</v>
          </cell>
          <cell r="E142">
            <v>6645</v>
          </cell>
          <cell r="F142" t="str">
            <v>H3500</v>
          </cell>
        </row>
        <row r="143">
          <cell r="D143" t="str">
            <v>3500本体A5</v>
          </cell>
          <cell r="E143">
            <v>7955</v>
          </cell>
          <cell r="F143" t="str">
            <v>H3500</v>
          </cell>
        </row>
        <row r="144">
          <cell r="D144" t="str">
            <v>3500本体B</v>
          </cell>
          <cell r="E144">
            <v>6770</v>
          </cell>
          <cell r="F144" t="str">
            <v>H3500</v>
          </cell>
        </row>
        <row r="145">
          <cell r="D145" t="str">
            <v>3500本体B1</v>
          </cell>
          <cell r="E145">
            <v>8080</v>
          </cell>
          <cell r="F145" t="str">
            <v>H3500</v>
          </cell>
        </row>
        <row r="146">
          <cell r="D146" t="str">
            <v>3500本体B2</v>
          </cell>
          <cell r="E146">
            <v>9390</v>
          </cell>
          <cell r="F146" t="str">
            <v>H3500</v>
          </cell>
        </row>
        <row r="147">
          <cell r="D147" t="str">
            <v>3500本体B3</v>
          </cell>
          <cell r="E147">
            <v>9220</v>
          </cell>
          <cell r="F147" t="str">
            <v>H3500</v>
          </cell>
        </row>
        <row r="148">
          <cell r="D148" t="str">
            <v>3500本体B4</v>
          </cell>
          <cell r="E148">
            <v>8295</v>
          </cell>
          <cell r="F148" t="str">
            <v>H3500</v>
          </cell>
        </row>
        <row r="149">
          <cell r="D149" t="str">
            <v>3500本体B5</v>
          </cell>
          <cell r="E149">
            <v>9605</v>
          </cell>
          <cell r="F149" t="str">
            <v>H3500</v>
          </cell>
        </row>
        <row r="150">
          <cell r="D150" t="str">
            <v>3500本体C</v>
          </cell>
          <cell r="E150">
            <v>9135</v>
          </cell>
          <cell r="F150" t="str">
            <v>H3500</v>
          </cell>
        </row>
        <row r="151">
          <cell r="D151" t="str">
            <v>3500端面A</v>
          </cell>
          <cell r="E151">
            <v>9480</v>
          </cell>
          <cell r="F151" t="str">
            <v>H3500</v>
          </cell>
        </row>
        <row r="152">
          <cell r="D152" t="str">
            <v>3500端面B</v>
          </cell>
          <cell r="E152">
            <v>9480</v>
          </cell>
          <cell r="F152" t="str">
            <v>H3500</v>
          </cell>
        </row>
        <row r="153">
          <cell r="D153" t="str">
            <v>3500端面C</v>
          </cell>
          <cell r="E153">
            <v>9820</v>
          </cell>
          <cell r="F153" t="str">
            <v>H3500</v>
          </cell>
        </row>
        <row r="154">
          <cell r="D154" t="str">
            <v>3500端面D35A</v>
          </cell>
          <cell r="E154">
            <v>7240</v>
          </cell>
          <cell r="F154" t="str">
            <v>3000×3900×250</v>
          </cell>
        </row>
        <row r="155">
          <cell r="D155" t="str">
            <v>3500端面D35B</v>
          </cell>
          <cell r="E155">
            <v>6020</v>
          </cell>
          <cell r="F155" t="str">
            <v>2500×3900×250</v>
          </cell>
        </row>
        <row r="156">
          <cell r="D156" t="str">
            <v>3500端面D35C</v>
          </cell>
          <cell r="E156">
            <v>4800</v>
          </cell>
          <cell r="F156" t="str">
            <v>2000×3900×250</v>
          </cell>
        </row>
        <row r="157">
          <cell r="D157" t="str">
            <v>3500端面D35D</v>
          </cell>
          <cell r="E157">
            <v>7330</v>
          </cell>
          <cell r="F157" t="str">
            <v>3000×3950×250</v>
          </cell>
        </row>
        <row r="158">
          <cell r="D158" t="str">
            <v>3500端面D35E</v>
          </cell>
          <cell r="E158">
            <v>6095</v>
          </cell>
          <cell r="F158" t="str">
            <v>2500×3950×250</v>
          </cell>
        </row>
        <row r="159">
          <cell r="D159" t="str">
            <v>3500端面D35F</v>
          </cell>
          <cell r="E159">
            <v>4860</v>
          </cell>
          <cell r="F159" t="str">
            <v>2000×3950×250</v>
          </cell>
        </row>
        <row r="160">
          <cell r="D160" t="str">
            <v>3500端面E</v>
          </cell>
          <cell r="E160">
            <v>9140</v>
          </cell>
          <cell r="F160" t="str">
            <v>H3500</v>
          </cell>
        </row>
        <row r="161">
          <cell r="D161" t="str">
            <v>3500ふたB1A</v>
          </cell>
          <cell r="E161">
            <v>2200</v>
          </cell>
          <cell r="F161" t="str">
            <v>3000×1500×200</v>
          </cell>
          <cell r="G161" t="str">
            <v>B=3.0m,L=1.5m</v>
          </cell>
        </row>
        <row r="162">
          <cell r="D162" t="str">
            <v>3500ふたB2A</v>
          </cell>
          <cell r="E162">
            <v>1830</v>
          </cell>
          <cell r="F162" t="str">
            <v>2500×1500×200</v>
          </cell>
          <cell r="G162" t="str">
            <v>B=2.5m,L=1.5m</v>
          </cell>
        </row>
        <row r="163">
          <cell r="D163" t="str">
            <v>3500ふたB3A</v>
          </cell>
          <cell r="E163">
            <v>1455</v>
          </cell>
          <cell r="F163" t="str">
            <v>2000×1500×200</v>
          </cell>
          <cell r="G163" t="str">
            <v>B=2.0m,L=1.5m</v>
          </cell>
        </row>
        <row r="164">
          <cell r="D164" t="str">
            <v>3500ふたB4A</v>
          </cell>
          <cell r="E164">
            <v>720</v>
          </cell>
          <cell r="F164" t="str">
            <v>3000× 500×200</v>
          </cell>
          <cell r="G164" t="str">
            <v>B=3.0m,L=0.50m</v>
          </cell>
        </row>
        <row r="165">
          <cell r="D165" t="str">
            <v>3500ふたB5A</v>
          </cell>
          <cell r="E165">
            <v>600</v>
          </cell>
          <cell r="F165" t="str">
            <v>2500× 500×200</v>
          </cell>
          <cell r="G165" t="str">
            <v>B=2.5m,L=0.50m</v>
          </cell>
        </row>
        <row r="166">
          <cell r="D166" t="str">
            <v>3500ふたB6A</v>
          </cell>
          <cell r="E166">
            <v>475</v>
          </cell>
          <cell r="F166" t="str">
            <v>2000× 500×200</v>
          </cell>
          <cell r="G166" t="str">
            <v>B=2.0m,L=0.50m</v>
          </cell>
        </row>
        <row r="167">
          <cell r="D167" t="str">
            <v>3500ふたB1B</v>
          </cell>
          <cell r="E167">
            <v>2755</v>
          </cell>
          <cell r="F167" t="str">
            <v>3000×1500×250</v>
          </cell>
          <cell r="G167" t="str">
            <v>B=3.0m,L=1.5m,t=250</v>
          </cell>
        </row>
        <row r="168">
          <cell r="D168" t="str">
            <v>3500ふたB2B</v>
          </cell>
          <cell r="E168">
            <v>2290</v>
          </cell>
          <cell r="F168" t="str">
            <v>2500×1500×250</v>
          </cell>
          <cell r="G168" t="str">
            <v>B=2.5m,L=1.5m,t=250</v>
          </cell>
        </row>
        <row r="169">
          <cell r="D169" t="str">
            <v>3500ふたB3B</v>
          </cell>
          <cell r="E169">
            <v>1820</v>
          </cell>
          <cell r="F169" t="str">
            <v>2000×1500×250</v>
          </cell>
          <cell r="G169" t="str">
            <v>B=2.0m,L=1.5m,t=250</v>
          </cell>
        </row>
        <row r="170">
          <cell r="D170" t="str">
            <v>3500ふたB4B</v>
          </cell>
          <cell r="E170">
            <v>905</v>
          </cell>
          <cell r="F170" t="str">
            <v>3000× 500×250</v>
          </cell>
          <cell r="G170" t="str">
            <v>B=3.0m,L=0.50m,t=250</v>
          </cell>
        </row>
        <row r="171">
          <cell r="D171" t="str">
            <v>3500ふたB5B</v>
          </cell>
          <cell r="E171">
            <v>750</v>
          </cell>
          <cell r="F171" t="str">
            <v>2500× 500×250</v>
          </cell>
          <cell r="G171" t="str">
            <v>B=2.5m,L=0.50m,t=250</v>
          </cell>
        </row>
        <row r="172">
          <cell r="D172" t="str">
            <v>3500ふたB6B</v>
          </cell>
          <cell r="E172">
            <v>595</v>
          </cell>
          <cell r="F172" t="str">
            <v>2000× 500×250</v>
          </cell>
          <cell r="G172" t="str">
            <v>B=2.0m,L=0.50m,t=250</v>
          </cell>
        </row>
        <row r="173">
          <cell r="D173" t="str">
            <v>4000本体A</v>
          </cell>
          <cell r="E173">
            <v>10485</v>
          </cell>
          <cell r="F173" t="str">
            <v>H4000</v>
          </cell>
        </row>
        <row r="174">
          <cell r="D174" t="str">
            <v>4000本体A1</v>
          </cell>
          <cell r="E174">
            <v>12340</v>
          </cell>
          <cell r="F174" t="str">
            <v>H4000</v>
          </cell>
        </row>
        <row r="175">
          <cell r="D175" t="str">
            <v>4000本体A3</v>
          </cell>
          <cell r="E175">
            <v>12595</v>
          </cell>
          <cell r="F175" t="str">
            <v>H4000</v>
          </cell>
        </row>
        <row r="176">
          <cell r="D176" t="str">
            <v>4000本体A4</v>
          </cell>
          <cell r="E176">
            <v>8635</v>
          </cell>
          <cell r="F176" t="str">
            <v>H4000</v>
          </cell>
        </row>
        <row r="177">
          <cell r="D177" t="str">
            <v>4000本体A5</v>
          </cell>
          <cell r="E177">
            <v>10485</v>
          </cell>
          <cell r="F177" t="str">
            <v>H4000</v>
          </cell>
        </row>
        <row r="178">
          <cell r="D178" t="str">
            <v>4000本体B</v>
          </cell>
          <cell r="E178">
            <v>8760</v>
          </cell>
          <cell r="F178" t="str">
            <v>H4000</v>
          </cell>
        </row>
        <row r="179">
          <cell r="D179" t="str">
            <v>4000本体B1</v>
          </cell>
          <cell r="E179">
            <v>10615</v>
          </cell>
          <cell r="F179" t="str">
            <v>H4000</v>
          </cell>
        </row>
        <row r="180">
          <cell r="D180" t="str">
            <v>4000本体B2</v>
          </cell>
          <cell r="E180">
            <v>12465</v>
          </cell>
          <cell r="F180" t="str">
            <v>H4000</v>
          </cell>
        </row>
        <row r="181">
          <cell r="D181" t="str">
            <v>4000本体B3</v>
          </cell>
          <cell r="E181">
            <v>12295</v>
          </cell>
          <cell r="F181" t="str">
            <v>H4000</v>
          </cell>
        </row>
        <row r="182">
          <cell r="D182" t="str">
            <v>4000本体B4</v>
          </cell>
          <cell r="E182">
            <v>10870</v>
          </cell>
          <cell r="F182" t="str">
            <v>H4000</v>
          </cell>
        </row>
        <row r="183">
          <cell r="D183" t="str">
            <v>4000本体B5</v>
          </cell>
          <cell r="E183">
            <v>12725</v>
          </cell>
          <cell r="F183" t="str">
            <v>H4000</v>
          </cell>
        </row>
        <row r="184">
          <cell r="D184" t="str">
            <v>4000本体C</v>
          </cell>
          <cell r="E184">
            <v>12210</v>
          </cell>
          <cell r="F184" t="str">
            <v>H4000</v>
          </cell>
        </row>
        <row r="185">
          <cell r="D185" t="str">
            <v>4000端面A</v>
          </cell>
          <cell r="E185">
            <v>11685</v>
          </cell>
          <cell r="F185" t="str">
            <v>H4000</v>
          </cell>
        </row>
        <row r="186">
          <cell r="D186" t="str">
            <v>4000端面B</v>
          </cell>
          <cell r="E186">
            <v>11685</v>
          </cell>
          <cell r="F186" t="str">
            <v>H4000</v>
          </cell>
        </row>
        <row r="187">
          <cell r="D187" t="str">
            <v>4000端面C</v>
          </cell>
          <cell r="E187">
            <v>12070</v>
          </cell>
          <cell r="F187" t="str">
            <v>H4000</v>
          </cell>
        </row>
        <row r="188">
          <cell r="D188" t="str">
            <v>4000端面D40A</v>
          </cell>
          <cell r="E188">
            <v>8260</v>
          </cell>
          <cell r="F188" t="str">
            <v>3000×4450×250</v>
          </cell>
        </row>
        <row r="189">
          <cell r="D189" t="str">
            <v>4000端面D40B</v>
          </cell>
          <cell r="E189">
            <v>6870</v>
          </cell>
          <cell r="F189" t="str">
            <v>2500×4450×250</v>
          </cell>
        </row>
        <row r="190">
          <cell r="D190" t="str">
            <v>4000端面D40C</v>
          </cell>
          <cell r="E190">
            <v>5480</v>
          </cell>
          <cell r="F190" t="str">
            <v>2000×4450×250</v>
          </cell>
        </row>
        <row r="191">
          <cell r="D191" t="str">
            <v>4000端面D40D</v>
          </cell>
          <cell r="E191">
            <v>8350</v>
          </cell>
          <cell r="F191" t="str">
            <v>3000×4500×250</v>
          </cell>
        </row>
        <row r="192">
          <cell r="D192" t="str">
            <v>4000端面D40E</v>
          </cell>
          <cell r="E192">
            <v>6945</v>
          </cell>
          <cell r="F192" t="str">
            <v>2500×4500×250</v>
          </cell>
        </row>
        <row r="193">
          <cell r="D193" t="str">
            <v>4000端面D40F</v>
          </cell>
          <cell r="E193">
            <v>5540</v>
          </cell>
          <cell r="F193" t="str">
            <v>2000×4500×250</v>
          </cell>
        </row>
        <row r="194">
          <cell r="D194" t="str">
            <v>4000端面E</v>
          </cell>
          <cell r="E194">
            <v>11300</v>
          </cell>
          <cell r="F194" t="str">
            <v>H4000</v>
          </cell>
        </row>
        <row r="195">
          <cell r="D195" t="str">
            <v>4000ふたB1A</v>
          </cell>
          <cell r="E195">
            <v>2200</v>
          </cell>
          <cell r="F195" t="str">
            <v>3000×1500×200</v>
          </cell>
          <cell r="G195" t="str">
            <v>B=3.0m,L=1.5m</v>
          </cell>
        </row>
        <row r="196">
          <cell r="D196" t="str">
            <v>4000ふたB2A</v>
          </cell>
          <cell r="E196">
            <v>1830</v>
          </cell>
          <cell r="F196" t="str">
            <v>2500×1500×200</v>
          </cell>
          <cell r="G196" t="str">
            <v>B=2.5m,L=1.5m</v>
          </cell>
        </row>
        <row r="197">
          <cell r="D197" t="str">
            <v>4000ふたB3A</v>
          </cell>
          <cell r="E197">
            <v>1455</v>
          </cell>
          <cell r="F197" t="str">
            <v>2000×1500×200</v>
          </cell>
          <cell r="G197" t="str">
            <v>B=2.0m,L=1.5m</v>
          </cell>
        </row>
        <row r="198">
          <cell r="D198" t="str">
            <v>4000ふたB4A</v>
          </cell>
          <cell r="E198">
            <v>720</v>
          </cell>
          <cell r="F198" t="str">
            <v>3000× 500×200</v>
          </cell>
          <cell r="G198" t="str">
            <v>B=3.0m,L=0.50m</v>
          </cell>
        </row>
        <row r="199">
          <cell r="D199" t="str">
            <v>4000ふたB5A</v>
          </cell>
          <cell r="E199">
            <v>600</v>
          </cell>
          <cell r="F199" t="str">
            <v>2500× 500×200</v>
          </cell>
          <cell r="G199" t="str">
            <v>B=2.5m,L=0.50m</v>
          </cell>
        </row>
        <row r="200">
          <cell r="D200" t="str">
            <v>4000ふたB6A</v>
          </cell>
          <cell r="E200">
            <v>475</v>
          </cell>
          <cell r="F200" t="str">
            <v>2000× 500×200</v>
          </cell>
          <cell r="G200" t="str">
            <v>B=2.0m,L=0.50m</v>
          </cell>
        </row>
        <row r="201">
          <cell r="D201" t="str">
            <v>4000ふたB1B</v>
          </cell>
          <cell r="E201">
            <v>2755</v>
          </cell>
          <cell r="F201" t="str">
            <v>3000×1500×250</v>
          </cell>
          <cell r="G201" t="str">
            <v>B=3.0m,L=1.5m,t=250</v>
          </cell>
        </row>
        <row r="202">
          <cell r="D202" t="str">
            <v>4000ふたB2B</v>
          </cell>
          <cell r="E202">
            <v>2290</v>
          </cell>
          <cell r="F202" t="str">
            <v>2500×1500×250</v>
          </cell>
          <cell r="G202" t="str">
            <v>B=2.5m,L=1.5m,t=250</v>
          </cell>
        </row>
        <row r="203">
          <cell r="D203" t="str">
            <v>4000ふたB3B</v>
          </cell>
          <cell r="E203">
            <v>1820</v>
          </cell>
          <cell r="F203" t="str">
            <v>2000×1500×250</v>
          </cell>
          <cell r="G203" t="str">
            <v>B=2.0m,L=1.5m,t=250</v>
          </cell>
        </row>
        <row r="204">
          <cell r="D204" t="str">
            <v>4000ふたB4B</v>
          </cell>
          <cell r="E204">
            <v>905</v>
          </cell>
          <cell r="F204" t="str">
            <v>3000× 500×250</v>
          </cell>
          <cell r="G204" t="str">
            <v>B=3.0m,L=0.50m,t=250</v>
          </cell>
        </row>
        <row r="205">
          <cell r="D205" t="str">
            <v>4000ふたB5B</v>
          </cell>
          <cell r="E205">
            <v>750</v>
          </cell>
          <cell r="F205" t="str">
            <v>2500× 500×250</v>
          </cell>
          <cell r="G205" t="str">
            <v>B=2.5m,L=0.50m,t=250</v>
          </cell>
        </row>
        <row r="206">
          <cell r="D206" t="str">
            <v>4000ふたB6B</v>
          </cell>
          <cell r="E206">
            <v>595</v>
          </cell>
          <cell r="F206" t="str">
            <v>2000× 500×250</v>
          </cell>
          <cell r="G206" t="str">
            <v>B=2.0m,L=0.50m,t=250</v>
          </cell>
        </row>
        <row r="207">
          <cell r="D207" t="str">
            <v>4500本体A</v>
          </cell>
          <cell r="E207">
            <v>11330</v>
          </cell>
          <cell r="F207" t="str">
            <v>H4500</v>
          </cell>
        </row>
        <row r="208">
          <cell r="D208" t="str">
            <v>4500本体A1</v>
          </cell>
          <cell r="E208">
            <v>13465</v>
          </cell>
          <cell r="F208" t="str">
            <v>H4500</v>
          </cell>
        </row>
        <row r="209">
          <cell r="D209" t="str">
            <v>4500本体A3</v>
          </cell>
          <cell r="E209">
            <v>13765</v>
          </cell>
          <cell r="F209" t="str">
            <v>H4500</v>
          </cell>
        </row>
        <row r="210">
          <cell r="D210" t="str">
            <v>4500本体A4</v>
          </cell>
          <cell r="E210">
            <v>9195</v>
          </cell>
          <cell r="F210" t="str">
            <v>H4500</v>
          </cell>
        </row>
        <row r="211">
          <cell r="D211" t="str">
            <v>4500本体A5</v>
          </cell>
          <cell r="E211">
            <v>11330</v>
          </cell>
          <cell r="F211" t="str">
            <v>H4500</v>
          </cell>
        </row>
        <row r="212">
          <cell r="D212" t="str">
            <v>4500本体B</v>
          </cell>
          <cell r="E212">
            <v>9325</v>
          </cell>
          <cell r="F212" t="str">
            <v>H4500</v>
          </cell>
        </row>
        <row r="213">
          <cell r="D213" t="str">
            <v>4500本体B1</v>
          </cell>
          <cell r="E213">
            <v>11455</v>
          </cell>
          <cell r="F213" t="str">
            <v>H4500</v>
          </cell>
        </row>
        <row r="214">
          <cell r="D214" t="str">
            <v>4500本体B2</v>
          </cell>
          <cell r="E214">
            <v>13590</v>
          </cell>
          <cell r="F214" t="str">
            <v>H4500</v>
          </cell>
        </row>
        <row r="215">
          <cell r="D215" t="str">
            <v>4500本体B3</v>
          </cell>
          <cell r="E215">
            <v>13420</v>
          </cell>
          <cell r="F215" t="str">
            <v>H4500</v>
          </cell>
        </row>
        <row r="216">
          <cell r="D216" t="str">
            <v>4500本体B4</v>
          </cell>
          <cell r="E216">
            <v>11755</v>
          </cell>
          <cell r="F216" t="str">
            <v>H4500</v>
          </cell>
        </row>
        <row r="217">
          <cell r="D217" t="str">
            <v>4500本体B5</v>
          </cell>
          <cell r="E217">
            <v>13890</v>
          </cell>
          <cell r="F217" t="str">
            <v>H4500</v>
          </cell>
        </row>
        <row r="218">
          <cell r="D218" t="str">
            <v>4500本体C</v>
          </cell>
          <cell r="E218">
            <v>13335</v>
          </cell>
          <cell r="F218" t="str">
            <v>H4500</v>
          </cell>
        </row>
        <row r="219">
          <cell r="D219" t="str">
            <v>4500端面A</v>
          </cell>
          <cell r="E219">
            <v>12915</v>
          </cell>
          <cell r="F219" t="str">
            <v>H4500</v>
          </cell>
        </row>
        <row r="220">
          <cell r="D220" t="str">
            <v>4500端面B</v>
          </cell>
          <cell r="E220">
            <v>12915</v>
          </cell>
          <cell r="F220" t="str">
            <v>H4500</v>
          </cell>
        </row>
        <row r="221">
          <cell r="D221" t="str">
            <v>4500端面C</v>
          </cell>
          <cell r="E221">
            <v>13340</v>
          </cell>
          <cell r="F221" t="str">
            <v>H4500</v>
          </cell>
        </row>
        <row r="222">
          <cell r="D222" t="str">
            <v>4500端面D45A</v>
          </cell>
          <cell r="E222">
            <v>9185</v>
          </cell>
          <cell r="F222" t="str">
            <v>3000×4950×250</v>
          </cell>
        </row>
        <row r="223">
          <cell r="D223" t="str">
            <v>4500端面D45B</v>
          </cell>
          <cell r="E223">
            <v>7640</v>
          </cell>
          <cell r="F223" t="str">
            <v>2500×4950×250</v>
          </cell>
        </row>
        <row r="224">
          <cell r="D224" t="str">
            <v>4500端面D45C</v>
          </cell>
          <cell r="E224">
            <v>6095</v>
          </cell>
          <cell r="F224" t="str">
            <v>2000×4950×250</v>
          </cell>
        </row>
        <row r="225">
          <cell r="D225" t="str">
            <v>4500端面D45D</v>
          </cell>
          <cell r="E225">
            <v>9280</v>
          </cell>
          <cell r="F225" t="str">
            <v>3000×5000×250</v>
          </cell>
        </row>
        <row r="226">
          <cell r="D226" t="str">
            <v>4500端面D45E</v>
          </cell>
          <cell r="E226">
            <v>7715</v>
          </cell>
          <cell r="F226" t="str">
            <v>2500×5000×250</v>
          </cell>
        </row>
        <row r="227">
          <cell r="D227" t="str">
            <v>4500端面D45F</v>
          </cell>
          <cell r="E227">
            <v>6155</v>
          </cell>
          <cell r="F227" t="str">
            <v>2000×5000×250</v>
          </cell>
        </row>
        <row r="228">
          <cell r="D228" t="str">
            <v>4500端面E</v>
          </cell>
          <cell r="E228">
            <v>12490</v>
          </cell>
          <cell r="F228" t="str">
            <v>H4500</v>
          </cell>
        </row>
        <row r="229">
          <cell r="D229" t="str">
            <v>4500ふたB1A</v>
          </cell>
          <cell r="E229">
            <v>2200</v>
          </cell>
          <cell r="F229" t="str">
            <v>3000×1500×200</v>
          </cell>
          <cell r="G229" t="str">
            <v>B=3.0m,L=1.5m</v>
          </cell>
        </row>
        <row r="230">
          <cell r="D230" t="str">
            <v>4500ふたB2A</v>
          </cell>
          <cell r="E230">
            <v>1830</v>
          </cell>
          <cell r="F230" t="str">
            <v>2500×1500×200</v>
          </cell>
          <cell r="G230" t="str">
            <v>B=2.5m,L=1.5m</v>
          </cell>
        </row>
        <row r="231">
          <cell r="D231" t="str">
            <v>4500ふたB3A</v>
          </cell>
          <cell r="E231">
            <v>1455</v>
          </cell>
          <cell r="F231" t="str">
            <v>2000×1500×200</v>
          </cell>
          <cell r="G231" t="str">
            <v>B=2.0m,L=1.5m</v>
          </cell>
        </row>
        <row r="232">
          <cell r="D232" t="str">
            <v>4500ふたB4A</v>
          </cell>
          <cell r="E232">
            <v>720</v>
          </cell>
          <cell r="F232" t="str">
            <v>3000× 500×200</v>
          </cell>
          <cell r="G232" t="str">
            <v>B=3.0m,L=0.50m</v>
          </cell>
        </row>
        <row r="233">
          <cell r="D233" t="str">
            <v>4500ふたB5A</v>
          </cell>
          <cell r="E233">
            <v>600</v>
          </cell>
          <cell r="F233" t="str">
            <v>2500× 500×200</v>
          </cell>
          <cell r="G233" t="str">
            <v>B=2.5m,L=0.50m</v>
          </cell>
        </row>
        <row r="234">
          <cell r="D234" t="str">
            <v>4500ふたB6A</v>
          </cell>
          <cell r="E234">
            <v>475</v>
          </cell>
          <cell r="F234" t="str">
            <v>2000× 500×200</v>
          </cell>
          <cell r="G234" t="str">
            <v>B=2.0m,L=0.50m</v>
          </cell>
        </row>
        <row r="235">
          <cell r="D235" t="str">
            <v>4500ふたB1B</v>
          </cell>
          <cell r="E235">
            <v>2755</v>
          </cell>
          <cell r="F235" t="str">
            <v>3000×1500×250</v>
          </cell>
          <cell r="G235" t="str">
            <v>B=3.0m,L=1.5m,t=250</v>
          </cell>
        </row>
        <row r="236">
          <cell r="D236" t="str">
            <v>4500ふたB2B</v>
          </cell>
          <cell r="E236">
            <v>2290</v>
          </cell>
          <cell r="F236" t="str">
            <v>2500×1500×250</v>
          </cell>
          <cell r="G236" t="str">
            <v>B=2.5m,L=1.5m,t=250</v>
          </cell>
        </row>
        <row r="237">
          <cell r="D237" t="str">
            <v>4500ふたB3B</v>
          </cell>
          <cell r="E237">
            <v>1820</v>
          </cell>
          <cell r="F237" t="str">
            <v>2000×1500×250</v>
          </cell>
          <cell r="G237" t="str">
            <v>B=2.0m,L=1.5m,t=250</v>
          </cell>
        </row>
        <row r="238">
          <cell r="D238" t="str">
            <v>4500ふたB4B</v>
          </cell>
          <cell r="E238">
            <v>905</v>
          </cell>
          <cell r="F238" t="str">
            <v>3000× 500×250</v>
          </cell>
          <cell r="G238" t="str">
            <v>B=3.0m,L=0.50m,t=250</v>
          </cell>
        </row>
        <row r="239">
          <cell r="D239" t="str">
            <v>4500ふたB5B</v>
          </cell>
          <cell r="E239">
            <v>750</v>
          </cell>
          <cell r="F239" t="str">
            <v>2500× 500×250</v>
          </cell>
          <cell r="G239" t="str">
            <v>B=2.5m,L=0.50m,t=250</v>
          </cell>
        </row>
        <row r="240">
          <cell r="D240" t="str">
            <v>4500ふたB6B</v>
          </cell>
          <cell r="E240">
            <v>595</v>
          </cell>
          <cell r="F240" t="str">
            <v>2000× 500×250</v>
          </cell>
          <cell r="G240" t="str">
            <v>B=2.0m,L=0.50m,t=250</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row r="23">
          <cell r="B23" t="str">
            <v>3000×200×2000</v>
          </cell>
          <cell r="C23">
            <v>3000</v>
          </cell>
          <cell r="D23">
            <v>200</v>
          </cell>
          <cell r="E23">
            <v>2000</v>
          </cell>
          <cell r="F23" t="str">
            <v>A1A</v>
          </cell>
        </row>
        <row r="24">
          <cell r="B24" t="str">
            <v>2500×200×2000</v>
          </cell>
          <cell r="C24">
            <v>2500</v>
          </cell>
          <cell r="D24">
            <v>200</v>
          </cell>
          <cell r="E24">
            <v>2000</v>
          </cell>
          <cell r="F24" t="str">
            <v>A2A</v>
          </cell>
        </row>
        <row r="25">
          <cell r="B25" t="str">
            <v>2000×200×2000</v>
          </cell>
          <cell r="C25">
            <v>2000</v>
          </cell>
          <cell r="D25">
            <v>200</v>
          </cell>
          <cell r="E25">
            <v>2000</v>
          </cell>
          <cell r="F25" t="str">
            <v>A3A</v>
          </cell>
        </row>
        <row r="26">
          <cell r="B26" t="str">
            <v>3000×200×750</v>
          </cell>
          <cell r="C26">
            <v>3000</v>
          </cell>
          <cell r="D26">
            <v>200</v>
          </cell>
          <cell r="E26">
            <v>750</v>
          </cell>
          <cell r="F26" t="str">
            <v>A4A</v>
          </cell>
        </row>
        <row r="27">
          <cell r="B27" t="str">
            <v>2500×200×750</v>
          </cell>
          <cell r="C27">
            <v>2500</v>
          </cell>
          <cell r="D27">
            <v>200</v>
          </cell>
          <cell r="E27">
            <v>750</v>
          </cell>
          <cell r="F27" t="str">
            <v>A5A</v>
          </cell>
        </row>
        <row r="28">
          <cell r="B28" t="str">
            <v>2000×200×750</v>
          </cell>
          <cell r="C28">
            <v>2000</v>
          </cell>
          <cell r="D28">
            <v>200</v>
          </cell>
          <cell r="E28">
            <v>750</v>
          </cell>
          <cell r="F28" t="str">
            <v>A6A</v>
          </cell>
        </row>
        <row r="29">
          <cell r="B29" t="str">
            <v>3000×200×1500</v>
          </cell>
          <cell r="C29">
            <v>3000</v>
          </cell>
          <cell r="D29">
            <v>200</v>
          </cell>
          <cell r="E29">
            <v>1500</v>
          </cell>
          <cell r="F29" t="str">
            <v>B1A</v>
          </cell>
        </row>
        <row r="30">
          <cell r="B30" t="str">
            <v>2500×200×1500</v>
          </cell>
          <cell r="C30">
            <v>2500</v>
          </cell>
          <cell r="D30">
            <v>200</v>
          </cell>
          <cell r="E30">
            <v>1500</v>
          </cell>
          <cell r="F30" t="str">
            <v>B2A</v>
          </cell>
        </row>
        <row r="31">
          <cell r="B31" t="str">
            <v>2000×200×1500</v>
          </cell>
          <cell r="C31">
            <v>2000</v>
          </cell>
          <cell r="D31">
            <v>200</v>
          </cell>
          <cell r="E31">
            <v>1500</v>
          </cell>
          <cell r="F31" t="str">
            <v>B3A</v>
          </cell>
        </row>
        <row r="32">
          <cell r="B32" t="str">
            <v>3000×200×500</v>
          </cell>
          <cell r="C32">
            <v>3000</v>
          </cell>
          <cell r="D32">
            <v>200</v>
          </cell>
          <cell r="E32">
            <v>500</v>
          </cell>
          <cell r="F32" t="str">
            <v>B4A</v>
          </cell>
        </row>
        <row r="33">
          <cell r="B33" t="str">
            <v>2500×200×500</v>
          </cell>
          <cell r="C33">
            <v>2500</v>
          </cell>
          <cell r="D33">
            <v>200</v>
          </cell>
          <cell r="E33">
            <v>500</v>
          </cell>
          <cell r="F33" t="str">
            <v>B5A</v>
          </cell>
        </row>
        <row r="34">
          <cell r="B34" t="str">
            <v>2000×200×500</v>
          </cell>
          <cell r="C34">
            <v>2000</v>
          </cell>
          <cell r="D34">
            <v>200</v>
          </cell>
          <cell r="E34">
            <v>500</v>
          </cell>
          <cell r="F34" t="str">
            <v>B6A</v>
          </cell>
        </row>
        <row r="35">
          <cell r="B35" t="str">
            <v>3000×250×2000</v>
          </cell>
          <cell r="C35">
            <v>3000</v>
          </cell>
          <cell r="D35">
            <v>250</v>
          </cell>
          <cell r="E35">
            <v>2000</v>
          </cell>
          <cell r="F35" t="str">
            <v>A1B</v>
          </cell>
        </row>
        <row r="36">
          <cell r="B36" t="str">
            <v>2500×250×2000</v>
          </cell>
          <cell r="C36">
            <v>2500</v>
          </cell>
          <cell r="D36">
            <v>250</v>
          </cell>
          <cell r="E36">
            <v>2000</v>
          </cell>
          <cell r="F36" t="str">
            <v>A2B</v>
          </cell>
        </row>
        <row r="37">
          <cell r="B37" t="str">
            <v>2000×250×2000</v>
          </cell>
          <cell r="C37">
            <v>2000</v>
          </cell>
          <cell r="D37">
            <v>250</v>
          </cell>
          <cell r="E37">
            <v>2000</v>
          </cell>
          <cell r="F37" t="str">
            <v>A3B</v>
          </cell>
        </row>
        <row r="38">
          <cell r="B38" t="str">
            <v>3000×250×750</v>
          </cell>
          <cell r="C38">
            <v>3000</v>
          </cell>
          <cell r="D38">
            <v>250</v>
          </cell>
          <cell r="E38">
            <v>750</v>
          </cell>
          <cell r="F38" t="str">
            <v>A4B</v>
          </cell>
        </row>
        <row r="39">
          <cell r="B39" t="str">
            <v>2500×250×750</v>
          </cell>
          <cell r="C39">
            <v>2500</v>
          </cell>
          <cell r="D39">
            <v>250</v>
          </cell>
          <cell r="E39">
            <v>750</v>
          </cell>
          <cell r="F39" t="str">
            <v>A5B</v>
          </cell>
        </row>
        <row r="40">
          <cell r="B40" t="str">
            <v>2000×250×750</v>
          </cell>
          <cell r="C40">
            <v>2000</v>
          </cell>
          <cell r="D40">
            <v>250</v>
          </cell>
          <cell r="E40">
            <v>750</v>
          </cell>
          <cell r="F40" t="str">
            <v>A6B</v>
          </cell>
        </row>
        <row r="41">
          <cell r="B41" t="str">
            <v>3000×250×1500</v>
          </cell>
          <cell r="C41">
            <v>3000</v>
          </cell>
          <cell r="D41">
            <v>250</v>
          </cell>
          <cell r="E41">
            <v>1500</v>
          </cell>
          <cell r="F41" t="str">
            <v>B1B</v>
          </cell>
        </row>
        <row r="42">
          <cell r="B42" t="str">
            <v>2500×250×1500</v>
          </cell>
          <cell r="C42">
            <v>2500</v>
          </cell>
          <cell r="D42">
            <v>250</v>
          </cell>
          <cell r="E42">
            <v>1500</v>
          </cell>
          <cell r="F42" t="str">
            <v>B2B</v>
          </cell>
        </row>
        <row r="43">
          <cell r="B43" t="str">
            <v>2000×250×500</v>
          </cell>
          <cell r="C43">
            <v>2000</v>
          </cell>
          <cell r="D43">
            <v>250</v>
          </cell>
          <cell r="E43">
            <v>500</v>
          </cell>
          <cell r="F43" t="str">
            <v>B3B</v>
          </cell>
        </row>
        <row r="44">
          <cell r="B44" t="str">
            <v>3000×250×500</v>
          </cell>
          <cell r="C44">
            <v>3000</v>
          </cell>
          <cell r="D44">
            <v>250</v>
          </cell>
          <cell r="E44">
            <v>500</v>
          </cell>
          <cell r="F44" t="str">
            <v>B4B</v>
          </cell>
        </row>
        <row r="45">
          <cell r="B45" t="str">
            <v>2500×250×500</v>
          </cell>
          <cell r="C45">
            <v>2500</v>
          </cell>
          <cell r="D45">
            <v>250</v>
          </cell>
          <cell r="E45">
            <v>500</v>
          </cell>
          <cell r="F45" t="str">
            <v>B5B</v>
          </cell>
        </row>
        <row r="46">
          <cell r="B46" t="str">
            <v>2000×250×500</v>
          </cell>
          <cell r="C46">
            <v>2000</v>
          </cell>
          <cell r="D46">
            <v>250</v>
          </cell>
          <cell r="E46">
            <v>500</v>
          </cell>
          <cell r="F46" t="str">
            <v>B6B</v>
          </cell>
        </row>
        <row r="50">
          <cell r="B50" t="str">
            <v>3000×1900×250</v>
          </cell>
          <cell r="C50">
            <v>1500</v>
          </cell>
          <cell r="D50">
            <v>3000</v>
          </cell>
          <cell r="E50">
            <v>200</v>
          </cell>
          <cell r="F50">
            <v>250</v>
          </cell>
          <cell r="G50" t="str">
            <v>端面D15A</v>
          </cell>
        </row>
        <row r="51">
          <cell r="B51" t="str">
            <v>2500×1900×250</v>
          </cell>
          <cell r="C51">
            <v>1500</v>
          </cell>
          <cell r="D51">
            <v>2500</v>
          </cell>
          <cell r="E51">
            <v>200</v>
          </cell>
          <cell r="F51">
            <v>250</v>
          </cell>
          <cell r="G51" t="str">
            <v>端面D15B</v>
          </cell>
        </row>
        <row r="52">
          <cell r="B52" t="str">
            <v>2000×1900×250</v>
          </cell>
          <cell r="C52">
            <v>1500</v>
          </cell>
          <cell r="D52">
            <v>2000</v>
          </cell>
          <cell r="E52">
            <v>200</v>
          </cell>
          <cell r="F52">
            <v>250</v>
          </cell>
          <cell r="G52" t="str">
            <v>端面D15C</v>
          </cell>
        </row>
        <row r="53">
          <cell r="B53" t="str">
            <v>3000×1950×250</v>
          </cell>
          <cell r="C53">
            <v>1500</v>
          </cell>
          <cell r="D53">
            <v>3000</v>
          </cell>
          <cell r="E53">
            <v>250</v>
          </cell>
          <cell r="F53">
            <v>250</v>
          </cell>
          <cell r="G53" t="str">
            <v>端面D15D</v>
          </cell>
        </row>
        <row r="54">
          <cell r="B54" t="str">
            <v>2500×1950×250</v>
          </cell>
          <cell r="C54">
            <v>1500</v>
          </cell>
          <cell r="D54">
            <v>2500</v>
          </cell>
          <cell r="E54">
            <v>250</v>
          </cell>
          <cell r="F54">
            <v>250</v>
          </cell>
          <cell r="G54" t="str">
            <v>端面D15E</v>
          </cell>
        </row>
        <row r="55">
          <cell r="B55" t="str">
            <v>2000×1950×250</v>
          </cell>
          <cell r="C55">
            <v>1500</v>
          </cell>
          <cell r="D55">
            <v>2000</v>
          </cell>
          <cell r="E55">
            <v>250</v>
          </cell>
          <cell r="F55">
            <v>250</v>
          </cell>
          <cell r="G55" t="str">
            <v>端面D15F</v>
          </cell>
        </row>
        <row r="56">
          <cell r="B56" t="str">
            <v>3000×2400×250</v>
          </cell>
          <cell r="C56">
            <v>2000</v>
          </cell>
          <cell r="D56">
            <v>3000</v>
          </cell>
          <cell r="E56">
            <v>200</v>
          </cell>
          <cell r="F56">
            <v>250</v>
          </cell>
          <cell r="G56" t="str">
            <v>端面D20A</v>
          </cell>
        </row>
        <row r="57">
          <cell r="B57" t="str">
            <v>2500×2400×250</v>
          </cell>
          <cell r="C57">
            <v>2000</v>
          </cell>
          <cell r="D57">
            <v>2500</v>
          </cell>
          <cell r="E57">
            <v>200</v>
          </cell>
          <cell r="F57">
            <v>250</v>
          </cell>
          <cell r="G57" t="str">
            <v>端面D20B</v>
          </cell>
        </row>
        <row r="58">
          <cell r="B58" t="str">
            <v>2000×2400×250</v>
          </cell>
          <cell r="C58">
            <v>2000</v>
          </cell>
          <cell r="D58">
            <v>2000</v>
          </cell>
          <cell r="E58">
            <v>200</v>
          </cell>
          <cell r="F58">
            <v>250</v>
          </cell>
          <cell r="G58" t="str">
            <v>端面D20C</v>
          </cell>
        </row>
        <row r="59">
          <cell r="B59" t="str">
            <v>3000×2450×250</v>
          </cell>
          <cell r="C59">
            <v>2000</v>
          </cell>
          <cell r="D59">
            <v>3000</v>
          </cell>
          <cell r="E59">
            <v>250</v>
          </cell>
          <cell r="F59">
            <v>250</v>
          </cell>
          <cell r="G59" t="str">
            <v>端面D20D</v>
          </cell>
        </row>
        <row r="60">
          <cell r="B60" t="str">
            <v>2500×2450×250</v>
          </cell>
          <cell r="C60">
            <v>2000</v>
          </cell>
          <cell r="D60">
            <v>2500</v>
          </cell>
          <cell r="E60">
            <v>250</v>
          </cell>
          <cell r="F60">
            <v>250</v>
          </cell>
          <cell r="G60" t="str">
            <v>端面D20E</v>
          </cell>
        </row>
        <row r="61">
          <cell r="B61" t="str">
            <v>2000×2450×250</v>
          </cell>
          <cell r="C61">
            <v>2000</v>
          </cell>
          <cell r="D61">
            <v>2000</v>
          </cell>
          <cell r="E61">
            <v>250</v>
          </cell>
          <cell r="F61">
            <v>250</v>
          </cell>
          <cell r="G61" t="str">
            <v>端面D20F</v>
          </cell>
        </row>
        <row r="62">
          <cell r="B62" t="str">
            <v>3000×2900×250</v>
          </cell>
          <cell r="C62">
            <v>2500</v>
          </cell>
          <cell r="D62">
            <v>3000</v>
          </cell>
          <cell r="E62">
            <v>200</v>
          </cell>
          <cell r="F62">
            <v>250</v>
          </cell>
          <cell r="G62" t="str">
            <v>端面D25A</v>
          </cell>
        </row>
        <row r="63">
          <cell r="B63" t="str">
            <v>2500×2900×250</v>
          </cell>
          <cell r="C63">
            <v>2500</v>
          </cell>
          <cell r="D63">
            <v>2500</v>
          </cell>
          <cell r="E63">
            <v>200</v>
          </cell>
          <cell r="F63">
            <v>250</v>
          </cell>
          <cell r="G63" t="str">
            <v>端面D25B</v>
          </cell>
        </row>
        <row r="64">
          <cell r="B64" t="str">
            <v>2000×2900×250</v>
          </cell>
          <cell r="C64">
            <v>2500</v>
          </cell>
          <cell r="D64">
            <v>2000</v>
          </cell>
          <cell r="E64">
            <v>200</v>
          </cell>
          <cell r="F64">
            <v>250</v>
          </cell>
          <cell r="G64" t="str">
            <v>端面D25C</v>
          </cell>
        </row>
        <row r="65">
          <cell r="B65" t="str">
            <v>3000×2950×250</v>
          </cell>
          <cell r="C65">
            <v>2500</v>
          </cell>
          <cell r="D65">
            <v>3000</v>
          </cell>
          <cell r="E65">
            <v>250</v>
          </cell>
          <cell r="F65">
            <v>250</v>
          </cell>
          <cell r="G65" t="str">
            <v>端面D25D</v>
          </cell>
        </row>
        <row r="66">
          <cell r="B66" t="str">
            <v>2500×2950×250</v>
          </cell>
          <cell r="C66">
            <v>2500</v>
          </cell>
          <cell r="D66">
            <v>2500</v>
          </cell>
          <cell r="E66">
            <v>250</v>
          </cell>
          <cell r="F66">
            <v>250</v>
          </cell>
          <cell r="G66" t="str">
            <v>端面D25E</v>
          </cell>
        </row>
        <row r="67">
          <cell r="B67" t="str">
            <v>2000×2950×250</v>
          </cell>
          <cell r="C67">
            <v>2500</v>
          </cell>
          <cell r="D67">
            <v>2000</v>
          </cell>
          <cell r="E67">
            <v>250</v>
          </cell>
          <cell r="F67">
            <v>250</v>
          </cell>
          <cell r="G67" t="str">
            <v>端面D25F</v>
          </cell>
        </row>
        <row r="68">
          <cell r="B68" t="str">
            <v>3000×3400×250</v>
          </cell>
          <cell r="C68">
            <v>3000</v>
          </cell>
          <cell r="D68">
            <v>3000</v>
          </cell>
          <cell r="E68">
            <v>200</v>
          </cell>
          <cell r="F68">
            <v>250</v>
          </cell>
          <cell r="G68" t="str">
            <v>端面D30A</v>
          </cell>
        </row>
        <row r="69">
          <cell r="B69" t="str">
            <v>2500×3400×250</v>
          </cell>
          <cell r="C69">
            <v>3000</v>
          </cell>
          <cell r="D69">
            <v>2500</v>
          </cell>
          <cell r="E69">
            <v>200</v>
          </cell>
          <cell r="F69">
            <v>250</v>
          </cell>
          <cell r="G69" t="str">
            <v>端面D30B</v>
          </cell>
        </row>
        <row r="70">
          <cell r="B70" t="str">
            <v>2000×3400×250</v>
          </cell>
          <cell r="C70">
            <v>3000</v>
          </cell>
          <cell r="D70">
            <v>2000</v>
          </cell>
          <cell r="E70">
            <v>200</v>
          </cell>
          <cell r="F70">
            <v>250</v>
          </cell>
          <cell r="G70" t="str">
            <v>端面D30C</v>
          </cell>
        </row>
        <row r="71">
          <cell r="B71" t="str">
            <v>3000×3450×250</v>
          </cell>
          <cell r="C71">
            <v>3000</v>
          </cell>
          <cell r="D71">
            <v>3000</v>
          </cell>
          <cell r="E71">
            <v>250</v>
          </cell>
          <cell r="F71">
            <v>250</v>
          </cell>
          <cell r="G71" t="str">
            <v>端面D30D</v>
          </cell>
        </row>
        <row r="72">
          <cell r="B72" t="str">
            <v>2500×3450×250</v>
          </cell>
          <cell r="C72">
            <v>3000</v>
          </cell>
          <cell r="D72">
            <v>2500</v>
          </cell>
          <cell r="E72">
            <v>250</v>
          </cell>
          <cell r="F72">
            <v>250</v>
          </cell>
          <cell r="G72" t="str">
            <v>端面D30E</v>
          </cell>
        </row>
        <row r="73">
          <cell r="B73" t="str">
            <v>2000×3450×250</v>
          </cell>
          <cell r="C73">
            <v>3000</v>
          </cell>
          <cell r="D73">
            <v>2000</v>
          </cell>
          <cell r="E73">
            <v>250</v>
          </cell>
          <cell r="F73">
            <v>250</v>
          </cell>
          <cell r="G73" t="str">
            <v>端面D30F</v>
          </cell>
        </row>
        <row r="74">
          <cell r="B74" t="str">
            <v>3000×3900×250</v>
          </cell>
          <cell r="C74">
            <v>3500</v>
          </cell>
          <cell r="D74">
            <v>3000</v>
          </cell>
          <cell r="E74">
            <v>200</v>
          </cell>
          <cell r="F74">
            <v>250</v>
          </cell>
          <cell r="G74" t="str">
            <v>端面D35A</v>
          </cell>
        </row>
        <row r="75">
          <cell r="B75" t="str">
            <v>2500×3900×250</v>
          </cell>
          <cell r="C75">
            <v>3500</v>
          </cell>
          <cell r="D75">
            <v>2500</v>
          </cell>
          <cell r="E75">
            <v>200</v>
          </cell>
          <cell r="F75">
            <v>250</v>
          </cell>
          <cell r="G75" t="str">
            <v>端面D35B</v>
          </cell>
        </row>
        <row r="76">
          <cell r="B76" t="str">
            <v>2000×3900×250</v>
          </cell>
          <cell r="C76">
            <v>3500</v>
          </cell>
          <cell r="D76">
            <v>2000</v>
          </cell>
          <cell r="E76">
            <v>200</v>
          </cell>
          <cell r="F76">
            <v>250</v>
          </cell>
          <cell r="G76" t="str">
            <v>端面D35C</v>
          </cell>
        </row>
        <row r="77">
          <cell r="B77" t="str">
            <v>3000×3950×250</v>
          </cell>
          <cell r="C77">
            <v>3500</v>
          </cell>
          <cell r="D77">
            <v>3000</v>
          </cell>
          <cell r="E77">
            <v>250</v>
          </cell>
          <cell r="F77">
            <v>250</v>
          </cell>
          <cell r="G77" t="str">
            <v>端面D35D</v>
          </cell>
        </row>
        <row r="78">
          <cell r="B78" t="str">
            <v>2500×3950×250</v>
          </cell>
          <cell r="C78">
            <v>3500</v>
          </cell>
          <cell r="D78">
            <v>2500</v>
          </cell>
          <cell r="E78">
            <v>250</v>
          </cell>
          <cell r="F78">
            <v>250</v>
          </cell>
          <cell r="G78" t="str">
            <v>端面D35E</v>
          </cell>
        </row>
        <row r="79">
          <cell r="B79" t="str">
            <v>2000×3950×250</v>
          </cell>
          <cell r="C79">
            <v>3500</v>
          </cell>
          <cell r="D79">
            <v>2000</v>
          </cell>
          <cell r="E79">
            <v>250</v>
          </cell>
          <cell r="F79">
            <v>250</v>
          </cell>
          <cell r="G79" t="str">
            <v>端面D35F</v>
          </cell>
        </row>
        <row r="80">
          <cell r="B80" t="str">
            <v>3000×4400×250</v>
          </cell>
          <cell r="C80">
            <v>4000</v>
          </cell>
          <cell r="D80">
            <v>3000</v>
          </cell>
          <cell r="E80">
            <v>200</v>
          </cell>
          <cell r="F80">
            <v>250</v>
          </cell>
          <cell r="G80" t="str">
            <v>端面D40A</v>
          </cell>
        </row>
        <row r="81">
          <cell r="B81" t="str">
            <v>2500×4400×250</v>
          </cell>
          <cell r="C81">
            <v>4000</v>
          </cell>
          <cell r="D81">
            <v>2500</v>
          </cell>
          <cell r="E81">
            <v>200</v>
          </cell>
          <cell r="F81">
            <v>250</v>
          </cell>
          <cell r="G81" t="str">
            <v>端面D40B</v>
          </cell>
        </row>
        <row r="82">
          <cell r="B82" t="str">
            <v>2000×4400×250</v>
          </cell>
          <cell r="C82">
            <v>4000</v>
          </cell>
          <cell r="D82">
            <v>2000</v>
          </cell>
          <cell r="E82">
            <v>200</v>
          </cell>
          <cell r="F82">
            <v>250</v>
          </cell>
          <cell r="G82" t="str">
            <v>端面D40C</v>
          </cell>
        </row>
        <row r="83">
          <cell r="B83" t="str">
            <v>3000×4450×250</v>
          </cell>
          <cell r="C83">
            <v>4000</v>
          </cell>
          <cell r="D83">
            <v>3000</v>
          </cell>
          <cell r="E83">
            <v>250</v>
          </cell>
          <cell r="F83">
            <v>250</v>
          </cell>
          <cell r="G83" t="str">
            <v>端面D40D</v>
          </cell>
        </row>
        <row r="84">
          <cell r="B84" t="str">
            <v>2500×4450×250</v>
          </cell>
          <cell r="C84">
            <v>4000</v>
          </cell>
          <cell r="D84">
            <v>2500</v>
          </cell>
          <cell r="E84">
            <v>250</v>
          </cell>
          <cell r="F84">
            <v>250</v>
          </cell>
          <cell r="G84" t="str">
            <v>端面D40E</v>
          </cell>
        </row>
        <row r="85">
          <cell r="B85" t="str">
            <v>2000×4450×250</v>
          </cell>
          <cell r="C85">
            <v>4000</v>
          </cell>
          <cell r="D85">
            <v>2000</v>
          </cell>
          <cell r="E85">
            <v>250</v>
          </cell>
          <cell r="F85">
            <v>250</v>
          </cell>
          <cell r="G85" t="str">
            <v>端面D40F</v>
          </cell>
        </row>
        <row r="86">
          <cell r="B86" t="str">
            <v>3000×4900×250</v>
          </cell>
          <cell r="C86">
            <v>4500</v>
          </cell>
          <cell r="D86">
            <v>3000</v>
          </cell>
          <cell r="E86">
            <v>200</v>
          </cell>
          <cell r="F86">
            <v>250</v>
          </cell>
          <cell r="G86" t="str">
            <v>端面D45A</v>
          </cell>
        </row>
        <row r="87">
          <cell r="B87" t="str">
            <v>2500×4900×250</v>
          </cell>
          <cell r="C87">
            <v>4500</v>
          </cell>
          <cell r="D87">
            <v>2500</v>
          </cell>
          <cell r="E87">
            <v>200</v>
          </cell>
          <cell r="F87">
            <v>250</v>
          </cell>
          <cell r="G87" t="str">
            <v>端面D45B</v>
          </cell>
        </row>
        <row r="88">
          <cell r="B88" t="str">
            <v>2000×4900×250</v>
          </cell>
          <cell r="C88">
            <v>4500</v>
          </cell>
          <cell r="D88">
            <v>2000</v>
          </cell>
          <cell r="E88">
            <v>200</v>
          </cell>
          <cell r="F88">
            <v>250</v>
          </cell>
          <cell r="G88" t="str">
            <v>端面D45C</v>
          </cell>
        </row>
        <row r="89">
          <cell r="B89" t="str">
            <v>3000×4950×250</v>
          </cell>
          <cell r="C89">
            <v>4500</v>
          </cell>
          <cell r="D89">
            <v>3000</v>
          </cell>
          <cell r="E89">
            <v>250</v>
          </cell>
          <cell r="F89">
            <v>250</v>
          </cell>
          <cell r="G89" t="str">
            <v>端面D45D</v>
          </cell>
        </row>
        <row r="90">
          <cell r="B90" t="str">
            <v>2500×4950×250</v>
          </cell>
          <cell r="C90">
            <v>4500</v>
          </cell>
          <cell r="D90">
            <v>2500</v>
          </cell>
          <cell r="E90">
            <v>250</v>
          </cell>
          <cell r="F90">
            <v>250</v>
          </cell>
          <cell r="G90" t="str">
            <v>端面D45E</v>
          </cell>
        </row>
        <row r="91">
          <cell r="B91" t="str">
            <v>2000×4950×250</v>
          </cell>
          <cell r="C91">
            <v>4500</v>
          </cell>
          <cell r="D91">
            <v>2000</v>
          </cell>
          <cell r="E91">
            <v>250</v>
          </cell>
          <cell r="F91">
            <v>250</v>
          </cell>
          <cell r="G91" t="str">
            <v>端面D45F</v>
          </cell>
        </row>
      </sheetData>
      <sheetData sheetId="3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組織員会より】JTB様へ "/>
      <sheetName val="一覧①"/>
      <sheetName val="担当割"/>
      <sheetName val="担当割 (2)"/>
      <sheetName val="西田のみ宿泊施設DB"/>
      <sheetName val="宿泊施設DB"/>
      <sheetName val="選手ファミリーホテル状況整理"/>
      <sheetName val="サマリー"/>
      <sheetName val="交渉優先度検討　担当割エクセル"/>
      <sheetName val="選手ファミリーホテル状況整理（0403時点）"/>
      <sheetName val="基本事項DB"/>
      <sheetName val="客室DB"/>
      <sheetName val="ファンクションルームDB"/>
      <sheetName val="旧宿泊施設DB（削除様子見）"/>
      <sheetName val="訪問スケジュール"/>
      <sheetName val="DB"/>
      <sheetName val="食事課題施設のみ抽出"/>
      <sheetName val="2024-04月報告リスト"/>
      <sheetName val="2024-05月報告リスト"/>
      <sheetName val="2024-06月報告リスト"/>
      <sheetName val="2024-07月報告リスト"/>
      <sheetName val="FNB集計用"/>
      <sheetName val="2024-08月報告リスト"/>
      <sheetName val="2024-09月報告リスト"/>
      <sheetName val="2024-10月報告リスト"/>
      <sheetName val="2024-11月報告リスト"/>
      <sheetName val="2024-12月報告リスト"/>
      <sheetName val="2025-01月報告リスト"/>
      <sheetName val="2025-02月報告リスト"/>
      <sheetName val="2025-03月報告リスト"/>
      <sheetName val="1"/>
      <sheetName val="2"/>
      <sheetName val="4"/>
      <sheetName val="5"/>
      <sheetName val="7"/>
      <sheetName val="8"/>
      <sheetName val="9"/>
      <sheetName val="10"/>
      <sheetName val="11"/>
      <sheetName val="12"/>
      <sheetName val="13"/>
      <sheetName val="15"/>
      <sheetName val="19"/>
      <sheetName val="20"/>
      <sheetName val="21"/>
      <sheetName val="22"/>
      <sheetName val="23"/>
      <sheetName val="24"/>
      <sheetName val="25"/>
      <sheetName val="26"/>
      <sheetName val="27"/>
      <sheetName val="28"/>
      <sheetName val="32"/>
      <sheetName val="34"/>
      <sheetName val="35"/>
      <sheetName val="38"/>
      <sheetName val="39"/>
      <sheetName val="40"/>
      <sheetName val="41"/>
      <sheetName val="42"/>
      <sheetName val="43"/>
      <sheetName val="44"/>
      <sheetName val="45"/>
      <sheetName val="46"/>
      <sheetName val="47"/>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71"/>
      <sheetName val="73"/>
      <sheetName val="74"/>
      <sheetName val="75"/>
      <sheetName val="76"/>
      <sheetName val="77"/>
      <sheetName val="78"/>
      <sheetName val="79"/>
      <sheetName val="80"/>
      <sheetName val="81"/>
      <sheetName val="82"/>
      <sheetName val="83"/>
      <sheetName val="84"/>
      <sheetName val="86"/>
      <sheetName val="87"/>
      <sheetName val="90"/>
      <sheetName val="92"/>
      <sheetName val="93"/>
      <sheetName val="94"/>
      <sheetName val="95"/>
      <sheetName val="96"/>
      <sheetName val="98"/>
      <sheetName val="99"/>
      <sheetName val="100"/>
      <sheetName val="101"/>
      <sheetName val="102"/>
      <sheetName val="103"/>
      <sheetName val="104"/>
      <sheetName val="105"/>
      <sheetName val="106"/>
      <sheetName val="107"/>
      <sheetName val="108"/>
      <sheetName val="111"/>
      <sheetName val="112"/>
      <sheetName val="114"/>
      <sheetName val="115"/>
      <sheetName val="116"/>
      <sheetName val="117"/>
      <sheetName val="118"/>
      <sheetName val="119"/>
      <sheetName val="120"/>
      <sheetName val="121"/>
      <sheetName val="122"/>
      <sheetName val="123"/>
      <sheetName val="124"/>
      <sheetName val="125"/>
      <sheetName val="126"/>
      <sheetName val="127"/>
      <sheetName val="128"/>
      <sheetName val="129"/>
      <sheetName val="130"/>
      <sheetName val="133"/>
      <sheetName val="138"/>
      <sheetName val="139"/>
      <sheetName val="140"/>
      <sheetName val="142"/>
      <sheetName val="143"/>
      <sheetName val="144"/>
      <sheetName val="145"/>
      <sheetName val="146"/>
      <sheetName val="147"/>
      <sheetName val="149"/>
      <sheetName val="150"/>
      <sheetName val="151"/>
      <sheetName val="152"/>
      <sheetName val="154"/>
      <sheetName val="155"/>
      <sheetName val="156"/>
      <sheetName val="157"/>
      <sheetName val="158"/>
      <sheetName val="159"/>
      <sheetName val="160"/>
      <sheetName val="161"/>
      <sheetName val="162"/>
      <sheetName val="163"/>
      <sheetName val="164"/>
      <sheetName val="165"/>
      <sheetName val="166"/>
      <sheetName val="167"/>
      <sheetName val="168"/>
      <sheetName val="171"/>
      <sheetName val="172"/>
      <sheetName val="173"/>
      <sheetName val="175"/>
      <sheetName val="174"/>
      <sheetName val="176"/>
      <sheetName val="177"/>
      <sheetName val="179"/>
      <sheetName val="180"/>
      <sheetName val="181"/>
      <sheetName val="182"/>
      <sheetName val="183"/>
      <sheetName val="184"/>
      <sheetName val="186"/>
      <sheetName val="187"/>
      <sheetName val="191"/>
      <sheetName val="188"/>
      <sheetName val="189"/>
      <sheetName val="192"/>
      <sheetName val="193"/>
      <sheetName val="194"/>
      <sheetName val="195"/>
      <sheetName val="196"/>
      <sheetName val="200"/>
      <sheetName val="201"/>
      <sheetName val="202"/>
      <sheetName val="203"/>
      <sheetName val="204"/>
      <sheetName val="205"/>
      <sheetName val="206"/>
      <sheetName val="207"/>
      <sheetName val="208"/>
      <sheetName val="210"/>
      <sheetName val="211"/>
      <sheetName val="212"/>
      <sheetName val="213"/>
      <sheetName val="214"/>
      <sheetName val="216"/>
      <sheetName val="219"/>
      <sheetName val="220"/>
      <sheetName val="221"/>
      <sheetName val="222"/>
      <sheetName val="223"/>
      <sheetName val="224"/>
      <sheetName val="225"/>
      <sheetName val="226"/>
      <sheetName val="227"/>
      <sheetName val="228"/>
      <sheetName val="229"/>
      <sheetName val="230"/>
      <sheetName val="231"/>
      <sheetName val="232"/>
      <sheetName val="234"/>
      <sheetName val="235"/>
      <sheetName val="238"/>
      <sheetName val="239"/>
      <sheetName val="240"/>
      <sheetName val="241"/>
      <sheetName val="242"/>
      <sheetName val="243"/>
      <sheetName val="244"/>
      <sheetName val="245"/>
      <sheetName val="247"/>
      <sheetName val="249"/>
      <sheetName val="250"/>
      <sheetName val="251"/>
      <sheetName val="252"/>
      <sheetName val="253"/>
      <sheetName val="255"/>
      <sheetName val="256"/>
      <sheetName val="257"/>
      <sheetName val="260"/>
      <sheetName val="261"/>
      <sheetName val="262"/>
      <sheetName val="263"/>
      <sheetName val="266"/>
      <sheetName val="267"/>
      <sheetName val="268"/>
      <sheetName val="269"/>
      <sheetName val="270"/>
      <sheetName val="271"/>
      <sheetName val="272"/>
      <sheetName val="273"/>
      <sheetName val="275"/>
      <sheetName val="276"/>
      <sheetName val="277"/>
      <sheetName val="278"/>
      <sheetName val="279"/>
      <sheetName val="280"/>
      <sheetName val="281"/>
      <sheetName val="282"/>
      <sheetName val="283"/>
      <sheetName val="284"/>
      <sheetName val="285"/>
      <sheetName val="287"/>
      <sheetName val="288"/>
      <sheetName val="289"/>
      <sheetName val="290"/>
      <sheetName val="292"/>
      <sheetName val="293"/>
      <sheetName val="295"/>
      <sheetName val="296"/>
      <sheetName val="297"/>
      <sheetName val="298"/>
      <sheetName val="299"/>
      <sheetName val="300"/>
      <sheetName val="301"/>
      <sheetName val="302"/>
      <sheetName val="303"/>
      <sheetName val="304"/>
      <sheetName val="305"/>
      <sheetName val="306"/>
      <sheetName val="307"/>
      <sheetName val="308"/>
      <sheetName val="310"/>
      <sheetName val="311"/>
      <sheetName val="312"/>
      <sheetName val="313"/>
      <sheetName val="315"/>
      <sheetName val="316"/>
      <sheetName val="317"/>
      <sheetName val="319"/>
      <sheetName val="320"/>
      <sheetName val="321"/>
      <sheetName val="322"/>
      <sheetName val="323"/>
      <sheetName val="324"/>
      <sheetName val="1001"/>
      <sheetName val="1002"/>
      <sheetName val="1003"/>
      <sheetName val="1004"/>
      <sheetName val="1006"/>
      <sheetName val="1007"/>
      <sheetName val="1008"/>
      <sheetName val="1009"/>
      <sheetName val="1010"/>
      <sheetName val="1011"/>
      <sheetName val="1012"/>
      <sheetName val="1013"/>
      <sheetName val="1015"/>
      <sheetName val="1016"/>
      <sheetName val="1017"/>
      <sheetName val="1018"/>
      <sheetName val="1021"/>
      <sheetName val="1022"/>
      <sheetName val="1023"/>
      <sheetName val="1027"/>
      <sheetName val="1028"/>
      <sheetName val="1029"/>
      <sheetName val="1030"/>
      <sheetName val="1031"/>
      <sheetName val="1032"/>
      <sheetName val="1033"/>
      <sheetName val="1034"/>
      <sheetName val="1035"/>
      <sheetName val="1036"/>
      <sheetName val="1037"/>
      <sheetName val="1038"/>
      <sheetName val="1039"/>
      <sheetName val="1040"/>
      <sheetName val="1041"/>
      <sheetName val="1042"/>
      <sheetName val="1043"/>
      <sheetName val="1044"/>
      <sheetName val="1045"/>
      <sheetName val="1046"/>
      <sheetName val="2001"/>
      <sheetName val="2002"/>
      <sheetName val="2003"/>
      <sheetName val="2004"/>
      <sheetName val="2005"/>
      <sheetName val="2006"/>
      <sheetName val="2007"/>
      <sheetName val="2008"/>
      <sheetName val="2009"/>
      <sheetName val="2010"/>
      <sheetName val="2011"/>
      <sheetName val="2012"/>
      <sheetName val="2013"/>
      <sheetName val="2014"/>
      <sheetName val="2015"/>
      <sheetName val="2016"/>
      <sheetName val="2017"/>
      <sheetName val="2018"/>
      <sheetName val="2019"/>
      <sheetName val="2020"/>
      <sheetName val="2021"/>
      <sheetName val="2022"/>
      <sheetName val="2023"/>
      <sheetName val="2024"/>
      <sheetName val="2025"/>
      <sheetName val="2026"/>
      <sheetName val="2027"/>
      <sheetName val="2028"/>
      <sheetName val="2029"/>
      <sheetName val="2030"/>
      <sheetName val="2031"/>
      <sheetName val="2032"/>
      <sheetName val="2033"/>
      <sheetName val="2034"/>
      <sheetName val="2035"/>
      <sheetName val="2036"/>
      <sheetName val="2037"/>
      <sheetName val="2038"/>
      <sheetName val="2039"/>
      <sheetName val="2040"/>
      <sheetName val="2041"/>
      <sheetName val="2042"/>
      <sheetName val="2043"/>
      <sheetName val="2044"/>
      <sheetName val="2045"/>
      <sheetName val="2046"/>
      <sheetName val="2047"/>
      <sheetName val="2048"/>
      <sheetName val="2049"/>
      <sheetName val="2050"/>
      <sheetName val="2051"/>
      <sheetName val="2052"/>
      <sheetName val="2053"/>
      <sheetName val="トヨタ自動車三ケ日研修所"/>
      <sheetName val="3025"/>
      <sheetName val="別添2　交渉優先度と客室提供率 (前サバキ)"/>
      <sheetName val="編集用サマリ"/>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2">
          <cell r="E2" t="str">
            <v>交渉中（易）</v>
          </cell>
          <cell r="F2" t="str">
            <v>恒川</v>
          </cell>
          <cell r="G2" t="str">
            <v>訪問</v>
          </cell>
          <cell r="H2" t="str">
            <v>名古屋</v>
          </cell>
          <cell r="I2" t="str">
            <v>◎</v>
          </cell>
          <cell r="K2" t="str">
            <v>100%</v>
          </cell>
          <cell r="L2" t="str">
            <v>→</v>
          </cell>
          <cell r="M2" t="str">
            <v>宴会場</v>
          </cell>
          <cell r="N2" t="str">
            <v>→</v>
          </cell>
        </row>
        <row r="3">
          <cell r="E3" t="str">
            <v>交渉中（普通）</v>
          </cell>
          <cell r="F3" t="str">
            <v>片山</v>
          </cell>
          <cell r="G3" t="str">
            <v>架電</v>
          </cell>
          <cell r="H3" t="str">
            <v>一宮</v>
          </cell>
          <cell r="I3" t="str">
            <v>○</v>
          </cell>
          <cell r="K3" t="str">
            <v>100％未満～80％</v>
          </cell>
          <cell r="L3" t="str">
            <v>⤴</v>
          </cell>
          <cell r="M3" t="str">
            <v>会議室</v>
          </cell>
          <cell r="N3" t="str">
            <v>⤴</v>
          </cell>
        </row>
        <row r="4">
          <cell r="E4" t="str">
            <v>交渉中（難）</v>
          </cell>
          <cell r="F4" t="str">
            <v>梶村</v>
          </cell>
          <cell r="G4" t="str">
            <v>メール</v>
          </cell>
          <cell r="H4" t="str">
            <v>知多</v>
          </cell>
          <cell r="I4" t="str">
            <v>△</v>
          </cell>
          <cell r="K4" t="str">
            <v>80％未満～50％</v>
          </cell>
          <cell r="L4" t="str">
            <v>未定・検討中</v>
          </cell>
          <cell r="M4" t="str">
            <v>未定・検討中</v>
          </cell>
          <cell r="N4" t="str">
            <v>⤵</v>
          </cell>
        </row>
        <row r="5">
          <cell r="E5" t="str">
            <v>契約伺い提出済</v>
          </cell>
          <cell r="F5" t="str">
            <v>嶋崎</v>
          </cell>
          <cell r="G5" t="str">
            <v>その他</v>
          </cell>
          <cell r="H5" t="str">
            <v>豊田</v>
          </cell>
          <cell r="I5" t="str">
            <v>×</v>
          </cell>
          <cell r="K5" t="str">
            <v>50％未満</v>
          </cell>
          <cell r="L5" t="str">
            <v>ー</v>
          </cell>
          <cell r="M5" t="str">
            <v>ー</v>
          </cell>
          <cell r="N5" t="str">
            <v>新規</v>
          </cell>
        </row>
        <row r="6">
          <cell r="E6" t="str">
            <v>AINAGOC押印中</v>
          </cell>
          <cell r="F6" t="str">
            <v>鄭</v>
          </cell>
          <cell r="H6" t="str">
            <v>蒲郡</v>
          </cell>
          <cell r="I6" t="str">
            <v>ー</v>
          </cell>
          <cell r="K6" t="str">
            <v>未定・検討中</v>
          </cell>
        </row>
        <row r="7">
          <cell r="E7" t="str">
            <v>宿泊施設押印中</v>
          </cell>
          <cell r="F7" t="str">
            <v>河合</v>
          </cell>
          <cell r="H7" t="str">
            <v>豊橋</v>
          </cell>
        </row>
        <row r="8">
          <cell r="E8" t="str">
            <v>契約済み</v>
          </cell>
          <cell r="F8" t="str">
            <v>木原</v>
          </cell>
          <cell r="H8" t="str">
            <v>愛知県外</v>
          </cell>
        </row>
        <row r="9">
          <cell r="E9" t="str">
            <v>契約締結不可</v>
          </cell>
          <cell r="F9" t="str">
            <v>船橋</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4">
          <cell r="C4">
            <v>1</v>
          </cell>
        </row>
        <row r="5">
          <cell r="C5">
            <v>8</v>
          </cell>
        </row>
        <row r="6">
          <cell r="C6">
            <v>12</v>
          </cell>
        </row>
        <row r="7">
          <cell r="C7">
            <v>5</v>
          </cell>
        </row>
        <row r="8">
          <cell r="C8">
            <v>15</v>
          </cell>
        </row>
        <row r="9">
          <cell r="C9">
            <v>20</v>
          </cell>
        </row>
        <row r="10">
          <cell r="C10">
            <v>9</v>
          </cell>
        </row>
        <row r="11">
          <cell r="C11">
            <v>10</v>
          </cell>
        </row>
        <row r="12">
          <cell r="C12">
            <v>11</v>
          </cell>
        </row>
        <row r="13">
          <cell r="C13">
            <v>24</v>
          </cell>
        </row>
        <row r="14">
          <cell r="C14">
            <v>13</v>
          </cell>
        </row>
        <row r="15">
          <cell r="C15">
            <v>34</v>
          </cell>
        </row>
        <row r="16">
          <cell r="C16">
            <v>19</v>
          </cell>
        </row>
        <row r="17">
          <cell r="C17">
            <v>39</v>
          </cell>
        </row>
        <row r="18">
          <cell r="C18">
            <v>61</v>
          </cell>
        </row>
        <row r="19">
          <cell r="C19">
            <v>22</v>
          </cell>
        </row>
        <row r="20">
          <cell r="C20">
            <v>23</v>
          </cell>
        </row>
        <row r="21">
          <cell r="C21">
            <v>70</v>
          </cell>
        </row>
        <row r="22">
          <cell r="C22">
            <v>25</v>
          </cell>
        </row>
        <row r="23">
          <cell r="C23">
            <v>26</v>
          </cell>
        </row>
        <row r="24">
          <cell r="C24">
            <v>27</v>
          </cell>
        </row>
        <row r="25">
          <cell r="C25">
            <v>28</v>
          </cell>
        </row>
        <row r="26">
          <cell r="C26">
            <v>32</v>
          </cell>
        </row>
        <row r="27">
          <cell r="C27">
            <v>79</v>
          </cell>
        </row>
        <row r="28">
          <cell r="C28">
            <v>35</v>
          </cell>
        </row>
        <row r="29">
          <cell r="C29">
            <v>38</v>
          </cell>
        </row>
        <row r="30">
          <cell r="C30">
            <v>80</v>
          </cell>
        </row>
        <row r="31">
          <cell r="C31">
            <v>40</v>
          </cell>
        </row>
        <row r="32">
          <cell r="C32">
            <v>41</v>
          </cell>
        </row>
        <row r="33">
          <cell r="C33">
            <v>42</v>
          </cell>
        </row>
        <row r="34">
          <cell r="C34">
            <v>43</v>
          </cell>
        </row>
        <row r="35">
          <cell r="C35">
            <v>44</v>
          </cell>
        </row>
        <row r="36">
          <cell r="C36">
            <v>45</v>
          </cell>
        </row>
        <row r="37">
          <cell r="C37">
            <v>46</v>
          </cell>
        </row>
        <row r="38">
          <cell r="C38">
            <v>47</v>
          </cell>
        </row>
        <row r="39">
          <cell r="C39">
            <v>49</v>
          </cell>
        </row>
        <row r="40">
          <cell r="C40">
            <v>50</v>
          </cell>
        </row>
        <row r="41">
          <cell r="C41">
            <v>51</v>
          </cell>
        </row>
        <row r="42">
          <cell r="C42">
            <v>52</v>
          </cell>
        </row>
        <row r="43">
          <cell r="C43">
            <v>53</v>
          </cell>
        </row>
        <row r="44">
          <cell r="C44">
            <v>54</v>
          </cell>
        </row>
        <row r="45">
          <cell r="C45">
            <v>55</v>
          </cell>
        </row>
        <row r="46">
          <cell r="C46">
            <v>56</v>
          </cell>
        </row>
        <row r="47">
          <cell r="C47">
            <v>57</v>
          </cell>
        </row>
        <row r="48">
          <cell r="C48">
            <v>58</v>
          </cell>
        </row>
        <row r="49">
          <cell r="C49">
            <v>59</v>
          </cell>
        </row>
        <row r="50">
          <cell r="C50">
            <v>60</v>
          </cell>
        </row>
        <row r="51">
          <cell r="C51">
            <v>81</v>
          </cell>
        </row>
        <row r="52">
          <cell r="C52">
            <v>62</v>
          </cell>
        </row>
        <row r="53">
          <cell r="C53">
            <v>63</v>
          </cell>
        </row>
        <row r="54">
          <cell r="C54">
            <v>64</v>
          </cell>
        </row>
        <row r="55">
          <cell r="C55">
            <v>92</v>
          </cell>
        </row>
        <row r="56">
          <cell r="C56">
            <v>66</v>
          </cell>
        </row>
        <row r="57">
          <cell r="C57">
            <v>67</v>
          </cell>
        </row>
        <row r="58">
          <cell r="C58">
            <v>68</v>
          </cell>
        </row>
        <row r="59">
          <cell r="C59">
            <v>69</v>
          </cell>
        </row>
        <row r="60">
          <cell r="C60">
            <v>93</v>
          </cell>
        </row>
        <row r="61">
          <cell r="C61">
            <v>71</v>
          </cell>
        </row>
        <row r="62">
          <cell r="C62">
            <v>73</v>
          </cell>
        </row>
        <row r="63">
          <cell r="C63">
            <v>74</v>
          </cell>
        </row>
        <row r="64">
          <cell r="C64">
            <v>75</v>
          </cell>
        </row>
        <row r="65">
          <cell r="C65">
            <v>76</v>
          </cell>
        </row>
        <row r="66">
          <cell r="C66">
            <v>77</v>
          </cell>
        </row>
        <row r="67">
          <cell r="C67">
            <v>78</v>
          </cell>
        </row>
        <row r="68">
          <cell r="C68">
            <v>96</v>
          </cell>
        </row>
        <row r="69">
          <cell r="C69">
            <v>105</v>
          </cell>
        </row>
        <row r="70">
          <cell r="C70">
            <v>121</v>
          </cell>
        </row>
        <row r="71">
          <cell r="C71">
            <v>82</v>
          </cell>
        </row>
        <row r="72">
          <cell r="C72">
            <v>83</v>
          </cell>
        </row>
        <row r="73">
          <cell r="C73">
            <v>84</v>
          </cell>
        </row>
        <row r="74">
          <cell r="C74">
            <v>86</v>
          </cell>
        </row>
        <row r="75">
          <cell r="C75">
            <v>87</v>
          </cell>
        </row>
        <row r="76">
          <cell r="C76">
            <v>90</v>
          </cell>
        </row>
        <row r="77">
          <cell r="C77">
            <v>133</v>
          </cell>
        </row>
        <row r="78">
          <cell r="C78">
            <v>159</v>
          </cell>
        </row>
        <row r="79">
          <cell r="C79">
            <v>94</v>
          </cell>
        </row>
        <row r="80">
          <cell r="C80">
            <v>95</v>
          </cell>
        </row>
        <row r="81">
          <cell r="C81">
            <v>160</v>
          </cell>
        </row>
        <row r="82">
          <cell r="C82">
            <v>98</v>
          </cell>
        </row>
        <row r="83">
          <cell r="C83">
            <v>99</v>
          </cell>
        </row>
        <row r="84">
          <cell r="C84">
            <v>100</v>
          </cell>
        </row>
        <row r="85">
          <cell r="C85">
            <v>101</v>
          </cell>
        </row>
        <row r="86">
          <cell r="C86">
            <v>102</v>
          </cell>
        </row>
        <row r="87">
          <cell r="C87">
            <v>103</v>
          </cell>
        </row>
        <row r="88">
          <cell r="C88">
            <v>104</v>
          </cell>
        </row>
        <row r="89">
          <cell r="C89">
            <v>172</v>
          </cell>
        </row>
        <row r="90">
          <cell r="C90">
            <v>106</v>
          </cell>
        </row>
        <row r="91">
          <cell r="C91">
            <v>107</v>
          </cell>
        </row>
        <row r="92">
          <cell r="C92">
            <v>108</v>
          </cell>
        </row>
        <row r="93">
          <cell r="C93">
            <v>111</v>
          </cell>
        </row>
        <row r="94">
          <cell r="C94">
            <v>112</v>
          </cell>
        </row>
        <row r="95">
          <cell r="C95">
            <v>177</v>
          </cell>
        </row>
        <row r="96">
          <cell r="C96">
            <v>115</v>
          </cell>
        </row>
        <row r="97">
          <cell r="C97">
            <v>116</v>
          </cell>
        </row>
        <row r="98">
          <cell r="C98">
            <v>117</v>
          </cell>
        </row>
        <row r="99">
          <cell r="C99">
            <v>118</v>
          </cell>
        </row>
        <row r="100">
          <cell r="C100">
            <v>119</v>
          </cell>
        </row>
        <row r="101">
          <cell r="C101">
            <v>120</v>
          </cell>
        </row>
        <row r="102">
          <cell r="C102">
            <v>201</v>
          </cell>
        </row>
        <row r="103">
          <cell r="C103">
            <v>122</v>
          </cell>
        </row>
        <row r="104">
          <cell r="C104">
            <v>123</v>
          </cell>
        </row>
        <row r="105">
          <cell r="C105">
            <v>124</v>
          </cell>
        </row>
        <row r="106">
          <cell r="C106">
            <v>125</v>
          </cell>
        </row>
        <row r="107">
          <cell r="C107">
            <v>126</v>
          </cell>
        </row>
        <row r="108">
          <cell r="C108">
            <v>206</v>
          </cell>
        </row>
        <row r="109">
          <cell r="C109">
            <v>128</v>
          </cell>
        </row>
        <row r="110">
          <cell r="C110">
            <v>129</v>
          </cell>
        </row>
        <row r="111">
          <cell r="C111">
            <v>130</v>
          </cell>
        </row>
        <row r="112">
          <cell r="C112">
            <v>210</v>
          </cell>
        </row>
        <row r="113">
          <cell r="C113">
            <v>138</v>
          </cell>
        </row>
        <row r="114">
          <cell r="C114">
            <v>139</v>
          </cell>
        </row>
        <row r="115">
          <cell r="C115">
            <v>140</v>
          </cell>
        </row>
        <row r="116">
          <cell r="C116">
            <v>142</v>
          </cell>
        </row>
        <row r="117">
          <cell r="C117">
            <v>143</v>
          </cell>
        </row>
        <row r="118">
          <cell r="C118">
            <v>144</v>
          </cell>
        </row>
        <row r="119">
          <cell r="C119">
            <v>145</v>
          </cell>
        </row>
        <row r="120">
          <cell r="C120">
            <v>146</v>
          </cell>
        </row>
        <row r="121">
          <cell r="C121">
            <v>147</v>
          </cell>
        </row>
        <row r="122">
          <cell r="C122">
            <v>149</v>
          </cell>
        </row>
        <row r="123">
          <cell r="C123">
            <v>150</v>
          </cell>
        </row>
        <row r="124">
          <cell r="C124">
            <v>151</v>
          </cell>
        </row>
        <row r="125">
          <cell r="C125">
            <v>152</v>
          </cell>
        </row>
        <row r="126">
          <cell r="C126">
            <v>154</v>
          </cell>
        </row>
        <row r="127">
          <cell r="C127">
            <v>155</v>
          </cell>
        </row>
        <row r="128">
          <cell r="C128">
            <v>156</v>
          </cell>
        </row>
        <row r="129">
          <cell r="C129">
            <v>157</v>
          </cell>
        </row>
        <row r="130">
          <cell r="C130">
            <v>158</v>
          </cell>
        </row>
        <row r="131">
          <cell r="C131">
            <v>219</v>
          </cell>
        </row>
        <row r="132">
          <cell r="C132">
            <v>220</v>
          </cell>
        </row>
        <row r="133">
          <cell r="C133">
            <v>161</v>
          </cell>
        </row>
        <row r="134">
          <cell r="C134">
            <v>162</v>
          </cell>
        </row>
        <row r="135">
          <cell r="C135">
            <v>163</v>
          </cell>
        </row>
        <row r="136">
          <cell r="C136">
            <v>164</v>
          </cell>
        </row>
        <row r="137">
          <cell r="C137">
            <v>165</v>
          </cell>
        </row>
        <row r="138">
          <cell r="C138">
            <v>166</v>
          </cell>
        </row>
        <row r="139">
          <cell r="C139">
            <v>167</v>
          </cell>
        </row>
        <row r="140">
          <cell r="C140">
            <v>168</v>
          </cell>
        </row>
        <row r="141">
          <cell r="C141">
            <v>171</v>
          </cell>
        </row>
        <row r="142">
          <cell r="C142">
            <v>227</v>
          </cell>
        </row>
        <row r="143">
          <cell r="C143">
            <v>173</v>
          </cell>
        </row>
        <row r="144">
          <cell r="C144">
            <v>174</v>
          </cell>
        </row>
        <row r="145">
          <cell r="C145">
            <v>175</v>
          </cell>
        </row>
        <row r="146">
          <cell r="C146">
            <v>176</v>
          </cell>
        </row>
        <row r="147">
          <cell r="C147">
            <v>292</v>
          </cell>
        </row>
        <row r="148">
          <cell r="C148">
            <v>179</v>
          </cell>
        </row>
        <row r="149">
          <cell r="C149">
            <v>180</v>
          </cell>
        </row>
        <row r="150">
          <cell r="C150">
            <v>181</v>
          </cell>
        </row>
        <row r="151">
          <cell r="C151">
            <v>182</v>
          </cell>
        </row>
        <row r="152">
          <cell r="C152">
            <v>183</v>
          </cell>
        </row>
        <row r="153">
          <cell r="C153">
            <v>184</v>
          </cell>
        </row>
        <row r="154">
          <cell r="C154">
            <v>186</v>
          </cell>
        </row>
        <row r="155">
          <cell r="C155">
            <v>187</v>
          </cell>
        </row>
        <row r="156">
          <cell r="C156">
            <v>188</v>
          </cell>
        </row>
        <row r="157">
          <cell r="C157">
            <v>189</v>
          </cell>
        </row>
        <row r="158">
          <cell r="C158">
            <v>191</v>
          </cell>
        </row>
        <row r="159">
          <cell r="C159">
            <v>192</v>
          </cell>
        </row>
        <row r="160">
          <cell r="C160">
            <v>193</v>
          </cell>
        </row>
        <row r="161">
          <cell r="C161">
            <v>194</v>
          </cell>
        </row>
        <row r="162">
          <cell r="C162">
            <v>195</v>
          </cell>
        </row>
        <row r="163">
          <cell r="C163">
            <v>196</v>
          </cell>
        </row>
        <row r="164">
          <cell r="C164">
            <v>200</v>
          </cell>
        </row>
        <row r="165">
          <cell r="C165">
            <v>293</v>
          </cell>
        </row>
        <row r="166">
          <cell r="C166">
            <v>202</v>
          </cell>
        </row>
        <row r="167">
          <cell r="C167">
            <v>203</v>
          </cell>
        </row>
        <row r="168">
          <cell r="C168">
            <v>204</v>
          </cell>
        </row>
        <row r="169">
          <cell r="C169">
            <v>205</v>
          </cell>
        </row>
        <row r="170">
          <cell r="C170">
            <v>301</v>
          </cell>
        </row>
        <row r="171">
          <cell r="C171">
            <v>207</v>
          </cell>
        </row>
        <row r="172">
          <cell r="C172">
            <v>208</v>
          </cell>
        </row>
        <row r="173">
          <cell r="C173">
            <v>1002</v>
          </cell>
        </row>
        <row r="174">
          <cell r="C174">
            <v>211</v>
          </cell>
        </row>
        <row r="175">
          <cell r="C175">
            <v>212</v>
          </cell>
        </row>
        <row r="176">
          <cell r="C176">
            <v>213</v>
          </cell>
        </row>
        <row r="177">
          <cell r="C177">
            <v>214</v>
          </cell>
        </row>
        <row r="178">
          <cell r="C178">
            <v>216</v>
          </cell>
        </row>
        <row r="179">
          <cell r="C179">
            <v>1003</v>
          </cell>
        </row>
        <row r="180">
          <cell r="C180">
            <v>1012</v>
          </cell>
        </row>
        <row r="181">
          <cell r="C181">
            <v>1013</v>
          </cell>
        </row>
        <row r="182">
          <cell r="C182">
            <v>222</v>
          </cell>
        </row>
        <row r="183">
          <cell r="C183">
            <v>223</v>
          </cell>
        </row>
        <row r="184">
          <cell r="C184">
            <v>224</v>
          </cell>
        </row>
        <row r="185">
          <cell r="C185">
            <v>225</v>
          </cell>
        </row>
        <row r="186">
          <cell r="C186">
            <v>226</v>
          </cell>
        </row>
        <row r="187">
          <cell r="C187">
            <v>1015</v>
          </cell>
        </row>
        <row r="188">
          <cell r="C188">
            <v>228</v>
          </cell>
        </row>
        <row r="189">
          <cell r="C189">
            <v>1018</v>
          </cell>
        </row>
        <row r="190">
          <cell r="C190">
            <v>230</v>
          </cell>
        </row>
        <row r="191">
          <cell r="C191">
            <v>231</v>
          </cell>
        </row>
        <row r="192">
          <cell r="C192">
            <v>232</v>
          </cell>
        </row>
        <row r="193">
          <cell r="C193">
            <v>234</v>
          </cell>
        </row>
        <row r="194">
          <cell r="C194">
            <v>235</v>
          </cell>
        </row>
        <row r="195">
          <cell r="C195">
            <v>1028</v>
          </cell>
        </row>
        <row r="196">
          <cell r="C196">
            <v>239</v>
          </cell>
        </row>
        <row r="197">
          <cell r="C197">
            <v>240</v>
          </cell>
        </row>
        <row r="198">
          <cell r="C198">
            <v>1031</v>
          </cell>
        </row>
        <row r="199">
          <cell r="C199">
            <v>242</v>
          </cell>
        </row>
        <row r="200">
          <cell r="C200">
            <v>243</v>
          </cell>
        </row>
        <row r="201">
          <cell r="C201">
            <v>244</v>
          </cell>
        </row>
        <row r="202">
          <cell r="C202">
            <v>1036</v>
          </cell>
        </row>
        <row r="203">
          <cell r="C203">
            <v>1037</v>
          </cell>
        </row>
        <row r="204">
          <cell r="C204">
            <v>2007</v>
          </cell>
        </row>
        <row r="205">
          <cell r="C205">
            <v>2008</v>
          </cell>
        </row>
        <row r="206">
          <cell r="C206">
            <v>2010</v>
          </cell>
        </row>
        <row r="207">
          <cell r="C207">
            <v>2012</v>
          </cell>
        </row>
        <row r="208">
          <cell r="C208">
            <v>253</v>
          </cell>
        </row>
        <row r="209">
          <cell r="C209">
            <v>255</v>
          </cell>
        </row>
        <row r="210">
          <cell r="C210">
            <v>256</v>
          </cell>
        </row>
        <row r="211">
          <cell r="C211">
            <v>2016</v>
          </cell>
        </row>
        <row r="212">
          <cell r="C212">
            <v>2018</v>
          </cell>
        </row>
        <row r="213">
          <cell r="C213">
            <v>2019</v>
          </cell>
        </row>
        <row r="214">
          <cell r="C214">
            <v>262</v>
          </cell>
        </row>
        <row r="215">
          <cell r="C215">
            <v>263</v>
          </cell>
        </row>
        <row r="216">
          <cell r="C216">
            <v>266</v>
          </cell>
        </row>
        <row r="217">
          <cell r="C217">
            <v>267</v>
          </cell>
        </row>
        <row r="218">
          <cell r="C218">
            <v>268</v>
          </cell>
        </row>
        <row r="219">
          <cell r="C219">
            <v>269</v>
          </cell>
        </row>
        <row r="220">
          <cell r="C220">
            <v>270</v>
          </cell>
        </row>
        <row r="221">
          <cell r="C221">
            <v>271</v>
          </cell>
        </row>
        <row r="222">
          <cell r="C222">
            <v>272</v>
          </cell>
        </row>
        <row r="223">
          <cell r="C223">
            <v>273</v>
          </cell>
        </row>
        <row r="224">
          <cell r="C224">
            <v>2022</v>
          </cell>
        </row>
        <row r="225">
          <cell r="C225">
            <v>276</v>
          </cell>
        </row>
        <row r="226">
          <cell r="C226">
            <v>277</v>
          </cell>
        </row>
        <row r="227">
          <cell r="C227">
            <v>2026</v>
          </cell>
        </row>
        <row r="228">
          <cell r="C228">
            <v>279</v>
          </cell>
        </row>
        <row r="229">
          <cell r="C229">
            <v>280</v>
          </cell>
        </row>
        <row r="230">
          <cell r="C230">
            <v>2027</v>
          </cell>
        </row>
        <row r="231">
          <cell r="C231">
            <v>282</v>
          </cell>
        </row>
        <row r="232">
          <cell r="C232">
            <v>283</v>
          </cell>
        </row>
        <row r="233">
          <cell r="C233">
            <v>284</v>
          </cell>
        </row>
        <row r="234">
          <cell r="C234">
            <v>285</v>
          </cell>
        </row>
        <row r="235">
          <cell r="C235">
            <v>287</v>
          </cell>
        </row>
        <row r="236">
          <cell r="C236">
            <v>288</v>
          </cell>
        </row>
        <row r="237">
          <cell r="C237">
            <v>289</v>
          </cell>
        </row>
        <row r="238">
          <cell r="C238">
            <v>290</v>
          </cell>
        </row>
        <row r="239">
          <cell r="C239">
            <v>2032</v>
          </cell>
        </row>
        <row r="240">
          <cell r="C240">
            <v>2037</v>
          </cell>
        </row>
        <row r="241">
          <cell r="C241">
            <v>295</v>
          </cell>
        </row>
        <row r="242">
          <cell r="C242">
            <v>296</v>
          </cell>
        </row>
        <row r="243">
          <cell r="C243">
            <v>297</v>
          </cell>
        </row>
        <row r="244">
          <cell r="C244">
            <v>2040</v>
          </cell>
        </row>
        <row r="245">
          <cell r="C245">
            <v>2042</v>
          </cell>
        </row>
        <row r="246">
          <cell r="C246">
            <v>2045</v>
          </cell>
        </row>
        <row r="247">
          <cell r="C247">
            <v>2046</v>
          </cell>
        </row>
        <row r="248">
          <cell r="C248">
            <v>2047</v>
          </cell>
        </row>
        <row r="249">
          <cell r="C249">
            <v>303</v>
          </cell>
        </row>
        <row r="250">
          <cell r="C250">
            <v>2052</v>
          </cell>
        </row>
        <row r="251">
          <cell r="C251">
            <v>305</v>
          </cell>
        </row>
        <row r="252">
          <cell r="C252">
            <v>306</v>
          </cell>
        </row>
        <row r="253">
          <cell r="C253">
            <v>307</v>
          </cell>
        </row>
        <row r="254">
          <cell r="C254">
            <v>308</v>
          </cell>
        </row>
        <row r="255">
          <cell r="C255">
            <v>310</v>
          </cell>
        </row>
        <row r="256">
          <cell r="C256">
            <v>311</v>
          </cell>
        </row>
        <row r="257">
          <cell r="C257">
            <v>312</v>
          </cell>
        </row>
        <row r="258">
          <cell r="C258">
            <v>313</v>
          </cell>
        </row>
        <row r="259">
          <cell r="C259">
            <v>315</v>
          </cell>
        </row>
        <row r="260">
          <cell r="C260">
            <v>316</v>
          </cell>
        </row>
        <row r="261">
          <cell r="C261">
            <v>317</v>
          </cell>
        </row>
        <row r="262">
          <cell r="C262">
            <v>319</v>
          </cell>
        </row>
        <row r="263">
          <cell r="C263">
            <v>320</v>
          </cell>
        </row>
        <row r="264">
          <cell r="C264">
            <v>321</v>
          </cell>
        </row>
        <row r="265">
          <cell r="C265">
            <v>322</v>
          </cell>
        </row>
        <row r="266">
          <cell r="C266">
            <v>323</v>
          </cell>
        </row>
        <row r="267">
          <cell r="C267">
            <v>324</v>
          </cell>
        </row>
        <row r="268">
          <cell r="C268">
            <v>1001</v>
          </cell>
        </row>
        <row r="269">
          <cell r="C269">
            <v>7</v>
          </cell>
        </row>
        <row r="270">
          <cell r="C270">
            <v>114</v>
          </cell>
        </row>
        <row r="271">
          <cell r="C271">
            <v>1004</v>
          </cell>
        </row>
        <row r="272">
          <cell r="C272">
            <v>1006</v>
          </cell>
        </row>
        <row r="273">
          <cell r="C273">
            <v>241</v>
          </cell>
        </row>
        <row r="274">
          <cell r="C274">
            <v>2030</v>
          </cell>
        </row>
        <row r="275">
          <cell r="C275">
            <v>1009</v>
          </cell>
        </row>
        <row r="276">
          <cell r="C276">
            <v>1010</v>
          </cell>
        </row>
        <row r="277">
          <cell r="C277">
            <v>1011</v>
          </cell>
        </row>
        <row r="278">
          <cell r="C278">
            <v>2</v>
          </cell>
        </row>
        <row r="279">
          <cell r="C279">
            <v>4</v>
          </cell>
        </row>
        <row r="280">
          <cell r="C280">
            <v>21</v>
          </cell>
        </row>
        <row r="281">
          <cell r="C281">
            <v>1016</v>
          </cell>
        </row>
        <row r="282">
          <cell r="C282">
            <v>1017</v>
          </cell>
        </row>
        <row r="283">
          <cell r="C283">
            <v>247</v>
          </cell>
        </row>
        <row r="284">
          <cell r="C284">
            <v>252</v>
          </cell>
        </row>
        <row r="285">
          <cell r="C285">
            <v>1022</v>
          </cell>
        </row>
        <row r="286">
          <cell r="C286">
            <v>1023</v>
          </cell>
        </row>
        <row r="287">
          <cell r="C287">
            <v>1027</v>
          </cell>
        </row>
        <row r="288">
          <cell r="C288">
            <v>257</v>
          </cell>
        </row>
        <row r="289">
          <cell r="C289">
            <v>1029</v>
          </cell>
        </row>
        <row r="290">
          <cell r="C290">
            <v>260</v>
          </cell>
        </row>
        <row r="291">
          <cell r="C291">
            <v>261</v>
          </cell>
        </row>
        <row r="292">
          <cell r="C292">
            <v>1032</v>
          </cell>
        </row>
        <row r="293">
          <cell r="C293">
            <v>1033</v>
          </cell>
        </row>
        <row r="294">
          <cell r="C294">
            <v>1034</v>
          </cell>
        </row>
        <row r="295">
          <cell r="C295">
            <v>1035</v>
          </cell>
        </row>
        <row r="296">
          <cell r="C296">
            <v>2011</v>
          </cell>
        </row>
        <row r="297">
          <cell r="C297">
            <v>65</v>
          </cell>
        </row>
        <row r="298">
          <cell r="C298">
            <v>2001</v>
          </cell>
        </row>
        <row r="299">
          <cell r="C299">
            <v>2002</v>
          </cell>
        </row>
        <row r="300">
          <cell r="C300">
            <v>2003</v>
          </cell>
        </row>
        <row r="301">
          <cell r="C301">
            <v>2004</v>
          </cell>
        </row>
        <row r="302">
          <cell r="C302">
            <v>2005</v>
          </cell>
        </row>
        <row r="303">
          <cell r="C303">
            <v>2006</v>
          </cell>
        </row>
        <row r="304">
          <cell r="C304">
            <v>2049</v>
          </cell>
        </row>
        <row r="305">
          <cell r="C305">
            <v>221</v>
          </cell>
        </row>
        <row r="306">
          <cell r="C306">
            <v>2009</v>
          </cell>
        </row>
        <row r="307">
          <cell r="C307">
            <v>229</v>
          </cell>
        </row>
        <row r="308">
          <cell r="C308">
            <v>238</v>
          </cell>
        </row>
        <row r="309">
          <cell r="C309">
            <v>245</v>
          </cell>
        </row>
        <row r="310">
          <cell r="C310">
            <v>2013</v>
          </cell>
        </row>
        <row r="311">
          <cell r="C311">
            <v>2014</v>
          </cell>
        </row>
        <row r="312">
          <cell r="C312">
            <v>2015</v>
          </cell>
        </row>
        <row r="313">
          <cell r="C313">
            <v>249</v>
          </cell>
        </row>
        <row r="314">
          <cell r="C314">
            <v>2017</v>
          </cell>
        </row>
        <row r="315">
          <cell r="C315">
            <v>250</v>
          </cell>
        </row>
        <row r="316">
          <cell r="C316">
            <v>251</v>
          </cell>
        </row>
        <row r="317">
          <cell r="C317">
            <v>2020</v>
          </cell>
        </row>
        <row r="318">
          <cell r="C318">
            <v>2021</v>
          </cell>
        </row>
        <row r="319">
          <cell r="C319">
            <v>275</v>
          </cell>
        </row>
        <row r="320">
          <cell r="C320">
            <v>2023</v>
          </cell>
        </row>
        <row r="321">
          <cell r="C321">
            <v>2024</v>
          </cell>
        </row>
        <row r="322">
          <cell r="C322">
            <v>2025</v>
          </cell>
        </row>
        <row r="323">
          <cell r="C323">
            <v>278</v>
          </cell>
        </row>
        <row r="324">
          <cell r="C324">
            <v>281</v>
          </cell>
        </row>
        <row r="325">
          <cell r="C325">
            <v>2028</v>
          </cell>
        </row>
        <row r="326">
          <cell r="C326">
            <v>2029</v>
          </cell>
        </row>
        <row r="327">
          <cell r="C327">
            <v>298</v>
          </cell>
        </row>
        <row r="328">
          <cell r="C328">
            <v>2031</v>
          </cell>
        </row>
        <row r="329">
          <cell r="C329">
            <v>299</v>
          </cell>
        </row>
        <row r="330">
          <cell r="C330">
            <v>2033</v>
          </cell>
        </row>
        <row r="331">
          <cell r="C331">
            <v>2034</v>
          </cell>
        </row>
        <row r="332">
          <cell r="C332">
            <v>2035</v>
          </cell>
        </row>
        <row r="333">
          <cell r="C333">
            <v>2036</v>
          </cell>
        </row>
        <row r="334">
          <cell r="C334">
            <v>300</v>
          </cell>
        </row>
        <row r="335">
          <cell r="C335">
            <v>302</v>
          </cell>
        </row>
        <row r="336">
          <cell r="C336">
            <v>2039</v>
          </cell>
        </row>
        <row r="337">
          <cell r="C337">
            <v>304</v>
          </cell>
        </row>
        <row r="338">
          <cell r="C338">
            <v>2041</v>
          </cell>
        </row>
        <row r="339">
          <cell r="C339">
            <v>1007</v>
          </cell>
        </row>
        <row r="340">
          <cell r="C340">
            <v>2043</v>
          </cell>
        </row>
        <row r="341">
          <cell r="C341">
            <v>2044</v>
          </cell>
        </row>
        <row r="342">
          <cell r="C342">
            <v>1008</v>
          </cell>
        </row>
        <row r="343">
          <cell r="C343">
            <v>1021</v>
          </cell>
        </row>
        <row r="344">
          <cell r="C344">
            <v>1030</v>
          </cell>
        </row>
        <row r="345">
          <cell r="C345">
            <v>2048</v>
          </cell>
        </row>
        <row r="346">
          <cell r="C346">
            <v>2038</v>
          </cell>
        </row>
        <row r="347">
          <cell r="C347">
            <v>2050</v>
          </cell>
        </row>
        <row r="348">
          <cell r="C348">
            <v>2051</v>
          </cell>
        </row>
        <row r="349">
          <cell r="C349">
            <v>127</v>
          </cell>
        </row>
      </sheetData>
      <sheetData sheetId="389"/>
      <sheetData sheetId="39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契約期間"/>
      <sheetName val="別紙1-1）客室提供条件"/>
      <sheetName val="別紙1-2）ファンクションルーム提供条件（確保する場合）"/>
      <sheetName val="別表"/>
      <sheetName val="会場形態"/>
    </sheetNames>
    <sheetDataSet>
      <sheetData sheetId="0"/>
      <sheetData sheetId="1">
        <row r="2">
          <cell r="C2" t="str">
            <v>平野屋</v>
          </cell>
        </row>
      </sheetData>
      <sheetData sheetId="2"/>
      <sheetData sheetId="3"/>
      <sheetData sheetId="4">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入力"/>
      <sheetName val="表紙"/>
      <sheetName val="Ａ・Ｂ代価"/>
      <sheetName val="Ｃ代価"/>
      <sheetName val="Ｄ代価"/>
      <sheetName val="Ｅ代価"/>
      <sheetName val="Ｆ代価"/>
    </sheetNames>
    <sheetDataSet>
      <sheetData sheetId="0">
        <row r="4">
          <cell r="G4">
            <v>250</v>
          </cell>
        </row>
        <row r="5">
          <cell r="G5">
            <v>238.2</v>
          </cell>
        </row>
        <row r="6">
          <cell r="G6">
            <v>236.4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W概算"/>
      <sheetName val="CW概略図"/>
      <sheetName val="CW施工日数"/>
      <sheetName val="mst"/>
      <sheetName val="mst_CW桝"/>
      <sheetName val="mst_規格"/>
      <sheetName val="mst_労務"/>
      <sheetName val="mst_営業所"/>
      <sheetName val="mst_物価版"/>
    </sheetNames>
    <sheetDataSet>
      <sheetData sheetId="0"/>
      <sheetData sheetId="1"/>
      <sheetData sheetId="2"/>
      <sheetData sheetId="3" refreshError="1"/>
      <sheetData sheetId="4" refreshError="1"/>
      <sheetData sheetId="5">
        <row r="13">
          <cell r="AM13">
            <v>0.1</v>
          </cell>
          <cell r="AN13">
            <v>0.1</v>
          </cell>
          <cell r="AO13">
            <v>0.7</v>
          </cell>
          <cell r="AP13">
            <v>0.5</v>
          </cell>
        </row>
        <row r="14">
          <cell r="AM14">
            <v>0.1</v>
          </cell>
          <cell r="AN14">
            <v>0.1</v>
          </cell>
          <cell r="AO14">
            <v>0.7</v>
          </cell>
          <cell r="AP14">
            <v>0.5</v>
          </cell>
        </row>
        <row r="15">
          <cell r="AM15">
            <v>0.1</v>
          </cell>
          <cell r="AN15">
            <v>0.1</v>
          </cell>
          <cell r="AO15">
            <v>0.8</v>
          </cell>
          <cell r="AP15">
            <v>0.6</v>
          </cell>
        </row>
        <row r="16">
          <cell r="AM16">
            <v>0.1</v>
          </cell>
          <cell r="AN16">
            <v>0.1</v>
          </cell>
          <cell r="AO16">
            <v>0.9</v>
          </cell>
          <cell r="AP16">
            <v>0.7</v>
          </cell>
        </row>
        <row r="17">
          <cell r="AM17">
            <v>0.1</v>
          </cell>
          <cell r="AN17">
            <v>0.1</v>
          </cell>
          <cell r="AO17">
            <v>0.7</v>
          </cell>
          <cell r="AP17">
            <v>0.5</v>
          </cell>
        </row>
      </sheetData>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経営企画課"/>
      <sheetName val="人事"/>
      <sheetName val="調整"/>
      <sheetName val="ﾏｰｹﾃｨﾝｸﾞ"/>
      <sheetName val="国際"/>
      <sheetName val="競技一・二"/>
      <sheetName val="宿泊"/>
      <sheetName val="計画一"/>
      <sheetName val="計画二"/>
      <sheetName val="情報ｼｽﾃﾑ"/>
      <sheetName val="マスタ"/>
      <sheetName val="検算"/>
      <sheetName val="全体一覧表(アジア)"/>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persons/person.xml><?xml version="1.0" encoding="utf-8"?>
<personList xmlns="http://schemas.microsoft.com/office/spreadsheetml/2018/threadedcomments" xmlns:x="http://schemas.openxmlformats.org/spreadsheetml/2006/main">
  <person displayName="松本　英朗" id="{6705BB3D-F82C-40F2-937A-E6FFA71675EA}" userId="松本　英朗" providerId="None"/>
  <person displayName="松雄 裕太" id="{0DD6FC0F-31B7-49BC-9F4E-C70EFBF81CA6}" userId="yuta_matsuo@aichi-nagoya2026.org" providerId="PeoplePicker"/>
  <person displayName="岩井 綾野" id="{05787528-E3FE-4FD5-9C2B-98CD0D4D7335}" userId="S::ayano_iwai@aichi-nagoya2026.org::94087cf1-af47-4bcc-bc19-fe4a19c11497" providerId="AD"/>
  <person displayName="松雄 裕太" id="{DC676327-E4E6-41BD-90AE-D57E535F021A}" userId="S::yuta_matsuo@aichi-nagoya2026.org::ff9e0476-a932-46c2-afbb-3727b067d41a" providerId="AD"/>
  <person displayName="中野 翔太" id="{A2E967DB-A7F8-4925-A770-5D76E221162B}" userId="S::shota_nakano@aichi-nagoya2026.org::201ff949-2d2a-4c3b-b9af-f2d31cbabd38" providerId="AD"/>
  <person displayName="西田 菜月" id="{872AFEEC-E756-4B21-8F75-95BC5E20705E}" userId="S::natsuki_nishida@aichi-nagoya2026.org::2e60dd1c-2af5-4bae-aaf1-e9fd85bb53ab"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G2" dT="2025-02-19T11:37:02.57" personId="{6705BB3D-F82C-40F2-937A-E6FFA71675EA}" id="{B3475308-584A-4AE3-B0BF-39319C5F8E56}">
    <text>正確には1/20シミュを基にした財政見通し資料（1/22版）のResultsシートを参照</text>
  </threadedComment>
  <threadedComment ref="FP2" dT="2025-02-19T11:37:02.57" personId="{6705BB3D-F82C-40F2-937A-E6FFA71675EA}" id="{E602FF51-00CB-4F4C-9E01-F034330E3494}">
    <text>正確には1/20シミュを基にした財政見通し資料（1/22版）のResultsシートを参照</text>
  </threadedComment>
  <threadedComment ref="AZ6" dT="2025-02-19T11:49:15.72" personId="{6705BB3D-F82C-40F2-937A-E6FFA71675EA}" id="{0FF307A7-158D-4D43-B268-F1D896755B80}">
    <text>日によって人数に幅があるのでこの考え方だとかなり多くなってしまいます。要検討です。一旦仮で計算はしてあります。
考えられるパターンとしては、１人あたり平均単価に全日の人数合計を掛ける感じでしょうか？便宜的ですが。</text>
  </threadedComment>
  <threadedComment ref="BA6" dT="2025-02-19T11:49:15.72" personId="{6705BB3D-F82C-40F2-937A-E6FFA71675EA}" id="{EE7EE60A-6481-4EFE-8287-BF440E9AD148}">
    <text>日によって人数に幅があるのでこの考え方だとかなり多くなってしまいます。要検討です。一旦仮で計算はしてあります。
考えられるパターンとしては、１人あたり平均単価に全日の人数合計を掛ける感じでしょうか？便宜的ですが。</text>
  </threadedComment>
  <threadedComment ref="GC6" dT="2025-02-19T11:49:15.72" personId="{6705BB3D-F82C-40F2-937A-E6FFA71675EA}" id="{750065AE-2E8A-414B-A3FA-6237089E5F86}">
    <text>日によって人数に幅があるのでこの考え方だとかなり多くなってしまいます。要検討です。一旦仮で計算はしてあります。
考えられるパターンとしては、１人あたり平均単価に全日の人数合計を掛ける感じでしょうか？便宜的ですが。</text>
  </threadedComment>
  <threadedComment ref="GD6" dT="2025-02-19T11:49:15.72" personId="{6705BB3D-F82C-40F2-937A-E6FFA71675EA}" id="{05591143-19A7-4BB4-8597-F777146287E3}">
    <text>日によって人数に幅があるのでこの考え方だとかなり多くなってしまいます。要検討です。一旦仮で計算はしてあります。
考えられるパターンとしては、１人あたり平均単価に全日の人数合計を掛ける感じでしょうか？便宜的ですが。</text>
  </threadedComment>
  <threadedComment ref="AS9" dT="2025-02-19T11:40:20.66" personId="{6705BB3D-F82C-40F2-937A-E6FFA71675EA}" id="{E6E3DA75-80AC-4450-B518-A89CAAA264B4}">
    <text>×客室１室あたり平均単価　○１人あたり平均単価</text>
  </threadedComment>
  <threadedComment ref="BA9" dT="2025-04-15T09:21:48.08" personId="{6705BB3D-F82C-40F2-937A-E6FFA71675EA}" id="{B8A109EC-C0B8-457C-A210-4CA3BD5A7C36}">
    <text>ファンクションは泊数ではなく日数のため、＋0.5日足して計算</text>
  </threadedComment>
  <threadedComment ref="BM9" dT="2025-06-19T02:59:29.22" personId="{6705BB3D-F82C-40F2-937A-E6FFA71675EA}" id="{CE9FFD10-C6FB-4C5B-A7FB-4B7C31EE05A0}">
    <text>フロア数で仮定。なお棟が別の建物の客室フロア設置分は選手の目に触れないため考えないというような考え方。棟が別でも共用部であれば該当するような考え方ではあるが、そこまで想定の精度は高くない</text>
  </threadedComment>
  <threadedComment ref="BN9" dT="2025-06-19T02:15:33.80" personId="{6705BB3D-F82C-40F2-937A-E6FFA71675EA}" id="{869F42D1-8EAE-4B0B-ADB9-4044D013128E}">
    <text>一棟貸し等による営業補償と被る場合は積算せず</text>
  </threadedComment>
  <threadedComment ref="DX9" dT="2025-04-15T09:21:48.08" personId="{6705BB3D-F82C-40F2-937A-E6FFA71675EA}" id="{A4AD1D6E-4D0F-4849-B415-997EDE415F0E}">
    <text>ファンクションは泊数ではなく日数のため、＋0.5日足して計算</text>
  </threadedComment>
  <threadedComment ref="FV9" dT="2025-02-19T11:40:20.66" personId="{6705BB3D-F82C-40F2-937A-E6FFA71675EA}" id="{3D362FB7-4BB0-46CA-B515-B3C873DD1AF8}">
    <text>×客室１室あたり平均単価　○１人あたり平均単価</text>
  </threadedComment>
  <threadedComment ref="GD9" dT="2025-04-15T09:21:48.08" personId="{6705BB3D-F82C-40F2-937A-E6FFA71675EA}" id="{5638029F-B005-46DE-BDB5-2A79938BC2AA}">
    <text>ファンクションは泊数ではなく日数のため、＋0.5日足して計算</text>
  </threadedComment>
  <threadedComment ref="GP9" dT="2025-06-19T02:59:29.22" personId="{6705BB3D-F82C-40F2-937A-E6FFA71675EA}" id="{84177927-A8FC-45D4-9864-DDDE12E87FE9}">
    <text>フロア数で仮定。なお棟が別の建物の客室フロア設置分は選手の目に触れないため考えないというような考え方。棟が別でも共用部であれば該当するような考え方ではあるが、そこまで想定の精度は高くない</text>
  </threadedComment>
  <threadedComment ref="GQ9" dT="2025-06-19T02:15:33.80" personId="{6705BB3D-F82C-40F2-937A-E6FFA71675EA}" id="{3A761293-1010-4CC5-A574-AED069A3F561}">
    <text>一棟貸し等による営業補償と被る場合は積算せず</text>
  </threadedComment>
  <threadedComment ref="IU9" dT="2025-02-19T11:40:20.66" personId="{6705BB3D-F82C-40F2-937A-E6FFA71675EA}" id="{FEE5BCC1-A8E4-4900-901E-0982F2DB9E5B}">
    <text>×客室１室あたり平均単価　○１人あたり平均単価</text>
  </threadedComment>
  <threadedComment ref="CN11" dT="2024-09-25T03:33:52.13" personId="{DC676327-E4E6-41BD-90AE-D57E535F021A}" id="{816EC7F4-40B4-49D6-9067-A71A21AA764F}">
    <text>競技日程変更前提</text>
  </threadedComment>
  <threadedComment ref="DI11" dT="2024-09-25T03:33:52.13" personId="{DC676327-E4E6-41BD-90AE-D57E535F021A}" id="{3DB39A08-AC6E-4424-94E5-EFCFF90638F4}">
    <text>競技日程変更前提</text>
  </threadedComment>
  <threadedComment ref="HO11" dT="2024-09-25T03:33:52.13" personId="{DC676327-E4E6-41BD-90AE-D57E535F021A}" id="{981EE3C1-EC4E-4D23-8263-8F5B7318D839}">
    <text>競技日程変更前提</text>
  </threadedComment>
  <threadedComment ref="HP11" dT="2024-09-25T03:33:52.13" personId="{DC676327-E4E6-41BD-90AE-D57E535F021A}" id="{FAAC7187-883B-498F-8937-05E605EA5C03}">
    <text>競技日程変更前提</text>
  </threadedComment>
  <threadedComment ref="HQ11" dT="2024-09-25T03:34:07.64" personId="{DC676327-E4E6-41BD-90AE-D57E535F021A}" id="{B8745179-C8B9-491D-B6E1-6A5D2BEFF3D2}">
    <text>競技日程変更前提</text>
  </threadedComment>
  <threadedComment ref="IJ11" dT="2024-09-25T03:33:52.13" personId="{DC676327-E4E6-41BD-90AE-D57E535F021A}" id="{B7C75C0C-0C76-478C-A1E1-AA82FCA74E1F}">
    <text>競技日程変更前提</text>
  </threadedComment>
  <threadedComment ref="F36" dT="2024-09-20T07:30:48.14" personId="{DC676327-E4E6-41BD-90AE-D57E535F021A}" id="{80E1BC6F-BBC4-4A9D-A31C-AE486010BE4B}">
    <text>【渉外G】
フルボード提供必須の場合、満室受入れ難しい。客室提供はFNBサポート次第。７月末を目途に何室提供可能か返答をもらうことになっている。（回答はまだ不明）</text>
  </threadedComment>
  <threadedComment ref="F36" dT="2024-09-20T07:31:16.03" personId="{DC676327-E4E6-41BD-90AE-D57E535F021A}" id="{9ED2238A-6696-46F9-B1D0-C5D84B4EB819}" parentId="{80E1BC6F-BBC4-4A9D-A31C-AE486010BE4B}">
    <text>感触的にはどうか？ニッコースタイルやJALシティに振り替えたほうが良いか？</text>
  </threadedComment>
  <threadedComment ref="F36" dT="2024-09-20T07:56:15.28" personId="{872AFEEC-E756-4B21-8F75-95BC5E20705E}" id="{CDD778CF-6483-410B-9ECA-71CA628D9976}" parentId="{80E1BC6F-BBC4-4A9D-A31C-AE486010BE4B}">
    <text>@松雄 裕太 
JTB経由でベッセルへ提供客室数の催促していますが、返事がありません。
引き続き催促はします。
ニッコースタイルは、食事に対して反応がかなり渋かったですが選手不可とは言われていませんので可能性はありです。ここもFNBのサポート次第（どこまでホテルのレベルに寄り添えるか次第）です。
なお、グリーンリッチですが９月〆切を目途に今見積依頼中で10月中には使用するかしないか返事がほしいと言われています。キャパが少ないため、シミュレーションからは敬遠されているのかと思いますが選手団受入れに大変好意的で飲食も他の名古屋市内の施設に比較するとこちらの求めるレベルを完璧にするのは無理とのことでしたがある程度対応できるといわれましたので、使う方向でいってほしいと思います。</text>
    <mentions>
      <mention mentionpersonId="{0DD6FC0F-31B7-49BC-9F4E-C70EFBF81CA6}" mentionId="{108C02D5-1BDC-44E8-AF1C-BF28A07889AE}" startIndex="0" length="6"/>
    </mentions>
  </threadedComment>
  <threadedComment ref="F36" dT="2024-09-23T23:51:36.90" personId="{A2E967DB-A7F8-4925-A770-5D76E221162B}" id="{A6993D46-8037-4B21-8DE7-1DEEF8819E68}" parentId="{80E1BC6F-BBC4-4A9D-A31C-AE486010BE4B}">
    <text>継続。</text>
  </threadedComment>
  <threadedComment ref="H36" dT="2025-01-17T09:00:52.47" personId="{05787528-E3FE-4FD5-9C2B-98CD0D4D7335}" id="{3EFB37A3-93E2-4F4F-A481-51513CBB80CE}">
    <text>400戸と仮定
1室4名収容の場合、1600人収容
内300人分をNOC本部スタッフが使用することを想定</text>
  </threadedComment>
  <threadedComment ref="IR50" dT="2025-04-07T05:49:49.11" personId="{6705BB3D-F82C-40F2-937A-E6FFA71675EA}" id="{2AA93280-0F3B-48AE-90B0-34E48B44E356}">
    <text>1031財政見通しではシミュレーションに入っておらず積算なし</text>
  </threadedComment>
  <threadedComment ref="IX50" dT="2025-04-07T05:49:55.89" personId="{6705BB3D-F82C-40F2-937A-E6FFA71675EA}" id="{99C6AD61-0B8C-4431-97E7-3F03A32777BF}">
    <text>1031財政見通しではシミュレーションに入っておらず積算なし</text>
  </threadedComment>
  <threadedComment ref="IZ50" dT="2025-04-07T05:49:49.11" personId="{6705BB3D-F82C-40F2-937A-E6FFA71675EA}" id="{A6465ABF-9883-41BF-A137-4518F224A6D4}">
    <text>1031財政見通しではシミュレーションに入っておらず積算なし</text>
  </threadedComment>
  <threadedComment ref="JA50" dT="2025-04-07T05:49:49.11" personId="{6705BB3D-F82C-40F2-937A-E6FFA71675EA}" id="{B30826BA-0308-46BF-834C-70F891D8A0AA}">
    <text>1031財政見通しではシミュレーションに入っておらず積算なし</text>
  </threadedComment>
  <threadedComment ref="IR58" dT="2025-04-07T05:49:49.11" personId="{6705BB3D-F82C-40F2-937A-E6FFA71675EA}" id="{DB689F6A-F3D7-4F26-8BE4-480A6906AA42}">
    <text>1031財政見通しではシミュレーションに入っておらず積算なし</text>
  </threadedComment>
  <threadedComment ref="IX58" dT="2025-04-07T05:49:55.89" personId="{6705BB3D-F82C-40F2-937A-E6FFA71675EA}" id="{6FDDABA0-A5E5-41B1-A527-A780AE8DD751}">
    <text>1031財政見通しではシミュレーションに入っておらず積算なし</text>
  </threadedComment>
  <threadedComment ref="IZ58" dT="2025-04-07T05:49:49.11" personId="{6705BB3D-F82C-40F2-937A-E6FFA71675EA}" id="{C729784A-7047-46F3-A8E2-0CC081D9B109}">
    <text>1031財政見通しではシミュレーションに入っておらず積算なし</text>
  </threadedComment>
  <threadedComment ref="JA58" dT="2025-04-07T05:49:49.11" personId="{6705BB3D-F82C-40F2-937A-E6FFA71675EA}" id="{F47D73A7-1C58-4B33-BFA1-4260CF58C031}">
    <text>1031財政見通しではシミュレーションに入っておらず積算なし</text>
  </threadedComment>
  <threadedComment ref="GA72" dT="2025-02-19T11:30:19.69" personId="{6705BB3D-F82C-40F2-937A-E6FFA71675EA}" id="{0F053B84-7317-4CFC-A095-5B0506513B3A}">
    <text>以前のシミュレーションのものがそのまま残っている（変動なし）ためそのまま参照</text>
  </threadedComment>
  <threadedComment ref="GA72" dT="2025-04-11T06:07:21.43" personId="{6705BB3D-F82C-40F2-937A-E6FFA71675EA}" id="{8280ADE1-FF2C-450E-B0EF-58EF808B5B56}" parentId="{0F053B84-7317-4CFC-A095-5B0506513B3A}">
    <text>これ要らない？</text>
  </threadedComment>
  <threadedComment ref="BB74" dT="2025-06-24T00:38:29.44" personId="{6705BB3D-F82C-40F2-937A-E6FFA71675EA}" id="{EBFBB23C-D3E6-4432-8245-916F660C984F}">
    <text>仮設厨房</text>
  </threadedComment>
  <threadedComment ref="DY74" dT="2025-06-24T00:38:29.44" personId="{6705BB3D-F82C-40F2-937A-E6FFA71675EA}" id="{329B0DC6-1C07-4494-99D3-D6CD4BAA0CB0}">
    <text>仮設厨房</text>
  </threadedComment>
  <threadedComment ref="GI74" dT="2025-06-24T00:38:29.44" personId="{6705BB3D-F82C-40F2-937A-E6FFA71675EA}" id="{59C4840B-FE39-4E01-BFBF-2A0CC2BAA07F}">
    <text>仮設厨房</text>
  </threadedComment>
  <threadedComment ref="BB81" dT="2025-08-27T10:42:36.24" personId="{6705BB3D-F82C-40F2-937A-E6FFA71675EA}" id="{5D6FEDEF-2C2A-4905-B0F8-F0154C979923}">
    <text>仮設厨房</text>
  </threadedComment>
  <threadedComment ref="DY81" dT="2025-08-27T10:42:36.24" personId="{6705BB3D-F82C-40F2-937A-E6FFA71675EA}" id="{7CAFDC26-EAA8-4639-B3F3-D899274F59AC}">
    <text>仮設厨房</text>
  </threadedComment>
  <threadedComment ref="GI81" dT="2025-06-24T00:38:37.93" personId="{6705BB3D-F82C-40F2-937A-E6FFA71675EA}" id="{EEB3F32E-857E-4069-87AA-5C99A60A0AAC}">
    <text>仮設厨房</text>
  </threadedComment>
  <threadedComment ref="AO85" dT="2025-09-02T02:25:13.48" personId="{6705BB3D-F82C-40F2-937A-E6FFA71675EA}" id="{05D7E6F5-1FC0-4121-8406-D74CD443BC94}">
    <text>仮置き、実際は交渉中</text>
  </threadedComment>
  <threadedComment ref="F89" dT="2024-09-20T07:35:27.26" personId="{DC676327-E4E6-41BD-90AE-D57E535F021A}" id="{DFB5791A-AD6E-4671-8E50-5ACE2BB5EBFA}">
    <text>【渉外】
食事の提供数について難色。人的、物的サポートは必須。その前提で前向きに検討はしてもらっている</text>
  </threadedComment>
  <threadedComment ref="F89" dT="2024-09-20T07:35:46.18" personId="{DC676327-E4E6-41BD-90AE-D57E535F021A}" id="{5BCC1F5D-4CFC-4E14-B858-D42C0CE36E48}" parentId="{DFB5791A-AD6E-4671-8E50-5ACE2BB5EBFA}">
    <text>このままハイブリッド方式て検討を進めてよいか？</text>
  </threadedComment>
  <threadedComment ref="F89" dT="2024-09-20T08:10:31.30" personId="{6705BB3D-F82C-40F2-937A-E6FFA71675EA}" id="{6E1CBDD3-69D3-4A04-A0CA-CC7D441E09FD}" parentId="{DFB5791A-AD6E-4671-8E50-5ACE2BB5EBFA}">
    <text>【継続】
グランドティアラ的には、一応なんとか700食くらい提供できるように前向きに検討はしてくれている。ただし、機器や人材のサポートは必須。
お金さえあれば大丈夫。
ない場合…は…　ﾖｳｿｳﾀﾞﾝ</text>
  </threadedComment>
  <threadedComment ref="AK89" dT="2025-09-02T02:24:48.07" personId="{6705BB3D-F82C-40F2-937A-E6FFA71675EA}" id="{3854A97B-D7A6-429A-A83D-E8259058D7A1}">
    <text>聞き取りベース</text>
  </threadedComment>
  <threadedComment ref="AM89" dT="2025-09-02T02:24:45.39" personId="{6705BB3D-F82C-40F2-937A-E6FFA71675EA}" id="{1424DEC3-E86A-4D67-B4E9-341060CE522E}">
    <text>聞き取りベース</text>
  </threadedComment>
  <threadedComment ref="AO89" dT="2025-09-02T02:24:42.65" personId="{6705BB3D-F82C-40F2-937A-E6FFA71675EA}" id="{6B2948FE-9B70-494B-A1C5-F350CC0D8E5F}">
    <text>聞き取りベース</text>
  </threadedComment>
  <threadedComment ref="BB89" dT="2025-08-27T10:43:10.78" personId="{6705BB3D-F82C-40F2-937A-E6FFA71675EA}" id="{85B83530-4DE1-4E38-91CF-02A2187F30A9}">
    <text>ハイブリッド方式</text>
  </threadedComment>
  <threadedComment ref="BJ89" dT="2025-12-08T05:43:52.25" personId="{6705BB3D-F82C-40F2-937A-E6FFA71675EA}" id="{454636B2-2692-4B1F-8FA8-C47EDDFFFA12}">
    <text>別紙1-2の積算に合算</text>
  </threadedComment>
  <threadedComment ref="DY89" dT="2025-08-27T10:43:10.78" personId="{6705BB3D-F82C-40F2-937A-E6FFA71675EA}" id="{F9611B3D-D032-4CFE-BFAA-9AF3F0A4B325}">
    <text>ハイブリッド方式</text>
  </threadedComment>
  <threadedComment ref="BB91" dT="2025-08-27T10:43:21.38" personId="{6705BB3D-F82C-40F2-937A-E6FFA71675EA}" id="{FB5DDBF1-9267-4AFA-A3D3-5C40281F9B95}">
    <text>ハイブリッド方式</text>
  </threadedComment>
  <threadedComment ref="DY91" dT="2025-08-27T10:43:21.38" personId="{6705BB3D-F82C-40F2-937A-E6FFA71675EA}" id="{BAB3CA19-07DD-417D-A27C-B0D59B4B252F}">
    <text>ハイブリッド方式</text>
  </threadedComment>
  <threadedComment ref="FY91" dT="2025-02-19T11:52:23.78" personId="{6705BB3D-F82C-40F2-937A-E6FFA71675EA}" id="{E918CCB6-EF1B-4232-987B-093549C1CBC5}">
    <text>注意：数式働いてません。</text>
  </threadedComment>
  <threadedComment ref="FZ91" dT="2025-02-19T11:52:23.78" personId="{6705BB3D-F82C-40F2-937A-E6FFA71675EA}" id="{8CA5B841-AC12-4CC5-B784-AE1AF08C0071}">
    <text>注意：数式働いてません。</text>
  </threadedComment>
  <threadedComment ref="BB93" dT="2025-08-27T10:43:21.38" personId="{6705BB3D-F82C-40F2-937A-E6FFA71675EA}" id="{FF143881-79BA-4AF1-AC87-2A4FE0AC4243}">
    <text>ハイブリッド方式</text>
  </threadedComment>
  <threadedComment ref="DY93" dT="2025-08-27T10:43:21.38" personId="{6705BB3D-F82C-40F2-937A-E6FFA71675EA}" id="{653D7FF3-3BEE-4224-AB54-F9F96F2E2461}">
    <text>ハイブリッド方式</text>
  </threadedComment>
  <threadedComment ref="FY93" dT="2025-02-19T11:52:14.28" personId="{6705BB3D-F82C-40F2-937A-E6FFA71675EA}" id="{429C2722-1D52-4D7D-AAB1-6DA7D8A9D0E6}">
    <text>注意：数式働いてません。</text>
  </threadedComment>
  <threadedComment ref="FZ93" dT="2025-02-19T11:52:20.56" personId="{6705BB3D-F82C-40F2-937A-E6FFA71675EA}" id="{A7B4C612-AB85-410B-9515-19AEBBBF5A52}">
    <text>注意：数式働いてません。</text>
  </threadedComment>
  <threadedComment ref="BB95" dT="2025-08-27T10:43:21.38" personId="{6705BB3D-F82C-40F2-937A-E6FFA71675EA}" id="{7DC88CA1-CF66-4C67-AA66-9FF41BAA0D4E}">
    <text>ハイブリッド方式</text>
  </threadedComment>
  <threadedComment ref="DY95" dT="2025-08-27T10:43:21.38" personId="{6705BB3D-F82C-40F2-937A-E6FFA71675EA}" id="{F6B30331-8E5A-4EA1-988B-72732C8CAE80}">
    <text>ハイブリッド方式</text>
  </threadedComment>
  <threadedComment ref="FS95" dT="2025-04-11T06:44:44.99" personId="{6705BB3D-F82C-40F2-937A-E6FFA71675EA}" id="{278C7279-E8A8-48ED-85FD-053EC69C7B15}">
    <text>フロア貸切マストの場合、8Fの4室6ベッド減ります。</text>
  </threadedComment>
  <threadedComment ref="FU95" dT="2025-04-11T06:45:17.28" personId="{6705BB3D-F82C-40F2-937A-E6FFA71675EA}" id="{DA028638-FF06-4087-B842-50F35F742332}">
    <text>フロア貸切マストの場合、8Fの4室6ベッド減ります。</text>
  </threadedComment>
  <threadedComment ref="GA95" dT="2025-04-14T10:53:40.51" personId="{6705BB3D-F82C-40F2-937A-E6FFA71675EA}" id="{AAD375AC-DFFF-4AF0-BA3C-25473AF98A15}">
    <text>これいる？０で積算？</text>
  </threadedComment>
  <threadedComment ref="IR95" dT="2025-04-07T06:07:11.37" personId="{6705BB3D-F82C-40F2-937A-E6FFA71675EA}" id="{92C71319-790E-43B4-B75F-98F304302FF4}">
    <text>1031財政見通しではシミュレーションに入っておらず積算なし</text>
  </threadedComment>
  <threadedComment ref="IX95" dT="2025-04-07T06:07:15.29" personId="{6705BB3D-F82C-40F2-937A-E6FFA71675EA}" id="{99E8A9C5-0DF4-4C88-A88D-8AB286491A0E}">
    <text>1031財政見通しではシミュレーションに入っておらず積算なし</text>
  </threadedComment>
  <threadedComment ref="BB97" dT="2025-08-27T10:43:21.38" personId="{6705BB3D-F82C-40F2-937A-E6FFA71675EA}" id="{58D7B0A1-3567-4FBD-B3F3-85F91EBA9782}">
    <text>ハイブリッド方式</text>
  </threadedComment>
  <threadedComment ref="DY97" dT="2025-08-27T10:43:21.38" personId="{6705BB3D-F82C-40F2-937A-E6FFA71675EA}" id="{C687B7F0-1A96-4F4C-9267-97A22BE1A7A3}">
    <text>ハイブリッド方式</text>
  </threadedComment>
  <threadedComment ref="GA101" dT="2025-04-11T06:58:08.32" personId="{6705BB3D-F82C-40F2-937A-E6FFA71675EA}" id="{006C9088-8521-44FA-ADFF-817DA48FBF6B}">
    <text>前は山吹減らして考えたが今回は一旦積む。</text>
  </threadedComment>
  <threadedComment ref="GB101" dT="2025-04-11T06:59:27.42" personId="{6705BB3D-F82C-40F2-937A-E6FFA71675EA}" id="{1EE88415-F40F-49B1-9996-DD4FAD44301F}">
    <text>前は山吹減らして考えたが今回は一旦積む。</text>
  </threadedComment>
  <threadedComment ref="AV111" dT="2025-02-19T11:52:23.78" personId="{6705BB3D-F82C-40F2-937A-E6FFA71675EA}" id="{E65D085B-3A87-46C5-9FE5-7DADBE377A97}">
    <text>注意：数式働いてません。</text>
  </threadedComment>
  <threadedComment ref="AW111" dT="2025-02-19T11:52:23.78" personId="{6705BB3D-F82C-40F2-937A-E6FFA71675EA}" id="{BC5DD768-7819-4EA5-9D2B-122E38304AD4}">
    <text>注意：数式働いてません。</text>
  </threadedComment>
  <threadedComment ref="FY111" dT="2025-02-19T11:52:23.78" personId="{6705BB3D-F82C-40F2-937A-E6FFA71675EA}" id="{4111AD1A-C144-4170-8240-DCFB78411F46}">
    <text>注意：数式働いてません。</text>
  </threadedComment>
  <threadedComment ref="FZ111" dT="2025-02-19T11:52:23.78" personId="{6705BB3D-F82C-40F2-937A-E6FFA71675EA}" id="{F7E20710-5EF7-4400-A6EA-1C12DCB342FA}">
    <text>注意：数式働いてません。</text>
  </threadedComment>
  <threadedComment ref="IR111" dT="2025-04-07T06:07:11.37" personId="{6705BB3D-F82C-40F2-937A-E6FFA71675EA}" id="{FC4B4D02-50AF-479D-B813-C192933E681F}">
    <text>1031財政見通しではシミュレーションに入っておらず積算なし</text>
  </threadedComment>
  <threadedComment ref="IX111" dT="2025-04-07T06:07:15.29" personId="{6705BB3D-F82C-40F2-937A-E6FFA71675EA}" id="{742686AB-EFD9-4AF2-860C-6C699EC7D29A}">
    <text>1031財政見通しではシミュレーションに入っておらず積算なし</text>
  </threadedComment>
  <threadedComment ref="IZ111" dT="2025-04-07T05:49:49.11" personId="{6705BB3D-F82C-40F2-937A-E6FFA71675EA}" id="{83A4D6D9-285B-4C6F-8D45-A6E5CF64647C}">
    <text>1031財政見通しではシミュレーションに入っておらず積算なし</text>
  </threadedComment>
  <threadedComment ref="JA111" dT="2025-04-07T05:49:49.11" personId="{6705BB3D-F82C-40F2-937A-E6FFA71675EA}" id="{1AC58AE8-9D11-4AE8-BF30-EFF44B73B3F5}">
    <text>1031財政見通しではシミュレーションに入っておらず積算なし</text>
  </threadedComment>
  <threadedComment ref="H115" dT="2025-01-15T05:26:46.34" personId="{05787528-E3FE-4FD5-9C2B-98CD0D4D7335}" id="{AD06199E-B0F4-4740-93C1-C19B7F2A9241}">
    <text>和室の客室利用想定から96人の収容を想定</text>
  </threadedComment>
  <threadedComment ref="FY115" dT="2025-02-19T11:52:23.78" personId="{6705BB3D-F82C-40F2-937A-E6FFA71675EA}" id="{5EE57DA6-2F29-4BFE-85C5-5CD9DCEBCC40}">
    <text>１棟いくらという表記のため平均単価を記載</text>
  </threadedComment>
  <threadedComment ref="FZ115" dT="2025-02-19T11:52:23.78" personId="{6705BB3D-F82C-40F2-937A-E6FFA71675EA}" id="{7194AA07-CB79-4D93-8BBD-5F26E69C539C}">
    <text>１棟いくらという表記のため平均単価を記載</text>
  </threadedComment>
  <threadedComment ref="FT117" dT="2025-04-28T05:08:34.62" personId="{6705BB3D-F82C-40F2-937A-E6FFA71675EA}" id="{C0A82476-DE5D-4B61-BC53-4078BAFD20AB}">
    <text>あぶれた部分は日本選手団</text>
  </threadedComment>
  <threadedComment ref="FV117" dT="2025-02-20T00:42:32.49" personId="{6705BB3D-F82C-40F2-937A-E6FFA71675EA}" id="{DB0BD520-5DEC-4A71-9599-31B9FF223D45}">
    <text>キャパが200なので200で割ります</text>
  </threadedComment>
  <threadedComment ref="IU117" dT="2025-02-20T00:42:32.49" personId="{6705BB3D-F82C-40F2-937A-E6FFA71675EA}" id="{72F366CE-31BD-465F-98DB-1E3FE0F87B1A}">
    <text>キャパが200なので200で割ります</text>
  </threadedComment>
  <threadedComment ref="AA119" dT="2024-06-13T03:04:10.89" personId="{DC676327-E4E6-41BD-90AE-D57E535F021A}" id="{46ACE5F7-8FD1-4ED9-83AB-B9B8BCFFAEE4}">
    <text xml:space="preserve">出発地点：蒲郡市商工会議所 </text>
  </threadedComment>
  <threadedComment ref="BU119" dT="2026-02-04T23:49:07.71" personId="{6705BB3D-F82C-40F2-937A-E6FFA71675EA}" id="{0AECAE69-89EB-4F5F-83DF-16A80A44EAEB}">
    <text>ファンクションは29日まで</text>
  </threadedComment>
  <threadedComment ref="DQ119" dT="2024-06-13T03:04:10.89" personId="{DC676327-E4E6-41BD-90AE-D57E535F021A}" id="{33FC11C4-6EF2-4816-B60E-6C3B1621EAED}">
    <text xml:space="preserve">出発地点：蒲郡市商工会議所 </text>
  </threadedComment>
  <threadedComment ref="EO119" dT="2024-06-13T03:04:10.89" personId="{DC676327-E4E6-41BD-90AE-D57E535F021A}" id="{14AF7BBC-CEF2-4CB8-9BB4-2312DFAD445A}">
    <text xml:space="preserve">出発地点：蒲郡市商工会議所 </text>
  </threadedComment>
  <threadedComment ref="IV119" dT="2025-02-19T10:45:11.79" personId="{6705BB3D-F82C-40F2-937A-E6FFA71675EA}" id="{AADC94BA-0559-403F-8CB6-3F19AF44F5F7}">
    <text>１棟いくらという表記のため平均単価を記載</text>
  </threadedComment>
  <threadedComment ref="IW119" dT="2025-02-19T10:45:24.59" personId="{6705BB3D-F82C-40F2-937A-E6FFA71675EA}" id="{01C0E48B-6350-4381-A0DF-7032C5E386AA}">
    <text>１棟いくらという表記のため平均単価を記載</text>
  </threadedComment>
  <threadedComment ref="JA119" dT="2025-04-10T02:57:54.36" personId="{6705BB3D-F82C-40F2-937A-E6FFA71675EA}" id="{538C62C2-4520-4D7D-8365-7D42E4386A4E}">
    <text>財政見通しで積算漏れの可能性大
50,730,935</text>
  </threadedComment>
  <threadedComment ref="EX120" dT="2025-01-15T11:25:31.29" personId="{05787528-E3FE-4FD5-9C2B-98CD0D4D7335}" id="{3F09955C-E2B6-44E2-9347-959FB145DA07}">
    <text>岡崎市中央総合公園への所要時間</text>
  </threadedComment>
  <threadedComment ref="FA120" dT="2025-01-15T11:26:07.37" personId="{05787528-E3FE-4FD5-9C2B-98CD0D4D7335}" id="{D63F9984-5467-4B1C-8212-62DDDCA5538A}">
    <text>豊橋市民球場への所要時間</text>
  </threadedComment>
  <threadedComment ref="EX121" dT="2025-01-15T11:27:56.35" personId="{05787528-E3FE-4FD5-9C2B-98CD0D4D7335}" id="{94E4FF6C-E02B-4F6F-83B6-C4ED56C1E71B}">
    <text>岡崎市中央総合公園への所要時間</text>
  </threadedComment>
  <threadedComment ref="FA121" dT="2025-01-15T11:28:12.81" personId="{05787528-E3FE-4FD5-9C2B-98CD0D4D7335}" id="{593BC9B8-0E54-4845-AC78-51D2798A2A83}">
    <text>豊橋市民球場への所要時間</text>
  </threadedComment>
  <threadedComment ref="IR121" dT="2025-04-07T06:07:11.37" personId="{6705BB3D-F82C-40F2-937A-E6FFA71675EA}" id="{9E74E027-84D0-4ECE-BF4B-7837A9C27DF4}">
    <text>1031財政見通しではシミュレーションに入っておらず積算なし</text>
  </threadedComment>
  <threadedComment ref="IX121" dT="2025-04-07T06:07:15.29" personId="{6705BB3D-F82C-40F2-937A-E6FFA71675EA}" id="{1A7F0497-8CD0-4516-8CEF-5628A27B84C8}">
    <text>1031財政見通しではシミュレーションに入っておらず積算なし</text>
  </threadedComment>
  <threadedComment ref="IZ121" dT="2025-04-07T05:49:49.11" personId="{6705BB3D-F82C-40F2-937A-E6FFA71675EA}" id="{44CCCFB9-CCEB-4D67-80BF-7C71670B7ECF}">
    <text>1031財政見通しではシミュレーションに入っておらず積算なし</text>
  </threadedComment>
  <threadedComment ref="JA121" dT="2025-04-07T05:49:49.11" personId="{6705BB3D-F82C-40F2-937A-E6FFA71675EA}" id="{19A30AF4-AB8D-4D3C-8DA9-097BBD90E6B9}">
    <text>1031財政見通しではシミュレーションに入っておらず積算なし</text>
  </threadedComment>
  <threadedComment ref="AA125" dT="2024-06-13T03:04:41.82" personId="{DC676327-E4E6-41BD-90AE-D57E535F021A}" id="{D83BF23A-FF26-4420-B9EE-B613EDFC267F}">
    <text xml:space="preserve">出発地点：新城市桜淵公園 </text>
  </threadedComment>
  <threadedComment ref="BT125" dT="2026-02-05T01:22:15.81" personId="{6705BB3D-F82C-40F2-937A-E6FFA71675EA}" id="{8ACB1C08-6682-4AE9-8847-4E60DA632734}">
    <text>ファンクションは9/13～？</text>
  </threadedComment>
  <threadedComment ref="DQ125" dT="2024-06-13T03:04:41.82" personId="{DC676327-E4E6-41BD-90AE-D57E535F021A}" id="{EBF84EC4-66E0-4F54-90DA-F220032D930C}">
    <text xml:space="preserve">出発地点：新城市桜淵公園 </text>
  </threadedComment>
  <threadedComment ref="EO125" dT="2024-06-13T03:04:41.82" personId="{DC676327-E4E6-41BD-90AE-D57E535F021A}" id="{6E57E20C-1218-4822-86BB-E14B5FBD8F70}">
    <text xml:space="preserve">出発地点：新城市桜淵公園 </text>
  </threadedComment>
  <threadedComment ref="AK127" dT="2025-10-14T07:05:11.87" personId="{6705BB3D-F82C-40F2-937A-E6FFA71675EA}" id="{0B41042D-F4E7-4F24-A555-EB7944F8D1CE}">
    <text>聞き取りベース</text>
  </threadedComment>
  <threadedComment ref="AM127" dT="2025-10-14T07:05:15.60" personId="{6705BB3D-F82C-40F2-937A-E6FFA71675EA}" id="{88153823-7FB7-47D6-B451-6B704CF1F513}">
    <text>聞き取りベース</text>
  </threadedComment>
  <threadedComment ref="IR127" dT="2025-04-07T06:07:11.37" personId="{6705BB3D-F82C-40F2-937A-E6FFA71675EA}" id="{2DD3FA9B-08AF-494C-9BB8-BAF57555B557}">
    <text>1031財政見通しではシミュレーションに入っておらず積算なし</text>
  </threadedComment>
  <threadedComment ref="IX127" dT="2025-04-07T06:07:15.29" personId="{6705BB3D-F82C-40F2-937A-E6FFA71675EA}" id="{70AAF8BB-BF64-4B5C-9B0E-2C8688842766}">
    <text>1031財政見通しではシミュレーションに入っておらず積算なし</text>
  </threadedComment>
  <threadedComment ref="IZ127" dT="2025-04-07T05:49:49.11" personId="{6705BB3D-F82C-40F2-937A-E6FFA71675EA}" id="{1BB63612-D30E-4E75-BE20-5D4DE6AEE860}">
    <text>1031財政見通しではシミュレーションに入っておらず積算なし</text>
  </threadedComment>
  <threadedComment ref="JA127" dT="2025-04-07T05:49:49.11" personId="{6705BB3D-F82C-40F2-937A-E6FFA71675EA}" id="{01DA27AF-152E-46D9-B150-4EE106BE0869}">
    <text>1031財政見通しではシミュレーションに入っておらず積算なし</text>
  </threadedComment>
  <threadedComment ref="FO131" dT="2025-04-25T09:35:24.70" personId="{6705BB3D-F82C-40F2-937A-E6FFA71675EA}" id="{7CED8A66-D191-45A3-86EA-7E5E269FABF5}">
    <text>調整中</text>
  </threadedComment>
  <threadedComment ref="FO135" dT="2025-04-25T09:37:07.80" personId="{6705BB3D-F82C-40F2-937A-E6FFA71675EA}" id="{EFBF16C6-1D8A-4C03-8D65-F25F36D00860}">
    <text>調整中</text>
  </threadedComment>
  <threadedComment ref="IR143" dT="2025-04-07T06:07:11.37" personId="{6705BB3D-F82C-40F2-937A-E6FFA71675EA}" id="{84B7C416-7594-47DC-8252-C351A7FBA9A0}">
    <text>1031財政見通しではシミュレーションに入っておらず積算なし</text>
  </threadedComment>
  <threadedComment ref="IX143" dT="2025-04-07T06:07:15.29" personId="{6705BB3D-F82C-40F2-937A-E6FFA71675EA}" id="{9AE511F9-705B-47CF-BD24-8893594DED1F}">
    <text>1031財政見通しではシミュレーションに入っておらず積算なし</text>
  </threadedComment>
  <threadedComment ref="IZ143" dT="2025-04-07T05:49:49.11" personId="{6705BB3D-F82C-40F2-937A-E6FFA71675EA}" id="{291FE1F9-1284-4424-A5B7-159078B74E8E}">
    <text>1031財政見通しではシミュレーションに入っておらず積算なし</text>
  </threadedComment>
  <threadedComment ref="JA143" dT="2025-04-07T05:49:49.11" personId="{6705BB3D-F82C-40F2-937A-E6FFA71675EA}" id="{454E0FBA-8CE5-49F1-88DC-87F26BC9C5B7}">
    <text>1031財政見通しではシミュレーションに入っておらず積算なし</text>
  </threadedComment>
  <threadedComment ref="GA151" dT="2025-04-11T07:01:19.29" personId="{6705BB3D-F82C-40F2-937A-E6FFA71675EA}" id="{FB1843C2-000B-42B8-961D-052755DCC3F4}">
    <text>見積来てない</text>
  </threadedComment>
  <threadedComment ref="IR151" dT="2025-04-07T06:07:11.37" personId="{6705BB3D-F82C-40F2-937A-E6FFA71675EA}" id="{ADC227CC-617B-41E1-9CEE-BC62E4394695}">
    <text>1031財政見通しではシミュレーションに入っておらず積算なし</text>
  </threadedComment>
  <threadedComment ref="IX151" dT="2025-04-07T06:07:15.29" personId="{6705BB3D-F82C-40F2-937A-E6FFA71675EA}" id="{71C53BF0-AEC0-4EC7-978F-569526FB0C6B}">
    <text>1031財政見通しではシミュレーションに入っておらず積算なし</text>
  </threadedComment>
  <threadedComment ref="IZ151" dT="2025-04-07T05:49:49.11" personId="{6705BB3D-F82C-40F2-937A-E6FFA71675EA}" id="{9B71FE6F-D0BC-49DB-822F-F74C224BE0CD}">
    <text>1031財政見通しではシミュレーションに入っておらず積算なし</text>
  </threadedComment>
  <threadedComment ref="JA151" dT="2025-04-07T05:49:49.11" personId="{6705BB3D-F82C-40F2-937A-E6FFA71675EA}" id="{1022D811-5BC7-4FA8-8A39-D5B52454EE82}">
    <text>1031財政見通しではシミュレーションに入っておらず積算なし</text>
  </threadedComment>
  <threadedComment ref="BB188" dT="2026-02-06T01:54:55.80" personId="{6705BB3D-F82C-40F2-937A-E6FFA71675EA}" id="{724C449F-45C3-4DAF-9021-4D41E4F27969}">
    <text>附属契約の見積もりがあるところは既に通常朝食を差し引いて算出しているので、除く</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8497A-5D98-4DB2-B664-5D6F6A90C5FF}">
  <sheetPr>
    <tabColor rgb="FFFF0000"/>
    <pageSetUpPr fitToPage="1"/>
  </sheetPr>
  <dimension ref="A1:OH221"/>
  <sheetViews>
    <sheetView tabSelected="1" view="pageBreakPreview" topLeftCell="A3" zoomScale="40" zoomScaleNormal="40" zoomScaleSheetLayoutView="40" zoomScalePageLayoutView="70" workbookViewId="0">
      <pane xSplit="30" ySplit="8" topLeftCell="AZ50" activePane="bottomRight" state="frozen"/>
      <selection pane="topRight" activeCell="AB3" sqref="AB3"/>
      <selection pane="bottomLeft" activeCell="A10" sqref="A10"/>
      <selection pane="bottomRight" activeCell="BA4" sqref="BA4"/>
    </sheetView>
  </sheetViews>
  <sheetFormatPr defaultColWidth="9.453125" defaultRowHeight="16" outlineLevelCol="1"/>
  <cols>
    <col min="1" max="1" width="3.81640625" style="1" customWidth="1"/>
    <col min="2" max="2" width="15.1796875" style="2" customWidth="1"/>
    <col min="3" max="3" width="18.26953125" style="2" customWidth="1"/>
    <col min="4" max="4" width="9.81640625" style="2" customWidth="1"/>
    <col min="5" max="5" width="9.81640625" style="1531" customWidth="1"/>
    <col min="6" max="6" width="42.1796875" style="2" customWidth="1"/>
    <col min="7" max="11" width="10.453125" style="1532" hidden="1" customWidth="1"/>
    <col min="12" max="12" width="12.1796875" style="1532" hidden="1" customWidth="1"/>
    <col min="13" max="13" width="11.7265625" style="5" hidden="1" customWidth="1"/>
    <col min="14" max="15" width="10.453125" style="4" hidden="1" customWidth="1"/>
    <col min="16" max="16" width="11.453125" style="5" hidden="1" customWidth="1"/>
    <col min="17" max="19" width="18.1796875" style="4" hidden="1" customWidth="1"/>
    <col min="20" max="20" width="40.453125" style="4" hidden="1" customWidth="1"/>
    <col min="21" max="21" width="11" style="2" hidden="1" customWidth="1"/>
    <col min="22" max="26" width="10.7265625" style="40" hidden="1" customWidth="1"/>
    <col min="27" max="27" width="36.54296875" style="6" customWidth="1"/>
    <col min="28" max="28" width="12.54296875" style="1" customWidth="1"/>
    <col min="29" max="29" width="12.54296875" style="7" customWidth="1"/>
    <col min="30" max="30" width="13.54296875" style="1533" customWidth="1"/>
    <col min="31" max="32" width="18.1796875" style="1531" hidden="1" customWidth="1"/>
    <col min="33" max="33" width="27" style="1531" customWidth="1"/>
    <col min="34" max="36" width="27" style="1531" hidden="1" customWidth="1"/>
    <col min="37" max="37" width="27" style="1531" customWidth="1"/>
    <col min="38" max="38" width="27" style="1531" hidden="1" customWidth="1"/>
    <col min="39" max="39" width="27" style="1531" customWidth="1"/>
    <col min="40" max="40" width="11.54296875" style="1531" hidden="1" customWidth="1"/>
    <col min="41" max="41" width="27" style="1531" customWidth="1"/>
    <col min="42" max="43" width="14.26953125" style="1531" customWidth="1"/>
    <col min="44" max="44" width="17.26953125" style="1531" hidden="1" customWidth="1"/>
    <col min="45" max="49" width="18.1796875" style="1531" hidden="1" customWidth="1"/>
    <col min="50" max="50" width="26.1796875" style="1531" customWidth="1"/>
    <col min="51" max="51" width="18.1796875" style="1531" customWidth="1"/>
    <col min="52" max="53" width="33.453125" style="1531" customWidth="1"/>
    <col min="54" max="54" width="33.36328125" style="1531" customWidth="1"/>
    <col min="55" max="55" width="25.453125" style="1531" hidden="1" customWidth="1"/>
    <col min="56" max="56" width="33.36328125" style="1531" customWidth="1"/>
    <col min="57" max="57" width="33.36328125" style="1531" hidden="1" customWidth="1"/>
    <col min="58" max="58" width="33.36328125" style="1531" customWidth="1"/>
    <col min="59" max="59" width="33.36328125" style="1531" hidden="1" customWidth="1"/>
    <col min="60" max="60" width="33.36328125" style="1531" customWidth="1"/>
    <col min="61" max="62" width="25.453125" style="1531" customWidth="1"/>
    <col min="63" max="63" width="25.453125" style="1531" hidden="1" customWidth="1"/>
    <col min="64" max="64" width="28.453125" style="1531" hidden="1" customWidth="1"/>
    <col min="65" max="66" width="14.81640625" style="1531" hidden="1" customWidth="1"/>
    <col min="67" max="68" width="29.26953125" style="1531" customWidth="1"/>
    <col min="69" max="69" width="32.1796875" style="1531" hidden="1" customWidth="1"/>
    <col min="70" max="70" width="56.7265625" style="1531" hidden="1" customWidth="1"/>
    <col min="71" max="71" width="9.81640625" style="1531" hidden="1" customWidth="1"/>
    <col min="72" max="73" width="19.81640625" style="1531" customWidth="1"/>
    <col min="74" max="75" width="18.1796875" style="1534" customWidth="1"/>
    <col min="76" max="76" width="10.453125" style="1534" customWidth="1"/>
    <col min="77" max="80" width="8.7265625" style="1534" customWidth="1"/>
    <col min="81" max="81" width="8.81640625" style="1533" customWidth="1"/>
    <col min="82" max="83" width="8.81640625" style="1535" customWidth="1"/>
    <col min="84" max="88" width="8.81640625" style="1533" customWidth="1"/>
    <col min="89" max="90" width="8.81640625" style="1535" customWidth="1"/>
    <col min="91" max="95" width="8.81640625" style="1533" customWidth="1"/>
    <col min="96" max="98" width="8.81640625" style="1535" customWidth="1"/>
    <col min="99" max="99" width="8.81640625" style="1533" customWidth="1"/>
    <col min="100" max="100" width="8.81640625" style="1535" customWidth="1"/>
    <col min="101" max="102" width="8.81640625" style="1533" customWidth="1"/>
    <col min="103" max="104" width="8.81640625" style="1535" customWidth="1"/>
    <col min="105" max="109" width="8.81640625" style="1533" customWidth="1"/>
    <col min="110" max="111" width="8.81640625" style="1535" customWidth="1"/>
    <col min="112" max="115" width="8.81640625" style="1533" customWidth="1"/>
    <col min="116" max="116" width="2.26953125" style="7" customWidth="1"/>
    <col min="117" max="119" width="14.54296875" style="7" customWidth="1"/>
    <col min="120" max="120" width="9.7265625" style="7" customWidth="1"/>
    <col min="121" max="121" width="37.26953125" style="7" customWidth="1"/>
    <col min="122" max="124" width="13.1796875" style="7" customWidth="1"/>
    <col min="125" max="125" width="29.36328125" style="7" customWidth="1"/>
    <col min="126" max="126" width="30.90625" style="7" customWidth="1"/>
    <col min="127" max="128" width="26.81640625" style="7" customWidth="1"/>
    <col min="129" max="132" width="23.90625" style="7" customWidth="1"/>
    <col min="133" max="133" width="18" style="7" customWidth="1"/>
    <col min="134" max="134" width="13.1796875" style="7" customWidth="1"/>
    <col min="135" max="136" width="21.81640625" style="7" customWidth="1"/>
    <col min="137" max="137" width="24.54296875" style="7" customWidth="1"/>
    <col min="138" max="138" width="22.36328125" style="7" customWidth="1"/>
    <col min="139" max="144" width="13.1796875" style="7" customWidth="1"/>
    <col min="145" max="145" width="36.54296875" style="6" customWidth="1"/>
    <col min="146" max="146" width="12.54296875" style="1" customWidth="1"/>
    <col min="147" max="147" width="12.54296875" style="7" customWidth="1"/>
    <col min="148" max="148" width="12.54296875" style="1533" customWidth="1"/>
    <col min="149" max="151" width="12.54296875" style="1533" hidden="1" customWidth="1"/>
    <col min="152" max="152" width="35.26953125" style="1536" hidden="1" customWidth="1" outlineLevel="1"/>
    <col min="153" max="153" width="12.54296875" style="13" hidden="1" customWidth="1" collapsed="1"/>
    <col min="154" max="154" width="12.54296875" style="13" hidden="1" customWidth="1"/>
    <col min="155" max="155" width="63.453125" style="1536" hidden="1" customWidth="1" outlineLevel="1"/>
    <col min="156" max="156" width="12.54296875" style="13" hidden="1" customWidth="1" collapsed="1"/>
    <col min="157" max="157" width="12.54296875" style="13" hidden="1" customWidth="1"/>
    <col min="158" max="158" width="69" style="1536" hidden="1" customWidth="1" outlineLevel="1"/>
    <col min="159" max="159" width="12.54296875" style="13" hidden="1" customWidth="1" collapsed="1"/>
    <col min="160" max="160" width="12.54296875" style="13" hidden="1" customWidth="1"/>
    <col min="161" max="161" width="69" style="1536" hidden="1" customWidth="1" outlineLevel="1"/>
    <col min="162" max="162" width="12.54296875" style="13" hidden="1" customWidth="1" collapsed="1"/>
    <col min="163" max="163" width="12.54296875" style="13" hidden="1" customWidth="1"/>
    <col min="164" max="164" width="69" style="1536" hidden="1" customWidth="1" outlineLevel="1"/>
    <col min="165" max="165" width="12.54296875" style="13" hidden="1" customWidth="1" collapsed="1"/>
    <col min="166" max="166" width="12.54296875" style="13" hidden="1" customWidth="1"/>
    <col min="167" max="167" width="16.453125" style="1537" hidden="1" customWidth="1"/>
    <col min="168" max="168" width="11.81640625" style="1537" hidden="1" customWidth="1"/>
    <col min="169" max="169" width="1.54296875" style="1531" hidden="1" customWidth="1"/>
    <col min="170" max="171" width="18.1796875" style="1531" customWidth="1"/>
    <col min="172" max="174" width="27" style="1531" customWidth="1"/>
    <col min="175" max="176" width="14.26953125" style="1531" customWidth="1"/>
    <col min="177" max="177" width="17.26953125" style="1531" customWidth="1"/>
    <col min="178" max="182" width="18.1796875" style="1531" customWidth="1"/>
    <col min="183" max="183" width="22.81640625" style="1531" customWidth="1"/>
    <col min="184" max="184" width="18.1796875" style="1531" customWidth="1"/>
    <col min="185" max="185" width="26.453125" style="1531" customWidth="1"/>
    <col min="186" max="186" width="25.453125" style="1531" customWidth="1"/>
    <col min="187" max="190" width="25.453125" style="1531" hidden="1" customWidth="1"/>
    <col min="191" max="193" width="25.453125" style="1531" customWidth="1"/>
    <col min="194" max="195" width="25.453125" style="1531" hidden="1" customWidth="1"/>
    <col min="196" max="196" width="25.453125" style="1531" customWidth="1"/>
    <col min="197" max="197" width="28.453125" style="1531" customWidth="1"/>
    <col min="198" max="199" width="14.81640625" style="1531" customWidth="1"/>
    <col min="200" max="200" width="29.26953125" style="1531" customWidth="1"/>
    <col min="201" max="201" width="27.453125" style="1531" customWidth="1"/>
    <col min="202" max="202" width="9.81640625" style="1531" hidden="1" customWidth="1"/>
    <col min="203" max="204" width="19.81640625" style="1531" hidden="1" customWidth="1"/>
    <col min="205" max="206" width="18.1796875" style="1534" customWidth="1"/>
    <col min="207" max="207" width="10.453125" style="1534" customWidth="1"/>
    <col min="208" max="211" width="8.7265625" style="1534" customWidth="1"/>
    <col min="212" max="212" width="8.81640625" style="1533" customWidth="1"/>
    <col min="213" max="214" width="8.81640625" style="1535" customWidth="1"/>
    <col min="215" max="219" width="8.81640625" style="1533" customWidth="1"/>
    <col min="220" max="221" width="8.81640625" style="1535" customWidth="1"/>
    <col min="222" max="226" width="8.81640625" style="1533" customWidth="1"/>
    <col min="227" max="229" width="8.81640625" style="1535" customWidth="1"/>
    <col min="230" max="230" width="8.81640625" style="1533" customWidth="1"/>
    <col min="231" max="231" width="8.81640625" style="1535" customWidth="1"/>
    <col min="232" max="233" width="8.81640625" style="1533" customWidth="1"/>
    <col min="234" max="235" width="8.81640625" style="1535" customWidth="1"/>
    <col min="236" max="240" width="8.81640625" style="1533" customWidth="1"/>
    <col min="241" max="242" width="8.81640625" style="1535" customWidth="1"/>
    <col min="243" max="246" width="8.81640625" style="1533" customWidth="1"/>
    <col min="247" max="247" width="2.26953125" style="7" customWidth="1"/>
    <col min="248" max="248" width="15.26953125" style="7" customWidth="1"/>
    <col min="249" max="250" width="39.54296875" style="15" hidden="1" customWidth="1"/>
    <col min="251" max="251" width="12.54296875" style="1" customWidth="1"/>
    <col min="252" max="252" width="22.7265625" style="16" customWidth="1"/>
    <col min="253" max="254" width="18.54296875" style="16" customWidth="1"/>
    <col min="255" max="257" width="23.453125" style="16" customWidth="1"/>
    <col min="258" max="259" width="23.453125" style="1" customWidth="1"/>
    <col min="260" max="263" width="27.81640625" style="1" customWidth="1"/>
    <col min="264" max="264" width="31.1796875" style="1" customWidth="1"/>
    <col min="265" max="265" width="23.453125" style="1" customWidth="1"/>
    <col min="266" max="266" width="10.453125" style="1" customWidth="1"/>
    <col min="267" max="268" width="23.453125" style="1" customWidth="1"/>
    <col min="269" max="274" width="9.453125" style="1"/>
    <col min="275" max="310" width="9.453125" style="1" customWidth="1"/>
    <col min="311" max="311" width="10.7265625" style="1" customWidth="1"/>
    <col min="312" max="16384" width="9.453125" style="1"/>
  </cols>
  <sheetData>
    <row r="1" spans="1:398" hidden="1">
      <c r="E1" s="2"/>
      <c r="G1" s="3"/>
      <c r="H1" s="3"/>
      <c r="I1" s="3"/>
      <c r="J1" s="3"/>
      <c r="K1" s="3"/>
      <c r="L1" s="3"/>
      <c r="M1" s="3" t="s">
        <v>0</v>
      </c>
      <c r="V1" s="2"/>
      <c r="W1" s="2"/>
      <c r="X1" s="2"/>
      <c r="Y1" s="2"/>
      <c r="Z1" s="2"/>
      <c r="AD1" s="8"/>
      <c r="AE1" s="2"/>
      <c r="AF1" s="2"/>
      <c r="AG1" s="9" t="s">
        <v>1</v>
      </c>
      <c r="AH1" s="9"/>
      <c r="AI1" s="9"/>
      <c r="AJ1" s="9"/>
      <c r="AK1" s="9"/>
      <c r="AL1" s="9"/>
      <c r="AM1" s="9"/>
      <c r="AN1" s="9"/>
      <c r="AO1" s="9"/>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10"/>
      <c r="BW1" s="10"/>
      <c r="BX1" s="10"/>
      <c r="BY1" s="10"/>
      <c r="BZ1" s="10"/>
      <c r="CA1" s="10"/>
      <c r="CB1" s="10"/>
      <c r="CC1" s="8"/>
      <c r="CD1" s="11"/>
      <c r="CE1" s="11"/>
      <c r="CF1" s="8"/>
      <c r="CG1" s="8"/>
      <c r="CH1" s="8"/>
      <c r="CI1" s="8"/>
      <c r="CJ1" s="8"/>
      <c r="CK1" s="11"/>
      <c r="CL1" s="11"/>
      <c r="CM1" s="8"/>
      <c r="CN1" s="8"/>
      <c r="CO1" s="8"/>
      <c r="CP1" s="8"/>
      <c r="CQ1" s="8"/>
      <c r="CR1" s="11"/>
      <c r="CS1" s="11"/>
      <c r="CT1" s="11"/>
      <c r="CU1" s="8"/>
      <c r="CV1" s="11"/>
      <c r="CW1" s="8"/>
      <c r="CX1" s="8"/>
      <c r="CY1" s="11"/>
      <c r="CZ1" s="11"/>
      <c r="DA1" s="8"/>
      <c r="DB1" s="8"/>
      <c r="DC1" s="8"/>
      <c r="DD1" s="8"/>
      <c r="DE1" s="8"/>
      <c r="DF1" s="11"/>
      <c r="DG1" s="11"/>
      <c r="DH1" s="8"/>
      <c r="DI1" s="8"/>
      <c r="DJ1" s="8"/>
      <c r="DK1" s="8"/>
      <c r="ER1" s="8"/>
      <c r="ES1" s="8"/>
      <c r="ET1" s="8"/>
      <c r="EU1" s="8"/>
      <c r="EV1" s="12"/>
      <c r="EY1" s="12"/>
      <c r="FB1" s="12"/>
      <c r="FE1" s="12"/>
      <c r="FH1" s="12"/>
      <c r="FK1" s="14"/>
      <c r="FL1" s="14"/>
      <c r="FM1" s="2"/>
      <c r="FN1" s="2"/>
      <c r="FO1" s="2"/>
      <c r="FP1" s="9" t="s">
        <v>1</v>
      </c>
      <c r="FQ1" s="9"/>
      <c r="FR1" s="9"/>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10"/>
      <c r="GX1" s="10"/>
      <c r="GY1" s="10"/>
      <c r="GZ1" s="10"/>
      <c r="HA1" s="10"/>
      <c r="HB1" s="10"/>
      <c r="HC1" s="10"/>
      <c r="HD1" s="8"/>
      <c r="HE1" s="11"/>
      <c r="HF1" s="11"/>
      <c r="HG1" s="8"/>
      <c r="HH1" s="8"/>
      <c r="HI1" s="8"/>
      <c r="HJ1" s="8"/>
      <c r="HK1" s="8"/>
      <c r="HL1" s="11"/>
      <c r="HM1" s="11"/>
      <c r="HN1" s="8"/>
      <c r="HO1" s="8"/>
      <c r="HP1" s="8"/>
      <c r="HQ1" s="8"/>
      <c r="HR1" s="8"/>
      <c r="HS1" s="11"/>
      <c r="HT1" s="11"/>
      <c r="HU1" s="11"/>
      <c r="HV1" s="8"/>
      <c r="HW1" s="11"/>
      <c r="HX1" s="8"/>
      <c r="HY1" s="8"/>
      <c r="HZ1" s="11"/>
      <c r="IA1" s="11"/>
      <c r="IB1" s="8"/>
      <c r="IC1" s="8"/>
      <c r="ID1" s="8"/>
      <c r="IE1" s="8"/>
      <c r="IF1" s="8"/>
      <c r="IG1" s="11"/>
      <c r="IH1" s="11"/>
      <c r="II1" s="8"/>
      <c r="IJ1" s="8"/>
      <c r="IK1" s="8"/>
      <c r="IL1" s="8"/>
    </row>
    <row r="2" spans="1:398" ht="19" hidden="1" customHeight="1" thickTop="1" thickBot="1">
      <c r="E2" s="2"/>
      <c r="G2" s="3"/>
      <c r="H2" s="3"/>
      <c r="I2" s="17" t="s">
        <v>2</v>
      </c>
      <c r="J2" s="3"/>
      <c r="K2" s="3"/>
      <c r="L2" s="3"/>
      <c r="V2" s="2"/>
      <c r="W2" s="2"/>
      <c r="X2" s="2"/>
      <c r="Y2" s="2"/>
      <c r="Z2" s="2"/>
      <c r="AD2" s="8"/>
      <c r="AE2" s="2"/>
      <c r="AF2" s="2"/>
      <c r="AG2" s="18" t="s">
        <v>3</v>
      </c>
      <c r="AH2" s="18"/>
      <c r="AI2" s="18"/>
      <c r="AJ2" s="18"/>
      <c r="AK2" s="18"/>
      <c r="AL2" s="18"/>
      <c r="AM2" s="18"/>
      <c r="AN2" s="18"/>
      <c r="AO2" s="18"/>
      <c r="AP2" s="2"/>
      <c r="AQ2" s="2"/>
      <c r="AR2" s="2"/>
      <c r="AS2" s="19"/>
      <c r="AT2" s="19"/>
      <c r="AU2" s="19"/>
      <c r="AV2" s="2"/>
      <c r="AW2" s="2"/>
      <c r="AX2" s="2"/>
      <c r="AY2" s="2"/>
      <c r="AZ2" s="20"/>
      <c r="BA2" s="20"/>
      <c r="BB2" s="20"/>
      <c r="BC2" s="20"/>
      <c r="BD2" s="20"/>
      <c r="BE2" s="20"/>
      <c r="BF2" s="20"/>
      <c r="BG2" s="20"/>
      <c r="BH2" s="20"/>
      <c r="BI2" s="20"/>
      <c r="BJ2" s="20"/>
      <c r="BK2" s="20"/>
      <c r="BL2" s="20"/>
      <c r="BM2" s="20"/>
      <c r="BN2" s="20"/>
      <c r="BO2" s="20"/>
      <c r="BP2" s="20"/>
      <c r="BQ2" s="20"/>
      <c r="BR2" s="20"/>
      <c r="BS2" s="20"/>
      <c r="BT2" s="20"/>
      <c r="BU2" s="20"/>
      <c r="BV2" s="21"/>
      <c r="BW2" s="10"/>
      <c r="BX2" s="10"/>
      <c r="BY2" s="10"/>
      <c r="BZ2" s="10"/>
      <c r="CA2" s="10"/>
      <c r="CB2" s="10"/>
      <c r="CC2" s="8"/>
      <c r="CD2" s="11"/>
      <c r="CE2" s="11"/>
      <c r="CF2" s="8"/>
      <c r="CG2" s="8"/>
      <c r="CH2" s="8"/>
      <c r="CI2" s="8"/>
      <c r="CJ2" s="8"/>
      <c r="CK2" s="11"/>
      <c r="CL2" s="11"/>
      <c r="CM2" s="8"/>
      <c r="CN2" s="8"/>
      <c r="CO2" s="8"/>
      <c r="CP2" s="8"/>
      <c r="CQ2" s="8"/>
      <c r="CR2" s="11"/>
      <c r="CS2" s="11"/>
      <c r="CT2" s="11"/>
      <c r="CU2" s="8"/>
      <c r="CV2" s="11"/>
      <c r="CW2" s="8"/>
      <c r="CX2" s="8"/>
      <c r="CY2" s="11"/>
      <c r="CZ2" s="11"/>
      <c r="DA2" s="8"/>
      <c r="DB2" s="8"/>
      <c r="DC2" s="8"/>
      <c r="DD2" s="8"/>
      <c r="DE2" s="8"/>
      <c r="DF2" s="11"/>
      <c r="DG2" s="11"/>
      <c r="DH2" s="8"/>
      <c r="DI2" s="8"/>
      <c r="DJ2" s="8"/>
      <c r="DK2" s="8"/>
      <c r="ER2" s="8"/>
      <c r="ES2" s="8"/>
      <c r="ET2" s="8"/>
      <c r="EU2" s="8"/>
      <c r="EV2" s="12"/>
      <c r="EY2" s="12"/>
      <c r="FB2" s="12"/>
      <c r="FE2" s="12"/>
      <c r="FH2" s="12"/>
      <c r="FK2" s="14"/>
      <c r="FL2" s="14"/>
      <c r="FM2" s="2"/>
      <c r="FN2" s="2"/>
      <c r="FO2" s="2"/>
      <c r="FP2" s="18" t="s">
        <v>3</v>
      </c>
      <c r="FQ2" s="18"/>
      <c r="FR2" s="18"/>
      <c r="FS2" s="2"/>
      <c r="FT2" s="2"/>
      <c r="FU2" s="2"/>
      <c r="FV2" s="19"/>
      <c r="FW2" s="19"/>
      <c r="FX2" s="19"/>
      <c r="FY2" s="2"/>
      <c r="FZ2" s="2"/>
      <c r="GA2" s="2"/>
      <c r="GB2" s="2"/>
      <c r="GC2" s="20"/>
      <c r="GD2" s="20"/>
      <c r="GE2" s="20"/>
      <c r="GF2" s="20"/>
      <c r="GG2" s="20"/>
      <c r="GH2" s="20"/>
      <c r="GI2" s="20"/>
      <c r="GJ2" s="20"/>
      <c r="GK2" s="20"/>
      <c r="GL2" s="20"/>
      <c r="GM2" s="20"/>
      <c r="GN2" s="20"/>
      <c r="GO2" s="20"/>
      <c r="GP2" s="20"/>
      <c r="GQ2" s="20"/>
      <c r="GR2" s="20"/>
      <c r="GS2" s="20"/>
      <c r="GT2" s="20"/>
      <c r="GU2" s="20"/>
      <c r="GV2" s="20"/>
      <c r="GW2" s="21"/>
      <c r="GX2" s="10"/>
      <c r="GY2" s="10"/>
      <c r="GZ2" s="10"/>
      <c r="HA2" s="10"/>
      <c r="HB2" s="10"/>
      <c r="HC2" s="10"/>
      <c r="HD2" s="8"/>
      <c r="HE2" s="11"/>
      <c r="HF2" s="11"/>
      <c r="HG2" s="8"/>
      <c r="HH2" s="8"/>
      <c r="HI2" s="8"/>
      <c r="HJ2" s="8"/>
      <c r="HK2" s="8"/>
      <c r="HL2" s="11"/>
      <c r="HM2" s="11"/>
      <c r="HN2" s="8"/>
      <c r="HO2" s="8"/>
      <c r="HP2" s="8"/>
      <c r="HQ2" s="8"/>
      <c r="HR2" s="8"/>
      <c r="HS2" s="11"/>
      <c r="HT2" s="11"/>
      <c r="HU2" s="11"/>
      <c r="HV2" s="8"/>
      <c r="HW2" s="11"/>
      <c r="HX2" s="8"/>
      <c r="HY2" s="8"/>
      <c r="HZ2" s="11"/>
      <c r="IA2" s="11"/>
      <c r="IB2" s="8"/>
      <c r="IC2" s="8"/>
      <c r="ID2" s="8"/>
      <c r="IE2" s="8"/>
      <c r="IF2" s="8"/>
      <c r="IG2" s="11"/>
      <c r="IH2" s="11"/>
      <c r="II2" s="8"/>
      <c r="IJ2" s="8"/>
      <c r="IK2" s="8"/>
      <c r="IL2" s="8"/>
    </row>
    <row r="3" spans="1:398" ht="19" customHeight="1" thickBot="1">
      <c r="E3" s="2"/>
      <c r="G3" s="3"/>
      <c r="H3" s="3"/>
      <c r="I3" s="17"/>
      <c r="J3" s="3"/>
      <c r="K3" s="3"/>
      <c r="L3" s="3"/>
      <c r="V3" s="2"/>
      <c r="W3" s="2"/>
      <c r="X3" s="2"/>
      <c r="Y3" s="2"/>
      <c r="Z3" s="2"/>
      <c r="AD3" s="8"/>
      <c r="AE3" s="2"/>
      <c r="AF3" s="2"/>
      <c r="AG3" s="18"/>
      <c r="AH3" s="18"/>
      <c r="AI3" s="18" t="s">
        <v>4</v>
      </c>
      <c r="AJ3" s="18"/>
      <c r="AK3" s="22">
        <f>ROUNDUP(SUM(AK50,AK56,AK85,AK99,AK101,AK109,AK117,AK119,AK129,AK131,AK133,AK145,AK149,AK151,AK155,AK89,AK127,[1]【251001】パラ選手積算!CL10,AK64)/19,0)</f>
        <v>27337</v>
      </c>
      <c r="AL3" s="22"/>
      <c r="AM3" s="22">
        <f>ROUNDUP(SUM(AM50,AM56,AM85,AM99,AM101,AM109,AM117,AM119,AM129,AM131,AM133,AM145,AM149,AM151,AM155,AM89,AM127,[1]【251001】パラ選手積算!CN10,AM64)/19,0)</f>
        <v>25503</v>
      </c>
      <c r="AN3" s="22"/>
      <c r="AO3" s="22">
        <f>ROUNDUP(SUM(AO50,AO56,AO85,AO89,AO99,AO101,AO109,AO117,AO119,AO129,AO131,AO133,AO145,AO149,AO151,AO155,[1]【251001】パラ選手積算!CP10,AO64)/18,0)</f>
        <v>2455</v>
      </c>
      <c r="AP3" s="2"/>
      <c r="AQ3" s="2"/>
      <c r="AR3" s="2"/>
      <c r="AS3" s="19"/>
      <c r="AT3" s="19"/>
      <c r="AU3" s="19"/>
      <c r="AV3" s="2"/>
      <c r="AW3" s="2"/>
      <c r="AX3" s="2"/>
      <c r="AY3" s="2"/>
      <c r="AZ3" s="20"/>
      <c r="BA3" s="20"/>
      <c r="BB3" s="20"/>
      <c r="BC3" s="20"/>
      <c r="BD3" s="20"/>
      <c r="BE3" s="20"/>
      <c r="BF3" s="20"/>
      <c r="BG3" s="20"/>
      <c r="BH3" s="20"/>
      <c r="BI3" s="20"/>
      <c r="BJ3" s="20"/>
      <c r="BK3" s="20"/>
      <c r="BL3" s="20"/>
      <c r="BM3" s="20"/>
      <c r="BN3" s="20"/>
      <c r="BO3" s="20"/>
      <c r="BP3" s="20"/>
      <c r="BQ3" s="20"/>
      <c r="BR3" s="20"/>
      <c r="BS3" s="20"/>
      <c r="BT3" s="20"/>
      <c r="BU3" s="20"/>
      <c r="BV3" s="20"/>
      <c r="BW3" s="10"/>
      <c r="BX3" s="10"/>
      <c r="BY3" s="10"/>
      <c r="BZ3" s="10"/>
      <c r="CA3" s="10"/>
      <c r="CB3" s="10"/>
      <c r="CC3" s="8"/>
      <c r="CD3" s="11"/>
      <c r="CE3" s="11"/>
      <c r="CF3" s="8"/>
      <c r="CG3" s="8"/>
      <c r="CH3" s="8"/>
      <c r="CI3" s="8"/>
      <c r="CJ3" s="8"/>
      <c r="CK3" s="11"/>
      <c r="CL3" s="11"/>
      <c r="CM3" s="8"/>
      <c r="CN3" s="8"/>
      <c r="CO3" s="8"/>
      <c r="CP3" s="8"/>
      <c r="CQ3" s="8"/>
      <c r="CR3" s="11"/>
      <c r="CS3" s="11"/>
      <c r="CT3" s="11"/>
      <c r="CU3" s="8"/>
      <c r="CV3" s="11"/>
      <c r="CW3" s="8"/>
      <c r="CX3" s="8"/>
      <c r="CY3" s="11"/>
      <c r="CZ3" s="11"/>
      <c r="DA3" s="8"/>
      <c r="DB3" s="8"/>
      <c r="DC3" s="8"/>
      <c r="DD3" s="8"/>
      <c r="DE3" s="8"/>
      <c r="DF3" s="11"/>
      <c r="DG3" s="11"/>
      <c r="DH3" s="8"/>
      <c r="DI3" s="8"/>
      <c r="DJ3" s="8"/>
      <c r="DK3" s="8"/>
      <c r="ER3" s="8"/>
      <c r="ES3" s="8"/>
      <c r="ET3" s="8"/>
      <c r="EU3" s="8"/>
      <c r="EV3" s="12"/>
      <c r="EY3" s="12"/>
      <c r="FB3" s="12"/>
      <c r="FE3" s="12"/>
      <c r="FH3" s="12"/>
      <c r="FK3" s="14"/>
      <c r="FL3" s="14"/>
      <c r="FM3" s="2"/>
      <c r="FN3" s="2"/>
      <c r="FO3" s="2"/>
      <c r="FP3" s="18"/>
      <c r="FQ3" s="18"/>
      <c r="FR3" s="18"/>
      <c r="FS3" s="2"/>
      <c r="FT3" s="2"/>
      <c r="FU3" s="2"/>
      <c r="FV3" s="19"/>
      <c r="FW3" s="19"/>
      <c r="FX3" s="19"/>
      <c r="FY3" s="2"/>
      <c r="FZ3" s="2"/>
      <c r="GA3" s="2"/>
      <c r="GB3" s="2"/>
      <c r="GC3" s="20"/>
      <c r="GD3" s="20"/>
      <c r="GE3" s="20"/>
      <c r="GF3" s="20"/>
      <c r="GG3" s="20"/>
      <c r="GH3" s="20"/>
      <c r="GI3" s="20"/>
      <c r="GJ3" s="20"/>
      <c r="GK3" s="20"/>
      <c r="GL3" s="20"/>
      <c r="GM3" s="20"/>
      <c r="GN3" s="20"/>
      <c r="GO3" s="20"/>
      <c r="GP3" s="20"/>
      <c r="GQ3" s="20"/>
      <c r="GR3" s="20"/>
      <c r="GS3" s="20"/>
      <c r="GT3" s="20"/>
      <c r="GU3" s="20"/>
      <c r="GV3" s="20"/>
      <c r="GW3" s="20"/>
      <c r="GX3" s="10"/>
      <c r="GY3" s="10"/>
      <c r="GZ3" s="10"/>
      <c r="HA3" s="10"/>
      <c r="HB3" s="10"/>
      <c r="HC3" s="10"/>
      <c r="HD3" s="8"/>
      <c r="HE3" s="11"/>
      <c r="HF3" s="11"/>
      <c r="HG3" s="8"/>
      <c r="HH3" s="8"/>
      <c r="HI3" s="8"/>
      <c r="HJ3" s="8"/>
      <c r="HK3" s="8"/>
      <c r="HL3" s="11"/>
      <c r="HM3" s="11"/>
      <c r="HN3" s="8"/>
      <c r="HO3" s="8"/>
      <c r="HP3" s="8"/>
      <c r="HQ3" s="8"/>
      <c r="HR3" s="8"/>
      <c r="HS3" s="11"/>
      <c r="HT3" s="11"/>
      <c r="HU3" s="11"/>
      <c r="HV3" s="8"/>
      <c r="HW3" s="11"/>
      <c r="HX3" s="8"/>
      <c r="HY3" s="8"/>
      <c r="HZ3" s="11"/>
      <c r="IA3" s="11"/>
      <c r="IB3" s="8"/>
      <c r="IC3" s="8"/>
      <c r="ID3" s="8"/>
      <c r="IE3" s="8"/>
      <c r="IF3" s="8"/>
      <c r="IG3" s="11"/>
      <c r="IH3" s="11"/>
      <c r="II3" s="8"/>
      <c r="IJ3" s="8"/>
      <c r="IK3" s="8"/>
      <c r="IL3" s="8"/>
    </row>
    <row r="4" spans="1:398" ht="37" customHeight="1" thickTop="1" thickBot="1">
      <c r="E4" s="2"/>
      <c r="G4" s="3"/>
      <c r="H4" s="3"/>
      <c r="I4" s="17"/>
      <c r="J4" s="3"/>
      <c r="K4" s="3"/>
      <c r="L4" s="3"/>
      <c r="V4" s="2"/>
      <c r="W4" s="2"/>
      <c r="X4" s="2"/>
      <c r="Y4" s="2"/>
      <c r="Z4" s="2"/>
      <c r="AA4" s="23" t="s">
        <v>5</v>
      </c>
      <c r="AD4" s="8"/>
      <c r="AE4" s="2"/>
      <c r="AF4" s="2"/>
      <c r="AG4" s="19"/>
      <c r="AH4" s="19"/>
      <c r="AI4" s="24" t="s">
        <v>6</v>
      </c>
      <c r="AJ4" s="19"/>
      <c r="AK4" s="25">
        <v>26106</v>
      </c>
      <c r="AL4" s="19"/>
      <c r="AM4" s="25">
        <v>24690</v>
      </c>
      <c r="AN4" s="19"/>
      <c r="AO4" s="25">
        <v>2373</v>
      </c>
      <c r="AP4" s="2"/>
      <c r="AQ4" s="2"/>
      <c r="AR4" s="2"/>
      <c r="AS4" s="19"/>
      <c r="AT4" s="19"/>
      <c r="AU4" s="19"/>
      <c r="AV4" s="2"/>
      <c r="AW4" s="2" t="s">
        <v>7</v>
      </c>
      <c r="AX4" s="2"/>
      <c r="AY4" s="2"/>
      <c r="AZ4" s="26"/>
      <c r="BA4" s="26"/>
      <c r="BB4" s="26"/>
      <c r="BC4" s="26"/>
      <c r="BD4" s="26"/>
      <c r="BE4" s="26"/>
      <c r="BF4" s="26"/>
      <c r="BG4" s="26"/>
      <c r="BH4" s="26"/>
      <c r="BI4" s="26"/>
      <c r="BJ4" s="26"/>
      <c r="BK4" s="26"/>
      <c r="BL4" s="26"/>
      <c r="BM4" s="26"/>
      <c r="BN4" s="26"/>
      <c r="BO4" s="26"/>
      <c r="BP4" s="26"/>
      <c r="BQ4" s="27"/>
      <c r="BR4" s="26"/>
      <c r="BS4" s="26"/>
      <c r="BT4" s="26"/>
      <c r="BU4" s="28"/>
      <c r="BV4" s="29" t="s">
        <v>8</v>
      </c>
      <c r="BW4" s="30"/>
      <c r="BX4" s="31"/>
      <c r="BY4" s="32"/>
      <c r="BZ4" s="32"/>
      <c r="CA4" s="32"/>
      <c r="CB4" s="32"/>
      <c r="CC4" s="8"/>
      <c r="CD4" s="11"/>
      <c r="CE4" s="11"/>
      <c r="CF4" s="8"/>
      <c r="CG4" s="8"/>
      <c r="CH4" s="8"/>
      <c r="CI4" s="8"/>
      <c r="CJ4" s="8"/>
      <c r="CK4" s="11"/>
      <c r="CL4" s="11"/>
      <c r="CM4" s="8"/>
      <c r="CN4" s="8"/>
      <c r="CO4" s="8"/>
      <c r="CP4" s="8"/>
      <c r="CQ4" s="8"/>
      <c r="CR4" s="11"/>
      <c r="CS4" s="11"/>
      <c r="CT4" s="11"/>
      <c r="CU4" s="8"/>
      <c r="CV4" s="11"/>
      <c r="CW4" s="8"/>
      <c r="CX4" s="8"/>
      <c r="CY4" s="11"/>
      <c r="CZ4" s="11"/>
      <c r="DA4" s="8"/>
      <c r="DB4" s="8"/>
      <c r="DC4" s="8"/>
      <c r="DD4" s="8"/>
      <c r="DE4" s="8"/>
      <c r="DF4" s="11"/>
      <c r="DG4" s="11"/>
      <c r="DH4" s="8"/>
      <c r="DI4" s="33" t="s">
        <v>9</v>
      </c>
      <c r="DJ4" s="34"/>
      <c r="DK4" s="35"/>
      <c r="DQ4" s="36" t="s">
        <v>10</v>
      </c>
      <c r="EK4" s="29" t="s">
        <v>11</v>
      </c>
      <c r="EL4" s="30"/>
      <c r="EM4" s="31"/>
      <c r="EO4" s="36"/>
      <c r="ER4" s="8"/>
      <c r="ES4" s="8"/>
      <c r="ET4" s="8"/>
      <c r="EU4" s="8"/>
      <c r="EV4" s="12"/>
      <c r="EY4" s="12"/>
      <c r="FB4" s="12"/>
      <c r="FE4" s="12"/>
      <c r="FH4" s="12"/>
      <c r="FK4" s="14"/>
      <c r="FL4" s="14"/>
      <c r="FM4" s="2"/>
      <c r="FN4" s="2"/>
      <c r="FO4" s="2"/>
      <c r="FP4" s="19"/>
      <c r="FQ4" s="19"/>
      <c r="FR4" s="19"/>
      <c r="FS4" s="2"/>
      <c r="FT4" s="2"/>
      <c r="FU4" s="2"/>
      <c r="FV4" s="19"/>
      <c r="FW4" s="19"/>
      <c r="FX4" s="19"/>
      <c r="FY4" s="2"/>
      <c r="FZ4" s="2" t="s">
        <v>7</v>
      </c>
      <c r="GA4" s="2"/>
      <c r="GB4" s="2"/>
      <c r="GC4" s="26"/>
      <c r="GD4" s="26"/>
      <c r="GE4" s="26"/>
      <c r="GF4" s="26"/>
      <c r="GG4" s="26"/>
      <c r="GH4" s="26"/>
      <c r="GI4" s="26"/>
      <c r="GJ4" s="26"/>
      <c r="GK4" s="26"/>
      <c r="GL4" s="26"/>
      <c r="GM4" s="26"/>
      <c r="GN4" s="26"/>
      <c r="GO4" s="26"/>
      <c r="GP4" s="26"/>
      <c r="GQ4" s="26"/>
      <c r="GR4" s="26"/>
      <c r="GS4" s="26"/>
      <c r="GT4" s="26"/>
      <c r="GU4" s="26"/>
      <c r="GV4" s="28"/>
      <c r="GW4" s="29" t="s">
        <v>12</v>
      </c>
      <c r="GX4" s="30"/>
      <c r="GY4" s="31"/>
      <c r="GZ4" s="32"/>
      <c r="HA4" s="32"/>
      <c r="HB4" s="32"/>
      <c r="HC4" s="32"/>
      <c r="HD4" s="8"/>
      <c r="HE4" s="11"/>
      <c r="HF4" s="11"/>
      <c r="HG4" s="8"/>
      <c r="HH4" s="8"/>
      <c r="HI4" s="8"/>
      <c r="HJ4" s="8"/>
      <c r="HK4" s="8"/>
      <c r="HL4" s="11"/>
      <c r="HM4" s="11"/>
      <c r="HN4" s="8"/>
      <c r="HO4" s="8"/>
      <c r="HP4" s="8"/>
      <c r="HQ4" s="8"/>
      <c r="HR4" s="8"/>
      <c r="HS4" s="11"/>
      <c r="HT4" s="11"/>
      <c r="HU4" s="11"/>
      <c r="HV4" s="8"/>
      <c r="HW4" s="11"/>
      <c r="HX4" s="8"/>
      <c r="HY4" s="8"/>
      <c r="HZ4" s="11"/>
      <c r="IA4" s="11"/>
      <c r="IB4" s="8"/>
      <c r="IC4" s="8"/>
      <c r="ID4" s="8"/>
      <c r="IE4" s="8"/>
      <c r="IF4" s="8"/>
      <c r="IG4" s="11"/>
      <c r="IH4" s="11"/>
      <c r="II4" s="8"/>
      <c r="IJ4" s="37" t="s">
        <v>12</v>
      </c>
      <c r="IK4" s="38"/>
      <c r="IL4" s="39"/>
    </row>
    <row r="5" spans="1:398" ht="17" hidden="1" thickTop="1" thickBot="1">
      <c r="E5" s="2"/>
      <c r="G5" s="3"/>
      <c r="H5" s="3"/>
      <c r="I5" s="17" t="s">
        <v>13</v>
      </c>
      <c r="J5" s="3"/>
      <c r="K5" s="3"/>
      <c r="L5" s="3"/>
      <c r="V5" s="2"/>
      <c r="W5" s="2"/>
      <c r="X5" s="2"/>
      <c r="Y5" s="2"/>
      <c r="Z5" s="2"/>
      <c r="AD5" s="8"/>
      <c r="AE5" s="2"/>
      <c r="AF5" s="2"/>
      <c r="AG5" s="19" t="s">
        <v>14</v>
      </c>
      <c r="AH5" s="19"/>
      <c r="AI5" s="19"/>
      <c r="AJ5" s="19"/>
      <c r="AK5" s="19"/>
      <c r="AL5" s="19"/>
      <c r="AM5" s="19"/>
      <c r="AN5" s="19"/>
      <c r="AO5" s="19"/>
      <c r="AP5" s="2"/>
      <c r="AQ5" s="2"/>
      <c r="AR5" s="2"/>
      <c r="AS5" s="19"/>
      <c r="AT5" s="19"/>
      <c r="AU5" s="19"/>
      <c r="AV5" s="2"/>
      <c r="AW5" s="2"/>
      <c r="AX5" s="2"/>
      <c r="AY5" s="2"/>
      <c r="AZ5" s="2" t="s">
        <v>15</v>
      </c>
      <c r="BA5" s="2" t="s">
        <v>15</v>
      </c>
      <c r="BB5" s="2"/>
      <c r="BC5" s="2"/>
      <c r="BD5" s="2"/>
      <c r="BE5" s="2"/>
      <c r="BF5" s="2"/>
      <c r="BG5" s="2"/>
      <c r="BH5" s="2"/>
      <c r="BI5" s="2"/>
      <c r="BJ5" s="2"/>
      <c r="BK5" s="2"/>
      <c r="BL5" s="2"/>
      <c r="BM5" s="2"/>
      <c r="BN5" s="2"/>
      <c r="BO5" s="2"/>
      <c r="BP5" s="2"/>
      <c r="BQ5" s="2"/>
      <c r="BR5" s="2"/>
      <c r="BS5" s="2"/>
      <c r="BT5" s="2"/>
      <c r="BU5" s="2"/>
      <c r="BV5" s="10"/>
      <c r="BW5" s="10"/>
      <c r="BX5" s="10"/>
      <c r="BY5" s="10"/>
      <c r="BZ5" s="10"/>
      <c r="CA5" s="10"/>
      <c r="CB5" s="10"/>
      <c r="CC5" s="8"/>
      <c r="CD5" s="11"/>
      <c r="CE5" s="11"/>
      <c r="CF5" s="8"/>
      <c r="CG5" s="8"/>
      <c r="CH5" s="8"/>
      <c r="CI5" s="8"/>
      <c r="CJ5" s="8"/>
      <c r="CK5" s="11"/>
      <c r="CL5" s="11"/>
      <c r="CM5" s="8"/>
      <c r="CN5" s="8"/>
      <c r="CO5" s="8"/>
      <c r="CP5" s="8"/>
      <c r="CQ5" s="8"/>
      <c r="CR5" s="11"/>
      <c r="CS5" s="11"/>
      <c r="CT5" s="11"/>
      <c r="CU5" s="8"/>
      <c r="CV5" s="11"/>
      <c r="CW5" s="8"/>
      <c r="CX5" s="8"/>
      <c r="CY5" s="11"/>
      <c r="CZ5" s="11"/>
      <c r="DA5" s="8"/>
      <c r="DB5" s="8"/>
      <c r="DC5" s="8"/>
      <c r="DD5" s="8"/>
      <c r="DE5" s="8"/>
      <c r="DF5" s="11"/>
      <c r="DG5" s="11"/>
      <c r="DH5" s="8"/>
      <c r="DI5" s="8"/>
      <c r="DJ5" s="8"/>
      <c r="DK5" s="8"/>
      <c r="ER5" s="8"/>
      <c r="ES5" s="8"/>
      <c r="ET5" s="8"/>
      <c r="EU5" s="8"/>
      <c r="EV5" s="12"/>
      <c r="EY5" s="12"/>
      <c r="FB5" s="12"/>
      <c r="FE5" s="12"/>
      <c r="FH5" s="12"/>
      <c r="FK5" s="14"/>
      <c r="FL5" s="14"/>
      <c r="FM5" s="2"/>
      <c r="FN5" s="2"/>
      <c r="FO5" s="2"/>
      <c r="FP5" s="19" t="s">
        <v>14</v>
      </c>
      <c r="FQ5" s="19"/>
      <c r="FR5" s="19"/>
      <c r="FS5" s="2"/>
      <c r="FT5" s="2"/>
      <c r="FU5" s="2"/>
      <c r="FV5" s="19"/>
      <c r="FW5" s="19"/>
      <c r="FX5" s="19"/>
      <c r="FY5" s="2"/>
      <c r="FZ5" s="2"/>
      <c r="GA5" s="2"/>
      <c r="GB5" s="2"/>
      <c r="GC5" s="2" t="s">
        <v>15</v>
      </c>
      <c r="GD5" s="2" t="s">
        <v>15</v>
      </c>
      <c r="GE5" s="2"/>
      <c r="GF5" s="2"/>
      <c r="GG5" s="2"/>
      <c r="GH5" s="2"/>
      <c r="GI5" s="2"/>
      <c r="GJ5" s="2"/>
      <c r="GK5" s="2"/>
      <c r="GL5" s="2"/>
      <c r="GM5" s="2"/>
      <c r="GN5" s="2"/>
      <c r="GO5" s="2"/>
      <c r="GP5" s="2"/>
      <c r="GQ5" s="2"/>
      <c r="GR5" s="2"/>
      <c r="GS5" s="2"/>
      <c r="GT5" s="2"/>
      <c r="GU5" s="2"/>
      <c r="GV5" s="2"/>
      <c r="GW5" s="10"/>
      <c r="GX5" s="10"/>
      <c r="GY5" s="10"/>
      <c r="GZ5" s="10"/>
      <c r="HA5" s="10"/>
      <c r="HB5" s="10"/>
      <c r="HC5" s="10"/>
      <c r="HD5" s="8"/>
      <c r="HE5" s="11"/>
      <c r="HF5" s="11"/>
      <c r="HG5" s="8"/>
      <c r="HH5" s="8"/>
      <c r="HI5" s="8"/>
      <c r="HJ5" s="8"/>
      <c r="HK5" s="8"/>
      <c r="HL5" s="11"/>
      <c r="HM5" s="11"/>
      <c r="HN5" s="8"/>
      <c r="HO5" s="8"/>
      <c r="HP5" s="8"/>
      <c r="HQ5" s="8"/>
      <c r="HR5" s="8"/>
      <c r="HS5" s="11"/>
      <c r="HT5" s="11"/>
      <c r="HU5" s="11"/>
      <c r="HV5" s="8"/>
      <c r="HW5" s="11"/>
      <c r="HX5" s="8"/>
      <c r="HY5" s="8"/>
      <c r="HZ5" s="11"/>
      <c r="IA5" s="11"/>
      <c r="IB5" s="8"/>
      <c r="IC5" s="8"/>
      <c r="ID5" s="8"/>
      <c r="IE5" s="8"/>
      <c r="IF5" s="8"/>
      <c r="IG5" s="11"/>
      <c r="IH5" s="11"/>
      <c r="II5" s="8"/>
      <c r="IJ5" s="8"/>
      <c r="IK5" s="8"/>
      <c r="IL5" s="8"/>
    </row>
    <row r="6" spans="1:398" ht="17" hidden="1" thickTop="1" thickBot="1">
      <c r="E6" s="2"/>
      <c r="G6" s="3"/>
      <c r="H6" s="3"/>
      <c r="I6" s="3"/>
      <c r="J6" s="3"/>
      <c r="K6" s="3"/>
      <c r="L6" s="3"/>
      <c r="V6" s="2"/>
      <c r="W6" s="2"/>
      <c r="X6" s="2"/>
      <c r="Y6" s="2"/>
      <c r="Z6" s="2"/>
      <c r="AD6" s="8"/>
      <c r="AE6" s="2" t="s">
        <v>16</v>
      </c>
      <c r="AF6" s="2" t="s">
        <v>16</v>
      </c>
      <c r="AG6" s="19"/>
      <c r="AH6" s="19"/>
      <c r="AI6" s="19"/>
      <c r="AJ6" s="19"/>
      <c r="AK6" s="19"/>
      <c r="AL6" s="19"/>
      <c r="AM6" s="19"/>
      <c r="AN6" s="19"/>
      <c r="AO6" s="19"/>
      <c r="AP6" s="1"/>
      <c r="AQ6" s="1"/>
      <c r="AR6" s="1"/>
      <c r="AS6" s="2"/>
      <c r="AT6" s="2"/>
      <c r="AU6" s="2"/>
      <c r="AV6" s="2"/>
      <c r="AW6" s="10" t="s">
        <v>17</v>
      </c>
      <c r="AX6" s="2"/>
      <c r="AY6" s="2"/>
      <c r="AZ6" s="40" t="s">
        <v>18</v>
      </c>
      <c r="BA6" s="40" t="s">
        <v>18</v>
      </c>
      <c r="BB6" s="40"/>
      <c r="BC6" s="40"/>
      <c r="BD6" s="40"/>
      <c r="BE6" s="40"/>
      <c r="BF6" s="40"/>
      <c r="BG6" s="40"/>
      <c r="BH6" s="40"/>
      <c r="BI6" s="40"/>
      <c r="BJ6" s="40"/>
      <c r="BK6" s="40"/>
      <c r="BL6" s="40"/>
      <c r="BM6" s="40"/>
      <c r="BN6" s="40"/>
      <c r="BO6" s="40"/>
      <c r="BP6" s="40"/>
      <c r="BQ6" s="40"/>
      <c r="BR6" s="40"/>
      <c r="BS6" s="40"/>
      <c r="BT6" s="40"/>
      <c r="BU6" s="40"/>
      <c r="BV6" s="10"/>
      <c r="BW6" s="10"/>
      <c r="BX6" s="10"/>
      <c r="BY6" s="10"/>
      <c r="BZ6" s="10"/>
      <c r="CA6" s="10"/>
      <c r="CB6" s="10"/>
      <c r="CC6" s="8"/>
      <c r="CD6" s="11"/>
      <c r="CE6" s="11"/>
      <c r="CF6" s="8"/>
      <c r="CG6" s="8"/>
      <c r="CH6" s="8"/>
      <c r="CI6" s="8"/>
      <c r="CJ6" s="8"/>
      <c r="CK6" s="11"/>
      <c r="CL6" s="11"/>
      <c r="CM6" s="8"/>
      <c r="CN6" s="8"/>
      <c r="CO6" s="8"/>
      <c r="CP6" s="8"/>
      <c r="CQ6" s="8"/>
      <c r="CR6" s="11"/>
      <c r="CS6" s="11"/>
      <c r="CT6" s="11"/>
      <c r="CU6" s="8"/>
      <c r="CV6" s="11"/>
      <c r="CW6" s="8"/>
      <c r="CX6" s="8"/>
      <c r="CY6" s="11"/>
      <c r="CZ6" s="11"/>
      <c r="DA6" s="8"/>
      <c r="DB6" s="8"/>
      <c r="DC6" s="8"/>
      <c r="DD6" s="8"/>
      <c r="DE6" s="8"/>
      <c r="DF6" s="11"/>
      <c r="DG6" s="11"/>
      <c r="DH6" s="8"/>
      <c r="DI6" s="8"/>
      <c r="DJ6" s="8"/>
      <c r="DK6" s="8"/>
      <c r="DM6" s="7" t="s">
        <v>19</v>
      </c>
      <c r="ER6" s="8"/>
      <c r="ES6" s="41">
        <v>45677</v>
      </c>
      <c r="ET6" s="41">
        <v>45672</v>
      </c>
      <c r="EU6" s="41">
        <v>45961</v>
      </c>
      <c r="EV6" s="12"/>
      <c r="EY6" s="12"/>
      <c r="FB6" s="12"/>
      <c r="FE6" s="12"/>
      <c r="FH6" s="12"/>
      <c r="FK6" s="14"/>
      <c r="FL6" s="14"/>
      <c r="FM6" s="2"/>
      <c r="FN6" s="2" t="s">
        <v>16</v>
      </c>
      <c r="FO6" s="2" t="s">
        <v>16</v>
      </c>
      <c r="FP6" s="19"/>
      <c r="FQ6" s="19"/>
      <c r="FR6" s="19"/>
      <c r="FS6" s="1"/>
      <c r="FT6" s="1"/>
      <c r="FU6" s="1"/>
      <c r="FV6" s="2"/>
      <c r="FW6" s="2"/>
      <c r="FX6" s="2"/>
      <c r="FY6" s="2"/>
      <c r="FZ6" s="10" t="s">
        <v>17</v>
      </c>
      <c r="GA6" s="2"/>
      <c r="GB6" s="2"/>
      <c r="GC6" s="40" t="s">
        <v>18</v>
      </c>
      <c r="GD6" s="40" t="s">
        <v>18</v>
      </c>
      <c r="GE6" s="40"/>
      <c r="GF6" s="40"/>
      <c r="GG6" s="40"/>
      <c r="GH6" s="40"/>
      <c r="GI6" s="40"/>
      <c r="GJ6" s="40"/>
      <c r="GK6" s="40"/>
      <c r="GL6" s="40"/>
      <c r="GM6" s="40"/>
      <c r="GN6" s="40"/>
      <c r="GO6" s="40"/>
      <c r="GP6" s="40"/>
      <c r="GQ6" s="40"/>
      <c r="GR6" s="40"/>
      <c r="GS6" s="40"/>
      <c r="GT6" s="40"/>
      <c r="GU6" s="40"/>
      <c r="GV6" s="40"/>
      <c r="GW6" s="10"/>
      <c r="GX6" s="10"/>
      <c r="GY6" s="10"/>
      <c r="GZ6" s="10"/>
      <c r="HA6" s="10"/>
      <c r="HB6" s="10"/>
      <c r="HC6" s="10"/>
      <c r="HD6" s="8"/>
      <c r="HE6" s="11"/>
      <c r="HF6" s="11"/>
      <c r="HG6" s="8"/>
      <c r="HH6" s="8"/>
      <c r="HI6" s="8"/>
      <c r="HJ6" s="8"/>
      <c r="HK6" s="8"/>
      <c r="HL6" s="11"/>
      <c r="HM6" s="11"/>
      <c r="HN6" s="8"/>
      <c r="HO6" s="8"/>
      <c r="HP6" s="8"/>
      <c r="HQ6" s="8"/>
      <c r="HR6" s="8"/>
      <c r="HS6" s="11"/>
      <c r="HT6" s="11"/>
      <c r="HU6" s="11"/>
      <c r="HV6" s="8"/>
      <c r="HW6" s="11"/>
      <c r="HX6" s="8"/>
      <c r="HY6" s="8"/>
      <c r="HZ6" s="11"/>
      <c r="IA6" s="11"/>
      <c r="IB6" s="8"/>
      <c r="IC6" s="8"/>
      <c r="ID6" s="8"/>
      <c r="IE6" s="8"/>
      <c r="IF6" s="8"/>
      <c r="IG6" s="11"/>
      <c r="IH6" s="11"/>
      <c r="II6" s="8"/>
      <c r="IJ6" s="8"/>
      <c r="IK6" s="8"/>
      <c r="IL6" s="8"/>
      <c r="IN6" s="7" t="s">
        <v>19</v>
      </c>
    </row>
    <row r="7" spans="1:398" ht="38.5" customHeight="1" thickTop="1" thickBot="1">
      <c r="B7" s="42" t="s">
        <v>20</v>
      </c>
      <c r="E7" s="43"/>
      <c r="F7" s="44" t="s">
        <v>21</v>
      </c>
      <c r="G7" s="3"/>
      <c r="H7" s="3"/>
      <c r="I7" s="3"/>
      <c r="J7" s="3"/>
      <c r="K7" s="3"/>
      <c r="L7" s="3"/>
      <c r="U7" s="43"/>
      <c r="V7" s="2"/>
      <c r="W7" s="2"/>
      <c r="X7" s="2"/>
      <c r="Y7" s="2"/>
      <c r="Z7" s="2"/>
      <c r="AA7" s="45"/>
      <c r="AB7" s="14"/>
      <c r="AC7" s="14"/>
      <c r="AD7" s="14"/>
      <c r="AE7" s="46"/>
      <c r="AF7" s="46"/>
      <c r="AG7" s="47" t="s">
        <v>22</v>
      </c>
      <c r="AH7" s="47"/>
      <c r="AI7" s="47"/>
      <c r="AJ7" s="47" t="s">
        <v>23</v>
      </c>
      <c r="AK7" s="48" t="s">
        <v>24</v>
      </c>
      <c r="AL7" s="47" t="s">
        <v>23</v>
      </c>
      <c r="AM7" s="47"/>
      <c r="AN7" s="47"/>
      <c r="AO7" s="47"/>
      <c r="AP7" s="46"/>
      <c r="AQ7" s="46"/>
      <c r="AR7" s="46"/>
      <c r="AS7" s="47" t="s">
        <v>22</v>
      </c>
      <c r="AT7" s="47" t="s">
        <v>22</v>
      </c>
      <c r="AU7" s="47" t="s">
        <v>22</v>
      </c>
      <c r="AV7" s="47" t="s">
        <v>22</v>
      </c>
      <c r="AW7" s="47" t="s">
        <v>22</v>
      </c>
      <c r="AX7" s="47" t="s">
        <v>22</v>
      </c>
      <c r="AY7" s="46"/>
      <c r="AZ7" s="47" t="s">
        <v>22</v>
      </c>
      <c r="BA7" s="47" t="s">
        <v>22</v>
      </c>
      <c r="BB7" s="47" t="s">
        <v>25</v>
      </c>
      <c r="BC7" s="47" t="s">
        <v>26</v>
      </c>
      <c r="BD7" s="47" t="s">
        <v>27</v>
      </c>
      <c r="BE7" s="49" t="s">
        <v>28</v>
      </c>
      <c r="BF7" s="47" t="s">
        <v>29</v>
      </c>
      <c r="BG7" s="49" t="s">
        <v>28</v>
      </c>
      <c r="BH7" s="49" t="s">
        <v>30</v>
      </c>
      <c r="BI7" s="47"/>
      <c r="BJ7" s="47"/>
      <c r="BK7" s="47"/>
      <c r="BL7" s="47"/>
      <c r="BM7" s="47"/>
      <c r="BN7" s="47"/>
      <c r="BO7" s="47"/>
      <c r="BP7" s="47"/>
      <c r="BQ7" s="47"/>
      <c r="BR7" s="47"/>
      <c r="BS7" s="47"/>
      <c r="BT7" s="47"/>
      <c r="BU7" s="47"/>
      <c r="BV7" s="50"/>
      <c r="BW7" s="50"/>
      <c r="BX7" s="50"/>
      <c r="BY7" s="50"/>
      <c r="BZ7" s="50"/>
      <c r="CA7" s="50"/>
      <c r="CB7" s="50"/>
      <c r="CC7" s="51"/>
      <c r="CD7" s="52"/>
      <c r="CE7" s="53"/>
      <c r="CF7" s="51"/>
      <c r="CG7" s="51"/>
      <c r="CH7" s="51"/>
      <c r="CI7" s="51"/>
      <c r="CJ7" s="51"/>
      <c r="CK7" s="52"/>
      <c r="CL7" s="52"/>
      <c r="CM7" s="51"/>
      <c r="CN7" s="51"/>
      <c r="CO7" s="8"/>
      <c r="CP7" s="8"/>
      <c r="CQ7" s="8"/>
      <c r="CR7" s="11"/>
      <c r="CS7" s="11"/>
      <c r="CT7" s="11"/>
      <c r="CU7" s="8"/>
      <c r="CV7" s="11"/>
      <c r="CW7" s="8"/>
      <c r="CX7" s="8"/>
      <c r="CY7" s="11"/>
      <c r="CZ7" s="11"/>
      <c r="DA7" s="8"/>
      <c r="DB7" s="8"/>
      <c r="DC7" s="8"/>
      <c r="DD7" s="8"/>
      <c r="DE7" s="8"/>
      <c r="DF7" s="11"/>
      <c r="DG7" s="11"/>
      <c r="DH7" s="8"/>
      <c r="DI7" s="29" t="s">
        <v>31</v>
      </c>
      <c r="DJ7" s="54"/>
      <c r="DK7" s="55"/>
      <c r="DL7" s="56"/>
      <c r="DM7" s="56"/>
      <c r="DN7" s="56"/>
      <c r="DO7" s="56"/>
      <c r="DP7" s="56"/>
      <c r="DQ7" s="56"/>
      <c r="DR7" s="56"/>
      <c r="DS7" s="56"/>
      <c r="DT7" s="56"/>
      <c r="DU7" s="56"/>
      <c r="DV7" s="56"/>
      <c r="DW7" s="56"/>
      <c r="DX7" s="56"/>
      <c r="DY7" s="56"/>
      <c r="DZ7" s="56"/>
      <c r="EA7" s="56"/>
      <c r="EB7" s="56"/>
      <c r="EC7" s="56"/>
      <c r="ED7" s="56"/>
      <c r="EE7" s="56"/>
      <c r="EF7" s="56"/>
      <c r="EG7" s="56"/>
      <c r="EH7" s="56"/>
      <c r="EI7" s="56"/>
      <c r="EJ7" s="56"/>
      <c r="EK7" s="56"/>
      <c r="EL7" s="56"/>
      <c r="EM7" s="56"/>
      <c r="EN7" s="56"/>
      <c r="EO7" s="45"/>
      <c r="EP7" s="14"/>
      <c r="EQ7" s="14"/>
      <c r="ER7" s="14"/>
      <c r="ES7" s="14"/>
      <c r="ET7" s="14"/>
      <c r="EU7" s="14"/>
      <c r="EV7" s="57"/>
      <c r="EW7" s="45"/>
      <c r="EX7" s="45"/>
      <c r="EY7" s="57"/>
      <c r="EZ7" s="45"/>
      <c r="FA7" s="45"/>
      <c r="FB7" s="57"/>
      <c r="FC7" s="45"/>
      <c r="FD7" s="45"/>
      <c r="FE7" s="57"/>
      <c r="FF7" s="45"/>
      <c r="FG7" s="45"/>
      <c r="FH7" s="57"/>
      <c r="FI7" s="45"/>
      <c r="FJ7" s="45"/>
      <c r="FK7" s="14"/>
      <c r="FL7" s="14"/>
      <c r="FM7" s="46"/>
      <c r="FN7" s="46"/>
      <c r="FO7" s="46"/>
      <c r="FP7" s="47" t="s">
        <v>22</v>
      </c>
      <c r="FQ7" s="47"/>
      <c r="FR7" s="47"/>
      <c r="FS7" s="46"/>
      <c r="FT7" s="46"/>
      <c r="FU7" s="46"/>
      <c r="FV7" s="47" t="s">
        <v>22</v>
      </c>
      <c r="FW7" s="47" t="s">
        <v>22</v>
      </c>
      <c r="FX7" s="47" t="s">
        <v>22</v>
      </c>
      <c r="FY7" s="47" t="s">
        <v>22</v>
      </c>
      <c r="FZ7" s="47" t="s">
        <v>22</v>
      </c>
      <c r="GA7" s="47" t="s">
        <v>22</v>
      </c>
      <c r="GB7" s="46"/>
      <c r="GC7" s="47" t="s">
        <v>22</v>
      </c>
      <c r="GD7" s="47" t="s">
        <v>22</v>
      </c>
      <c r="GE7" s="58" t="s">
        <v>32</v>
      </c>
      <c r="GF7" s="58"/>
      <c r="GG7" s="58"/>
      <c r="GH7" s="58"/>
      <c r="GI7" s="47"/>
      <c r="GJ7" s="47"/>
      <c r="GK7" s="47"/>
      <c r="GL7" s="59" t="s">
        <v>32</v>
      </c>
      <c r="GM7" s="59"/>
      <c r="GN7" s="47"/>
      <c r="GO7" s="47"/>
      <c r="GP7" s="47"/>
      <c r="GQ7" s="47"/>
      <c r="GR7" s="47"/>
      <c r="GS7" s="47"/>
      <c r="GT7" s="47"/>
      <c r="GU7" s="47"/>
      <c r="GV7" s="47"/>
      <c r="GW7" s="50"/>
      <c r="GX7" s="50"/>
      <c r="GY7" s="50"/>
      <c r="GZ7" s="50"/>
      <c r="HA7" s="50"/>
      <c r="HB7" s="50"/>
      <c r="HC7" s="50"/>
      <c r="HD7" s="51"/>
      <c r="HE7" s="52"/>
      <c r="HF7" s="53"/>
      <c r="HG7" s="51"/>
      <c r="HH7" s="51"/>
      <c r="HI7" s="51"/>
      <c r="HJ7" s="51"/>
      <c r="HK7" s="51"/>
      <c r="HL7" s="52"/>
      <c r="HM7" s="52"/>
      <c r="HN7" s="51"/>
      <c r="HO7" s="51"/>
      <c r="HP7" s="8"/>
      <c r="HQ7" s="8"/>
      <c r="HR7" s="8"/>
      <c r="HS7" s="11"/>
      <c r="HT7" s="11"/>
      <c r="HU7" s="11"/>
      <c r="HV7" s="8"/>
      <c r="HW7" s="11"/>
      <c r="HX7" s="8"/>
      <c r="HY7" s="8"/>
      <c r="HZ7" s="11"/>
      <c r="IA7" s="11"/>
      <c r="IB7" s="8"/>
      <c r="IC7" s="8"/>
      <c r="ID7" s="8"/>
      <c r="IE7" s="8"/>
      <c r="IF7" s="8"/>
      <c r="IG7" s="11"/>
      <c r="IH7" s="11"/>
      <c r="II7" s="8"/>
      <c r="IJ7" s="29" t="s">
        <v>31</v>
      </c>
      <c r="IK7" s="54"/>
      <c r="IL7" s="55"/>
      <c r="IM7" s="56"/>
      <c r="IN7" s="56"/>
      <c r="IO7" s="60"/>
      <c r="IP7" s="60"/>
      <c r="IR7" s="61" t="s">
        <v>33</v>
      </c>
      <c r="IS7" s="62"/>
      <c r="IT7" s="62"/>
      <c r="IU7" s="62"/>
      <c r="IV7" s="62"/>
      <c r="IW7" s="62"/>
      <c r="IX7" s="62"/>
      <c r="IY7" s="62"/>
      <c r="IZ7" s="62"/>
      <c r="JA7" s="62"/>
      <c r="JB7" s="62"/>
      <c r="JC7" s="62"/>
      <c r="JD7" s="62"/>
      <c r="JE7" s="62"/>
      <c r="JF7" s="63"/>
    </row>
    <row r="8" spans="1:398" ht="30.65" hidden="1" customHeight="1" thickTop="1" thickBot="1">
      <c r="B8" s="64"/>
      <c r="E8" s="65" t="s">
        <v>34</v>
      </c>
      <c r="F8" s="44"/>
      <c r="G8" s="66" t="s">
        <v>34</v>
      </c>
      <c r="H8" s="66"/>
      <c r="I8" s="67" t="s">
        <v>35</v>
      </c>
      <c r="J8" s="67"/>
      <c r="K8" s="68"/>
      <c r="L8" s="65" t="s">
        <v>34</v>
      </c>
      <c r="U8" s="69"/>
      <c r="V8" s="70" t="s">
        <v>36</v>
      </c>
      <c r="W8" s="70"/>
      <c r="X8" s="70"/>
      <c r="Y8" s="70"/>
      <c r="Z8" s="70"/>
      <c r="AD8" s="8"/>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50"/>
      <c r="BW8" s="50"/>
      <c r="BX8" s="50"/>
      <c r="BY8" s="50"/>
      <c r="BZ8" s="50"/>
      <c r="CA8" s="50"/>
      <c r="CB8" s="50"/>
      <c r="CC8" s="51"/>
      <c r="CD8" s="52"/>
      <c r="CE8" s="52"/>
      <c r="CF8" s="51"/>
      <c r="CG8" s="51"/>
      <c r="CH8" s="51"/>
      <c r="CI8" s="51"/>
      <c r="CJ8" s="51"/>
      <c r="CK8" s="52"/>
      <c r="CL8" s="52"/>
      <c r="CM8" s="51"/>
      <c r="CN8" s="51"/>
      <c r="CO8" s="51"/>
      <c r="CP8" s="71"/>
      <c r="CQ8" s="71"/>
      <c r="CR8" s="72" t="s">
        <v>37</v>
      </c>
      <c r="CS8" s="73"/>
      <c r="CT8" s="73"/>
      <c r="CU8" s="71"/>
      <c r="CV8" s="73"/>
      <c r="CW8" s="71"/>
      <c r="CX8" s="71"/>
      <c r="CY8" s="52"/>
      <c r="CZ8" s="52"/>
      <c r="DA8" s="51"/>
      <c r="DB8" s="51"/>
      <c r="DC8" s="51"/>
      <c r="DD8" s="51"/>
      <c r="DE8" s="51"/>
      <c r="DF8" s="52"/>
      <c r="DG8" s="74" t="s">
        <v>38</v>
      </c>
      <c r="DH8" s="51"/>
      <c r="DI8" s="51"/>
      <c r="DJ8" s="51"/>
      <c r="DK8" s="75"/>
      <c r="DL8" s="56"/>
      <c r="DM8" s="56"/>
      <c r="DN8" s="56"/>
      <c r="DO8" s="56"/>
      <c r="DP8" s="56"/>
      <c r="DQ8" s="56"/>
      <c r="DR8" s="56"/>
      <c r="DS8" s="56"/>
      <c r="DT8" s="56"/>
      <c r="DU8" s="56"/>
      <c r="DV8" s="56"/>
      <c r="DW8" s="56"/>
      <c r="DX8" s="56"/>
      <c r="DY8" s="56"/>
      <c r="DZ8" s="56"/>
      <c r="EA8" s="56"/>
      <c r="EB8" s="56"/>
      <c r="EC8" s="56"/>
      <c r="ED8" s="56"/>
      <c r="EE8" s="56"/>
      <c r="EF8" s="56"/>
      <c r="EG8" s="56"/>
      <c r="EH8" s="56"/>
      <c r="EI8" s="56"/>
      <c r="EJ8" s="56"/>
      <c r="EK8" s="56"/>
      <c r="EL8" s="56"/>
      <c r="EM8" s="56"/>
      <c r="EN8" s="56"/>
      <c r="ER8" s="8"/>
      <c r="ES8" s="8"/>
      <c r="ET8" s="8"/>
      <c r="EU8" s="8"/>
      <c r="EV8" s="57"/>
      <c r="EY8" s="76" t="s">
        <v>39</v>
      </c>
      <c r="EZ8" s="77"/>
      <c r="FA8" s="77"/>
      <c r="FB8" s="77"/>
      <c r="FC8" s="77"/>
      <c r="FD8" s="77"/>
      <c r="FE8" s="77"/>
      <c r="FF8" s="77"/>
      <c r="FG8" s="77"/>
      <c r="FH8" s="77"/>
      <c r="FI8" s="77"/>
      <c r="FJ8" s="77"/>
      <c r="FK8" s="14"/>
      <c r="FL8" s="14"/>
      <c r="FM8" s="46"/>
      <c r="FN8" s="46"/>
      <c r="FO8" s="46"/>
      <c r="FP8" s="46"/>
      <c r="FQ8" s="46"/>
      <c r="FR8" s="46"/>
      <c r="FS8" s="46"/>
      <c r="FT8" s="46"/>
      <c r="FU8" s="46"/>
      <c r="FV8" s="46"/>
      <c r="FW8" s="46"/>
      <c r="FX8" s="46"/>
      <c r="FY8" s="46"/>
      <c r="FZ8" s="46"/>
      <c r="GA8" s="46"/>
      <c r="GB8" s="46"/>
      <c r="GC8" s="46"/>
      <c r="GD8" s="46"/>
      <c r="GE8" s="46"/>
      <c r="GF8" s="46"/>
      <c r="GG8" s="46"/>
      <c r="GH8" s="46"/>
      <c r="GI8" s="46"/>
      <c r="GJ8" s="46"/>
      <c r="GK8" s="46"/>
      <c r="GL8" s="46"/>
      <c r="GM8" s="46"/>
      <c r="GN8" s="46"/>
      <c r="GO8" s="46"/>
      <c r="GP8" s="46"/>
      <c r="GQ8" s="46"/>
      <c r="GR8" s="46"/>
      <c r="GS8" s="46"/>
      <c r="GT8" s="46"/>
      <c r="GU8" s="46"/>
      <c r="GV8" s="46"/>
      <c r="GW8" s="50"/>
      <c r="GX8" s="50"/>
      <c r="GY8" s="50"/>
      <c r="GZ8" s="50"/>
      <c r="HA8" s="50"/>
      <c r="HB8" s="50"/>
      <c r="HC8" s="50"/>
      <c r="HD8" s="51"/>
      <c r="HE8" s="52"/>
      <c r="HF8" s="52"/>
      <c r="HG8" s="51"/>
      <c r="HH8" s="51"/>
      <c r="HI8" s="51"/>
      <c r="HJ8" s="51"/>
      <c r="HK8" s="51"/>
      <c r="HL8" s="52"/>
      <c r="HM8" s="52"/>
      <c r="HN8" s="51"/>
      <c r="HO8" s="51"/>
      <c r="HP8" s="51"/>
      <c r="HQ8" s="71"/>
      <c r="HR8" s="71"/>
      <c r="HS8" s="72" t="s">
        <v>37</v>
      </c>
      <c r="HT8" s="73"/>
      <c r="HU8" s="73"/>
      <c r="HV8" s="71"/>
      <c r="HW8" s="73"/>
      <c r="HX8" s="71"/>
      <c r="HY8" s="71"/>
      <c r="HZ8" s="52"/>
      <c r="IA8" s="52"/>
      <c r="IB8" s="51"/>
      <c r="IC8" s="51"/>
      <c r="ID8" s="51"/>
      <c r="IE8" s="51"/>
      <c r="IF8" s="51"/>
      <c r="IG8" s="52"/>
      <c r="IH8" s="74" t="s">
        <v>38</v>
      </c>
      <c r="II8" s="51"/>
      <c r="IJ8" s="51"/>
      <c r="IK8" s="51"/>
      <c r="IL8" s="75"/>
      <c r="IM8" s="56"/>
      <c r="IN8" s="56"/>
      <c r="IO8" s="78"/>
      <c r="IP8" s="78"/>
    </row>
    <row r="9" spans="1:398" s="79" customFormat="1" ht="47.5" customHeight="1" thickTop="1" thickBot="1">
      <c r="B9" s="80" t="s">
        <v>40</v>
      </c>
      <c r="C9" s="81"/>
      <c r="D9" s="82" t="s">
        <v>41</v>
      </c>
      <c r="E9" s="83" t="s">
        <v>42</v>
      </c>
      <c r="F9" s="84" t="s">
        <v>43</v>
      </c>
      <c r="G9" s="85" t="s">
        <v>44</v>
      </c>
      <c r="H9" s="85"/>
      <c r="I9" s="85" t="s">
        <v>45</v>
      </c>
      <c r="J9" s="85"/>
      <c r="K9" s="86" t="s">
        <v>46</v>
      </c>
      <c r="L9" s="87" t="s">
        <v>47</v>
      </c>
      <c r="M9" s="88" t="s">
        <v>48</v>
      </c>
      <c r="N9" s="88" t="s">
        <v>49</v>
      </c>
      <c r="O9" s="88" t="s">
        <v>50</v>
      </c>
      <c r="P9" s="88" t="s">
        <v>51</v>
      </c>
      <c r="Q9" s="89" t="s">
        <v>52</v>
      </c>
      <c r="R9" s="90"/>
      <c r="S9" s="91"/>
      <c r="T9" s="92" t="s">
        <v>53</v>
      </c>
      <c r="U9" s="93" t="s">
        <v>54</v>
      </c>
      <c r="V9" s="94" t="s">
        <v>55</v>
      </c>
      <c r="W9" s="95"/>
      <c r="X9" s="96" t="s">
        <v>56</v>
      </c>
      <c r="Y9" s="96"/>
      <c r="Z9" s="96"/>
      <c r="AA9" s="97" t="s">
        <v>57</v>
      </c>
      <c r="AB9" s="97"/>
      <c r="AC9" s="97"/>
      <c r="AD9" s="97"/>
      <c r="AE9" s="98" t="s">
        <v>58</v>
      </c>
      <c r="AF9" s="99" t="s">
        <v>59</v>
      </c>
      <c r="AG9" s="100" t="s">
        <v>60</v>
      </c>
      <c r="AH9" s="100" t="s">
        <v>61</v>
      </c>
      <c r="AI9" s="101"/>
      <c r="AJ9" s="102"/>
      <c r="AK9" s="101" t="s">
        <v>62</v>
      </c>
      <c r="AL9" s="102"/>
      <c r="AM9" s="101" t="s">
        <v>62</v>
      </c>
      <c r="AN9" s="101" t="s">
        <v>63</v>
      </c>
      <c r="AO9" s="101" t="s">
        <v>62</v>
      </c>
      <c r="AP9" s="100" t="s">
        <v>64</v>
      </c>
      <c r="AQ9" s="100" t="s">
        <v>65</v>
      </c>
      <c r="AR9" s="103" t="s">
        <v>66</v>
      </c>
      <c r="AS9" s="104" t="s">
        <v>67</v>
      </c>
      <c r="AT9" s="105" t="s">
        <v>68</v>
      </c>
      <c r="AU9" s="104" t="s">
        <v>69</v>
      </c>
      <c r="AV9" s="106" t="s">
        <v>70</v>
      </c>
      <c r="AW9" s="107" t="s">
        <v>71</v>
      </c>
      <c r="AX9" s="108" t="s">
        <v>72</v>
      </c>
      <c r="AY9" s="109" t="s">
        <v>73</v>
      </c>
      <c r="AZ9" s="100" t="s">
        <v>74</v>
      </c>
      <c r="BA9" s="109" t="s">
        <v>75</v>
      </c>
      <c r="BB9" s="101" t="s">
        <v>62</v>
      </c>
      <c r="BC9" s="107" t="s">
        <v>76</v>
      </c>
      <c r="BD9" s="101" t="s">
        <v>62</v>
      </c>
      <c r="BE9" s="110"/>
      <c r="BF9" s="101" t="s">
        <v>62</v>
      </c>
      <c r="BG9" s="110"/>
      <c r="BH9" s="101" t="s">
        <v>62</v>
      </c>
      <c r="BI9" s="111" t="s">
        <v>77</v>
      </c>
      <c r="BJ9" s="112" t="s">
        <v>78</v>
      </c>
      <c r="BK9" s="112" t="s">
        <v>78</v>
      </c>
      <c r="BL9" s="112" t="s">
        <v>78</v>
      </c>
      <c r="BM9" s="112" t="s">
        <v>79</v>
      </c>
      <c r="BN9" s="113" t="s">
        <v>80</v>
      </c>
      <c r="BO9" s="110" t="s">
        <v>81</v>
      </c>
      <c r="BP9" s="110"/>
      <c r="BQ9" s="114" t="s">
        <v>82</v>
      </c>
      <c r="BR9" s="115"/>
      <c r="BS9" s="116"/>
      <c r="BT9" s="117" t="s">
        <v>83</v>
      </c>
      <c r="BU9" s="117" t="s">
        <v>84</v>
      </c>
      <c r="BV9" s="118" t="s">
        <v>85</v>
      </c>
      <c r="BW9" s="118" t="s">
        <v>86</v>
      </c>
      <c r="BX9" s="119" t="s">
        <v>87</v>
      </c>
      <c r="BY9" s="120">
        <v>46265</v>
      </c>
      <c r="BZ9" s="121">
        <v>46266</v>
      </c>
      <c r="CA9" s="121">
        <v>46267</v>
      </c>
      <c r="CB9" s="121">
        <v>46268</v>
      </c>
      <c r="CC9" s="121">
        <v>46269</v>
      </c>
      <c r="CD9" s="122">
        <v>46270</v>
      </c>
      <c r="CE9" s="122">
        <v>46271</v>
      </c>
      <c r="CF9" s="121">
        <v>46272</v>
      </c>
      <c r="CG9" s="121">
        <v>46273</v>
      </c>
      <c r="CH9" s="121">
        <v>46274</v>
      </c>
      <c r="CI9" s="121">
        <v>46275</v>
      </c>
      <c r="CJ9" s="121">
        <v>46276</v>
      </c>
      <c r="CK9" s="122">
        <v>46277</v>
      </c>
      <c r="CL9" s="122">
        <v>46278</v>
      </c>
      <c r="CM9" s="121">
        <v>46279</v>
      </c>
      <c r="CN9" s="121">
        <v>46280</v>
      </c>
      <c r="CO9" s="121">
        <v>46281</v>
      </c>
      <c r="CP9" s="121">
        <v>46282</v>
      </c>
      <c r="CQ9" s="123">
        <v>46283</v>
      </c>
      <c r="CR9" s="124">
        <v>46284</v>
      </c>
      <c r="CS9" s="125">
        <v>46285</v>
      </c>
      <c r="CT9" s="122">
        <v>46286</v>
      </c>
      <c r="CU9" s="121">
        <v>46287</v>
      </c>
      <c r="CV9" s="122">
        <v>46288</v>
      </c>
      <c r="CW9" s="121">
        <v>46289</v>
      </c>
      <c r="CX9" s="121">
        <v>46290</v>
      </c>
      <c r="CY9" s="122">
        <v>46291</v>
      </c>
      <c r="CZ9" s="122">
        <v>46292</v>
      </c>
      <c r="DA9" s="121">
        <v>46293</v>
      </c>
      <c r="DB9" s="121">
        <v>46294</v>
      </c>
      <c r="DC9" s="121">
        <v>46295</v>
      </c>
      <c r="DD9" s="121">
        <v>46296</v>
      </c>
      <c r="DE9" s="121">
        <v>46297</v>
      </c>
      <c r="DF9" s="126">
        <v>46298</v>
      </c>
      <c r="DG9" s="124">
        <v>46299</v>
      </c>
      <c r="DH9" s="127">
        <v>46300</v>
      </c>
      <c r="DI9" s="121">
        <v>46301</v>
      </c>
      <c r="DJ9" s="121">
        <v>46302</v>
      </c>
      <c r="DK9" s="128">
        <v>46303</v>
      </c>
      <c r="DL9" s="129"/>
      <c r="DM9" s="129"/>
      <c r="DN9" s="129"/>
      <c r="DO9" s="129"/>
      <c r="DP9" s="129"/>
      <c r="DQ9" s="97" t="s">
        <v>57</v>
      </c>
      <c r="DR9" s="97"/>
      <c r="DS9" s="97"/>
      <c r="DT9" s="97"/>
      <c r="DU9" s="100" t="s">
        <v>60</v>
      </c>
      <c r="DV9" s="108" t="s">
        <v>72</v>
      </c>
      <c r="DW9" s="100" t="s">
        <v>74</v>
      </c>
      <c r="DX9" s="109" t="s">
        <v>75</v>
      </c>
      <c r="DY9" s="101" t="s">
        <v>62</v>
      </c>
      <c r="DZ9" s="101" t="s">
        <v>62</v>
      </c>
      <c r="EA9" s="101" t="s">
        <v>62</v>
      </c>
      <c r="EB9" s="101" t="s">
        <v>62</v>
      </c>
      <c r="EC9" s="111" t="s">
        <v>77</v>
      </c>
      <c r="ED9" s="112" t="s">
        <v>78</v>
      </c>
      <c r="EE9" s="112" t="s">
        <v>78</v>
      </c>
      <c r="EF9" s="112" t="s">
        <v>78</v>
      </c>
      <c r="EG9" s="130" t="s">
        <v>81</v>
      </c>
      <c r="EH9" s="110"/>
      <c r="EI9" s="131"/>
      <c r="EJ9" s="131"/>
      <c r="EK9" s="118" t="s">
        <v>85</v>
      </c>
      <c r="EL9" s="118" t="s">
        <v>86</v>
      </c>
      <c r="EM9" s="119" t="s">
        <v>87</v>
      </c>
      <c r="EN9" s="129"/>
      <c r="EO9" s="97" t="s">
        <v>57</v>
      </c>
      <c r="EP9" s="97"/>
      <c r="EQ9" s="97"/>
      <c r="ER9" s="97"/>
      <c r="ES9" s="132"/>
      <c r="ET9" s="132"/>
      <c r="EU9" s="132"/>
      <c r="EV9" s="133"/>
      <c r="EW9" s="134" t="s">
        <v>88</v>
      </c>
      <c r="EX9" s="135"/>
      <c r="EY9" s="136" t="s">
        <v>89</v>
      </c>
      <c r="EZ9" s="137"/>
      <c r="FA9" s="138"/>
      <c r="FB9" s="136" t="s">
        <v>90</v>
      </c>
      <c r="FC9" s="137"/>
      <c r="FD9" s="138"/>
      <c r="FE9" s="136" t="s">
        <v>91</v>
      </c>
      <c r="FF9" s="137"/>
      <c r="FG9" s="138"/>
      <c r="FH9" s="136" t="s">
        <v>92</v>
      </c>
      <c r="FI9" s="137"/>
      <c r="FJ9" s="139"/>
      <c r="FK9" s="140" t="s">
        <v>93</v>
      </c>
      <c r="FL9" s="141" t="s">
        <v>94</v>
      </c>
      <c r="FM9" s="142" t="s">
        <v>95</v>
      </c>
      <c r="FN9" s="98" t="s">
        <v>96</v>
      </c>
      <c r="FO9" s="99" t="s">
        <v>97</v>
      </c>
      <c r="FP9" s="100" t="s">
        <v>60</v>
      </c>
      <c r="FQ9" s="100" t="s">
        <v>61</v>
      </c>
      <c r="FR9" s="143" t="s">
        <v>98</v>
      </c>
      <c r="FS9" s="100" t="s">
        <v>64</v>
      </c>
      <c r="FT9" s="100" t="s">
        <v>65</v>
      </c>
      <c r="FU9" s="103" t="s">
        <v>66</v>
      </c>
      <c r="FV9" s="104" t="s">
        <v>67</v>
      </c>
      <c r="FW9" s="105" t="s">
        <v>68</v>
      </c>
      <c r="FX9" s="104" t="s">
        <v>69</v>
      </c>
      <c r="FY9" s="144" t="s">
        <v>70</v>
      </c>
      <c r="FZ9" s="100" t="s">
        <v>71</v>
      </c>
      <c r="GA9" s="108" t="s">
        <v>72</v>
      </c>
      <c r="GB9" s="109" t="s">
        <v>73</v>
      </c>
      <c r="GC9" s="100" t="s">
        <v>74</v>
      </c>
      <c r="GD9" s="109" t="s">
        <v>75</v>
      </c>
      <c r="GE9" s="107" t="s">
        <v>74</v>
      </c>
      <c r="GF9" s="107" t="s">
        <v>75</v>
      </c>
      <c r="GG9" s="102"/>
      <c r="GH9" s="102"/>
      <c r="GI9" s="109" t="s">
        <v>99</v>
      </c>
      <c r="GJ9" s="111" t="s">
        <v>77</v>
      </c>
      <c r="GK9" s="112" t="s">
        <v>78</v>
      </c>
      <c r="GL9" s="102" t="s">
        <v>78</v>
      </c>
      <c r="GM9" s="102"/>
      <c r="GN9" s="112" t="s">
        <v>78</v>
      </c>
      <c r="GO9" s="112" t="s">
        <v>78</v>
      </c>
      <c r="GP9" s="112" t="s">
        <v>79</v>
      </c>
      <c r="GQ9" s="113" t="s">
        <v>80</v>
      </c>
      <c r="GR9" s="110"/>
      <c r="GS9" s="116"/>
      <c r="GT9" s="116"/>
      <c r="GU9" s="131"/>
      <c r="GV9" s="131"/>
      <c r="GW9" s="118" t="s">
        <v>85</v>
      </c>
      <c r="GX9" s="118" t="s">
        <v>86</v>
      </c>
      <c r="GY9" s="119" t="s">
        <v>87</v>
      </c>
      <c r="GZ9" s="120">
        <v>46265</v>
      </c>
      <c r="HA9" s="121">
        <v>46266</v>
      </c>
      <c r="HB9" s="121">
        <v>46267</v>
      </c>
      <c r="HC9" s="121">
        <v>46268</v>
      </c>
      <c r="HD9" s="121">
        <v>46269</v>
      </c>
      <c r="HE9" s="122">
        <v>46270</v>
      </c>
      <c r="HF9" s="122">
        <v>46271</v>
      </c>
      <c r="HG9" s="121">
        <v>46272</v>
      </c>
      <c r="HH9" s="121">
        <v>46273</v>
      </c>
      <c r="HI9" s="121">
        <v>46274</v>
      </c>
      <c r="HJ9" s="121">
        <v>46275</v>
      </c>
      <c r="HK9" s="121">
        <v>46276</v>
      </c>
      <c r="HL9" s="122">
        <v>46277</v>
      </c>
      <c r="HM9" s="122">
        <v>46278</v>
      </c>
      <c r="HN9" s="121">
        <v>46279</v>
      </c>
      <c r="HO9" s="121">
        <v>46280</v>
      </c>
      <c r="HP9" s="121">
        <v>46281</v>
      </c>
      <c r="HQ9" s="121">
        <v>46282</v>
      </c>
      <c r="HR9" s="123">
        <v>46283</v>
      </c>
      <c r="HS9" s="145">
        <v>46284</v>
      </c>
      <c r="HT9" s="125">
        <v>46285</v>
      </c>
      <c r="HU9" s="122">
        <v>46286</v>
      </c>
      <c r="HV9" s="121">
        <v>46287</v>
      </c>
      <c r="HW9" s="122">
        <v>46288</v>
      </c>
      <c r="HX9" s="121">
        <v>46289</v>
      </c>
      <c r="HY9" s="121">
        <v>46290</v>
      </c>
      <c r="HZ9" s="122">
        <v>46291</v>
      </c>
      <c r="IA9" s="122">
        <v>46292</v>
      </c>
      <c r="IB9" s="121">
        <v>46293</v>
      </c>
      <c r="IC9" s="121">
        <v>46294</v>
      </c>
      <c r="ID9" s="121">
        <v>46295</v>
      </c>
      <c r="IE9" s="121">
        <v>46296</v>
      </c>
      <c r="IF9" s="121">
        <v>46297</v>
      </c>
      <c r="IG9" s="126">
        <v>46298</v>
      </c>
      <c r="IH9" s="145">
        <v>46299</v>
      </c>
      <c r="II9" s="127">
        <v>46300</v>
      </c>
      <c r="IJ9" s="121">
        <v>46301</v>
      </c>
      <c r="IK9" s="121">
        <v>46302</v>
      </c>
      <c r="IL9" s="128">
        <v>46303</v>
      </c>
      <c r="IM9" s="129"/>
      <c r="IN9" s="129"/>
      <c r="IO9" s="146" t="s">
        <v>100</v>
      </c>
      <c r="IP9" s="147" t="s">
        <v>101</v>
      </c>
      <c r="IR9" s="100" t="s">
        <v>60</v>
      </c>
      <c r="IS9" s="100" t="s">
        <v>64</v>
      </c>
      <c r="IT9" s="148" t="s">
        <v>66</v>
      </c>
      <c r="IU9" s="100" t="s">
        <v>102</v>
      </c>
      <c r="IV9" s="100" t="s">
        <v>70</v>
      </c>
      <c r="IW9" s="100" t="s">
        <v>71</v>
      </c>
      <c r="IX9" s="108" t="s">
        <v>72</v>
      </c>
      <c r="IY9" s="109" t="s">
        <v>73</v>
      </c>
      <c r="IZ9" s="100" t="s">
        <v>74</v>
      </c>
      <c r="JA9" s="109" t="s">
        <v>75</v>
      </c>
      <c r="JB9" s="149" t="s">
        <v>103</v>
      </c>
      <c r="JC9" s="150" t="s">
        <v>78</v>
      </c>
      <c r="JD9" s="118" t="s">
        <v>85</v>
      </c>
      <c r="JE9" s="118" t="s">
        <v>86</v>
      </c>
      <c r="JF9" s="119" t="s">
        <v>87</v>
      </c>
      <c r="JG9" s="151" t="s">
        <v>104</v>
      </c>
      <c r="JH9" s="152"/>
      <c r="JO9" s="120">
        <v>46269</v>
      </c>
      <c r="JP9" s="122">
        <v>46270</v>
      </c>
      <c r="JQ9" s="122">
        <v>46271</v>
      </c>
      <c r="JR9" s="121">
        <v>46272</v>
      </c>
      <c r="JS9" s="121">
        <v>46273</v>
      </c>
      <c r="JT9" s="121">
        <v>46274</v>
      </c>
      <c r="JU9" s="121">
        <v>46275</v>
      </c>
      <c r="JV9" s="121">
        <v>46276</v>
      </c>
      <c r="JW9" s="122">
        <v>46277</v>
      </c>
      <c r="JX9" s="122">
        <v>46278</v>
      </c>
      <c r="JY9" s="121">
        <v>46279</v>
      </c>
      <c r="JZ9" s="121">
        <v>46280</v>
      </c>
      <c r="KA9" s="121">
        <v>46281</v>
      </c>
      <c r="KB9" s="121">
        <v>46282</v>
      </c>
      <c r="KC9" s="123">
        <v>46283</v>
      </c>
      <c r="KD9" s="153">
        <v>46284</v>
      </c>
      <c r="KE9" s="125">
        <v>46285</v>
      </c>
      <c r="KF9" s="122">
        <v>46286</v>
      </c>
      <c r="KG9" s="121">
        <v>46287</v>
      </c>
      <c r="KH9" s="122">
        <v>46288</v>
      </c>
      <c r="KI9" s="121">
        <v>46289</v>
      </c>
      <c r="KJ9" s="121">
        <v>46290</v>
      </c>
      <c r="KK9" s="122">
        <v>46291</v>
      </c>
      <c r="KL9" s="122">
        <v>46292</v>
      </c>
      <c r="KM9" s="121">
        <v>46293</v>
      </c>
      <c r="KN9" s="121">
        <v>46294</v>
      </c>
      <c r="KO9" s="121">
        <v>46295</v>
      </c>
      <c r="KP9" s="121">
        <v>46296</v>
      </c>
      <c r="KQ9" s="121">
        <v>46297</v>
      </c>
      <c r="KR9" s="126">
        <v>46298</v>
      </c>
      <c r="KS9" s="153">
        <v>46299</v>
      </c>
      <c r="KT9" s="127">
        <v>46300</v>
      </c>
      <c r="KU9" s="121">
        <v>46301</v>
      </c>
      <c r="KV9" s="121">
        <v>46302</v>
      </c>
      <c r="KW9" s="128">
        <v>46303</v>
      </c>
    </row>
    <row r="10" spans="1:398" s="10" customFormat="1" ht="55" customHeight="1" thickTop="1" thickBot="1">
      <c r="B10" s="154" t="s">
        <v>105</v>
      </c>
      <c r="C10" s="155" t="s">
        <v>106</v>
      </c>
      <c r="D10" s="156"/>
      <c r="E10" s="157"/>
      <c r="F10" s="158" t="s">
        <v>107</v>
      </c>
      <c r="G10" s="159" t="s">
        <v>108</v>
      </c>
      <c r="H10" s="159" t="s">
        <v>109</v>
      </c>
      <c r="I10" s="159" t="s">
        <v>110</v>
      </c>
      <c r="J10" s="159" t="s">
        <v>109</v>
      </c>
      <c r="K10" s="160"/>
      <c r="L10" s="161"/>
      <c r="M10" s="162"/>
      <c r="N10" s="162"/>
      <c r="O10" s="162"/>
      <c r="P10" s="162"/>
      <c r="Q10" s="163" t="s">
        <v>111</v>
      </c>
      <c r="R10" s="164" t="s">
        <v>112</v>
      </c>
      <c r="S10" s="165" t="s">
        <v>113</v>
      </c>
      <c r="T10" s="166" t="s">
        <v>114</v>
      </c>
      <c r="U10" s="167">
        <v>15000</v>
      </c>
      <c r="V10" s="168"/>
      <c r="W10" s="169"/>
      <c r="X10" s="169">
        <v>1</v>
      </c>
      <c r="Y10" s="169">
        <v>2</v>
      </c>
      <c r="Z10" s="169">
        <v>3</v>
      </c>
      <c r="AA10" s="170" t="s">
        <v>115</v>
      </c>
      <c r="AB10" s="171" t="s">
        <v>116</v>
      </c>
      <c r="AC10" s="172" t="s">
        <v>117</v>
      </c>
      <c r="AD10" s="173" t="s">
        <v>118</v>
      </c>
      <c r="AE10" s="174"/>
      <c r="AF10" s="175"/>
      <c r="AG10" s="176"/>
      <c r="AH10" s="177"/>
      <c r="AI10" s="178" t="s">
        <v>119</v>
      </c>
      <c r="AJ10" s="179"/>
      <c r="AK10" s="180" t="s">
        <v>120</v>
      </c>
      <c r="AL10" s="179"/>
      <c r="AM10" s="180" t="s">
        <v>121</v>
      </c>
      <c r="AN10" s="180" t="s">
        <v>122</v>
      </c>
      <c r="AO10" s="180" t="s">
        <v>123</v>
      </c>
      <c r="AP10" s="176"/>
      <c r="AQ10" s="177"/>
      <c r="AR10" s="181"/>
      <c r="AS10" s="182"/>
      <c r="AT10" s="183"/>
      <c r="AU10" s="184"/>
      <c r="AV10" s="185"/>
      <c r="AW10" s="186"/>
      <c r="AX10" s="187"/>
      <c r="AY10" s="188"/>
      <c r="AZ10" s="176"/>
      <c r="BA10" s="188"/>
      <c r="BB10" s="180" t="s">
        <v>99</v>
      </c>
      <c r="BC10" s="189"/>
      <c r="BD10" s="180" t="s">
        <v>124</v>
      </c>
      <c r="BE10" s="190" t="s">
        <v>125</v>
      </c>
      <c r="BF10" s="180" t="s">
        <v>126</v>
      </c>
      <c r="BG10" s="190" t="s">
        <v>127</v>
      </c>
      <c r="BH10" s="180" t="s">
        <v>128</v>
      </c>
      <c r="BI10" s="191"/>
      <c r="BJ10" s="192" t="s">
        <v>129</v>
      </c>
      <c r="BK10" s="193" t="s">
        <v>130</v>
      </c>
      <c r="BL10" s="193" t="s">
        <v>131</v>
      </c>
      <c r="BM10" s="193" t="s">
        <v>132</v>
      </c>
      <c r="BN10" s="194"/>
      <c r="BO10" s="195" t="s">
        <v>133</v>
      </c>
      <c r="BP10" s="195" t="s">
        <v>134</v>
      </c>
      <c r="BQ10" s="196" t="s">
        <v>135</v>
      </c>
      <c r="BR10" s="197" t="s">
        <v>136</v>
      </c>
      <c r="BS10" s="198" t="s">
        <v>137</v>
      </c>
      <c r="BT10" s="199" t="s">
        <v>138</v>
      </c>
      <c r="BU10" s="199" t="s">
        <v>139</v>
      </c>
      <c r="BV10" s="200"/>
      <c r="BW10" s="200"/>
      <c r="BX10" s="201"/>
      <c r="BY10" s="202" t="s">
        <v>140</v>
      </c>
      <c r="BZ10" s="203" t="s">
        <v>141</v>
      </c>
      <c r="CA10" s="204" t="s">
        <v>142</v>
      </c>
      <c r="CB10" s="204" t="s">
        <v>143</v>
      </c>
      <c r="CC10" s="203" t="s">
        <v>144</v>
      </c>
      <c r="CD10" s="205" t="s">
        <v>145</v>
      </c>
      <c r="CE10" s="205" t="s">
        <v>146</v>
      </c>
      <c r="CF10" s="203" t="s">
        <v>147</v>
      </c>
      <c r="CG10" s="203" t="s">
        <v>148</v>
      </c>
      <c r="CH10" s="206" t="s">
        <v>142</v>
      </c>
      <c r="CI10" s="206" t="s">
        <v>143</v>
      </c>
      <c r="CJ10" s="206" t="s">
        <v>144</v>
      </c>
      <c r="CK10" s="207" t="s">
        <v>145</v>
      </c>
      <c r="CL10" s="207" t="s">
        <v>146</v>
      </c>
      <c r="CM10" s="206" t="s">
        <v>149</v>
      </c>
      <c r="CN10" s="206" t="s">
        <v>150</v>
      </c>
      <c r="CO10" s="206" t="s">
        <v>151</v>
      </c>
      <c r="CP10" s="206" t="s">
        <v>152</v>
      </c>
      <c r="CQ10" s="208" t="s">
        <v>144</v>
      </c>
      <c r="CR10" s="209" t="s">
        <v>145</v>
      </c>
      <c r="CS10" s="210" t="s">
        <v>146</v>
      </c>
      <c r="CT10" s="207" t="s">
        <v>149</v>
      </c>
      <c r="CU10" s="206" t="s">
        <v>153</v>
      </c>
      <c r="CV10" s="207" t="s">
        <v>151</v>
      </c>
      <c r="CW10" s="206" t="s">
        <v>152</v>
      </c>
      <c r="CX10" s="206" t="s">
        <v>144</v>
      </c>
      <c r="CY10" s="207" t="s">
        <v>145</v>
      </c>
      <c r="CZ10" s="207" t="s">
        <v>146</v>
      </c>
      <c r="DA10" s="206" t="s">
        <v>149</v>
      </c>
      <c r="DB10" s="206" t="s">
        <v>150</v>
      </c>
      <c r="DC10" s="206" t="s">
        <v>151</v>
      </c>
      <c r="DD10" s="206" t="s">
        <v>152</v>
      </c>
      <c r="DE10" s="206" t="s">
        <v>144</v>
      </c>
      <c r="DF10" s="211" t="s">
        <v>145</v>
      </c>
      <c r="DG10" s="209" t="s">
        <v>146</v>
      </c>
      <c r="DH10" s="212" t="s">
        <v>149</v>
      </c>
      <c r="DI10" s="206" t="s">
        <v>150</v>
      </c>
      <c r="DJ10" s="206" t="s">
        <v>151</v>
      </c>
      <c r="DK10" s="213" t="s">
        <v>152</v>
      </c>
      <c r="DL10" s="214"/>
      <c r="DM10" s="214" t="s">
        <v>154</v>
      </c>
      <c r="DN10" s="214" t="s">
        <v>155</v>
      </c>
      <c r="DO10" s="214"/>
      <c r="DP10" s="214"/>
      <c r="DQ10" s="170" t="s">
        <v>115</v>
      </c>
      <c r="DR10" s="171" t="s">
        <v>116</v>
      </c>
      <c r="DS10" s="172" t="s">
        <v>117</v>
      </c>
      <c r="DT10" s="173" t="s">
        <v>118</v>
      </c>
      <c r="DU10" s="176"/>
      <c r="DV10" s="187"/>
      <c r="DW10" s="176"/>
      <c r="DX10" s="188"/>
      <c r="DY10" s="180" t="s">
        <v>99</v>
      </c>
      <c r="DZ10" s="180" t="s">
        <v>124</v>
      </c>
      <c r="EA10" s="180" t="s">
        <v>126</v>
      </c>
      <c r="EB10" s="180" t="s">
        <v>128</v>
      </c>
      <c r="EC10" s="191"/>
      <c r="ED10" s="192" t="s">
        <v>129</v>
      </c>
      <c r="EE10" s="193" t="s">
        <v>130</v>
      </c>
      <c r="EF10" s="193" t="s">
        <v>131</v>
      </c>
      <c r="EG10" s="195" t="s">
        <v>133</v>
      </c>
      <c r="EH10" s="195" t="s">
        <v>134</v>
      </c>
      <c r="EI10" s="199" t="s">
        <v>138</v>
      </c>
      <c r="EJ10" s="199" t="s">
        <v>139</v>
      </c>
      <c r="EK10" s="200"/>
      <c r="EL10" s="200"/>
      <c r="EM10" s="201"/>
      <c r="EN10" s="214"/>
      <c r="EO10" s="170" t="s">
        <v>115</v>
      </c>
      <c r="EP10" s="171" t="s">
        <v>116</v>
      </c>
      <c r="EQ10" s="172" t="s">
        <v>117</v>
      </c>
      <c r="ER10" s="173" t="s">
        <v>118</v>
      </c>
      <c r="ES10" s="215" t="s">
        <v>156</v>
      </c>
      <c r="ET10" s="215" t="s">
        <v>156</v>
      </c>
      <c r="EU10" s="215" t="s">
        <v>156</v>
      </c>
      <c r="EV10" s="216" t="s">
        <v>116</v>
      </c>
      <c r="EW10" s="217" t="s">
        <v>157</v>
      </c>
      <c r="EX10" s="218" t="s">
        <v>158</v>
      </c>
      <c r="EY10" s="219" t="s">
        <v>89</v>
      </c>
      <c r="EZ10" s="220" t="s">
        <v>157</v>
      </c>
      <c r="FA10" s="221" t="s">
        <v>158</v>
      </c>
      <c r="FB10" s="219" t="s">
        <v>90</v>
      </c>
      <c r="FC10" s="220" t="s">
        <v>157</v>
      </c>
      <c r="FD10" s="221" t="s">
        <v>158</v>
      </c>
      <c r="FE10" s="222" t="s">
        <v>91</v>
      </c>
      <c r="FF10" s="220" t="s">
        <v>157</v>
      </c>
      <c r="FG10" s="221" t="s">
        <v>158</v>
      </c>
      <c r="FH10" s="222" t="s">
        <v>92</v>
      </c>
      <c r="FI10" s="220" t="s">
        <v>157</v>
      </c>
      <c r="FJ10" s="223" t="s">
        <v>158</v>
      </c>
      <c r="FK10" s="224"/>
      <c r="FL10" s="225"/>
      <c r="FM10" s="226"/>
      <c r="FN10" s="174"/>
      <c r="FO10" s="175"/>
      <c r="FP10" s="176"/>
      <c r="FQ10" s="177"/>
      <c r="FR10" s="227"/>
      <c r="FS10" s="176"/>
      <c r="FT10" s="177"/>
      <c r="FU10" s="181"/>
      <c r="FV10" s="182"/>
      <c r="FW10" s="183"/>
      <c r="FX10" s="184"/>
      <c r="FY10" s="228"/>
      <c r="FZ10" s="176"/>
      <c r="GA10" s="187"/>
      <c r="GB10" s="188"/>
      <c r="GC10" s="176"/>
      <c r="GD10" s="188"/>
      <c r="GE10" s="186"/>
      <c r="GF10" s="186"/>
      <c r="GG10" s="229"/>
      <c r="GH10" s="229"/>
      <c r="GI10" s="230"/>
      <c r="GJ10" s="191"/>
      <c r="GK10" s="192" t="s">
        <v>129</v>
      </c>
      <c r="GL10" s="231" t="s">
        <v>129</v>
      </c>
      <c r="GM10" s="231"/>
      <c r="GN10" s="193" t="s">
        <v>130</v>
      </c>
      <c r="GO10" s="193" t="s">
        <v>131</v>
      </c>
      <c r="GP10" s="193" t="s">
        <v>132</v>
      </c>
      <c r="GQ10" s="194"/>
      <c r="GR10" s="195" t="s">
        <v>134</v>
      </c>
      <c r="GS10" s="232" t="s">
        <v>159</v>
      </c>
      <c r="GT10" s="198" t="s">
        <v>137</v>
      </c>
      <c r="GU10" s="199" t="s">
        <v>138</v>
      </c>
      <c r="GV10" s="199" t="s">
        <v>139</v>
      </c>
      <c r="GW10" s="200"/>
      <c r="GX10" s="200"/>
      <c r="GY10" s="201"/>
      <c r="GZ10" s="202" t="s">
        <v>140</v>
      </c>
      <c r="HA10" s="203" t="s">
        <v>141</v>
      </c>
      <c r="HB10" s="204" t="s">
        <v>142</v>
      </c>
      <c r="HC10" s="204" t="s">
        <v>143</v>
      </c>
      <c r="HD10" s="203" t="s">
        <v>144</v>
      </c>
      <c r="HE10" s="205" t="s">
        <v>145</v>
      </c>
      <c r="HF10" s="205" t="s">
        <v>146</v>
      </c>
      <c r="HG10" s="203" t="s">
        <v>147</v>
      </c>
      <c r="HH10" s="203" t="s">
        <v>148</v>
      </c>
      <c r="HI10" s="206" t="s">
        <v>142</v>
      </c>
      <c r="HJ10" s="206" t="s">
        <v>143</v>
      </c>
      <c r="HK10" s="206" t="s">
        <v>144</v>
      </c>
      <c r="HL10" s="207" t="s">
        <v>145</v>
      </c>
      <c r="HM10" s="207" t="s">
        <v>146</v>
      </c>
      <c r="HN10" s="206" t="s">
        <v>149</v>
      </c>
      <c r="HO10" s="206" t="s">
        <v>150</v>
      </c>
      <c r="HP10" s="206" t="s">
        <v>151</v>
      </c>
      <c r="HQ10" s="206" t="s">
        <v>152</v>
      </c>
      <c r="HR10" s="208" t="s">
        <v>144</v>
      </c>
      <c r="HS10" s="209" t="s">
        <v>145</v>
      </c>
      <c r="HT10" s="210" t="s">
        <v>146</v>
      </c>
      <c r="HU10" s="207" t="s">
        <v>149</v>
      </c>
      <c r="HV10" s="206" t="s">
        <v>153</v>
      </c>
      <c r="HW10" s="207" t="s">
        <v>151</v>
      </c>
      <c r="HX10" s="206" t="s">
        <v>152</v>
      </c>
      <c r="HY10" s="206" t="s">
        <v>144</v>
      </c>
      <c r="HZ10" s="207" t="s">
        <v>145</v>
      </c>
      <c r="IA10" s="207" t="s">
        <v>146</v>
      </c>
      <c r="IB10" s="206" t="s">
        <v>149</v>
      </c>
      <c r="IC10" s="206" t="s">
        <v>150</v>
      </c>
      <c r="ID10" s="206" t="s">
        <v>151</v>
      </c>
      <c r="IE10" s="206" t="s">
        <v>152</v>
      </c>
      <c r="IF10" s="206" t="s">
        <v>144</v>
      </c>
      <c r="IG10" s="211" t="s">
        <v>145</v>
      </c>
      <c r="IH10" s="209" t="s">
        <v>146</v>
      </c>
      <c r="II10" s="212" t="s">
        <v>149</v>
      </c>
      <c r="IJ10" s="206" t="s">
        <v>150</v>
      </c>
      <c r="IK10" s="206" t="s">
        <v>151</v>
      </c>
      <c r="IL10" s="213" t="s">
        <v>152</v>
      </c>
      <c r="IM10" s="214"/>
      <c r="IN10" s="214" t="s">
        <v>154</v>
      </c>
      <c r="IO10" s="233"/>
      <c r="IP10" s="234"/>
      <c r="IR10" s="176"/>
      <c r="IS10" s="176"/>
      <c r="IT10" s="176"/>
      <c r="IU10" s="176"/>
      <c r="IV10" s="176"/>
      <c r="IW10" s="176"/>
      <c r="IX10" s="187"/>
      <c r="IY10" s="188"/>
      <c r="IZ10" s="176"/>
      <c r="JA10" s="188"/>
      <c r="JB10" s="235"/>
      <c r="JC10" s="236" t="s">
        <v>160</v>
      </c>
      <c r="JD10" s="200"/>
      <c r="JE10" s="200"/>
      <c r="JF10" s="201"/>
      <c r="JG10" s="237" t="s">
        <v>161</v>
      </c>
      <c r="JH10" s="238" t="s">
        <v>162</v>
      </c>
      <c r="JO10" s="202" t="s">
        <v>144</v>
      </c>
      <c r="JP10" s="205" t="s">
        <v>145</v>
      </c>
      <c r="JQ10" s="205" t="s">
        <v>146</v>
      </c>
      <c r="JR10" s="203" t="s">
        <v>147</v>
      </c>
      <c r="JS10" s="203" t="s">
        <v>148</v>
      </c>
      <c r="JT10" s="206" t="s">
        <v>142</v>
      </c>
      <c r="JU10" s="206" t="s">
        <v>143</v>
      </c>
      <c r="JV10" s="206" t="s">
        <v>144</v>
      </c>
      <c r="JW10" s="207" t="s">
        <v>145</v>
      </c>
      <c r="JX10" s="207" t="s">
        <v>146</v>
      </c>
      <c r="JY10" s="206" t="s">
        <v>149</v>
      </c>
      <c r="JZ10" s="206" t="s">
        <v>150</v>
      </c>
      <c r="KA10" s="206" t="s">
        <v>151</v>
      </c>
      <c r="KB10" s="206" t="s">
        <v>152</v>
      </c>
      <c r="KC10" s="208" t="s">
        <v>144</v>
      </c>
      <c r="KD10" s="239" t="s">
        <v>145</v>
      </c>
      <c r="KE10" s="210" t="s">
        <v>146</v>
      </c>
      <c r="KF10" s="207" t="s">
        <v>149</v>
      </c>
      <c r="KG10" s="206" t="s">
        <v>153</v>
      </c>
      <c r="KH10" s="207" t="s">
        <v>151</v>
      </c>
      <c r="KI10" s="206" t="s">
        <v>152</v>
      </c>
      <c r="KJ10" s="206" t="s">
        <v>144</v>
      </c>
      <c r="KK10" s="207" t="s">
        <v>145</v>
      </c>
      <c r="KL10" s="207" t="s">
        <v>146</v>
      </c>
      <c r="KM10" s="206" t="s">
        <v>149</v>
      </c>
      <c r="KN10" s="206" t="s">
        <v>150</v>
      </c>
      <c r="KO10" s="206" t="s">
        <v>151</v>
      </c>
      <c r="KP10" s="206" t="s">
        <v>152</v>
      </c>
      <c r="KQ10" s="206" t="s">
        <v>144</v>
      </c>
      <c r="KR10" s="211" t="s">
        <v>145</v>
      </c>
      <c r="KS10" s="239" t="s">
        <v>146</v>
      </c>
      <c r="KT10" s="212" t="s">
        <v>149</v>
      </c>
      <c r="KU10" s="206" t="s">
        <v>150</v>
      </c>
      <c r="KV10" s="206" t="s">
        <v>151</v>
      </c>
      <c r="KW10" s="213" t="s">
        <v>152</v>
      </c>
      <c r="KX10" s="214"/>
      <c r="KY10" s="214" t="s">
        <v>154</v>
      </c>
    </row>
    <row r="11" spans="1:398" s="295" customFormat="1" ht="42.65" hidden="1" customHeight="1" thickTop="1" thickBot="1">
      <c r="A11" s="1"/>
      <c r="B11" s="240" t="s">
        <v>163</v>
      </c>
      <c r="C11" s="241" t="s">
        <v>164</v>
      </c>
      <c r="D11" s="242">
        <v>1</v>
      </c>
      <c r="E11" s="243" t="s">
        <v>165</v>
      </c>
      <c r="F11" s="244" t="s">
        <v>166</v>
      </c>
      <c r="G11" s="245">
        <v>1500</v>
      </c>
      <c r="H11" s="245">
        <v>3700</v>
      </c>
      <c r="I11" s="245">
        <v>1500</v>
      </c>
      <c r="J11" s="245">
        <v>3000</v>
      </c>
      <c r="K11" s="245" t="e">
        <v>#N/A</v>
      </c>
      <c r="L11" s="245">
        <v>3658</v>
      </c>
      <c r="M11" s="246" t="s">
        <v>167</v>
      </c>
      <c r="N11" s="247" t="s">
        <v>167</v>
      </c>
      <c r="O11" s="248" t="s">
        <v>168</v>
      </c>
      <c r="P11" s="249" t="s">
        <v>167</v>
      </c>
      <c r="Q11" s="250" t="s">
        <v>169</v>
      </c>
      <c r="R11" s="250" t="s">
        <v>169</v>
      </c>
      <c r="S11" s="250" t="s">
        <v>170</v>
      </c>
      <c r="T11" s="251" t="s">
        <v>171</v>
      </c>
      <c r="U11" s="252" t="s">
        <v>169</v>
      </c>
      <c r="V11" s="242" t="s">
        <v>172</v>
      </c>
      <c r="W11" s="242"/>
      <c r="X11" s="242"/>
      <c r="Y11" s="242"/>
      <c r="Z11" s="242"/>
      <c r="AA11" s="253" t="s">
        <v>173</v>
      </c>
      <c r="AB11" s="254" t="s">
        <v>174</v>
      </c>
      <c r="AC11" s="255">
        <v>288</v>
      </c>
      <c r="AD11" s="256">
        <f>SUM(AC11:AC35)</f>
        <v>4654</v>
      </c>
      <c r="AE11" s="257" t="s">
        <v>175</v>
      </c>
      <c r="AF11" s="258"/>
      <c r="AG11" s="259">
        <f>FP11</f>
        <v>0</v>
      </c>
      <c r="AH11" s="259">
        <f>FQ11</f>
        <v>0</v>
      </c>
      <c r="AI11" s="259">
        <f>FR11</f>
        <v>0</v>
      </c>
      <c r="AJ11" s="259"/>
      <c r="AK11" s="259"/>
      <c r="AL11" s="259"/>
      <c r="AM11" s="259"/>
      <c r="AN11" s="259"/>
      <c r="AO11" s="259"/>
      <c r="AP11" s="259">
        <f t="shared" ref="AP11:AR11" si="0">FS11</f>
        <v>0</v>
      </c>
      <c r="AQ11" s="260">
        <f t="shared" si="0"/>
        <v>0</v>
      </c>
      <c r="AR11" s="261">
        <f t="shared" si="0"/>
        <v>2782.6315789473683</v>
      </c>
      <c r="AS11" s="262" t="s">
        <v>176</v>
      </c>
      <c r="AT11" s="258" t="s">
        <v>176</v>
      </c>
      <c r="AU11" s="263" t="s">
        <v>176</v>
      </c>
      <c r="AV11" s="264">
        <v>26000</v>
      </c>
      <c r="AW11" s="264">
        <v>48000</v>
      </c>
      <c r="AX11" s="259">
        <f>GA11</f>
        <v>0</v>
      </c>
      <c r="AY11" s="259">
        <f>GB11</f>
        <v>0</v>
      </c>
      <c r="AZ11" s="265">
        <f>GC11</f>
        <v>0</v>
      </c>
      <c r="BA11" s="265">
        <f>GD11</f>
        <v>0</v>
      </c>
      <c r="BB11" s="265">
        <f>AI11*DM11</f>
        <v>0</v>
      </c>
      <c r="BC11" s="265">
        <f>AH11*DM11</f>
        <v>0</v>
      </c>
      <c r="BD11" s="265">
        <f>AK11*DM11*0.6</f>
        <v>0</v>
      </c>
      <c r="BE11" s="265"/>
      <c r="BF11" s="265">
        <f>AM11*DM11*0.4</f>
        <v>0</v>
      </c>
      <c r="BG11" s="265"/>
      <c r="BH11" s="265"/>
      <c r="BI11" s="265">
        <f>GJ11</f>
        <v>0</v>
      </c>
      <c r="BJ11" s="265">
        <f>GK11</f>
        <v>0</v>
      </c>
      <c r="BK11" s="265">
        <f>BM11*5000*BX11</f>
        <v>0</v>
      </c>
      <c r="BL11" s="265">
        <f>1800000*BN11*BX11</f>
        <v>0</v>
      </c>
      <c r="BM11" s="265">
        <f>GP11</f>
        <v>0</v>
      </c>
      <c r="BN11" s="265">
        <f>GQ11</f>
        <v>0</v>
      </c>
      <c r="BO11" s="265"/>
      <c r="BP11" s="265">
        <f>SUM(AZ11,BA11,BI11,BO11)</f>
        <v>0</v>
      </c>
      <c r="BQ11" s="265">
        <f>BP11-GR11</f>
        <v>0</v>
      </c>
      <c r="BR11" s="266"/>
      <c r="BS11" s="265"/>
      <c r="BT11" s="267"/>
      <c r="BU11" s="267"/>
      <c r="BV11" s="268">
        <f>IFERROR(INDEX($BY$9:$DH$9, MATCH("準備", BY11:DK11, 0)), "")</f>
        <v>46280</v>
      </c>
      <c r="BW11" s="269" cm="1">
        <f t="array" ref="BW11">IF(COUNTIF(BY11:DK11,"*撤去*")=0,"",INDEX(BY$9:DK$9,1,MAX(IF(CC11:DK11="撤去",COLUMN(CC11:DK11)-COLUMN(BY11)+1))))</f>
        <v>46301</v>
      </c>
      <c r="BX11" s="270">
        <f>BW11-BV11</f>
        <v>21</v>
      </c>
      <c r="BY11" s="271">
        <v>0</v>
      </c>
      <c r="BZ11" s="271">
        <v>0</v>
      </c>
      <c r="CA11" s="271">
        <v>0</v>
      </c>
      <c r="CB11" s="271">
        <v>0</v>
      </c>
      <c r="CC11" s="271">
        <v>0</v>
      </c>
      <c r="CD11" s="272">
        <v>0</v>
      </c>
      <c r="CE11" s="272">
        <v>0</v>
      </c>
      <c r="CF11" s="272">
        <v>0</v>
      </c>
      <c r="CG11" s="272">
        <v>0</v>
      </c>
      <c r="CH11" s="272">
        <v>0</v>
      </c>
      <c r="CI11" s="272">
        <v>0</v>
      </c>
      <c r="CJ11" s="272">
        <v>0</v>
      </c>
      <c r="CK11" s="272">
        <v>0</v>
      </c>
      <c r="CL11" s="272">
        <v>0</v>
      </c>
      <c r="CM11" s="272">
        <v>0</v>
      </c>
      <c r="CN11" s="273" t="s">
        <v>177</v>
      </c>
      <c r="CO11" s="272">
        <v>1597</v>
      </c>
      <c r="CP11" s="272">
        <v>2223</v>
      </c>
      <c r="CQ11" s="274">
        <v>2327</v>
      </c>
      <c r="CR11" s="275">
        <v>2327</v>
      </c>
      <c r="CS11" s="271">
        <v>2587</v>
      </c>
      <c r="CT11" s="272">
        <v>2587</v>
      </c>
      <c r="CU11" s="272">
        <v>2920</v>
      </c>
      <c r="CV11" s="272">
        <v>3181</v>
      </c>
      <c r="CW11" s="272">
        <v>3380</v>
      </c>
      <c r="CX11" s="272">
        <v>3380</v>
      </c>
      <c r="CY11" s="272">
        <v>3447</v>
      </c>
      <c r="CZ11" s="272">
        <v>3632</v>
      </c>
      <c r="DA11" s="272">
        <v>3116</v>
      </c>
      <c r="DB11" s="272">
        <v>2956</v>
      </c>
      <c r="DC11" s="272">
        <v>2956</v>
      </c>
      <c r="DD11" s="272">
        <v>2337</v>
      </c>
      <c r="DE11" s="272">
        <v>2337</v>
      </c>
      <c r="DF11" s="274">
        <v>2337</v>
      </c>
      <c r="DG11" s="275">
        <v>2233</v>
      </c>
      <c r="DH11" s="271">
        <v>126</v>
      </c>
      <c r="DI11" s="273" t="s">
        <v>178</v>
      </c>
      <c r="DJ11" s="272">
        <v>0</v>
      </c>
      <c r="DK11" s="276">
        <v>0</v>
      </c>
      <c r="DL11" s="277"/>
      <c r="DM11" s="277" cm="1">
        <f t="array" ref="DM11">SUM(IF(ISNUMBER($BY11:$DK11),$BY11:$DK11, 0))</f>
        <v>51986</v>
      </c>
      <c r="DN11" s="277"/>
      <c r="DO11" s="277"/>
      <c r="DP11" s="277"/>
      <c r="DQ11" s="277"/>
      <c r="DR11" s="277"/>
      <c r="DS11" s="277"/>
      <c r="DT11" s="277"/>
      <c r="DU11" s="277"/>
      <c r="DV11" s="277"/>
      <c r="DW11" s="277"/>
      <c r="DX11" s="277"/>
      <c r="DY11" s="277"/>
      <c r="DZ11" s="277"/>
      <c r="EA11" s="277"/>
      <c r="EB11" s="277"/>
      <c r="EC11" s="277"/>
      <c r="ED11" s="277"/>
      <c r="EE11" s="277"/>
      <c r="EF11" s="277"/>
      <c r="EG11" s="277"/>
      <c r="EH11" s="277"/>
      <c r="EI11" s="277"/>
      <c r="EJ11" s="277"/>
      <c r="EK11" s="277"/>
      <c r="EL11" s="277"/>
      <c r="EM11" s="277"/>
      <c r="EN11" s="277"/>
      <c r="EO11" s="253" t="s">
        <v>173</v>
      </c>
      <c r="EP11" s="278" t="s">
        <v>174</v>
      </c>
      <c r="EQ11" s="279">
        <v>288</v>
      </c>
      <c r="ER11" s="280">
        <v>4725</v>
      </c>
      <c r="ES11" s="245" t="e">
        <v>#N/A</v>
      </c>
      <c r="ET11" s="245" t="e">
        <v>#N/A</v>
      </c>
      <c r="EU11" s="245" t="e">
        <v>#N/A</v>
      </c>
      <c r="EV11" s="281" t="s">
        <v>179</v>
      </c>
      <c r="EW11" s="282">
        <v>32.299999999999997</v>
      </c>
      <c r="EX11" s="283">
        <v>33</v>
      </c>
      <c r="EY11" s="284" t="s">
        <v>180</v>
      </c>
      <c r="EZ11" s="285">
        <v>27</v>
      </c>
      <c r="FA11" s="286">
        <v>31</v>
      </c>
      <c r="FB11" s="284" t="s">
        <v>181</v>
      </c>
      <c r="FC11" s="285">
        <v>23.7</v>
      </c>
      <c r="FD11" s="286">
        <v>29</v>
      </c>
      <c r="FE11" s="287" t="s">
        <v>182</v>
      </c>
      <c r="FF11" s="285">
        <v>29.9</v>
      </c>
      <c r="FG11" s="286">
        <v>37</v>
      </c>
      <c r="FH11" s="287" t="s">
        <v>183</v>
      </c>
      <c r="FI11" s="285">
        <v>42.8</v>
      </c>
      <c r="FJ11" s="288">
        <v>38</v>
      </c>
      <c r="FK11" s="289">
        <v>140</v>
      </c>
      <c r="FL11" s="290">
        <v>3.783783783783784E-2</v>
      </c>
      <c r="FM11" s="291" t="s">
        <v>184</v>
      </c>
      <c r="FN11" s="292"/>
      <c r="FO11" s="258"/>
      <c r="FP11" s="259"/>
      <c r="FQ11" s="259"/>
      <c r="FR11" s="259"/>
      <c r="FS11" s="259"/>
      <c r="FT11" s="260"/>
      <c r="FU11" s="261">
        <v>2782.6315789473683</v>
      </c>
      <c r="FV11" s="262"/>
      <c r="FW11" s="258"/>
      <c r="FX11" s="263"/>
      <c r="FY11" s="264"/>
      <c r="FZ11" s="264"/>
      <c r="GA11" s="259"/>
      <c r="GB11" s="259"/>
      <c r="GC11" s="265"/>
      <c r="GD11" s="265"/>
      <c r="GE11" s="265"/>
      <c r="GF11" s="265"/>
      <c r="GG11" s="265"/>
      <c r="GH11" s="265"/>
      <c r="GI11" s="265"/>
      <c r="GJ11" s="265"/>
      <c r="GK11" s="265"/>
      <c r="GL11" s="265"/>
      <c r="GM11" s="265"/>
      <c r="GN11" s="265"/>
      <c r="GO11" s="265"/>
      <c r="GP11" s="265"/>
      <c r="GQ11" s="265"/>
      <c r="GR11" s="265"/>
      <c r="GS11" s="265"/>
      <c r="GT11" s="265"/>
      <c r="GU11" s="267"/>
      <c r="GV11" s="267"/>
      <c r="GW11" s="268">
        <v>46280</v>
      </c>
      <c r="GX11" s="269">
        <v>46301</v>
      </c>
      <c r="GY11" s="270">
        <v>21</v>
      </c>
      <c r="GZ11" s="271">
        <v>0</v>
      </c>
      <c r="HA11" s="271">
        <v>0</v>
      </c>
      <c r="HB11" s="271">
        <v>0</v>
      </c>
      <c r="HC11" s="271">
        <v>0</v>
      </c>
      <c r="HD11" s="271">
        <v>0</v>
      </c>
      <c r="HE11" s="272">
        <v>0</v>
      </c>
      <c r="HF11" s="272">
        <v>0</v>
      </c>
      <c r="HG11" s="272">
        <v>0</v>
      </c>
      <c r="HH11" s="272">
        <v>0</v>
      </c>
      <c r="HI11" s="272">
        <v>0</v>
      </c>
      <c r="HJ11" s="272">
        <v>0</v>
      </c>
      <c r="HK11" s="272">
        <v>0</v>
      </c>
      <c r="HL11" s="272">
        <v>0</v>
      </c>
      <c r="HM11" s="272">
        <v>0</v>
      </c>
      <c r="HN11" s="272">
        <v>0</v>
      </c>
      <c r="HO11" s="273" t="s">
        <v>177</v>
      </c>
      <c r="HP11" s="272">
        <v>1597</v>
      </c>
      <c r="HQ11" s="272">
        <v>2223</v>
      </c>
      <c r="HR11" s="274">
        <v>2327</v>
      </c>
      <c r="HS11" s="275">
        <v>2327</v>
      </c>
      <c r="HT11" s="271">
        <v>2587</v>
      </c>
      <c r="HU11" s="272">
        <v>2632</v>
      </c>
      <c r="HV11" s="272">
        <v>2965</v>
      </c>
      <c r="HW11" s="272">
        <v>3252</v>
      </c>
      <c r="HX11" s="272">
        <v>3451</v>
      </c>
      <c r="HY11" s="272">
        <v>3451</v>
      </c>
      <c r="HZ11" s="272">
        <v>3518</v>
      </c>
      <c r="IA11" s="272">
        <v>3658</v>
      </c>
      <c r="IB11" s="272">
        <v>3142</v>
      </c>
      <c r="IC11" s="272">
        <v>2982</v>
      </c>
      <c r="ID11" s="272">
        <v>2956</v>
      </c>
      <c r="IE11" s="272">
        <v>2625</v>
      </c>
      <c r="IF11" s="272">
        <v>2337</v>
      </c>
      <c r="IG11" s="274">
        <v>2337</v>
      </c>
      <c r="IH11" s="275">
        <v>2233</v>
      </c>
      <c r="II11" s="271">
        <v>270</v>
      </c>
      <c r="IJ11" s="273" t="s">
        <v>178</v>
      </c>
      <c r="IK11" s="272">
        <v>0</v>
      </c>
      <c r="IL11" s="276">
        <v>0</v>
      </c>
      <c r="IM11" s="277"/>
      <c r="IN11" s="277" cm="1">
        <f t="array" ref="IN11">SUM(IF(ISNUMBER($HD11:$IL11),$HD11:$IL11, 0))</f>
        <v>52870</v>
      </c>
      <c r="IO11" s="293"/>
      <c r="IP11" s="294"/>
      <c r="IR11" s="16"/>
      <c r="IS11" s="16"/>
      <c r="IT11" s="16"/>
      <c r="IU11" s="16"/>
      <c r="IV11" s="16"/>
      <c r="IW11" s="16"/>
      <c r="IX11" s="1"/>
      <c r="IY11" s="1"/>
      <c r="IZ11" s="1"/>
      <c r="JA11" s="1"/>
      <c r="JB11" s="1"/>
      <c r="JC11" s="1"/>
      <c r="JD11" s="1"/>
      <c r="JE11" s="1"/>
      <c r="JF11" s="296"/>
      <c r="JG11" s="1"/>
      <c r="JH11" s="1"/>
      <c r="JO11" s="297"/>
      <c r="KW11" s="298"/>
      <c r="KX11" s="277"/>
      <c r="KY11" s="277" cm="1">
        <f t="array" ref="KY11">SUM(IF(ISNUMBER($HD11:$IL11),$HD11:$IL11, 0))</f>
        <v>52870</v>
      </c>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row>
    <row r="12" spans="1:398" ht="42.65" hidden="1" customHeight="1">
      <c r="B12" s="299"/>
      <c r="C12" s="241"/>
      <c r="D12" s="242"/>
      <c r="E12" s="243" t="s">
        <v>165</v>
      </c>
      <c r="F12" s="244"/>
      <c r="G12" s="246">
        <v>0</v>
      </c>
      <c r="H12" s="246">
        <v>0</v>
      </c>
      <c r="I12" s="246">
        <v>0</v>
      </c>
      <c r="J12" s="246">
        <v>0</v>
      </c>
      <c r="K12" s="246"/>
      <c r="L12" s="246">
        <v>0</v>
      </c>
      <c r="M12" s="300">
        <v>0</v>
      </c>
      <c r="N12" s="251">
        <v>0</v>
      </c>
      <c r="O12" s="251">
        <v>0</v>
      </c>
      <c r="P12" s="300">
        <v>0</v>
      </c>
      <c r="Q12" s="251">
        <v>0</v>
      </c>
      <c r="R12" s="251">
        <v>0</v>
      </c>
      <c r="S12" s="251">
        <v>0</v>
      </c>
      <c r="T12" s="251" t="s">
        <v>165</v>
      </c>
      <c r="U12" s="301" t="s">
        <v>165</v>
      </c>
      <c r="V12" s="242"/>
      <c r="W12" s="242"/>
      <c r="X12" s="242"/>
      <c r="Y12" s="242"/>
      <c r="Z12" s="242"/>
      <c r="AA12" s="302" t="s">
        <v>185</v>
      </c>
      <c r="AB12" s="303" t="s">
        <v>186</v>
      </c>
      <c r="AC12" s="304">
        <v>333</v>
      </c>
      <c r="AD12" s="256"/>
      <c r="AE12" s="305"/>
      <c r="AF12" s="306"/>
      <c r="AG12" s="306"/>
      <c r="AH12" s="306"/>
      <c r="AI12" s="306"/>
      <c r="AJ12" s="306"/>
      <c r="AK12" s="306"/>
      <c r="AL12" s="306"/>
      <c r="AM12" s="306"/>
      <c r="AN12" s="306"/>
      <c r="AO12" s="306"/>
      <c r="AP12" s="306"/>
      <c r="AQ12" s="306"/>
      <c r="AR12" s="306"/>
      <c r="AS12" s="307"/>
      <c r="AT12" s="306"/>
      <c r="AU12" s="308"/>
      <c r="AV12" s="306"/>
      <c r="AW12" s="306"/>
      <c r="AX12" s="306"/>
      <c r="AY12" s="306"/>
      <c r="AZ12" s="306"/>
      <c r="BA12" s="306"/>
      <c r="BB12" s="306"/>
      <c r="BC12" s="306"/>
      <c r="BD12" s="306"/>
      <c r="BE12" s="306"/>
      <c r="BF12" s="306"/>
      <c r="BG12" s="306"/>
      <c r="BH12" s="306"/>
      <c r="BI12" s="306"/>
      <c r="BJ12" s="306"/>
      <c r="BK12" s="306"/>
      <c r="BL12" s="306"/>
      <c r="BM12" s="306"/>
      <c r="BN12" s="306"/>
      <c r="BO12" s="306"/>
      <c r="BP12" s="306"/>
      <c r="BQ12" s="306"/>
      <c r="BR12" s="309"/>
      <c r="BS12" s="306"/>
      <c r="BT12" s="310"/>
      <c r="BU12" s="310"/>
      <c r="BV12" s="311"/>
      <c r="BW12" s="311"/>
      <c r="BX12" s="312"/>
      <c r="BY12" s="313"/>
      <c r="BZ12" s="314"/>
      <c r="CA12" s="314"/>
      <c r="CB12" s="314"/>
      <c r="CC12" s="315"/>
      <c r="CD12" s="316"/>
      <c r="CE12" s="316"/>
      <c r="CF12" s="316"/>
      <c r="CG12" s="316"/>
      <c r="CH12" s="316"/>
      <c r="CI12" s="316"/>
      <c r="CJ12" s="316"/>
      <c r="CK12" s="316"/>
      <c r="CL12" s="316"/>
      <c r="CM12" s="316"/>
      <c r="CN12" s="316"/>
      <c r="CO12" s="317"/>
      <c r="CP12" s="316"/>
      <c r="CQ12" s="318"/>
      <c r="CR12" s="319"/>
      <c r="CS12" s="315"/>
      <c r="CT12" s="316"/>
      <c r="CU12" s="316"/>
      <c r="CV12" s="316"/>
      <c r="CW12" s="316"/>
      <c r="CX12" s="316"/>
      <c r="CY12" s="316"/>
      <c r="CZ12" s="316"/>
      <c r="DA12" s="316"/>
      <c r="DB12" s="316"/>
      <c r="DC12" s="316"/>
      <c r="DD12" s="316"/>
      <c r="DE12" s="316"/>
      <c r="DF12" s="318"/>
      <c r="DG12" s="319"/>
      <c r="DH12" s="315"/>
      <c r="DI12" s="316"/>
      <c r="DJ12" s="316"/>
      <c r="DK12" s="320"/>
      <c r="DL12" s="277"/>
      <c r="DM12" s="277"/>
      <c r="DN12" s="277"/>
      <c r="DO12" s="277"/>
      <c r="DP12" s="277"/>
      <c r="DQ12" s="277"/>
      <c r="DR12" s="277"/>
      <c r="DS12" s="277"/>
      <c r="DT12" s="277"/>
      <c r="DU12" s="277"/>
      <c r="DV12" s="277"/>
      <c r="DW12" s="277"/>
      <c r="DX12" s="277"/>
      <c r="DY12" s="277"/>
      <c r="DZ12" s="277"/>
      <c r="EA12" s="277"/>
      <c r="EB12" s="277"/>
      <c r="EC12" s="277"/>
      <c r="ED12" s="277"/>
      <c r="EE12" s="277"/>
      <c r="EF12" s="277"/>
      <c r="EG12" s="277"/>
      <c r="EH12" s="277"/>
      <c r="EI12" s="277"/>
      <c r="EJ12" s="277"/>
      <c r="EK12" s="277"/>
      <c r="EL12" s="277"/>
      <c r="EM12" s="277"/>
      <c r="EN12" s="277"/>
      <c r="EO12" s="302" t="s">
        <v>185</v>
      </c>
      <c r="EP12" s="321" t="s">
        <v>186</v>
      </c>
      <c r="EQ12" s="322">
        <v>333</v>
      </c>
      <c r="ER12" s="323"/>
      <c r="ES12" s="323"/>
      <c r="ET12" s="323"/>
      <c r="EU12" s="323"/>
      <c r="EV12" s="324" t="s">
        <v>187</v>
      </c>
      <c r="EW12" s="325">
        <v>47</v>
      </c>
      <c r="EX12" s="326">
        <v>39</v>
      </c>
      <c r="EY12" s="327" t="s">
        <v>188</v>
      </c>
      <c r="EZ12" s="328">
        <v>47</v>
      </c>
      <c r="FA12" s="329">
        <v>39</v>
      </c>
      <c r="FB12" s="327" t="s">
        <v>189</v>
      </c>
      <c r="FC12" s="328"/>
      <c r="FD12" s="329"/>
      <c r="FE12" s="330" t="s">
        <v>189</v>
      </c>
      <c r="FF12" s="328"/>
      <c r="FG12" s="329"/>
      <c r="FH12" s="330" t="s">
        <v>189</v>
      </c>
      <c r="FI12" s="328"/>
      <c r="FJ12" s="331"/>
      <c r="FK12" s="289"/>
      <c r="FL12" s="290"/>
      <c r="FM12" s="332"/>
      <c r="FN12" s="305"/>
      <c r="FO12" s="306"/>
      <c r="FP12" s="306"/>
      <c r="FQ12" s="306"/>
      <c r="FR12" s="306"/>
      <c r="FS12" s="306"/>
      <c r="FT12" s="306"/>
      <c r="FU12" s="306"/>
      <c r="FV12" s="307"/>
      <c r="FW12" s="306"/>
      <c r="FX12" s="308"/>
      <c r="FY12" s="306"/>
      <c r="FZ12" s="306"/>
      <c r="GA12" s="306"/>
      <c r="GB12" s="306"/>
      <c r="GC12" s="306"/>
      <c r="GD12" s="306"/>
      <c r="GE12" s="306"/>
      <c r="GF12" s="306"/>
      <c r="GG12" s="306"/>
      <c r="GH12" s="306"/>
      <c r="GI12" s="306"/>
      <c r="GJ12" s="306"/>
      <c r="GK12" s="306"/>
      <c r="GL12" s="306"/>
      <c r="GM12" s="306"/>
      <c r="GN12" s="306"/>
      <c r="GO12" s="306"/>
      <c r="GP12" s="306"/>
      <c r="GQ12" s="306"/>
      <c r="GR12" s="306"/>
      <c r="GS12" s="306"/>
      <c r="GT12" s="306"/>
      <c r="GU12" s="310"/>
      <c r="GV12" s="310"/>
      <c r="GW12" s="311"/>
      <c r="GX12" s="311"/>
      <c r="GY12" s="312"/>
      <c r="GZ12" s="313"/>
      <c r="HA12" s="314"/>
      <c r="HB12" s="314"/>
      <c r="HC12" s="314"/>
      <c r="HD12" s="315"/>
      <c r="HE12" s="316"/>
      <c r="HF12" s="316"/>
      <c r="HG12" s="316"/>
      <c r="HH12" s="316"/>
      <c r="HI12" s="316"/>
      <c r="HJ12" s="316"/>
      <c r="HK12" s="316"/>
      <c r="HL12" s="316"/>
      <c r="HM12" s="316"/>
      <c r="HN12" s="316"/>
      <c r="HO12" s="316"/>
      <c r="HP12" s="317"/>
      <c r="HQ12" s="316"/>
      <c r="HR12" s="318"/>
      <c r="HS12" s="319"/>
      <c r="HT12" s="315"/>
      <c r="HU12" s="316"/>
      <c r="HV12" s="316"/>
      <c r="HW12" s="316"/>
      <c r="HX12" s="316"/>
      <c r="HY12" s="316"/>
      <c r="HZ12" s="316"/>
      <c r="IA12" s="316"/>
      <c r="IB12" s="316"/>
      <c r="IC12" s="316"/>
      <c r="ID12" s="316"/>
      <c r="IE12" s="316"/>
      <c r="IF12" s="316"/>
      <c r="IG12" s="318"/>
      <c r="IH12" s="319"/>
      <c r="II12" s="315"/>
      <c r="IJ12" s="316"/>
      <c r="IK12" s="316"/>
      <c r="IL12" s="320"/>
      <c r="IM12" s="277"/>
      <c r="IN12" s="277"/>
      <c r="IO12" s="333"/>
      <c r="IP12" s="334"/>
      <c r="JF12" s="296"/>
      <c r="JO12" s="335"/>
      <c r="KW12" s="296"/>
      <c r="KX12" s="277"/>
      <c r="KY12" s="277"/>
    </row>
    <row r="13" spans="1:398" ht="42.65" hidden="1" customHeight="1">
      <c r="B13" s="299"/>
      <c r="C13" s="241"/>
      <c r="D13" s="242"/>
      <c r="E13" s="243" t="s">
        <v>165</v>
      </c>
      <c r="F13" s="244"/>
      <c r="G13" s="246">
        <v>0</v>
      </c>
      <c r="H13" s="246">
        <v>0</v>
      </c>
      <c r="I13" s="246">
        <v>0</v>
      </c>
      <c r="J13" s="246">
        <v>0</v>
      </c>
      <c r="K13" s="246"/>
      <c r="L13" s="246">
        <v>0</v>
      </c>
      <c r="M13" s="300">
        <v>0</v>
      </c>
      <c r="N13" s="251">
        <v>0</v>
      </c>
      <c r="O13" s="251">
        <v>0</v>
      </c>
      <c r="P13" s="300">
        <v>0</v>
      </c>
      <c r="Q13" s="251">
        <v>0</v>
      </c>
      <c r="R13" s="251">
        <v>0</v>
      </c>
      <c r="S13" s="251">
        <v>0</v>
      </c>
      <c r="T13" s="251" t="s">
        <v>165</v>
      </c>
      <c r="U13" s="301" t="s">
        <v>165</v>
      </c>
      <c r="V13" s="242"/>
      <c r="W13" s="242"/>
      <c r="X13" s="242"/>
      <c r="Y13" s="242"/>
      <c r="Z13" s="242"/>
      <c r="AA13" s="302" t="s">
        <v>190</v>
      </c>
      <c r="AB13" s="303" t="s">
        <v>191</v>
      </c>
      <c r="AC13" s="304">
        <v>96</v>
      </c>
      <c r="AD13" s="256"/>
      <c r="AE13" s="336"/>
      <c r="AF13" s="337"/>
      <c r="AG13" s="337"/>
      <c r="AH13" s="337"/>
      <c r="AI13" s="337"/>
      <c r="AJ13" s="337"/>
      <c r="AK13" s="337"/>
      <c r="AL13" s="337"/>
      <c r="AM13" s="337"/>
      <c r="AN13" s="337"/>
      <c r="AO13" s="337"/>
      <c r="AP13" s="337"/>
      <c r="AQ13" s="337"/>
      <c r="AR13" s="337"/>
      <c r="AS13" s="338"/>
      <c r="AT13" s="337"/>
      <c r="AU13" s="339"/>
      <c r="AV13" s="337"/>
      <c r="AW13" s="337"/>
      <c r="AX13" s="337"/>
      <c r="AY13" s="337"/>
      <c r="AZ13" s="337"/>
      <c r="BA13" s="337"/>
      <c r="BB13" s="337"/>
      <c r="BC13" s="337"/>
      <c r="BD13" s="337"/>
      <c r="BE13" s="337"/>
      <c r="BF13" s="337"/>
      <c r="BG13" s="337"/>
      <c r="BH13" s="337"/>
      <c r="BI13" s="337"/>
      <c r="BJ13" s="337"/>
      <c r="BK13" s="337"/>
      <c r="BL13" s="337"/>
      <c r="BM13" s="337"/>
      <c r="BN13" s="337"/>
      <c r="BO13" s="337"/>
      <c r="BP13" s="337"/>
      <c r="BQ13" s="337"/>
      <c r="BR13" s="340"/>
      <c r="BS13" s="337"/>
      <c r="BT13" s="341"/>
      <c r="BU13" s="341"/>
      <c r="BV13" s="342"/>
      <c r="BW13" s="342"/>
      <c r="BX13" s="343"/>
      <c r="BY13" s="344"/>
      <c r="BZ13" s="345"/>
      <c r="CA13" s="345"/>
      <c r="CB13" s="345"/>
      <c r="CC13" s="271"/>
      <c r="CD13" s="272"/>
      <c r="CE13" s="272"/>
      <c r="CF13" s="272"/>
      <c r="CG13" s="272"/>
      <c r="CH13" s="272"/>
      <c r="CI13" s="272"/>
      <c r="CJ13" s="272"/>
      <c r="CK13" s="272"/>
      <c r="CL13" s="272"/>
      <c r="CM13" s="272"/>
      <c r="CN13" s="272"/>
      <c r="CO13" s="346"/>
      <c r="CP13" s="272"/>
      <c r="CQ13" s="274"/>
      <c r="CR13" s="275"/>
      <c r="CS13" s="271"/>
      <c r="CT13" s="272"/>
      <c r="CU13" s="272"/>
      <c r="CV13" s="272"/>
      <c r="CW13" s="272"/>
      <c r="CX13" s="272"/>
      <c r="CY13" s="272"/>
      <c r="CZ13" s="272"/>
      <c r="DA13" s="272"/>
      <c r="DB13" s="272"/>
      <c r="DC13" s="272"/>
      <c r="DD13" s="272"/>
      <c r="DE13" s="272"/>
      <c r="DF13" s="274"/>
      <c r="DG13" s="275"/>
      <c r="DH13" s="271"/>
      <c r="DI13" s="272"/>
      <c r="DJ13" s="272"/>
      <c r="DK13" s="276"/>
      <c r="DL13" s="277"/>
      <c r="DM13" s="277"/>
      <c r="DN13" s="277"/>
      <c r="DO13" s="277"/>
      <c r="DP13" s="277"/>
      <c r="DQ13" s="277"/>
      <c r="DR13" s="277"/>
      <c r="DS13" s="277"/>
      <c r="DT13" s="277"/>
      <c r="DU13" s="277"/>
      <c r="DV13" s="277"/>
      <c r="DW13" s="277"/>
      <c r="DX13" s="277"/>
      <c r="DY13" s="277"/>
      <c r="DZ13" s="277"/>
      <c r="EA13" s="277"/>
      <c r="EB13" s="277"/>
      <c r="EC13" s="277"/>
      <c r="ED13" s="277"/>
      <c r="EE13" s="277"/>
      <c r="EF13" s="277"/>
      <c r="EG13" s="277"/>
      <c r="EH13" s="277"/>
      <c r="EI13" s="277"/>
      <c r="EJ13" s="277"/>
      <c r="EK13" s="277"/>
      <c r="EL13" s="277"/>
      <c r="EM13" s="277"/>
      <c r="EN13" s="277"/>
      <c r="EO13" s="302" t="s">
        <v>190</v>
      </c>
      <c r="EP13" s="321" t="s">
        <v>191</v>
      </c>
      <c r="EQ13" s="347">
        <v>96</v>
      </c>
      <c r="ER13" s="323"/>
      <c r="ES13" s="323"/>
      <c r="ET13" s="323"/>
      <c r="EU13" s="323"/>
      <c r="EV13" s="324" t="s">
        <v>192</v>
      </c>
      <c r="EW13" s="325">
        <v>1</v>
      </c>
      <c r="EX13" s="326">
        <v>2</v>
      </c>
      <c r="EY13" s="327" t="s">
        <v>188</v>
      </c>
      <c r="EZ13" s="328">
        <v>1</v>
      </c>
      <c r="FA13" s="329">
        <v>2</v>
      </c>
      <c r="FB13" s="327" t="s">
        <v>189</v>
      </c>
      <c r="FC13" s="328"/>
      <c r="FD13" s="329"/>
      <c r="FE13" s="330" t="s">
        <v>189</v>
      </c>
      <c r="FF13" s="328"/>
      <c r="FG13" s="329"/>
      <c r="FH13" s="330" t="s">
        <v>189</v>
      </c>
      <c r="FI13" s="328"/>
      <c r="FJ13" s="331"/>
      <c r="FK13" s="289"/>
      <c r="FL13" s="290"/>
      <c r="FM13" s="332"/>
      <c r="FN13" s="336"/>
      <c r="FO13" s="337"/>
      <c r="FP13" s="337"/>
      <c r="FQ13" s="337"/>
      <c r="FR13" s="337"/>
      <c r="FS13" s="337"/>
      <c r="FT13" s="337"/>
      <c r="FU13" s="337"/>
      <c r="FV13" s="338"/>
      <c r="FW13" s="337"/>
      <c r="FX13" s="339"/>
      <c r="FY13" s="337"/>
      <c r="FZ13" s="337"/>
      <c r="GA13" s="337"/>
      <c r="GB13" s="337"/>
      <c r="GC13" s="337"/>
      <c r="GD13" s="337"/>
      <c r="GE13" s="337"/>
      <c r="GF13" s="337"/>
      <c r="GG13" s="337"/>
      <c r="GH13" s="337"/>
      <c r="GI13" s="337"/>
      <c r="GJ13" s="337"/>
      <c r="GK13" s="337"/>
      <c r="GL13" s="337"/>
      <c r="GM13" s="337"/>
      <c r="GN13" s="337"/>
      <c r="GO13" s="337"/>
      <c r="GP13" s="337"/>
      <c r="GQ13" s="337"/>
      <c r="GR13" s="337"/>
      <c r="GS13" s="337"/>
      <c r="GT13" s="337"/>
      <c r="GU13" s="341"/>
      <c r="GV13" s="341"/>
      <c r="GW13" s="342"/>
      <c r="GX13" s="342"/>
      <c r="GY13" s="343"/>
      <c r="GZ13" s="344"/>
      <c r="HA13" s="345"/>
      <c r="HB13" s="345"/>
      <c r="HC13" s="345"/>
      <c r="HD13" s="271"/>
      <c r="HE13" s="272"/>
      <c r="HF13" s="272"/>
      <c r="HG13" s="272"/>
      <c r="HH13" s="272"/>
      <c r="HI13" s="272"/>
      <c r="HJ13" s="272"/>
      <c r="HK13" s="272"/>
      <c r="HL13" s="272"/>
      <c r="HM13" s="272"/>
      <c r="HN13" s="272"/>
      <c r="HO13" s="272"/>
      <c r="HP13" s="346"/>
      <c r="HQ13" s="272"/>
      <c r="HR13" s="274"/>
      <c r="HS13" s="275"/>
      <c r="HT13" s="271"/>
      <c r="HU13" s="272"/>
      <c r="HV13" s="272"/>
      <c r="HW13" s="272"/>
      <c r="HX13" s="272"/>
      <c r="HY13" s="272"/>
      <c r="HZ13" s="272"/>
      <c r="IA13" s="272"/>
      <c r="IB13" s="272"/>
      <c r="IC13" s="272"/>
      <c r="ID13" s="272"/>
      <c r="IE13" s="272"/>
      <c r="IF13" s="272"/>
      <c r="IG13" s="274"/>
      <c r="IH13" s="275"/>
      <c r="II13" s="271"/>
      <c r="IJ13" s="272"/>
      <c r="IK13" s="272"/>
      <c r="IL13" s="276"/>
      <c r="IM13" s="277"/>
      <c r="IN13" s="277"/>
      <c r="IO13" s="333"/>
      <c r="IP13" s="334"/>
      <c r="JF13" s="296"/>
      <c r="JO13" s="335"/>
      <c r="KW13" s="296"/>
      <c r="KX13" s="277"/>
      <c r="KY13" s="277"/>
    </row>
    <row r="14" spans="1:398" ht="42.65" hidden="1" customHeight="1">
      <c r="B14" s="299"/>
      <c r="C14" s="241"/>
      <c r="D14" s="242"/>
      <c r="E14" s="243" t="s">
        <v>165</v>
      </c>
      <c r="F14" s="244"/>
      <c r="G14" s="246">
        <v>0</v>
      </c>
      <c r="H14" s="246">
        <v>0</v>
      </c>
      <c r="I14" s="246">
        <v>0</v>
      </c>
      <c r="J14" s="246">
        <v>0</v>
      </c>
      <c r="K14" s="246"/>
      <c r="L14" s="246">
        <v>0</v>
      </c>
      <c r="M14" s="300">
        <v>0</v>
      </c>
      <c r="N14" s="251">
        <v>0</v>
      </c>
      <c r="O14" s="251">
        <v>0</v>
      </c>
      <c r="P14" s="300">
        <v>0</v>
      </c>
      <c r="Q14" s="251">
        <v>0</v>
      </c>
      <c r="R14" s="251">
        <v>0</v>
      </c>
      <c r="S14" s="251">
        <v>0</v>
      </c>
      <c r="T14" s="251" t="s">
        <v>165</v>
      </c>
      <c r="U14" s="301" t="s">
        <v>165</v>
      </c>
      <c r="V14" s="242"/>
      <c r="W14" s="242"/>
      <c r="X14" s="242"/>
      <c r="Y14" s="242"/>
      <c r="Z14" s="242"/>
      <c r="AA14" s="302" t="s">
        <v>193</v>
      </c>
      <c r="AB14" s="303" t="s">
        <v>191</v>
      </c>
      <c r="AC14" s="304">
        <v>96</v>
      </c>
      <c r="AD14" s="256"/>
      <c r="AE14" s="336"/>
      <c r="AF14" s="337"/>
      <c r="AG14" s="337"/>
      <c r="AH14" s="337"/>
      <c r="AI14" s="337"/>
      <c r="AJ14" s="337"/>
      <c r="AK14" s="337"/>
      <c r="AL14" s="337"/>
      <c r="AM14" s="337"/>
      <c r="AN14" s="337"/>
      <c r="AO14" s="337"/>
      <c r="AP14" s="337"/>
      <c r="AQ14" s="337"/>
      <c r="AR14" s="337"/>
      <c r="AS14" s="338"/>
      <c r="AT14" s="337"/>
      <c r="AU14" s="339"/>
      <c r="AV14" s="337"/>
      <c r="AW14" s="337"/>
      <c r="AX14" s="337"/>
      <c r="AY14" s="337"/>
      <c r="AZ14" s="337"/>
      <c r="BA14" s="337"/>
      <c r="BB14" s="337"/>
      <c r="BC14" s="337"/>
      <c r="BD14" s="337"/>
      <c r="BE14" s="337"/>
      <c r="BF14" s="337"/>
      <c r="BG14" s="337"/>
      <c r="BH14" s="337"/>
      <c r="BI14" s="337"/>
      <c r="BJ14" s="337"/>
      <c r="BK14" s="337"/>
      <c r="BL14" s="337"/>
      <c r="BM14" s="337"/>
      <c r="BN14" s="337"/>
      <c r="BO14" s="337"/>
      <c r="BP14" s="337"/>
      <c r="BQ14" s="337"/>
      <c r="BR14" s="340"/>
      <c r="BS14" s="337"/>
      <c r="BT14" s="341"/>
      <c r="BU14" s="341"/>
      <c r="BV14" s="342"/>
      <c r="BW14" s="342"/>
      <c r="BX14" s="343"/>
      <c r="BY14" s="344"/>
      <c r="BZ14" s="345"/>
      <c r="CA14" s="345"/>
      <c r="CB14" s="345"/>
      <c r="CC14" s="271"/>
      <c r="CD14" s="272"/>
      <c r="CE14" s="272"/>
      <c r="CF14" s="272"/>
      <c r="CG14" s="272"/>
      <c r="CH14" s="272"/>
      <c r="CI14" s="272"/>
      <c r="CJ14" s="272"/>
      <c r="CK14" s="272"/>
      <c r="CL14" s="272"/>
      <c r="CM14" s="272"/>
      <c r="CN14" s="272"/>
      <c r="CO14" s="272"/>
      <c r="CP14" s="272"/>
      <c r="CQ14" s="274"/>
      <c r="CR14" s="275"/>
      <c r="CS14" s="271"/>
      <c r="CT14" s="272"/>
      <c r="CU14" s="272"/>
      <c r="CV14" s="272"/>
      <c r="CW14" s="272"/>
      <c r="CX14" s="272"/>
      <c r="CY14" s="272"/>
      <c r="CZ14" s="272"/>
      <c r="DA14" s="272"/>
      <c r="DB14" s="272"/>
      <c r="DC14" s="272"/>
      <c r="DD14" s="272"/>
      <c r="DE14" s="272"/>
      <c r="DF14" s="274"/>
      <c r="DG14" s="275"/>
      <c r="DH14" s="271"/>
      <c r="DI14" s="272"/>
      <c r="DJ14" s="272"/>
      <c r="DK14" s="276"/>
      <c r="DL14" s="277"/>
      <c r="DM14" s="277"/>
      <c r="DN14" s="277"/>
      <c r="DO14" s="277"/>
      <c r="DP14" s="277"/>
      <c r="DQ14" s="277"/>
      <c r="DR14" s="277"/>
      <c r="DS14" s="277"/>
      <c r="DT14" s="277"/>
      <c r="DU14" s="277"/>
      <c r="DV14" s="277"/>
      <c r="DW14" s="277"/>
      <c r="DX14" s="277"/>
      <c r="DY14" s="277"/>
      <c r="DZ14" s="277"/>
      <c r="EA14" s="277"/>
      <c r="EB14" s="277"/>
      <c r="EC14" s="277"/>
      <c r="ED14" s="277"/>
      <c r="EE14" s="277"/>
      <c r="EF14" s="277"/>
      <c r="EG14" s="277"/>
      <c r="EH14" s="277"/>
      <c r="EI14" s="277"/>
      <c r="EJ14" s="277"/>
      <c r="EK14" s="277"/>
      <c r="EL14" s="277"/>
      <c r="EM14" s="277"/>
      <c r="EN14" s="277"/>
      <c r="EO14" s="302" t="s">
        <v>193</v>
      </c>
      <c r="EP14" s="321" t="s">
        <v>191</v>
      </c>
      <c r="EQ14" s="347">
        <v>96</v>
      </c>
      <c r="ER14" s="323"/>
      <c r="ES14" s="323"/>
      <c r="ET14" s="323"/>
      <c r="EU14" s="323"/>
      <c r="EV14" s="324" t="s">
        <v>192</v>
      </c>
      <c r="EW14" s="325">
        <v>1</v>
      </c>
      <c r="EX14" s="326">
        <v>2</v>
      </c>
      <c r="EY14" s="348" t="s">
        <v>188</v>
      </c>
      <c r="EZ14" s="328">
        <v>1</v>
      </c>
      <c r="FA14" s="329">
        <v>2</v>
      </c>
      <c r="FB14" s="348" t="s">
        <v>189</v>
      </c>
      <c r="FC14" s="328"/>
      <c r="FD14" s="329"/>
      <c r="FE14" s="330" t="s">
        <v>189</v>
      </c>
      <c r="FF14" s="328"/>
      <c r="FG14" s="329"/>
      <c r="FH14" s="330" t="s">
        <v>189</v>
      </c>
      <c r="FI14" s="328"/>
      <c r="FJ14" s="331"/>
      <c r="FK14" s="289"/>
      <c r="FL14" s="290"/>
      <c r="FM14" s="349"/>
      <c r="FN14" s="336"/>
      <c r="FO14" s="337"/>
      <c r="FP14" s="337"/>
      <c r="FQ14" s="337"/>
      <c r="FR14" s="337"/>
      <c r="FS14" s="337"/>
      <c r="FT14" s="337"/>
      <c r="FU14" s="337"/>
      <c r="FV14" s="338"/>
      <c r="FW14" s="337"/>
      <c r="FX14" s="339"/>
      <c r="FY14" s="337"/>
      <c r="FZ14" s="337"/>
      <c r="GA14" s="337"/>
      <c r="GB14" s="337"/>
      <c r="GC14" s="337"/>
      <c r="GD14" s="337"/>
      <c r="GE14" s="337"/>
      <c r="GF14" s="337"/>
      <c r="GG14" s="337"/>
      <c r="GH14" s="337"/>
      <c r="GI14" s="337"/>
      <c r="GJ14" s="337"/>
      <c r="GK14" s="337"/>
      <c r="GL14" s="337"/>
      <c r="GM14" s="337"/>
      <c r="GN14" s="337"/>
      <c r="GO14" s="337"/>
      <c r="GP14" s="337"/>
      <c r="GQ14" s="337"/>
      <c r="GR14" s="337"/>
      <c r="GS14" s="337"/>
      <c r="GT14" s="337"/>
      <c r="GU14" s="341"/>
      <c r="GV14" s="341"/>
      <c r="GW14" s="342"/>
      <c r="GX14" s="342"/>
      <c r="GY14" s="343"/>
      <c r="GZ14" s="344"/>
      <c r="HA14" s="345"/>
      <c r="HB14" s="345"/>
      <c r="HC14" s="345"/>
      <c r="HD14" s="271"/>
      <c r="HE14" s="272"/>
      <c r="HF14" s="272"/>
      <c r="HG14" s="272"/>
      <c r="HH14" s="272"/>
      <c r="HI14" s="272"/>
      <c r="HJ14" s="272"/>
      <c r="HK14" s="272"/>
      <c r="HL14" s="272"/>
      <c r="HM14" s="272"/>
      <c r="HN14" s="272"/>
      <c r="HO14" s="272"/>
      <c r="HP14" s="272"/>
      <c r="HQ14" s="272"/>
      <c r="HR14" s="274"/>
      <c r="HS14" s="275"/>
      <c r="HT14" s="271"/>
      <c r="HU14" s="272"/>
      <c r="HV14" s="272"/>
      <c r="HW14" s="272"/>
      <c r="HX14" s="272"/>
      <c r="HY14" s="272"/>
      <c r="HZ14" s="272"/>
      <c r="IA14" s="272"/>
      <c r="IB14" s="272"/>
      <c r="IC14" s="272"/>
      <c r="ID14" s="272"/>
      <c r="IE14" s="272"/>
      <c r="IF14" s="272"/>
      <c r="IG14" s="274"/>
      <c r="IH14" s="275"/>
      <c r="II14" s="271"/>
      <c r="IJ14" s="272"/>
      <c r="IK14" s="272"/>
      <c r="IL14" s="276"/>
      <c r="IM14" s="277"/>
      <c r="IN14" s="277"/>
      <c r="IO14" s="333"/>
      <c r="IP14" s="334"/>
      <c r="JF14" s="296"/>
      <c r="JO14" s="335"/>
      <c r="KW14" s="296"/>
      <c r="KX14" s="277"/>
      <c r="KY14" s="277"/>
    </row>
    <row r="15" spans="1:398" ht="42.65" hidden="1" customHeight="1">
      <c r="B15" s="299"/>
      <c r="C15" s="241"/>
      <c r="D15" s="242"/>
      <c r="E15" s="243" t="s">
        <v>165</v>
      </c>
      <c r="F15" s="244"/>
      <c r="G15" s="246">
        <v>0</v>
      </c>
      <c r="H15" s="246">
        <v>0</v>
      </c>
      <c r="I15" s="246">
        <v>0</v>
      </c>
      <c r="J15" s="246">
        <v>0</v>
      </c>
      <c r="K15" s="246"/>
      <c r="L15" s="246">
        <v>0</v>
      </c>
      <c r="M15" s="300">
        <v>0</v>
      </c>
      <c r="N15" s="251">
        <v>0</v>
      </c>
      <c r="O15" s="251">
        <v>0</v>
      </c>
      <c r="P15" s="300">
        <v>0</v>
      </c>
      <c r="Q15" s="251">
        <v>0</v>
      </c>
      <c r="R15" s="251">
        <v>0</v>
      </c>
      <c r="S15" s="251">
        <v>0</v>
      </c>
      <c r="T15" s="251" t="s">
        <v>165</v>
      </c>
      <c r="U15" s="301" t="s">
        <v>165</v>
      </c>
      <c r="V15" s="242"/>
      <c r="W15" s="242"/>
      <c r="X15" s="242"/>
      <c r="Y15" s="242"/>
      <c r="Z15" s="242"/>
      <c r="AA15" s="350" t="s">
        <v>194</v>
      </c>
      <c r="AB15" s="303" t="s">
        <v>195</v>
      </c>
      <c r="AC15" s="304">
        <v>260</v>
      </c>
      <c r="AD15" s="256"/>
      <c r="AE15" s="336"/>
      <c r="AF15" s="337"/>
      <c r="AG15" s="337"/>
      <c r="AH15" s="337"/>
      <c r="AI15" s="337"/>
      <c r="AJ15" s="337"/>
      <c r="AK15" s="337"/>
      <c r="AL15" s="337"/>
      <c r="AM15" s="337"/>
      <c r="AN15" s="337"/>
      <c r="AO15" s="337"/>
      <c r="AP15" s="337"/>
      <c r="AQ15" s="337"/>
      <c r="AR15" s="337"/>
      <c r="AS15" s="338"/>
      <c r="AT15" s="337"/>
      <c r="AU15" s="339"/>
      <c r="AV15" s="337"/>
      <c r="AW15" s="337"/>
      <c r="AX15" s="337"/>
      <c r="AY15" s="337"/>
      <c r="AZ15" s="337"/>
      <c r="BA15" s="337"/>
      <c r="BB15" s="337"/>
      <c r="BC15" s="337"/>
      <c r="BD15" s="337"/>
      <c r="BE15" s="337"/>
      <c r="BF15" s="337"/>
      <c r="BG15" s="337"/>
      <c r="BH15" s="337"/>
      <c r="BI15" s="337"/>
      <c r="BJ15" s="337"/>
      <c r="BK15" s="337"/>
      <c r="BL15" s="337"/>
      <c r="BM15" s="337"/>
      <c r="BN15" s="337"/>
      <c r="BO15" s="337"/>
      <c r="BP15" s="337"/>
      <c r="BQ15" s="337"/>
      <c r="BR15" s="340"/>
      <c r="BS15" s="337"/>
      <c r="BT15" s="341"/>
      <c r="BU15" s="341"/>
      <c r="BV15" s="342"/>
      <c r="BW15" s="342"/>
      <c r="BX15" s="343"/>
      <c r="BY15" s="344"/>
      <c r="BZ15" s="345"/>
      <c r="CA15" s="345"/>
      <c r="CB15" s="345"/>
      <c r="CC15" s="271"/>
      <c r="CD15" s="272"/>
      <c r="CE15" s="272"/>
      <c r="CF15" s="272"/>
      <c r="CG15" s="272"/>
      <c r="CH15" s="272"/>
      <c r="CI15" s="272"/>
      <c r="CJ15" s="272"/>
      <c r="CK15" s="272"/>
      <c r="CL15" s="272"/>
      <c r="CM15" s="272"/>
      <c r="CN15" s="272"/>
      <c r="CO15" s="272"/>
      <c r="CP15" s="272"/>
      <c r="CQ15" s="274"/>
      <c r="CR15" s="275"/>
      <c r="CS15" s="271"/>
      <c r="CT15" s="272"/>
      <c r="CU15" s="272"/>
      <c r="CV15" s="272"/>
      <c r="CW15" s="272"/>
      <c r="CX15" s="272"/>
      <c r="CY15" s="272"/>
      <c r="CZ15" s="272"/>
      <c r="DA15" s="272"/>
      <c r="DB15" s="272"/>
      <c r="DC15" s="272"/>
      <c r="DD15" s="272"/>
      <c r="DE15" s="272"/>
      <c r="DF15" s="274"/>
      <c r="DG15" s="275"/>
      <c r="DH15" s="271"/>
      <c r="DI15" s="272"/>
      <c r="DJ15" s="272"/>
      <c r="DK15" s="276"/>
      <c r="DL15" s="277"/>
      <c r="DM15" s="277"/>
      <c r="DN15" s="277"/>
      <c r="DO15" s="277"/>
      <c r="DP15" s="277"/>
      <c r="DQ15" s="277"/>
      <c r="DR15" s="277"/>
      <c r="DS15" s="277"/>
      <c r="DT15" s="277"/>
      <c r="DU15" s="277"/>
      <c r="DV15" s="277"/>
      <c r="DW15" s="277"/>
      <c r="DX15" s="277"/>
      <c r="DY15" s="277"/>
      <c r="DZ15" s="277"/>
      <c r="EA15" s="277"/>
      <c r="EB15" s="277"/>
      <c r="EC15" s="277"/>
      <c r="ED15" s="277"/>
      <c r="EE15" s="277"/>
      <c r="EF15" s="277"/>
      <c r="EG15" s="277"/>
      <c r="EH15" s="277"/>
      <c r="EI15" s="277"/>
      <c r="EJ15" s="277"/>
      <c r="EK15" s="277"/>
      <c r="EL15" s="277"/>
      <c r="EM15" s="277"/>
      <c r="EN15" s="277"/>
      <c r="EO15" s="302" t="s">
        <v>194</v>
      </c>
      <c r="EP15" s="321" t="s">
        <v>195</v>
      </c>
      <c r="EQ15" s="347">
        <v>260</v>
      </c>
      <c r="ER15" s="323"/>
      <c r="ES15" s="323"/>
      <c r="ET15" s="323"/>
      <c r="EU15" s="323"/>
      <c r="EV15" s="324" t="s">
        <v>196</v>
      </c>
      <c r="EW15" s="325">
        <v>31</v>
      </c>
      <c r="EX15" s="326">
        <v>39</v>
      </c>
      <c r="EY15" s="327" t="s">
        <v>188</v>
      </c>
      <c r="EZ15" s="328">
        <v>31</v>
      </c>
      <c r="FA15" s="329">
        <v>39</v>
      </c>
      <c r="FB15" s="327" t="s">
        <v>189</v>
      </c>
      <c r="FC15" s="328"/>
      <c r="FD15" s="329"/>
      <c r="FE15" s="330" t="s">
        <v>189</v>
      </c>
      <c r="FF15" s="328"/>
      <c r="FG15" s="329"/>
      <c r="FH15" s="330" t="s">
        <v>189</v>
      </c>
      <c r="FI15" s="328"/>
      <c r="FJ15" s="331"/>
      <c r="FK15" s="289"/>
      <c r="FL15" s="290"/>
      <c r="FM15" s="349"/>
      <c r="FN15" s="336"/>
      <c r="FO15" s="337"/>
      <c r="FP15" s="337"/>
      <c r="FQ15" s="337"/>
      <c r="FR15" s="337"/>
      <c r="FS15" s="337"/>
      <c r="FT15" s="337"/>
      <c r="FU15" s="337"/>
      <c r="FV15" s="338"/>
      <c r="FW15" s="337"/>
      <c r="FX15" s="339"/>
      <c r="FY15" s="337"/>
      <c r="FZ15" s="337"/>
      <c r="GA15" s="337"/>
      <c r="GB15" s="337"/>
      <c r="GC15" s="337"/>
      <c r="GD15" s="337"/>
      <c r="GE15" s="337"/>
      <c r="GF15" s="337"/>
      <c r="GG15" s="337"/>
      <c r="GH15" s="337"/>
      <c r="GI15" s="337"/>
      <c r="GJ15" s="337"/>
      <c r="GK15" s="337"/>
      <c r="GL15" s="337"/>
      <c r="GM15" s="337"/>
      <c r="GN15" s="337"/>
      <c r="GO15" s="337"/>
      <c r="GP15" s="337"/>
      <c r="GQ15" s="337"/>
      <c r="GR15" s="337"/>
      <c r="GS15" s="337"/>
      <c r="GT15" s="337"/>
      <c r="GU15" s="341"/>
      <c r="GV15" s="341"/>
      <c r="GW15" s="342"/>
      <c r="GX15" s="342"/>
      <c r="GY15" s="343"/>
      <c r="GZ15" s="344"/>
      <c r="HA15" s="345"/>
      <c r="HB15" s="345"/>
      <c r="HC15" s="345"/>
      <c r="HD15" s="271"/>
      <c r="HE15" s="272"/>
      <c r="HF15" s="272"/>
      <c r="HG15" s="272"/>
      <c r="HH15" s="272"/>
      <c r="HI15" s="272"/>
      <c r="HJ15" s="272"/>
      <c r="HK15" s="272"/>
      <c r="HL15" s="272"/>
      <c r="HM15" s="272"/>
      <c r="HN15" s="272"/>
      <c r="HO15" s="272"/>
      <c r="HP15" s="272"/>
      <c r="HQ15" s="272"/>
      <c r="HR15" s="274"/>
      <c r="HS15" s="275"/>
      <c r="HT15" s="271"/>
      <c r="HU15" s="272"/>
      <c r="HV15" s="272"/>
      <c r="HW15" s="272"/>
      <c r="HX15" s="272"/>
      <c r="HY15" s="272"/>
      <c r="HZ15" s="272"/>
      <c r="IA15" s="272"/>
      <c r="IB15" s="272"/>
      <c r="IC15" s="272"/>
      <c r="ID15" s="272"/>
      <c r="IE15" s="272"/>
      <c r="IF15" s="272"/>
      <c r="IG15" s="274"/>
      <c r="IH15" s="275"/>
      <c r="II15" s="271"/>
      <c r="IJ15" s="272"/>
      <c r="IK15" s="272"/>
      <c r="IL15" s="276"/>
      <c r="IM15" s="277"/>
      <c r="IN15" s="277"/>
      <c r="IO15" s="333"/>
      <c r="IP15" s="334"/>
      <c r="JF15" s="296"/>
      <c r="JO15" s="335"/>
      <c r="KW15" s="296"/>
      <c r="KX15" s="277"/>
      <c r="KY15" s="277"/>
    </row>
    <row r="16" spans="1:398" s="352" customFormat="1" ht="42.65" hidden="1" customHeight="1">
      <c r="A16" s="1"/>
      <c r="B16" s="299"/>
      <c r="C16" s="241"/>
      <c r="D16" s="242"/>
      <c r="E16" s="243" t="s">
        <v>165</v>
      </c>
      <c r="F16" s="244"/>
      <c r="G16" s="246">
        <v>0</v>
      </c>
      <c r="H16" s="246">
        <v>0</v>
      </c>
      <c r="I16" s="246">
        <v>0</v>
      </c>
      <c r="J16" s="246">
        <v>0</v>
      </c>
      <c r="K16" s="246"/>
      <c r="L16" s="246">
        <v>0</v>
      </c>
      <c r="M16" s="300">
        <v>0</v>
      </c>
      <c r="N16" s="251">
        <v>0</v>
      </c>
      <c r="O16" s="251">
        <v>0</v>
      </c>
      <c r="P16" s="300">
        <v>0</v>
      </c>
      <c r="Q16" s="251">
        <v>0</v>
      </c>
      <c r="R16" s="251">
        <v>0</v>
      </c>
      <c r="S16" s="251">
        <v>0</v>
      </c>
      <c r="T16" s="251"/>
      <c r="U16" s="301" t="s">
        <v>165</v>
      </c>
      <c r="V16" s="242"/>
      <c r="W16" s="242"/>
      <c r="X16" s="242"/>
      <c r="Y16" s="242"/>
      <c r="Z16" s="242"/>
      <c r="AA16" s="351"/>
      <c r="AB16" s="303"/>
      <c r="AC16" s="304"/>
      <c r="AD16" s="256"/>
      <c r="AE16" s="336"/>
      <c r="AF16" s="337"/>
      <c r="AG16" s="337"/>
      <c r="AH16" s="337"/>
      <c r="AI16" s="337"/>
      <c r="AJ16" s="337"/>
      <c r="AK16" s="337"/>
      <c r="AL16" s="337"/>
      <c r="AM16" s="337"/>
      <c r="AN16" s="337"/>
      <c r="AO16" s="337"/>
      <c r="AP16" s="337"/>
      <c r="AQ16" s="337"/>
      <c r="AR16" s="337"/>
      <c r="AS16" s="338"/>
      <c r="AT16" s="337"/>
      <c r="AU16" s="339"/>
      <c r="AV16" s="337"/>
      <c r="AW16" s="337"/>
      <c r="AX16" s="337"/>
      <c r="AY16" s="337"/>
      <c r="AZ16" s="337"/>
      <c r="BA16" s="337"/>
      <c r="BB16" s="337"/>
      <c r="BC16" s="337"/>
      <c r="BD16" s="337"/>
      <c r="BE16" s="337"/>
      <c r="BF16" s="337"/>
      <c r="BG16" s="337"/>
      <c r="BH16" s="337"/>
      <c r="BI16" s="337"/>
      <c r="BJ16" s="337"/>
      <c r="BK16" s="337"/>
      <c r="BL16" s="337"/>
      <c r="BM16" s="337"/>
      <c r="BN16" s="337"/>
      <c r="BO16" s="337"/>
      <c r="BP16" s="337"/>
      <c r="BQ16" s="337"/>
      <c r="BR16" s="266"/>
      <c r="BS16" s="337"/>
      <c r="BT16" s="341"/>
      <c r="BU16" s="341"/>
      <c r="BV16" s="342"/>
      <c r="BW16" s="342"/>
      <c r="BX16" s="343"/>
      <c r="BY16" s="344"/>
      <c r="BZ16" s="345"/>
      <c r="CA16" s="345"/>
      <c r="CB16" s="345"/>
      <c r="CC16" s="271"/>
      <c r="CD16" s="272"/>
      <c r="CE16" s="272"/>
      <c r="CF16" s="272"/>
      <c r="CG16" s="272"/>
      <c r="CH16" s="272"/>
      <c r="CI16" s="272"/>
      <c r="CJ16" s="272"/>
      <c r="CK16" s="272"/>
      <c r="CL16" s="272"/>
      <c r="CM16" s="272"/>
      <c r="CN16" s="272"/>
      <c r="CO16" s="272"/>
      <c r="CP16" s="272"/>
      <c r="CQ16" s="274"/>
      <c r="CR16" s="275"/>
      <c r="CS16" s="271"/>
      <c r="CT16" s="272"/>
      <c r="CU16" s="272"/>
      <c r="CV16" s="272"/>
      <c r="CW16" s="272"/>
      <c r="CX16" s="272"/>
      <c r="CY16" s="272"/>
      <c r="CZ16" s="272"/>
      <c r="DA16" s="272"/>
      <c r="DB16" s="272"/>
      <c r="DC16" s="272"/>
      <c r="DD16" s="272"/>
      <c r="DE16" s="272"/>
      <c r="DF16" s="274"/>
      <c r="DG16" s="275"/>
      <c r="DH16" s="271"/>
      <c r="DI16" s="272"/>
      <c r="DJ16" s="272"/>
      <c r="DK16" s="276"/>
      <c r="DL16" s="277"/>
      <c r="DM16" s="277"/>
      <c r="DN16" s="277"/>
      <c r="DO16" s="277"/>
      <c r="DP16" s="277"/>
      <c r="DQ16" s="277"/>
      <c r="DR16" s="277"/>
      <c r="DS16" s="277"/>
      <c r="DT16" s="277"/>
      <c r="DU16" s="277"/>
      <c r="DV16" s="277"/>
      <c r="DW16" s="277"/>
      <c r="DX16" s="277"/>
      <c r="DY16" s="277"/>
      <c r="DZ16" s="277"/>
      <c r="EA16" s="277"/>
      <c r="EB16" s="277"/>
      <c r="EC16" s="277"/>
      <c r="ED16" s="277"/>
      <c r="EE16" s="277"/>
      <c r="EF16" s="277"/>
      <c r="EG16" s="277"/>
      <c r="EH16" s="277"/>
      <c r="EI16" s="277"/>
      <c r="EJ16" s="277"/>
      <c r="EK16" s="277"/>
      <c r="EL16" s="277"/>
      <c r="EM16" s="277"/>
      <c r="EN16" s="277"/>
      <c r="EO16" s="302" t="s">
        <v>197</v>
      </c>
      <c r="EP16" s="321" t="s">
        <v>191</v>
      </c>
      <c r="EQ16" s="347">
        <v>45</v>
      </c>
      <c r="ER16" s="323"/>
      <c r="ES16" s="323"/>
      <c r="ET16" s="323"/>
      <c r="EU16" s="323"/>
      <c r="EV16" s="324" t="s">
        <v>198</v>
      </c>
      <c r="EW16" s="325">
        <v>33</v>
      </c>
      <c r="EX16" s="326">
        <v>28</v>
      </c>
      <c r="EY16" s="348" t="s">
        <v>188</v>
      </c>
      <c r="EZ16" s="328">
        <v>33</v>
      </c>
      <c r="FA16" s="329">
        <v>28</v>
      </c>
      <c r="FB16" s="348" t="s">
        <v>189</v>
      </c>
      <c r="FC16" s="328"/>
      <c r="FD16" s="329"/>
      <c r="FE16" s="330" t="s">
        <v>189</v>
      </c>
      <c r="FF16" s="328"/>
      <c r="FG16" s="329"/>
      <c r="FH16" s="330" t="s">
        <v>189</v>
      </c>
      <c r="FI16" s="328"/>
      <c r="FJ16" s="331"/>
      <c r="FK16" s="289"/>
      <c r="FL16" s="290"/>
      <c r="FM16" s="349"/>
      <c r="FN16" s="336"/>
      <c r="FO16" s="337"/>
      <c r="FP16" s="337"/>
      <c r="FQ16" s="337"/>
      <c r="FR16" s="337"/>
      <c r="FS16" s="337"/>
      <c r="FT16" s="337"/>
      <c r="FU16" s="337"/>
      <c r="FV16" s="338"/>
      <c r="FW16" s="337"/>
      <c r="FX16" s="339"/>
      <c r="FY16" s="337"/>
      <c r="FZ16" s="337"/>
      <c r="GA16" s="337"/>
      <c r="GB16" s="337"/>
      <c r="GC16" s="337"/>
      <c r="GD16" s="337"/>
      <c r="GE16" s="337"/>
      <c r="GF16" s="337"/>
      <c r="GG16" s="337"/>
      <c r="GH16" s="337"/>
      <c r="GI16" s="337"/>
      <c r="GJ16" s="337"/>
      <c r="GK16" s="337"/>
      <c r="GL16" s="337"/>
      <c r="GM16" s="337"/>
      <c r="GN16" s="337"/>
      <c r="GO16" s="337"/>
      <c r="GP16" s="337"/>
      <c r="GQ16" s="337"/>
      <c r="GR16" s="337"/>
      <c r="GS16" s="337"/>
      <c r="GT16" s="337"/>
      <c r="GU16" s="341"/>
      <c r="GV16" s="341"/>
      <c r="GW16" s="342"/>
      <c r="GX16" s="342"/>
      <c r="GY16" s="343"/>
      <c r="GZ16" s="344"/>
      <c r="HA16" s="345"/>
      <c r="HB16" s="345"/>
      <c r="HC16" s="345"/>
      <c r="HD16" s="271"/>
      <c r="HE16" s="272"/>
      <c r="HF16" s="272"/>
      <c r="HG16" s="272"/>
      <c r="HH16" s="272"/>
      <c r="HI16" s="272"/>
      <c r="HJ16" s="272"/>
      <c r="HK16" s="272"/>
      <c r="HL16" s="272"/>
      <c r="HM16" s="272"/>
      <c r="HN16" s="272"/>
      <c r="HO16" s="272"/>
      <c r="HP16" s="272"/>
      <c r="HQ16" s="272"/>
      <c r="HR16" s="274"/>
      <c r="HS16" s="275"/>
      <c r="HT16" s="271"/>
      <c r="HU16" s="272"/>
      <c r="HV16" s="272"/>
      <c r="HW16" s="272"/>
      <c r="HX16" s="272"/>
      <c r="HY16" s="272"/>
      <c r="HZ16" s="272"/>
      <c r="IA16" s="272"/>
      <c r="IB16" s="272"/>
      <c r="IC16" s="272"/>
      <c r="ID16" s="272"/>
      <c r="IE16" s="272"/>
      <c r="IF16" s="272"/>
      <c r="IG16" s="274"/>
      <c r="IH16" s="275"/>
      <c r="II16" s="271"/>
      <c r="IJ16" s="272"/>
      <c r="IK16" s="272"/>
      <c r="IL16" s="276"/>
      <c r="IM16" s="277"/>
      <c r="IN16" s="277"/>
      <c r="IO16" s="333"/>
      <c r="IP16" s="334"/>
      <c r="IR16" s="353"/>
      <c r="IS16" s="353"/>
      <c r="IT16" s="353"/>
      <c r="IU16" s="353"/>
      <c r="IV16" s="353"/>
      <c r="IW16" s="353"/>
      <c r="JF16" s="354"/>
      <c r="JO16" s="355"/>
      <c r="KW16" s="354"/>
      <c r="KX16" s="277"/>
      <c r="KY16" s="277"/>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row>
    <row r="17" spans="1:398" ht="42.65" hidden="1" customHeight="1">
      <c r="B17" s="299"/>
      <c r="C17" s="241"/>
      <c r="D17" s="242"/>
      <c r="E17" s="243" t="s">
        <v>165</v>
      </c>
      <c r="F17" s="244"/>
      <c r="G17" s="246">
        <v>0</v>
      </c>
      <c r="H17" s="246">
        <v>0</v>
      </c>
      <c r="I17" s="246">
        <v>0</v>
      </c>
      <c r="J17" s="246">
        <v>0</v>
      </c>
      <c r="K17" s="246"/>
      <c r="L17" s="246">
        <v>0</v>
      </c>
      <c r="M17" s="300">
        <v>0</v>
      </c>
      <c r="N17" s="251">
        <v>0</v>
      </c>
      <c r="O17" s="251">
        <v>0</v>
      </c>
      <c r="P17" s="300">
        <v>0</v>
      </c>
      <c r="Q17" s="251">
        <v>0</v>
      </c>
      <c r="R17" s="251">
        <v>0</v>
      </c>
      <c r="S17" s="251">
        <v>0</v>
      </c>
      <c r="T17" s="251"/>
      <c r="U17" s="301" t="s">
        <v>165</v>
      </c>
      <c r="V17" s="242"/>
      <c r="W17" s="242"/>
      <c r="X17" s="242"/>
      <c r="Y17" s="242"/>
      <c r="Z17" s="242"/>
      <c r="AA17" s="356"/>
      <c r="AB17" s="303"/>
      <c r="AC17" s="304"/>
      <c r="AD17" s="256"/>
      <c r="AE17" s="336"/>
      <c r="AF17" s="337"/>
      <c r="AG17" s="337"/>
      <c r="AH17" s="337"/>
      <c r="AI17" s="337"/>
      <c r="AJ17" s="337"/>
      <c r="AK17" s="337"/>
      <c r="AL17" s="337"/>
      <c r="AM17" s="337"/>
      <c r="AN17" s="337"/>
      <c r="AO17" s="337"/>
      <c r="AP17" s="337"/>
      <c r="AQ17" s="337"/>
      <c r="AR17" s="337"/>
      <c r="AS17" s="338"/>
      <c r="AT17" s="337"/>
      <c r="AU17" s="339"/>
      <c r="AV17" s="337"/>
      <c r="AW17" s="337"/>
      <c r="AX17" s="337"/>
      <c r="AY17" s="337"/>
      <c r="AZ17" s="337"/>
      <c r="BA17" s="337"/>
      <c r="BB17" s="337"/>
      <c r="BC17" s="337"/>
      <c r="BD17" s="337"/>
      <c r="BE17" s="337"/>
      <c r="BF17" s="337"/>
      <c r="BG17" s="337"/>
      <c r="BH17" s="337"/>
      <c r="BI17" s="337"/>
      <c r="BJ17" s="337"/>
      <c r="BK17" s="337"/>
      <c r="BL17" s="337"/>
      <c r="BM17" s="337"/>
      <c r="BN17" s="337"/>
      <c r="BO17" s="337"/>
      <c r="BP17" s="337"/>
      <c r="BQ17" s="337"/>
      <c r="BR17" s="266"/>
      <c r="BS17" s="337"/>
      <c r="BT17" s="341"/>
      <c r="BU17" s="341"/>
      <c r="BV17" s="342"/>
      <c r="BW17" s="342"/>
      <c r="BX17" s="343"/>
      <c r="BY17" s="344"/>
      <c r="BZ17" s="345"/>
      <c r="CA17" s="345"/>
      <c r="CB17" s="345"/>
      <c r="CC17" s="271"/>
      <c r="CD17" s="272"/>
      <c r="CE17" s="272"/>
      <c r="CF17" s="272"/>
      <c r="CG17" s="272"/>
      <c r="CH17" s="272"/>
      <c r="CI17" s="272"/>
      <c r="CJ17" s="272"/>
      <c r="CK17" s="272"/>
      <c r="CL17" s="272"/>
      <c r="CM17" s="272"/>
      <c r="CN17" s="272"/>
      <c r="CO17" s="272"/>
      <c r="CP17" s="272"/>
      <c r="CQ17" s="274"/>
      <c r="CR17" s="275"/>
      <c r="CS17" s="271"/>
      <c r="CT17" s="272"/>
      <c r="CU17" s="272"/>
      <c r="CV17" s="272"/>
      <c r="CW17" s="272"/>
      <c r="CX17" s="272"/>
      <c r="CY17" s="272"/>
      <c r="CZ17" s="272"/>
      <c r="DA17" s="272"/>
      <c r="DB17" s="272"/>
      <c r="DC17" s="272"/>
      <c r="DD17" s="272"/>
      <c r="DE17" s="272"/>
      <c r="DF17" s="274"/>
      <c r="DG17" s="275"/>
      <c r="DH17" s="271"/>
      <c r="DI17" s="272"/>
      <c r="DJ17" s="272"/>
      <c r="DK17" s="276"/>
      <c r="DL17" s="277"/>
      <c r="DM17" s="277"/>
      <c r="DN17" s="277"/>
      <c r="DO17" s="277"/>
      <c r="DP17" s="277"/>
      <c r="DQ17" s="277"/>
      <c r="DR17" s="277"/>
      <c r="DS17" s="277"/>
      <c r="DT17" s="277"/>
      <c r="DU17" s="277"/>
      <c r="DV17" s="277"/>
      <c r="DW17" s="277"/>
      <c r="DX17" s="277"/>
      <c r="DY17" s="277"/>
      <c r="DZ17" s="277"/>
      <c r="EA17" s="277"/>
      <c r="EB17" s="277"/>
      <c r="EC17" s="277"/>
      <c r="ED17" s="277"/>
      <c r="EE17" s="277"/>
      <c r="EF17" s="277"/>
      <c r="EG17" s="277"/>
      <c r="EH17" s="277"/>
      <c r="EI17" s="277"/>
      <c r="EJ17" s="277"/>
      <c r="EK17" s="277"/>
      <c r="EL17" s="277"/>
      <c r="EM17" s="277"/>
      <c r="EN17" s="277"/>
      <c r="EO17" s="302" t="s">
        <v>199</v>
      </c>
      <c r="EP17" s="321" t="s">
        <v>191</v>
      </c>
      <c r="EQ17" s="347">
        <v>26</v>
      </c>
      <c r="ER17" s="323"/>
      <c r="ES17" s="323"/>
      <c r="ET17" s="323"/>
      <c r="EU17" s="323"/>
      <c r="EV17" s="324" t="s">
        <v>200</v>
      </c>
      <c r="EW17" s="325">
        <v>24</v>
      </c>
      <c r="EX17" s="326">
        <v>28</v>
      </c>
      <c r="EY17" s="348" t="s">
        <v>188</v>
      </c>
      <c r="EZ17" s="328">
        <v>24</v>
      </c>
      <c r="FA17" s="329">
        <v>28</v>
      </c>
      <c r="FB17" s="348" t="s">
        <v>189</v>
      </c>
      <c r="FC17" s="328"/>
      <c r="FD17" s="329"/>
      <c r="FE17" s="330" t="s">
        <v>189</v>
      </c>
      <c r="FF17" s="328"/>
      <c r="FG17" s="329"/>
      <c r="FH17" s="330" t="s">
        <v>189</v>
      </c>
      <c r="FI17" s="328"/>
      <c r="FJ17" s="331"/>
      <c r="FK17" s="289"/>
      <c r="FL17" s="290"/>
      <c r="FM17" s="349"/>
      <c r="FN17" s="336"/>
      <c r="FO17" s="337"/>
      <c r="FP17" s="337"/>
      <c r="FQ17" s="337"/>
      <c r="FR17" s="337"/>
      <c r="FS17" s="337"/>
      <c r="FT17" s="337"/>
      <c r="FU17" s="337"/>
      <c r="FV17" s="338"/>
      <c r="FW17" s="337"/>
      <c r="FX17" s="339"/>
      <c r="FY17" s="337"/>
      <c r="FZ17" s="337"/>
      <c r="GA17" s="337"/>
      <c r="GB17" s="337"/>
      <c r="GC17" s="337"/>
      <c r="GD17" s="337"/>
      <c r="GE17" s="337"/>
      <c r="GF17" s="337"/>
      <c r="GG17" s="337"/>
      <c r="GH17" s="337"/>
      <c r="GI17" s="337"/>
      <c r="GJ17" s="337"/>
      <c r="GK17" s="337"/>
      <c r="GL17" s="337"/>
      <c r="GM17" s="337"/>
      <c r="GN17" s="337"/>
      <c r="GO17" s="337"/>
      <c r="GP17" s="337"/>
      <c r="GQ17" s="337"/>
      <c r="GR17" s="337"/>
      <c r="GS17" s="337"/>
      <c r="GT17" s="337"/>
      <c r="GU17" s="341"/>
      <c r="GV17" s="341"/>
      <c r="GW17" s="342"/>
      <c r="GX17" s="342"/>
      <c r="GY17" s="343"/>
      <c r="GZ17" s="344"/>
      <c r="HA17" s="345"/>
      <c r="HB17" s="345"/>
      <c r="HC17" s="345"/>
      <c r="HD17" s="271"/>
      <c r="HE17" s="272"/>
      <c r="HF17" s="272"/>
      <c r="HG17" s="272"/>
      <c r="HH17" s="272"/>
      <c r="HI17" s="272"/>
      <c r="HJ17" s="272"/>
      <c r="HK17" s="272"/>
      <c r="HL17" s="272"/>
      <c r="HM17" s="272"/>
      <c r="HN17" s="272"/>
      <c r="HO17" s="272"/>
      <c r="HP17" s="272"/>
      <c r="HQ17" s="272"/>
      <c r="HR17" s="274"/>
      <c r="HS17" s="275"/>
      <c r="HT17" s="271"/>
      <c r="HU17" s="272"/>
      <c r="HV17" s="272"/>
      <c r="HW17" s="272"/>
      <c r="HX17" s="272"/>
      <c r="HY17" s="272"/>
      <c r="HZ17" s="272"/>
      <c r="IA17" s="272"/>
      <c r="IB17" s="272"/>
      <c r="IC17" s="272"/>
      <c r="ID17" s="272"/>
      <c r="IE17" s="272"/>
      <c r="IF17" s="272"/>
      <c r="IG17" s="274"/>
      <c r="IH17" s="275"/>
      <c r="II17" s="271"/>
      <c r="IJ17" s="272"/>
      <c r="IK17" s="272"/>
      <c r="IL17" s="276"/>
      <c r="IM17" s="277"/>
      <c r="IN17" s="277"/>
      <c r="IO17" s="333"/>
      <c r="IP17" s="334"/>
      <c r="JF17" s="296"/>
      <c r="JO17" s="335"/>
      <c r="KW17" s="296"/>
      <c r="KX17" s="277"/>
      <c r="KY17" s="277"/>
    </row>
    <row r="18" spans="1:398" ht="42.65" hidden="1" customHeight="1">
      <c r="B18" s="299"/>
      <c r="C18" s="241"/>
      <c r="D18" s="242"/>
      <c r="E18" s="243"/>
      <c r="F18" s="244"/>
      <c r="G18" s="246"/>
      <c r="H18" s="246"/>
      <c r="I18" s="246">
        <v>0</v>
      </c>
      <c r="J18" s="246">
        <v>0</v>
      </c>
      <c r="K18" s="246"/>
      <c r="L18" s="246">
        <v>0</v>
      </c>
      <c r="M18" s="300"/>
      <c r="N18" s="251"/>
      <c r="O18" s="251"/>
      <c r="P18" s="300"/>
      <c r="Q18" s="251"/>
      <c r="R18" s="251"/>
      <c r="S18" s="251"/>
      <c r="T18" s="251"/>
      <c r="U18" s="301" t="s">
        <v>165</v>
      </c>
      <c r="V18" s="242"/>
      <c r="W18" s="242"/>
      <c r="X18" s="242"/>
      <c r="Y18" s="242"/>
      <c r="Z18" s="242"/>
      <c r="AA18" s="302" t="s">
        <v>201</v>
      </c>
      <c r="AB18" s="303" t="s">
        <v>191</v>
      </c>
      <c r="AC18" s="304">
        <v>210</v>
      </c>
      <c r="AD18" s="256"/>
      <c r="AE18" s="336"/>
      <c r="AF18" s="337"/>
      <c r="AG18" s="337"/>
      <c r="AH18" s="337"/>
      <c r="AI18" s="337"/>
      <c r="AJ18" s="337"/>
      <c r="AK18" s="337"/>
      <c r="AL18" s="337"/>
      <c r="AM18" s="337"/>
      <c r="AN18" s="337"/>
      <c r="AO18" s="337"/>
      <c r="AP18" s="337"/>
      <c r="AQ18" s="337"/>
      <c r="AR18" s="337"/>
      <c r="AS18" s="338"/>
      <c r="AT18" s="337"/>
      <c r="AU18" s="339"/>
      <c r="AV18" s="337"/>
      <c r="AW18" s="337"/>
      <c r="AX18" s="337"/>
      <c r="AY18" s="337"/>
      <c r="AZ18" s="337"/>
      <c r="BA18" s="337"/>
      <c r="BB18" s="337"/>
      <c r="BC18" s="337"/>
      <c r="BD18" s="337"/>
      <c r="BE18" s="337"/>
      <c r="BF18" s="337"/>
      <c r="BG18" s="337"/>
      <c r="BH18" s="337"/>
      <c r="BI18" s="337"/>
      <c r="BJ18" s="337"/>
      <c r="BK18" s="337"/>
      <c r="BL18" s="337"/>
      <c r="BM18" s="337"/>
      <c r="BN18" s="337"/>
      <c r="BO18" s="337"/>
      <c r="BP18" s="337"/>
      <c r="BQ18" s="337"/>
      <c r="BR18" s="340"/>
      <c r="BS18" s="337"/>
      <c r="BT18" s="341"/>
      <c r="BU18" s="341"/>
      <c r="BV18" s="342"/>
      <c r="BW18" s="342"/>
      <c r="BX18" s="343"/>
      <c r="BY18" s="344"/>
      <c r="BZ18" s="345"/>
      <c r="CA18" s="345"/>
      <c r="CB18" s="345"/>
      <c r="CC18" s="271"/>
      <c r="CD18" s="272"/>
      <c r="CE18" s="272"/>
      <c r="CF18" s="272"/>
      <c r="CG18" s="272"/>
      <c r="CH18" s="272"/>
      <c r="CI18" s="272"/>
      <c r="CJ18" s="272"/>
      <c r="CK18" s="272"/>
      <c r="CL18" s="272"/>
      <c r="CM18" s="272"/>
      <c r="CN18" s="272"/>
      <c r="CO18" s="272"/>
      <c r="CP18" s="272"/>
      <c r="CQ18" s="274"/>
      <c r="CR18" s="275"/>
      <c r="CS18" s="271"/>
      <c r="CT18" s="272"/>
      <c r="CU18" s="272"/>
      <c r="CV18" s="272"/>
      <c r="CW18" s="272"/>
      <c r="CX18" s="272"/>
      <c r="CY18" s="272"/>
      <c r="CZ18" s="272"/>
      <c r="DA18" s="272"/>
      <c r="DB18" s="272"/>
      <c r="DC18" s="272"/>
      <c r="DD18" s="272"/>
      <c r="DE18" s="272"/>
      <c r="DF18" s="274"/>
      <c r="DG18" s="275"/>
      <c r="DH18" s="271"/>
      <c r="DI18" s="272"/>
      <c r="DJ18" s="272"/>
      <c r="DK18" s="276"/>
      <c r="DL18" s="277"/>
      <c r="DM18" s="277"/>
      <c r="DN18" s="277"/>
      <c r="DO18" s="277"/>
      <c r="DP18" s="277"/>
      <c r="DQ18" s="277"/>
      <c r="DR18" s="277"/>
      <c r="DS18" s="277"/>
      <c r="DT18" s="277"/>
      <c r="DU18" s="277"/>
      <c r="DV18" s="277"/>
      <c r="DW18" s="277"/>
      <c r="DX18" s="277"/>
      <c r="DY18" s="277"/>
      <c r="DZ18" s="277"/>
      <c r="EA18" s="277"/>
      <c r="EB18" s="277"/>
      <c r="EC18" s="277"/>
      <c r="ED18" s="277"/>
      <c r="EE18" s="277"/>
      <c r="EF18" s="277"/>
      <c r="EG18" s="277"/>
      <c r="EH18" s="277"/>
      <c r="EI18" s="277"/>
      <c r="EJ18" s="277"/>
      <c r="EK18" s="277"/>
      <c r="EL18" s="277"/>
      <c r="EM18" s="277"/>
      <c r="EN18" s="277"/>
      <c r="EO18" s="302" t="s">
        <v>201</v>
      </c>
      <c r="EP18" s="321" t="s">
        <v>191</v>
      </c>
      <c r="EQ18" s="347">
        <v>210</v>
      </c>
      <c r="ER18" s="323"/>
      <c r="ES18" s="323"/>
      <c r="ET18" s="323"/>
      <c r="EU18" s="323"/>
      <c r="EV18" s="324" t="s">
        <v>202</v>
      </c>
      <c r="EW18" s="325">
        <v>14</v>
      </c>
      <c r="EX18" s="326">
        <v>23</v>
      </c>
      <c r="EY18" s="348" t="s">
        <v>203</v>
      </c>
      <c r="EZ18" s="328">
        <v>0.6</v>
      </c>
      <c r="FA18" s="329">
        <v>2</v>
      </c>
      <c r="FB18" s="348" t="s">
        <v>189</v>
      </c>
      <c r="FC18" s="328"/>
      <c r="FD18" s="329"/>
      <c r="FE18" s="330" t="s">
        <v>189</v>
      </c>
      <c r="FF18" s="328"/>
      <c r="FG18" s="329"/>
      <c r="FH18" s="330" t="s">
        <v>189</v>
      </c>
      <c r="FI18" s="328"/>
      <c r="FJ18" s="331"/>
      <c r="FK18" s="289"/>
      <c r="FL18" s="290"/>
      <c r="FM18" s="349"/>
      <c r="FN18" s="336"/>
      <c r="FO18" s="337"/>
      <c r="FP18" s="337"/>
      <c r="FQ18" s="337"/>
      <c r="FR18" s="337"/>
      <c r="FS18" s="337"/>
      <c r="FT18" s="337"/>
      <c r="FU18" s="337"/>
      <c r="FV18" s="338"/>
      <c r="FW18" s="337"/>
      <c r="FX18" s="339"/>
      <c r="FY18" s="337"/>
      <c r="FZ18" s="337"/>
      <c r="GA18" s="337"/>
      <c r="GB18" s="337"/>
      <c r="GC18" s="337"/>
      <c r="GD18" s="337"/>
      <c r="GE18" s="337"/>
      <c r="GF18" s="337"/>
      <c r="GG18" s="337"/>
      <c r="GH18" s="337"/>
      <c r="GI18" s="337"/>
      <c r="GJ18" s="337"/>
      <c r="GK18" s="337"/>
      <c r="GL18" s="337"/>
      <c r="GM18" s="337"/>
      <c r="GN18" s="337"/>
      <c r="GO18" s="337"/>
      <c r="GP18" s="337"/>
      <c r="GQ18" s="337"/>
      <c r="GR18" s="337"/>
      <c r="GS18" s="337"/>
      <c r="GT18" s="337"/>
      <c r="GU18" s="341"/>
      <c r="GV18" s="341"/>
      <c r="GW18" s="342"/>
      <c r="GX18" s="342"/>
      <c r="GY18" s="343"/>
      <c r="GZ18" s="344"/>
      <c r="HA18" s="345"/>
      <c r="HB18" s="345"/>
      <c r="HC18" s="345"/>
      <c r="HD18" s="271"/>
      <c r="HE18" s="272"/>
      <c r="HF18" s="272"/>
      <c r="HG18" s="272"/>
      <c r="HH18" s="272"/>
      <c r="HI18" s="272"/>
      <c r="HJ18" s="272"/>
      <c r="HK18" s="272"/>
      <c r="HL18" s="272"/>
      <c r="HM18" s="272"/>
      <c r="HN18" s="272"/>
      <c r="HO18" s="272"/>
      <c r="HP18" s="272"/>
      <c r="HQ18" s="272"/>
      <c r="HR18" s="274"/>
      <c r="HS18" s="275"/>
      <c r="HT18" s="271"/>
      <c r="HU18" s="272"/>
      <c r="HV18" s="272"/>
      <c r="HW18" s="272"/>
      <c r="HX18" s="272"/>
      <c r="HY18" s="272"/>
      <c r="HZ18" s="272"/>
      <c r="IA18" s="272"/>
      <c r="IB18" s="272"/>
      <c r="IC18" s="272"/>
      <c r="ID18" s="272"/>
      <c r="IE18" s="272"/>
      <c r="IF18" s="272"/>
      <c r="IG18" s="274"/>
      <c r="IH18" s="275"/>
      <c r="II18" s="271"/>
      <c r="IJ18" s="272"/>
      <c r="IK18" s="272"/>
      <c r="IL18" s="276"/>
      <c r="IM18" s="277"/>
      <c r="IN18" s="277"/>
      <c r="IO18" s="333"/>
      <c r="IP18" s="334"/>
      <c r="JF18" s="296"/>
      <c r="JO18" s="335"/>
      <c r="KW18" s="296"/>
      <c r="KX18" s="277"/>
      <c r="KY18" s="277"/>
    </row>
    <row r="19" spans="1:398" ht="42.5" hidden="1" customHeight="1">
      <c r="B19" s="299"/>
      <c r="C19" s="241"/>
      <c r="D19" s="242"/>
      <c r="E19" s="243" t="s">
        <v>165</v>
      </c>
      <c r="F19" s="244"/>
      <c r="G19" s="246">
        <v>0</v>
      </c>
      <c r="H19" s="246">
        <v>0</v>
      </c>
      <c r="I19" s="246">
        <v>0</v>
      </c>
      <c r="J19" s="246">
        <v>0</v>
      </c>
      <c r="K19" s="246"/>
      <c r="L19" s="246">
        <v>0</v>
      </c>
      <c r="M19" s="300">
        <v>0</v>
      </c>
      <c r="N19" s="251">
        <v>0</v>
      </c>
      <c r="O19" s="251">
        <v>0</v>
      </c>
      <c r="P19" s="300">
        <v>0</v>
      </c>
      <c r="Q19" s="251">
        <v>0</v>
      </c>
      <c r="R19" s="251">
        <v>0</v>
      </c>
      <c r="S19" s="251">
        <v>0</v>
      </c>
      <c r="T19" s="251"/>
      <c r="U19" s="301" t="s">
        <v>165</v>
      </c>
      <c r="V19" s="242"/>
      <c r="W19" s="242"/>
      <c r="X19" s="242"/>
      <c r="Y19" s="242"/>
      <c r="Z19" s="242"/>
      <c r="AA19" s="302" t="s">
        <v>204</v>
      </c>
      <c r="AB19" s="303" t="s">
        <v>191</v>
      </c>
      <c r="AC19" s="304">
        <v>126</v>
      </c>
      <c r="AD19" s="256"/>
      <c r="AE19" s="336"/>
      <c r="AF19" s="337"/>
      <c r="AG19" s="337"/>
      <c r="AH19" s="337"/>
      <c r="AI19" s="337"/>
      <c r="AJ19" s="337"/>
      <c r="AK19" s="337"/>
      <c r="AL19" s="337"/>
      <c r="AM19" s="337"/>
      <c r="AN19" s="337"/>
      <c r="AO19" s="337"/>
      <c r="AP19" s="337"/>
      <c r="AQ19" s="337"/>
      <c r="AR19" s="337"/>
      <c r="AS19" s="339"/>
      <c r="AT19" s="337"/>
      <c r="AU19" s="339"/>
      <c r="AV19" s="337"/>
      <c r="AW19" s="337"/>
      <c r="AX19" s="337"/>
      <c r="AY19" s="337"/>
      <c r="AZ19" s="337"/>
      <c r="BA19" s="337"/>
      <c r="BB19" s="337"/>
      <c r="BC19" s="337"/>
      <c r="BD19" s="337"/>
      <c r="BE19" s="337"/>
      <c r="BF19" s="337"/>
      <c r="BG19" s="337"/>
      <c r="BH19" s="337"/>
      <c r="BI19" s="337"/>
      <c r="BJ19" s="337"/>
      <c r="BK19" s="337"/>
      <c r="BL19" s="337"/>
      <c r="BM19" s="337"/>
      <c r="BN19" s="337"/>
      <c r="BO19" s="337"/>
      <c r="BP19" s="337"/>
      <c r="BQ19" s="337"/>
      <c r="BR19" s="340"/>
      <c r="BS19" s="337"/>
      <c r="BT19" s="341"/>
      <c r="BU19" s="341"/>
      <c r="BV19" s="342"/>
      <c r="BW19" s="342"/>
      <c r="BX19" s="343"/>
      <c r="BY19" s="344"/>
      <c r="BZ19" s="345"/>
      <c r="CA19" s="345"/>
      <c r="CB19" s="345"/>
      <c r="CC19" s="271"/>
      <c r="CD19" s="272"/>
      <c r="CE19" s="272"/>
      <c r="CF19" s="272"/>
      <c r="CG19" s="272"/>
      <c r="CH19" s="272"/>
      <c r="CI19" s="272"/>
      <c r="CJ19" s="272"/>
      <c r="CK19" s="272"/>
      <c r="CL19" s="272"/>
      <c r="CM19" s="272"/>
      <c r="CN19" s="272"/>
      <c r="CO19" s="272"/>
      <c r="CP19" s="272"/>
      <c r="CQ19" s="274"/>
      <c r="CR19" s="275"/>
      <c r="CS19" s="271"/>
      <c r="CT19" s="272"/>
      <c r="CU19" s="272"/>
      <c r="CV19" s="272"/>
      <c r="CW19" s="272"/>
      <c r="CX19" s="272"/>
      <c r="CY19" s="272"/>
      <c r="CZ19" s="272"/>
      <c r="DA19" s="272"/>
      <c r="DB19" s="272"/>
      <c r="DC19" s="272"/>
      <c r="DD19" s="272"/>
      <c r="DE19" s="272"/>
      <c r="DF19" s="274"/>
      <c r="DG19" s="275"/>
      <c r="DH19" s="271"/>
      <c r="DI19" s="272"/>
      <c r="DJ19" s="272"/>
      <c r="DK19" s="276"/>
      <c r="DL19" s="277"/>
      <c r="DM19" s="277"/>
      <c r="DN19" s="277"/>
      <c r="DO19" s="277"/>
      <c r="DP19" s="277"/>
      <c r="DQ19" s="277"/>
      <c r="DR19" s="277"/>
      <c r="DS19" s="277"/>
      <c r="DT19" s="277"/>
      <c r="DU19" s="277"/>
      <c r="DV19" s="277"/>
      <c r="DW19" s="277"/>
      <c r="DX19" s="277"/>
      <c r="DY19" s="277"/>
      <c r="DZ19" s="277"/>
      <c r="EA19" s="277"/>
      <c r="EB19" s="277"/>
      <c r="EC19" s="277"/>
      <c r="ED19" s="277"/>
      <c r="EE19" s="277"/>
      <c r="EF19" s="277"/>
      <c r="EG19" s="277"/>
      <c r="EH19" s="277"/>
      <c r="EI19" s="277"/>
      <c r="EJ19" s="277"/>
      <c r="EK19" s="277"/>
      <c r="EL19" s="277"/>
      <c r="EM19" s="277"/>
      <c r="EN19" s="277"/>
      <c r="EO19" s="302" t="s">
        <v>204</v>
      </c>
      <c r="EP19" s="321" t="s">
        <v>191</v>
      </c>
      <c r="EQ19" s="347">
        <v>126</v>
      </c>
      <c r="ER19" s="323"/>
      <c r="ES19" s="323"/>
      <c r="ET19" s="323"/>
      <c r="EU19" s="323"/>
      <c r="EV19" s="324" t="s">
        <v>202</v>
      </c>
      <c r="EW19" s="325">
        <v>14</v>
      </c>
      <c r="EX19" s="326">
        <v>23</v>
      </c>
      <c r="EY19" s="327" t="s">
        <v>203</v>
      </c>
      <c r="EZ19" s="328">
        <v>0.6</v>
      </c>
      <c r="FA19" s="329">
        <v>2</v>
      </c>
      <c r="FB19" s="327" t="s">
        <v>189</v>
      </c>
      <c r="FC19" s="328"/>
      <c r="FD19" s="329"/>
      <c r="FE19" s="330" t="s">
        <v>189</v>
      </c>
      <c r="FF19" s="328"/>
      <c r="FG19" s="329"/>
      <c r="FH19" s="330" t="s">
        <v>189</v>
      </c>
      <c r="FI19" s="328"/>
      <c r="FJ19" s="331"/>
      <c r="FK19" s="289"/>
      <c r="FL19" s="290"/>
      <c r="FM19" s="349"/>
      <c r="FN19" s="336"/>
      <c r="FO19" s="337"/>
      <c r="FP19" s="337"/>
      <c r="FQ19" s="337"/>
      <c r="FR19" s="337"/>
      <c r="FS19" s="337"/>
      <c r="FT19" s="337"/>
      <c r="FU19" s="337"/>
      <c r="FV19" s="339"/>
      <c r="FW19" s="337"/>
      <c r="FX19" s="339"/>
      <c r="FY19" s="337"/>
      <c r="FZ19" s="337"/>
      <c r="GA19" s="337"/>
      <c r="GB19" s="337"/>
      <c r="GC19" s="337"/>
      <c r="GD19" s="337"/>
      <c r="GE19" s="337"/>
      <c r="GF19" s="337"/>
      <c r="GG19" s="337"/>
      <c r="GH19" s="337"/>
      <c r="GI19" s="337"/>
      <c r="GJ19" s="337"/>
      <c r="GK19" s="337"/>
      <c r="GL19" s="337"/>
      <c r="GM19" s="337"/>
      <c r="GN19" s="337"/>
      <c r="GO19" s="337"/>
      <c r="GP19" s="337"/>
      <c r="GQ19" s="337"/>
      <c r="GR19" s="337"/>
      <c r="GS19" s="337"/>
      <c r="GT19" s="337"/>
      <c r="GU19" s="341"/>
      <c r="GV19" s="341"/>
      <c r="GW19" s="342"/>
      <c r="GX19" s="342"/>
      <c r="GY19" s="343"/>
      <c r="GZ19" s="344"/>
      <c r="HA19" s="345"/>
      <c r="HB19" s="345"/>
      <c r="HC19" s="345"/>
      <c r="HD19" s="271"/>
      <c r="HE19" s="272"/>
      <c r="HF19" s="272"/>
      <c r="HG19" s="272"/>
      <c r="HH19" s="272"/>
      <c r="HI19" s="272"/>
      <c r="HJ19" s="272"/>
      <c r="HK19" s="272"/>
      <c r="HL19" s="272"/>
      <c r="HM19" s="272"/>
      <c r="HN19" s="272"/>
      <c r="HO19" s="272"/>
      <c r="HP19" s="272"/>
      <c r="HQ19" s="272"/>
      <c r="HR19" s="274"/>
      <c r="HS19" s="275"/>
      <c r="HT19" s="271"/>
      <c r="HU19" s="272"/>
      <c r="HV19" s="272"/>
      <c r="HW19" s="272"/>
      <c r="HX19" s="272"/>
      <c r="HY19" s="272"/>
      <c r="HZ19" s="272"/>
      <c r="IA19" s="272"/>
      <c r="IB19" s="272"/>
      <c r="IC19" s="272"/>
      <c r="ID19" s="272"/>
      <c r="IE19" s="272"/>
      <c r="IF19" s="272"/>
      <c r="IG19" s="274"/>
      <c r="IH19" s="275"/>
      <c r="II19" s="271"/>
      <c r="IJ19" s="272"/>
      <c r="IK19" s="272"/>
      <c r="IL19" s="276"/>
      <c r="IM19" s="277"/>
      <c r="IN19" s="277"/>
      <c r="IO19" s="333"/>
      <c r="IP19" s="334"/>
      <c r="JF19" s="296"/>
      <c r="JO19" s="335"/>
      <c r="KW19" s="296"/>
      <c r="KX19" s="277"/>
      <c r="KY19" s="277"/>
    </row>
    <row r="20" spans="1:398" ht="42.65" hidden="1" customHeight="1">
      <c r="B20" s="299"/>
      <c r="C20" s="241"/>
      <c r="D20" s="242"/>
      <c r="E20" s="243"/>
      <c r="F20" s="244"/>
      <c r="G20" s="246"/>
      <c r="H20" s="246"/>
      <c r="I20" s="246">
        <v>0</v>
      </c>
      <c r="J20" s="246">
        <v>0</v>
      </c>
      <c r="K20" s="246"/>
      <c r="L20" s="246">
        <v>0</v>
      </c>
      <c r="M20" s="300"/>
      <c r="N20" s="300"/>
      <c r="O20" s="251"/>
      <c r="P20" s="300"/>
      <c r="Q20" s="251"/>
      <c r="R20" s="251"/>
      <c r="S20" s="251"/>
      <c r="T20" s="251"/>
      <c r="U20" s="301" t="s">
        <v>165</v>
      </c>
      <c r="V20" s="242"/>
      <c r="W20" s="242"/>
      <c r="X20" s="242"/>
      <c r="Y20" s="242"/>
      <c r="Z20" s="242"/>
      <c r="AA20" s="302" t="s">
        <v>205</v>
      </c>
      <c r="AB20" s="303" t="s">
        <v>191</v>
      </c>
      <c r="AC20" s="304">
        <v>26</v>
      </c>
      <c r="AD20" s="256"/>
      <c r="AE20" s="336"/>
      <c r="AF20" s="337"/>
      <c r="AG20" s="337"/>
      <c r="AH20" s="337"/>
      <c r="AI20" s="337"/>
      <c r="AJ20" s="337"/>
      <c r="AK20" s="337"/>
      <c r="AL20" s="337"/>
      <c r="AM20" s="337"/>
      <c r="AN20" s="337"/>
      <c r="AO20" s="337"/>
      <c r="AP20" s="337"/>
      <c r="AQ20" s="337"/>
      <c r="AR20" s="337"/>
      <c r="AS20" s="339"/>
      <c r="AT20" s="337"/>
      <c r="AU20" s="339"/>
      <c r="AV20" s="337"/>
      <c r="AW20" s="337"/>
      <c r="AX20" s="337"/>
      <c r="AY20" s="337"/>
      <c r="AZ20" s="337"/>
      <c r="BA20" s="337"/>
      <c r="BB20" s="337"/>
      <c r="BC20" s="337"/>
      <c r="BD20" s="337"/>
      <c r="BE20" s="337"/>
      <c r="BF20" s="337"/>
      <c r="BG20" s="337"/>
      <c r="BH20" s="337"/>
      <c r="BI20" s="337"/>
      <c r="BJ20" s="337"/>
      <c r="BK20" s="337"/>
      <c r="BL20" s="337"/>
      <c r="BM20" s="337"/>
      <c r="BN20" s="337"/>
      <c r="BO20" s="337"/>
      <c r="BP20" s="337"/>
      <c r="BQ20" s="337"/>
      <c r="BR20" s="340"/>
      <c r="BS20" s="337"/>
      <c r="BT20" s="341"/>
      <c r="BU20" s="341"/>
      <c r="BV20" s="342"/>
      <c r="BW20" s="342"/>
      <c r="BX20" s="343"/>
      <c r="BY20" s="344"/>
      <c r="BZ20" s="345"/>
      <c r="CA20" s="345"/>
      <c r="CB20" s="345"/>
      <c r="CC20" s="271"/>
      <c r="CD20" s="272"/>
      <c r="CE20" s="272"/>
      <c r="CF20" s="272"/>
      <c r="CG20" s="272"/>
      <c r="CH20" s="272"/>
      <c r="CI20" s="272"/>
      <c r="CJ20" s="272"/>
      <c r="CK20" s="272"/>
      <c r="CL20" s="272"/>
      <c r="CM20" s="272"/>
      <c r="CN20" s="272"/>
      <c r="CO20" s="272"/>
      <c r="CP20" s="272"/>
      <c r="CQ20" s="274"/>
      <c r="CR20" s="275"/>
      <c r="CS20" s="271"/>
      <c r="CT20" s="272"/>
      <c r="CU20" s="272"/>
      <c r="CV20" s="272"/>
      <c r="CW20" s="272"/>
      <c r="CX20" s="272"/>
      <c r="CY20" s="272"/>
      <c r="CZ20" s="272"/>
      <c r="DA20" s="272"/>
      <c r="DB20" s="272"/>
      <c r="DC20" s="272"/>
      <c r="DD20" s="272"/>
      <c r="DE20" s="272"/>
      <c r="DF20" s="274"/>
      <c r="DG20" s="275"/>
      <c r="DH20" s="271"/>
      <c r="DI20" s="272"/>
      <c r="DJ20" s="272"/>
      <c r="DK20" s="276"/>
      <c r="DL20" s="277"/>
      <c r="DM20" s="277"/>
      <c r="DN20" s="277"/>
      <c r="DO20" s="277"/>
      <c r="DP20" s="277"/>
      <c r="DQ20" s="277"/>
      <c r="DR20" s="277"/>
      <c r="DS20" s="277"/>
      <c r="DT20" s="277"/>
      <c r="DU20" s="277"/>
      <c r="DV20" s="277"/>
      <c r="DW20" s="277"/>
      <c r="DX20" s="277"/>
      <c r="DY20" s="277"/>
      <c r="DZ20" s="277"/>
      <c r="EA20" s="277"/>
      <c r="EB20" s="277"/>
      <c r="EC20" s="277"/>
      <c r="ED20" s="277"/>
      <c r="EE20" s="277"/>
      <c r="EF20" s="277"/>
      <c r="EG20" s="277"/>
      <c r="EH20" s="277"/>
      <c r="EI20" s="277"/>
      <c r="EJ20" s="277"/>
      <c r="EK20" s="277"/>
      <c r="EL20" s="277"/>
      <c r="EM20" s="277"/>
      <c r="EN20" s="277"/>
      <c r="EO20" s="302" t="s">
        <v>205</v>
      </c>
      <c r="EP20" s="321" t="s">
        <v>191</v>
      </c>
      <c r="EQ20" s="347">
        <v>26</v>
      </c>
      <c r="ER20" s="323"/>
      <c r="ES20" s="323"/>
      <c r="ET20" s="323"/>
      <c r="EU20" s="323"/>
      <c r="EV20" s="324" t="s">
        <v>202</v>
      </c>
      <c r="EW20" s="325">
        <v>14</v>
      </c>
      <c r="EX20" s="326">
        <v>23</v>
      </c>
      <c r="EY20" s="327" t="s">
        <v>203</v>
      </c>
      <c r="EZ20" s="328">
        <v>0.6</v>
      </c>
      <c r="FA20" s="329">
        <v>2</v>
      </c>
      <c r="FB20" s="327" t="s">
        <v>189</v>
      </c>
      <c r="FC20" s="328"/>
      <c r="FD20" s="329"/>
      <c r="FE20" s="330" t="s">
        <v>189</v>
      </c>
      <c r="FF20" s="328"/>
      <c r="FG20" s="329"/>
      <c r="FH20" s="330" t="s">
        <v>189</v>
      </c>
      <c r="FI20" s="328"/>
      <c r="FJ20" s="331"/>
      <c r="FK20" s="289"/>
      <c r="FL20" s="290"/>
      <c r="FM20" s="349"/>
      <c r="FN20" s="336"/>
      <c r="FO20" s="337"/>
      <c r="FP20" s="337"/>
      <c r="FQ20" s="337"/>
      <c r="FR20" s="337"/>
      <c r="FS20" s="337"/>
      <c r="FT20" s="337"/>
      <c r="FU20" s="337"/>
      <c r="FV20" s="339"/>
      <c r="FW20" s="337"/>
      <c r="FX20" s="339"/>
      <c r="FY20" s="337"/>
      <c r="FZ20" s="337"/>
      <c r="GA20" s="337"/>
      <c r="GB20" s="337"/>
      <c r="GC20" s="337"/>
      <c r="GD20" s="337"/>
      <c r="GE20" s="337"/>
      <c r="GF20" s="337"/>
      <c r="GG20" s="337"/>
      <c r="GH20" s="337"/>
      <c r="GI20" s="337"/>
      <c r="GJ20" s="337"/>
      <c r="GK20" s="337"/>
      <c r="GL20" s="337"/>
      <c r="GM20" s="337"/>
      <c r="GN20" s="337"/>
      <c r="GO20" s="337"/>
      <c r="GP20" s="337"/>
      <c r="GQ20" s="337"/>
      <c r="GR20" s="337"/>
      <c r="GS20" s="337"/>
      <c r="GT20" s="337"/>
      <c r="GU20" s="341"/>
      <c r="GV20" s="341"/>
      <c r="GW20" s="342"/>
      <c r="GX20" s="342"/>
      <c r="GY20" s="343"/>
      <c r="GZ20" s="344"/>
      <c r="HA20" s="345"/>
      <c r="HB20" s="345"/>
      <c r="HC20" s="345"/>
      <c r="HD20" s="271"/>
      <c r="HE20" s="272"/>
      <c r="HF20" s="272"/>
      <c r="HG20" s="272"/>
      <c r="HH20" s="272"/>
      <c r="HI20" s="272"/>
      <c r="HJ20" s="272"/>
      <c r="HK20" s="272"/>
      <c r="HL20" s="272"/>
      <c r="HM20" s="272"/>
      <c r="HN20" s="272"/>
      <c r="HO20" s="272"/>
      <c r="HP20" s="272"/>
      <c r="HQ20" s="272"/>
      <c r="HR20" s="274"/>
      <c r="HS20" s="275"/>
      <c r="HT20" s="271"/>
      <c r="HU20" s="272"/>
      <c r="HV20" s="272"/>
      <c r="HW20" s="272"/>
      <c r="HX20" s="272"/>
      <c r="HY20" s="272"/>
      <c r="HZ20" s="272"/>
      <c r="IA20" s="272"/>
      <c r="IB20" s="272"/>
      <c r="IC20" s="272"/>
      <c r="ID20" s="272"/>
      <c r="IE20" s="272"/>
      <c r="IF20" s="272"/>
      <c r="IG20" s="274"/>
      <c r="IH20" s="275"/>
      <c r="II20" s="271"/>
      <c r="IJ20" s="272"/>
      <c r="IK20" s="272"/>
      <c r="IL20" s="276"/>
      <c r="IM20" s="277"/>
      <c r="IN20" s="277"/>
      <c r="IO20" s="333"/>
      <c r="IP20" s="334"/>
      <c r="JF20" s="296"/>
      <c r="JO20" s="335"/>
      <c r="KW20" s="296"/>
      <c r="KX20" s="277"/>
      <c r="KY20" s="277"/>
    </row>
    <row r="21" spans="1:398" ht="42.65" hidden="1" customHeight="1">
      <c r="B21" s="299"/>
      <c r="C21" s="241"/>
      <c r="D21" s="242"/>
      <c r="E21" s="243"/>
      <c r="F21" s="244"/>
      <c r="G21" s="246"/>
      <c r="H21" s="246"/>
      <c r="I21" s="246"/>
      <c r="J21" s="246"/>
      <c r="K21" s="246"/>
      <c r="L21" s="246"/>
      <c r="M21" s="300"/>
      <c r="N21" s="300"/>
      <c r="O21" s="251"/>
      <c r="P21" s="300"/>
      <c r="Q21" s="251"/>
      <c r="R21" s="251"/>
      <c r="S21" s="251"/>
      <c r="T21" s="251"/>
      <c r="U21" s="301"/>
      <c r="V21" s="242"/>
      <c r="W21" s="242"/>
      <c r="X21" s="242"/>
      <c r="Y21" s="242"/>
      <c r="Z21" s="242"/>
      <c r="AA21" s="302" t="s">
        <v>206</v>
      </c>
      <c r="AB21" s="303" t="s">
        <v>191</v>
      </c>
      <c r="AC21" s="304">
        <v>327</v>
      </c>
      <c r="AD21" s="256"/>
      <c r="AE21" s="336"/>
      <c r="AF21" s="337"/>
      <c r="AG21" s="337"/>
      <c r="AH21" s="337"/>
      <c r="AI21" s="337"/>
      <c r="AJ21" s="337"/>
      <c r="AK21" s="337"/>
      <c r="AL21" s="337"/>
      <c r="AM21" s="337"/>
      <c r="AN21" s="337"/>
      <c r="AO21" s="337"/>
      <c r="AP21" s="337"/>
      <c r="AQ21" s="337"/>
      <c r="AR21" s="337"/>
      <c r="AS21" s="339"/>
      <c r="AT21" s="337"/>
      <c r="AU21" s="339"/>
      <c r="AV21" s="337"/>
      <c r="AW21" s="337"/>
      <c r="AX21" s="337"/>
      <c r="AY21" s="337"/>
      <c r="AZ21" s="337"/>
      <c r="BA21" s="337"/>
      <c r="BB21" s="337"/>
      <c r="BC21" s="337"/>
      <c r="BD21" s="337"/>
      <c r="BE21" s="337"/>
      <c r="BF21" s="337"/>
      <c r="BG21" s="337"/>
      <c r="BH21" s="337"/>
      <c r="BI21" s="337"/>
      <c r="BJ21" s="337"/>
      <c r="BK21" s="337"/>
      <c r="BL21" s="337"/>
      <c r="BM21" s="337"/>
      <c r="BN21" s="337"/>
      <c r="BO21" s="337"/>
      <c r="BP21" s="337"/>
      <c r="BQ21" s="337"/>
      <c r="BR21" s="340"/>
      <c r="BS21" s="337"/>
      <c r="BT21" s="341"/>
      <c r="BU21" s="341"/>
      <c r="BV21" s="342"/>
      <c r="BW21" s="342"/>
      <c r="BX21" s="343"/>
      <c r="BY21" s="344"/>
      <c r="BZ21" s="345"/>
      <c r="CA21" s="345"/>
      <c r="CB21" s="345"/>
      <c r="CC21" s="271"/>
      <c r="CD21" s="272"/>
      <c r="CE21" s="272"/>
      <c r="CF21" s="272"/>
      <c r="CG21" s="272"/>
      <c r="CH21" s="272"/>
      <c r="CI21" s="272"/>
      <c r="CJ21" s="272"/>
      <c r="CK21" s="272"/>
      <c r="CL21" s="272"/>
      <c r="CM21" s="272"/>
      <c r="CN21" s="272"/>
      <c r="CO21" s="272"/>
      <c r="CP21" s="272"/>
      <c r="CQ21" s="274"/>
      <c r="CR21" s="275"/>
      <c r="CS21" s="271"/>
      <c r="CT21" s="272"/>
      <c r="CU21" s="272"/>
      <c r="CV21" s="272"/>
      <c r="CW21" s="272"/>
      <c r="CX21" s="272"/>
      <c r="CY21" s="272"/>
      <c r="CZ21" s="272"/>
      <c r="DA21" s="272"/>
      <c r="DB21" s="272"/>
      <c r="DC21" s="272"/>
      <c r="DD21" s="272"/>
      <c r="DE21" s="272"/>
      <c r="DF21" s="274"/>
      <c r="DG21" s="275"/>
      <c r="DH21" s="271"/>
      <c r="DI21" s="272"/>
      <c r="DJ21" s="272"/>
      <c r="DK21" s="276"/>
      <c r="DL21" s="277"/>
      <c r="DM21" s="277"/>
      <c r="DN21" s="277"/>
      <c r="DO21" s="277"/>
      <c r="DP21" s="277"/>
      <c r="DQ21" s="277"/>
      <c r="DR21" s="277"/>
      <c r="DS21" s="277"/>
      <c r="DT21" s="277"/>
      <c r="DU21" s="277"/>
      <c r="DV21" s="277"/>
      <c r="DW21" s="277"/>
      <c r="DX21" s="277"/>
      <c r="DY21" s="277"/>
      <c r="DZ21" s="277"/>
      <c r="EA21" s="277"/>
      <c r="EB21" s="277"/>
      <c r="EC21" s="277"/>
      <c r="ED21" s="277"/>
      <c r="EE21" s="277"/>
      <c r="EF21" s="277"/>
      <c r="EG21" s="277"/>
      <c r="EH21" s="277"/>
      <c r="EI21" s="277"/>
      <c r="EJ21" s="277"/>
      <c r="EK21" s="277"/>
      <c r="EL21" s="277"/>
      <c r="EM21" s="277"/>
      <c r="EN21" s="277"/>
      <c r="EO21" s="302" t="s">
        <v>206</v>
      </c>
      <c r="EP21" s="321" t="s">
        <v>191</v>
      </c>
      <c r="EQ21" s="347">
        <v>327</v>
      </c>
      <c r="ER21" s="323"/>
      <c r="ES21" s="323"/>
      <c r="ET21" s="323"/>
      <c r="EU21" s="323"/>
      <c r="EV21" s="324" t="s">
        <v>207</v>
      </c>
      <c r="EW21" s="325">
        <v>25</v>
      </c>
      <c r="EX21" s="326">
        <v>28</v>
      </c>
      <c r="EY21" s="327" t="s">
        <v>208</v>
      </c>
      <c r="EZ21" s="328">
        <v>24.4</v>
      </c>
      <c r="FA21" s="329">
        <v>30</v>
      </c>
      <c r="FB21" s="327" t="s">
        <v>189</v>
      </c>
      <c r="FC21" s="328"/>
      <c r="FD21" s="329"/>
      <c r="FE21" s="330" t="s">
        <v>189</v>
      </c>
      <c r="FF21" s="328"/>
      <c r="FG21" s="329"/>
      <c r="FH21" s="330" t="s">
        <v>189</v>
      </c>
      <c r="FI21" s="328"/>
      <c r="FJ21" s="331"/>
      <c r="FK21" s="289"/>
      <c r="FL21" s="290"/>
      <c r="FM21" s="349"/>
      <c r="FN21" s="336"/>
      <c r="FO21" s="337"/>
      <c r="FP21" s="337"/>
      <c r="FQ21" s="337"/>
      <c r="FR21" s="337"/>
      <c r="FS21" s="337"/>
      <c r="FT21" s="337"/>
      <c r="FU21" s="337"/>
      <c r="FV21" s="339"/>
      <c r="FW21" s="337"/>
      <c r="FX21" s="339"/>
      <c r="FY21" s="337"/>
      <c r="FZ21" s="337"/>
      <c r="GA21" s="337"/>
      <c r="GB21" s="337"/>
      <c r="GC21" s="337"/>
      <c r="GD21" s="337"/>
      <c r="GE21" s="337"/>
      <c r="GF21" s="337"/>
      <c r="GG21" s="337"/>
      <c r="GH21" s="337"/>
      <c r="GI21" s="337"/>
      <c r="GJ21" s="337"/>
      <c r="GK21" s="337"/>
      <c r="GL21" s="337"/>
      <c r="GM21" s="337"/>
      <c r="GN21" s="337"/>
      <c r="GO21" s="337"/>
      <c r="GP21" s="337"/>
      <c r="GQ21" s="337"/>
      <c r="GR21" s="337"/>
      <c r="GS21" s="337"/>
      <c r="GT21" s="337"/>
      <c r="GU21" s="341"/>
      <c r="GV21" s="341"/>
      <c r="GW21" s="342"/>
      <c r="GX21" s="342"/>
      <c r="GY21" s="343"/>
      <c r="GZ21" s="344"/>
      <c r="HA21" s="345"/>
      <c r="HB21" s="345"/>
      <c r="HC21" s="345"/>
      <c r="HD21" s="271"/>
      <c r="HE21" s="272"/>
      <c r="HF21" s="272"/>
      <c r="HG21" s="272"/>
      <c r="HH21" s="272"/>
      <c r="HI21" s="272"/>
      <c r="HJ21" s="272"/>
      <c r="HK21" s="272"/>
      <c r="HL21" s="272"/>
      <c r="HM21" s="272"/>
      <c r="HN21" s="272"/>
      <c r="HO21" s="272"/>
      <c r="HP21" s="272"/>
      <c r="HQ21" s="272"/>
      <c r="HR21" s="274"/>
      <c r="HS21" s="275"/>
      <c r="HT21" s="271"/>
      <c r="HU21" s="272"/>
      <c r="HV21" s="272"/>
      <c r="HW21" s="272"/>
      <c r="HX21" s="272"/>
      <c r="HY21" s="272"/>
      <c r="HZ21" s="272"/>
      <c r="IA21" s="272"/>
      <c r="IB21" s="272"/>
      <c r="IC21" s="272"/>
      <c r="ID21" s="272"/>
      <c r="IE21" s="272"/>
      <c r="IF21" s="272"/>
      <c r="IG21" s="274"/>
      <c r="IH21" s="275"/>
      <c r="II21" s="271"/>
      <c r="IJ21" s="272"/>
      <c r="IK21" s="272"/>
      <c r="IL21" s="276"/>
      <c r="IM21" s="277"/>
      <c r="IN21" s="277"/>
      <c r="IO21" s="333"/>
      <c r="IP21" s="334"/>
      <c r="JF21" s="296"/>
      <c r="JO21" s="335"/>
      <c r="KW21" s="296"/>
      <c r="KX21" s="277"/>
      <c r="KY21" s="277"/>
    </row>
    <row r="22" spans="1:398" ht="42.65" hidden="1" customHeight="1">
      <c r="B22" s="299"/>
      <c r="C22" s="241"/>
      <c r="D22" s="242"/>
      <c r="E22" s="243"/>
      <c r="F22" s="244"/>
      <c r="G22" s="246"/>
      <c r="H22" s="246"/>
      <c r="I22" s="246"/>
      <c r="J22" s="246"/>
      <c r="K22" s="246"/>
      <c r="L22" s="246"/>
      <c r="M22" s="300"/>
      <c r="N22" s="300"/>
      <c r="O22" s="251"/>
      <c r="P22" s="300"/>
      <c r="Q22" s="251"/>
      <c r="R22" s="251"/>
      <c r="S22" s="251"/>
      <c r="T22" s="251"/>
      <c r="U22" s="301"/>
      <c r="V22" s="242"/>
      <c r="W22" s="242"/>
      <c r="X22" s="242"/>
      <c r="Y22" s="242"/>
      <c r="Z22" s="242"/>
      <c r="AA22" s="302" t="s">
        <v>209</v>
      </c>
      <c r="AB22" s="303" t="s">
        <v>210</v>
      </c>
      <c r="AC22" s="304">
        <v>180</v>
      </c>
      <c r="AD22" s="256"/>
      <c r="AE22" s="336"/>
      <c r="AF22" s="337"/>
      <c r="AG22" s="337"/>
      <c r="AH22" s="337"/>
      <c r="AI22" s="337"/>
      <c r="AJ22" s="337"/>
      <c r="AK22" s="337"/>
      <c r="AL22" s="337"/>
      <c r="AM22" s="337"/>
      <c r="AN22" s="337"/>
      <c r="AO22" s="337"/>
      <c r="AP22" s="337"/>
      <c r="AQ22" s="337"/>
      <c r="AR22" s="337"/>
      <c r="AS22" s="339"/>
      <c r="AT22" s="337"/>
      <c r="AU22" s="339"/>
      <c r="AV22" s="337"/>
      <c r="AW22" s="337"/>
      <c r="AX22" s="337"/>
      <c r="AY22" s="337"/>
      <c r="AZ22" s="337"/>
      <c r="BA22" s="337"/>
      <c r="BB22" s="337"/>
      <c r="BC22" s="337"/>
      <c r="BD22" s="337"/>
      <c r="BE22" s="337"/>
      <c r="BF22" s="337"/>
      <c r="BG22" s="337"/>
      <c r="BH22" s="337"/>
      <c r="BI22" s="337"/>
      <c r="BJ22" s="337"/>
      <c r="BK22" s="337"/>
      <c r="BL22" s="337"/>
      <c r="BM22" s="337"/>
      <c r="BN22" s="337"/>
      <c r="BO22" s="337"/>
      <c r="BP22" s="337"/>
      <c r="BQ22" s="337"/>
      <c r="BR22" s="340"/>
      <c r="BS22" s="337"/>
      <c r="BT22" s="341"/>
      <c r="BU22" s="341"/>
      <c r="BV22" s="342"/>
      <c r="BW22" s="342"/>
      <c r="BX22" s="343"/>
      <c r="BY22" s="344"/>
      <c r="BZ22" s="345"/>
      <c r="CA22" s="345"/>
      <c r="CB22" s="345"/>
      <c r="CC22" s="271"/>
      <c r="CD22" s="272"/>
      <c r="CE22" s="272"/>
      <c r="CF22" s="272"/>
      <c r="CG22" s="272"/>
      <c r="CH22" s="272"/>
      <c r="CI22" s="272"/>
      <c r="CJ22" s="272"/>
      <c r="CK22" s="272"/>
      <c r="CL22" s="272"/>
      <c r="CM22" s="272"/>
      <c r="CN22" s="272"/>
      <c r="CO22" s="272"/>
      <c r="CP22" s="272"/>
      <c r="CQ22" s="274"/>
      <c r="CR22" s="275"/>
      <c r="CS22" s="271"/>
      <c r="CT22" s="272"/>
      <c r="CU22" s="272"/>
      <c r="CV22" s="272"/>
      <c r="CW22" s="272"/>
      <c r="CX22" s="272"/>
      <c r="CY22" s="272"/>
      <c r="CZ22" s="272"/>
      <c r="DA22" s="272"/>
      <c r="DB22" s="272"/>
      <c r="DC22" s="272"/>
      <c r="DD22" s="272"/>
      <c r="DE22" s="272"/>
      <c r="DF22" s="274"/>
      <c r="DG22" s="275"/>
      <c r="DH22" s="271"/>
      <c r="DI22" s="272"/>
      <c r="DJ22" s="272"/>
      <c r="DK22" s="276"/>
      <c r="DL22" s="277"/>
      <c r="DM22" s="277"/>
      <c r="DN22" s="277"/>
      <c r="DO22" s="277"/>
      <c r="DP22" s="277"/>
      <c r="DQ22" s="277"/>
      <c r="DR22" s="277"/>
      <c r="DS22" s="277"/>
      <c r="DT22" s="277"/>
      <c r="DU22" s="277"/>
      <c r="DV22" s="277"/>
      <c r="DW22" s="277"/>
      <c r="DX22" s="277"/>
      <c r="DY22" s="277"/>
      <c r="DZ22" s="277"/>
      <c r="EA22" s="277"/>
      <c r="EB22" s="277"/>
      <c r="EC22" s="277"/>
      <c r="ED22" s="277"/>
      <c r="EE22" s="277"/>
      <c r="EF22" s="277"/>
      <c r="EG22" s="277"/>
      <c r="EH22" s="277"/>
      <c r="EI22" s="277"/>
      <c r="EJ22" s="277"/>
      <c r="EK22" s="277"/>
      <c r="EL22" s="277"/>
      <c r="EM22" s="277"/>
      <c r="EN22" s="277"/>
      <c r="EO22" s="302" t="s">
        <v>209</v>
      </c>
      <c r="EP22" s="321" t="s">
        <v>210</v>
      </c>
      <c r="EQ22" s="357">
        <v>180</v>
      </c>
      <c r="ER22" s="323"/>
      <c r="ES22" s="323"/>
      <c r="ET22" s="323"/>
      <c r="EU22" s="323"/>
      <c r="EV22" s="324" t="s">
        <v>211</v>
      </c>
      <c r="EW22" s="325">
        <v>12</v>
      </c>
      <c r="EX22" s="326">
        <v>15</v>
      </c>
      <c r="EY22" s="327" t="s">
        <v>212</v>
      </c>
      <c r="EZ22" s="328">
        <v>14.7</v>
      </c>
      <c r="FA22" s="329">
        <v>20</v>
      </c>
      <c r="FB22" s="327" t="s">
        <v>189</v>
      </c>
      <c r="FC22" s="328"/>
      <c r="FD22" s="329"/>
      <c r="FE22" s="330" t="s">
        <v>189</v>
      </c>
      <c r="FF22" s="328"/>
      <c r="FG22" s="329"/>
      <c r="FH22" s="330" t="s">
        <v>189</v>
      </c>
      <c r="FI22" s="328"/>
      <c r="FJ22" s="331"/>
      <c r="FK22" s="289"/>
      <c r="FL22" s="290"/>
      <c r="FM22" s="349"/>
      <c r="FN22" s="336"/>
      <c r="FO22" s="337"/>
      <c r="FP22" s="337"/>
      <c r="FQ22" s="337"/>
      <c r="FR22" s="337"/>
      <c r="FS22" s="337"/>
      <c r="FT22" s="337"/>
      <c r="FU22" s="337"/>
      <c r="FV22" s="339"/>
      <c r="FW22" s="337"/>
      <c r="FX22" s="339"/>
      <c r="FY22" s="337"/>
      <c r="FZ22" s="337"/>
      <c r="GA22" s="337"/>
      <c r="GB22" s="337"/>
      <c r="GC22" s="337"/>
      <c r="GD22" s="337"/>
      <c r="GE22" s="337"/>
      <c r="GF22" s="337"/>
      <c r="GG22" s="337"/>
      <c r="GH22" s="337"/>
      <c r="GI22" s="337"/>
      <c r="GJ22" s="337"/>
      <c r="GK22" s="337"/>
      <c r="GL22" s="337"/>
      <c r="GM22" s="337"/>
      <c r="GN22" s="337"/>
      <c r="GO22" s="337"/>
      <c r="GP22" s="337"/>
      <c r="GQ22" s="337"/>
      <c r="GR22" s="337"/>
      <c r="GS22" s="337"/>
      <c r="GT22" s="337"/>
      <c r="GU22" s="341"/>
      <c r="GV22" s="341"/>
      <c r="GW22" s="342"/>
      <c r="GX22" s="342"/>
      <c r="GY22" s="343"/>
      <c r="GZ22" s="344"/>
      <c r="HA22" s="345"/>
      <c r="HB22" s="345"/>
      <c r="HC22" s="345"/>
      <c r="HD22" s="271"/>
      <c r="HE22" s="272"/>
      <c r="HF22" s="272"/>
      <c r="HG22" s="272"/>
      <c r="HH22" s="272"/>
      <c r="HI22" s="272"/>
      <c r="HJ22" s="272"/>
      <c r="HK22" s="272"/>
      <c r="HL22" s="272"/>
      <c r="HM22" s="272"/>
      <c r="HN22" s="272"/>
      <c r="HO22" s="272"/>
      <c r="HP22" s="272"/>
      <c r="HQ22" s="272"/>
      <c r="HR22" s="274"/>
      <c r="HS22" s="275"/>
      <c r="HT22" s="271"/>
      <c r="HU22" s="272"/>
      <c r="HV22" s="272"/>
      <c r="HW22" s="272"/>
      <c r="HX22" s="272"/>
      <c r="HY22" s="272"/>
      <c r="HZ22" s="272"/>
      <c r="IA22" s="272"/>
      <c r="IB22" s="272"/>
      <c r="IC22" s="272"/>
      <c r="ID22" s="272"/>
      <c r="IE22" s="272"/>
      <c r="IF22" s="272"/>
      <c r="IG22" s="274"/>
      <c r="IH22" s="275"/>
      <c r="II22" s="271"/>
      <c r="IJ22" s="272"/>
      <c r="IK22" s="272"/>
      <c r="IL22" s="276"/>
      <c r="IM22" s="277"/>
      <c r="IN22" s="277"/>
      <c r="IO22" s="333"/>
      <c r="IP22" s="334"/>
      <c r="JF22" s="296"/>
      <c r="JO22" s="335"/>
      <c r="KW22" s="296"/>
      <c r="KX22" s="277"/>
      <c r="KY22" s="277"/>
    </row>
    <row r="23" spans="1:398" ht="42.65" hidden="1" customHeight="1">
      <c r="B23" s="299"/>
      <c r="C23" s="241"/>
      <c r="D23" s="242"/>
      <c r="E23" s="243"/>
      <c r="F23" s="244"/>
      <c r="G23" s="246"/>
      <c r="H23" s="246"/>
      <c r="I23" s="246"/>
      <c r="J23" s="246"/>
      <c r="K23" s="246"/>
      <c r="L23" s="246"/>
      <c r="M23" s="300"/>
      <c r="N23" s="300"/>
      <c r="O23" s="251"/>
      <c r="P23" s="300"/>
      <c r="Q23" s="251"/>
      <c r="R23" s="251"/>
      <c r="S23" s="251"/>
      <c r="T23" s="251"/>
      <c r="U23" s="301"/>
      <c r="V23" s="242"/>
      <c r="W23" s="242"/>
      <c r="X23" s="242"/>
      <c r="Y23" s="242"/>
      <c r="Z23" s="242"/>
      <c r="AA23" s="302" t="s">
        <v>213</v>
      </c>
      <c r="AB23" s="303" t="s">
        <v>210</v>
      </c>
      <c r="AC23" s="304">
        <v>144</v>
      </c>
      <c r="AD23" s="256"/>
      <c r="AE23" s="336"/>
      <c r="AF23" s="337"/>
      <c r="AG23" s="337"/>
      <c r="AH23" s="337"/>
      <c r="AI23" s="337"/>
      <c r="AJ23" s="337"/>
      <c r="AK23" s="337"/>
      <c r="AL23" s="337"/>
      <c r="AM23" s="337"/>
      <c r="AN23" s="337"/>
      <c r="AO23" s="337"/>
      <c r="AP23" s="337"/>
      <c r="AQ23" s="337"/>
      <c r="AR23" s="337"/>
      <c r="AS23" s="339"/>
      <c r="AT23" s="337"/>
      <c r="AU23" s="339"/>
      <c r="AV23" s="337"/>
      <c r="AW23" s="337"/>
      <c r="AX23" s="337"/>
      <c r="AY23" s="337"/>
      <c r="AZ23" s="337"/>
      <c r="BA23" s="337"/>
      <c r="BB23" s="337"/>
      <c r="BC23" s="337"/>
      <c r="BD23" s="337"/>
      <c r="BE23" s="337"/>
      <c r="BF23" s="337"/>
      <c r="BG23" s="337"/>
      <c r="BH23" s="337"/>
      <c r="BI23" s="337"/>
      <c r="BJ23" s="337"/>
      <c r="BK23" s="337"/>
      <c r="BL23" s="337"/>
      <c r="BM23" s="337"/>
      <c r="BN23" s="337"/>
      <c r="BO23" s="337"/>
      <c r="BP23" s="337"/>
      <c r="BQ23" s="337"/>
      <c r="BR23" s="340"/>
      <c r="BS23" s="337"/>
      <c r="BT23" s="341"/>
      <c r="BU23" s="341"/>
      <c r="BV23" s="342"/>
      <c r="BW23" s="342"/>
      <c r="BX23" s="343"/>
      <c r="BY23" s="344"/>
      <c r="BZ23" s="345"/>
      <c r="CA23" s="345"/>
      <c r="CB23" s="345"/>
      <c r="CC23" s="271"/>
      <c r="CD23" s="272"/>
      <c r="CE23" s="272"/>
      <c r="CF23" s="272"/>
      <c r="CG23" s="272"/>
      <c r="CH23" s="272"/>
      <c r="CI23" s="272"/>
      <c r="CJ23" s="272"/>
      <c r="CK23" s="272"/>
      <c r="CL23" s="272"/>
      <c r="CM23" s="272"/>
      <c r="CN23" s="272"/>
      <c r="CO23" s="272"/>
      <c r="CP23" s="272"/>
      <c r="CQ23" s="274"/>
      <c r="CR23" s="275"/>
      <c r="CS23" s="271"/>
      <c r="CT23" s="272"/>
      <c r="CU23" s="272"/>
      <c r="CV23" s="272"/>
      <c r="CW23" s="272"/>
      <c r="CX23" s="272"/>
      <c r="CY23" s="272"/>
      <c r="CZ23" s="272"/>
      <c r="DA23" s="272"/>
      <c r="DB23" s="272"/>
      <c r="DC23" s="272"/>
      <c r="DD23" s="272"/>
      <c r="DE23" s="272"/>
      <c r="DF23" s="274"/>
      <c r="DG23" s="275"/>
      <c r="DH23" s="271"/>
      <c r="DI23" s="272"/>
      <c r="DJ23" s="272"/>
      <c r="DK23" s="276"/>
      <c r="DL23" s="277"/>
      <c r="DM23" s="277"/>
      <c r="DN23" s="277"/>
      <c r="DO23" s="277"/>
      <c r="DP23" s="277"/>
      <c r="DQ23" s="277"/>
      <c r="DR23" s="277"/>
      <c r="DS23" s="277"/>
      <c r="DT23" s="277"/>
      <c r="DU23" s="277"/>
      <c r="DV23" s="277"/>
      <c r="DW23" s="277"/>
      <c r="DX23" s="277"/>
      <c r="DY23" s="277"/>
      <c r="DZ23" s="277"/>
      <c r="EA23" s="277"/>
      <c r="EB23" s="277"/>
      <c r="EC23" s="277"/>
      <c r="ED23" s="277"/>
      <c r="EE23" s="277"/>
      <c r="EF23" s="277"/>
      <c r="EG23" s="277"/>
      <c r="EH23" s="277"/>
      <c r="EI23" s="277"/>
      <c r="EJ23" s="277"/>
      <c r="EK23" s="277"/>
      <c r="EL23" s="277"/>
      <c r="EM23" s="277"/>
      <c r="EN23" s="277"/>
      <c r="EO23" s="302" t="s">
        <v>213</v>
      </c>
      <c r="EP23" s="321" t="s">
        <v>210</v>
      </c>
      <c r="EQ23" s="357">
        <v>144</v>
      </c>
      <c r="ER23" s="323"/>
      <c r="ES23" s="323"/>
      <c r="ET23" s="323"/>
      <c r="EU23" s="323"/>
      <c r="EV23" s="324" t="s">
        <v>211</v>
      </c>
      <c r="EW23" s="325">
        <v>12</v>
      </c>
      <c r="EX23" s="326">
        <v>15</v>
      </c>
      <c r="EY23" s="327" t="s">
        <v>212</v>
      </c>
      <c r="EZ23" s="328">
        <v>14.7</v>
      </c>
      <c r="FA23" s="329">
        <v>20</v>
      </c>
      <c r="FB23" s="327" t="s">
        <v>189</v>
      </c>
      <c r="FC23" s="328"/>
      <c r="FD23" s="329"/>
      <c r="FE23" s="330" t="s">
        <v>189</v>
      </c>
      <c r="FF23" s="328"/>
      <c r="FG23" s="329"/>
      <c r="FH23" s="330" t="s">
        <v>189</v>
      </c>
      <c r="FI23" s="328"/>
      <c r="FJ23" s="331"/>
      <c r="FK23" s="289"/>
      <c r="FL23" s="290"/>
      <c r="FM23" s="349"/>
      <c r="FN23" s="336"/>
      <c r="FO23" s="337"/>
      <c r="FP23" s="337"/>
      <c r="FQ23" s="337"/>
      <c r="FR23" s="337"/>
      <c r="FS23" s="337"/>
      <c r="FT23" s="337"/>
      <c r="FU23" s="337"/>
      <c r="FV23" s="339"/>
      <c r="FW23" s="337"/>
      <c r="FX23" s="339"/>
      <c r="FY23" s="337"/>
      <c r="FZ23" s="337"/>
      <c r="GA23" s="337"/>
      <c r="GB23" s="337"/>
      <c r="GC23" s="337"/>
      <c r="GD23" s="337"/>
      <c r="GE23" s="337"/>
      <c r="GF23" s="337"/>
      <c r="GG23" s="337"/>
      <c r="GH23" s="337"/>
      <c r="GI23" s="337"/>
      <c r="GJ23" s="337"/>
      <c r="GK23" s="337"/>
      <c r="GL23" s="337"/>
      <c r="GM23" s="337"/>
      <c r="GN23" s="337"/>
      <c r="GO23" s="337"/>
      <c r="GP23" s="337"/>
      <c r="GQ23" s="337"/>
      <c r="GR23" s="337"/>
      <c r="GS23" s="337"/>
      <c r="GT23" s="337"/>
      <c r="GU23" s="341"/>
      <c r="GV23" s="341"/>
      <c r="GW23" s="342"/>
      <c r="GX23" s="342"/>
      <c r="GY23" s="343"/>
      <c r="GZ23" s="344"/>
      <c r="HA23" s="345"/>
      <c r="HB23" s="345"/>
      <c r="HC23" s="345"/>
      <c r="HD23" s="271"/>
      <c r="HE23" s="272"/>
      <c r="HF23" s="272"/>
      <c r="HG23" s="272"/>
      <c r="HH23" s="272"/>
      <c r="HI23" s="272"/>
      <c r="HJ23" s="272"/>
      <c r="HK23" s="272"/>
      <c r="HL23" s="272"/>
      <c r="HM23" s="272"/>
      <c r="HN23" s="272"/>
      <c r="HO23" s="272"/>
      <c r="HP23" s="272"/>
      <c r="HQ23" s="272"/>
      <c r="HR23" s="274"/>
      <c r="HS23" s="275"/>
      <c r="HT23" s="271"/>
      <c r="HU23" s="272"/>
      <c r="HV23" s="272"/>
      <c r="HW23" s="272"/>
      <c r="HX23" s="272"/>
      <c r="HY23" s="272"/>
      <c r="HZ23" s="272"/>
      <c r="IA23" s="272"/>
      <c r="IB23" s="272"/>
      <c r="IC23" s="272"/>
      <c r="ID23" s="272"/>
      <c r="IE23" s="272"/>
      <c r="IF23" s="272"/>
      <c r="IG23" s="274"/>
      <c r="IH23" s="275"/>
      <c r="II23" s="271"/>
      <c r="IJ23" s="272"/>
      <c r="IK23" s="272"/>
      <c r="IL23" s="276"/>
      <c r="IM23" s="277"/>
      <c r="IN23" s="277"/>
      <c r="IO23" s="333"/>
      <c r="IP23" s="334"/>
      <c r="JF23" s="296"/>
      <c r="JO23" s="335"/>
      <c r="KW23" s="296"/>
      <c r="KX23" s="277"/>
      <c r="KY23" s="277"/>
    </row>
    <row r="24" spans="1:398" ht="42.65" hidden="1" customHeight="1">
      <c r="B24" s="299"/>
      <c r="C24" s="241"/>
      <c r="D24" s="242"/>
      <c r="E24" s="243"/>
      <c r="F24" s="244"/>
      <c r="G24" s="246"/>
      <c r="H24" s="246"/>
      <c r="I24" s="246"/>
      <c r="J24" s="246"/>
      <c r="K24" s="246"/>
      <c r="L24" s="246"/>
      <c r="M24" s="300"/>
      <c r="N24" s="300"/>
      <c r="O24" s="251"/>
      <c r="P24" s="300"/>
      <c r="Q24" s="251"/>
      <c r="R24" s="251"/>
      <c r="S24" s="251"/>
      <c r="T24" s="251"/>
      <c r="U24" s="301"/>
      <c r="V24" s="242"/>
      <c r="W24" s="242"/>
      <c r="X24" s="242"/>
      <c r="Y24" s="242"/>
      <c r="Z24" s="242"/>
      <c r="AA24" s="302" t="s">
        <v>214</v>
      </c>
      <c r="AB24" s="303" t="s">
        <v>191</v>
      </c>
      <c r="AC24" s="304">
        <v>119</v>
      </c>
      <c r="AD24" s="256"/>
      <c r="AE24" s="336"/>
      <c r="AF24" s="337"/>
      <c r="AG24" s="337"/>
      <c r="AH24" s="337"/>
      <c r="AI24" s="337"/>
      <c r="AJ24" s="337"/>
      <c r="AK24" s="337"/>
      <c r="AL24" s="337"/>
      <c r="AM24" s="337"/>
      <c r="AN24" s="337"/>
      <c r="AO24" s="337"/>
      <c r="AP24" s="337"/>
      <c r="AQ24" s="337"/>
      <c r="AR24" s="337"/>
      <c r="AS24" s="339"/>
      <c r="AT24" s="337"/>
      <c r="AU24" s="339"/>
      <c r="AV24" s="337"/>
      <c r="AW24" s="337"/>
      <c r="AX24" s="337"/>
      <c r="AY24" s="337"/>
      <c r="AZ24" s="337"/>
      <c r="BA24" s="337"/>
      <c r="BB24" s="337"/>
      <c r="BC24" s="337"/>
      <c r="BD24" s="337"/>
      <c r="BE24" s="337"/>
      <c r="BF24" s="337"/>
      <c r="BG24" s="337"/>
      <c r="BH24" s="337"/>
      <c r="BI24" s="337"/>
      <c r="BJ24" s="337"/>
      <c r="BK24" s="337"/>
      <c r="BL24" s="337"/>
      <c r="BM24" s="337"/>
      <c r="BN24" s="337"/>
      <c r="BO24" s="337"/>
      <c r="BP24" s="337"/>
      <c r="BQ24" s="337"/>
      <c r="BR24" s="340"/>
      <c r="BS24" s="337"/>
      <c r="BT24" s="341"/>
      <c r="BU24" s="341"/>
      <c r="BV24" s="342"/>
      <c r="BW24" s="342"/>
      <c r="BX24" s="343"/>
      <c r="BY24" s="344"/>
      <c r="BZ24" s="345"/>
      <c r="CA24" s="345"/>
      <c r="CB24" s="345"/>
      <c r="CC24" s="271"/>
      <c r="CD24" s="272"/>
      <c r="CE24" s="272"/>
      <c r="CF24" s="272"/>
      <c r="CG24" s="272"/>
      <c r="CH24" s="272"/>
      <c r="CI24" s="272"/>
      <c r="CJ24" s="272"/>
      <c r="CK24" s="272"/>
      <c r="CL24" s="272"/>
      <c r="CM24" s="272"/>
      <c r="CN24" s="272"/>
      <c r="CO24" s="272"/>
      <c r="CP24" s="272"/>
      <c r="CQ24" s="274"/>
      <c r="CR24" s="275"/>
      <c r="CS24" s="271"/>
      <c r="CT24" s="272"/>
      <c r="CU24" s="272"/>
      <c r="CV24" s="272"/>
      <c r="CW24" s="272"/>
      <c r="CX24" s="272"/>
      <c r="CY24" s="272"/>
      <c r="CZ24" s="272"/>
      <c r="DA24" s="272"/>
      <c r="DB24" s="272"/>
      <c r="DC24" s="272"/>
      <c r="DD24" s="272"/>
      <c r="DE24" s="272"/>
      <c r="DF24" s="274"/>
      <c r="DG24" s="275"/>
      <c r="DH24" s="271"/>
      <c r="DI24" s="272"/>
      <c r="DJ24" s="272"/>
      <c r="DK24" s="276"/>
      <c r="DL24" s="277"/>
      <c r="DM24" s="277"/>
      <c r="DN24" s="277"/>
      <c r="DO24" s="277"/>
      <c r="DP24" s="277"/>
      <c r="DQ24" s="277"/>
      <c r="DR24" s="277"/>
      <c r="DS24" s="277"/>
      <c r="DT24" s="277"/>
      <c r="DU24" s="277"/>
      <c r="DV24" s="277"/>
      <c r="DW24" s="277"/>
      <c r="DX24" s="277"/>
      <c r="DY24" s="277"/>
      <c r="DZ24" s="277"/>
      <c r="EA24" s="277"/>
      <c r="EB24" s="277"/>
      <c r="EC24" s="277"/>
      <c r="ED24" s="277"/>
      <c r="EE24" s="277"/>
      <c r="EF24" s="277"/>
      <c r="EG24" s="277"/>
      <c r="EH24" s="277"/>
      <c r="EI24" s="277"/>
      <c r="EJ24" s="277"/>
      <c r="EK24" s="277"/>
      <c r="EL24" s="277"/>
      <c r="EM24" s="277"/>
      <c r="EN24" s="277"/>
      <c r="EO24" s="302" t="s">
        <v>214</v>
      </c>
      <c r="EP24" s="321" t="s">
        <v>191</v>
      </c>
      <c r="EQ24" s="322">
        <v>119</v>
      </c>
      <c r="ER24" s="323"/>
      <c r="ES24" s="323"/>
      <c r="ET24" s="323"/>
      <c r="EU24" s="323"/>
      <c r="EV24" s="324" t="s">
        <v>215</v>
      </c>
      <c r="EW24" s="325">
        <v>11</v>
      </c>
      <c r="EX24" s="326">
        <v>19</v>
      </c>
      <c r="EY24" s="327" t="s">
        <v>216</v>
      </c>
      <c r="EZ24" s="328">
        <v>23.1</v>
      </c>
      <c r="FA24" s="329">
        <v>23</v>
      </c>
      <c r="FB24" s="327" t="s">
        <v>189</v>
      </c>
      <c r="FC24" s="328"/>
      <c r="FD24" s="329"/>
      <c r="FE24" s="330" t="s">
        <v>189</v>
      </c>
      <c r="FF24" s="328"/>
      <c r="FG24" s="329"/>
      <c r="FH24" s="330" t="s">
        <v>189</v>
      </c>
      <c r="FI24" s="328"/>
      <c r="FJ24" s="331"/>
      <c r="FK24" s="289"/>
      <c r="FL24" s="290"/>
      <c r="FM24" s="349"/>
      <c r="FN24" s="336"/>
      <c r="FO24" s="337"/>
      <c r="FP24" s="337"/>
      <c r="FQ24" s="337"/>
      <c r="FR24" s="337"/>
      <c r="FS24" s="337"/>
      <c r="FT24" s="337"/>
      <c r="FU24" s="337"/>
      <c r="FV24" s="339"/>
      <c r="FW24" s="337"/>
      <c r="FX24" s="339"/>
      <c r="FY24" s="337"/>
      <c r="FZ24" s="337"/>
      <c r="GA24" s="337"/>
      <c r="GB24" s="337"/>
      <c r="GC24" s="337"/>
      <c r="GD24" s="337"/>
      <c r="GE24" s="337"/>
      <c r="GF24" s="337"/>
      <c r="GG24" s="337"/>
      <c r="GH24" s="337"/>
      <c r="GI24" s="337"/>
      <c r="GJ24" s="337"/>
      <c r="GK24" s="337"/>
      <c r="GL24" s="337"/>
      <c r="GM24" s="337"/>
      <c r="GN24" s="337"/>
      <c r="GO24" s="337"/>
      <c r="GP24" s="337"/>
      <c r="GQ24" s="337"/>
      <c r="GR24" s="337"/>
      <c r="GS24" s="337"/>
      <c r="GT24" s="337"/>
      <c r="GU24" s="341"/>
      <c r="GV24" s="341"/>
      <c r="GW24" s="342"/>
      <c r="GX24" s="342"/>
      <c r="GY24" s="343"/>
      <c r="GZ24" s="344"/>
      <c r="HA24" s="345"/>
      <c r="HB24" s="345"/>
      <c r="HC24" s="345"/>
      <c r="HD24" s="271"/>
      <c r="HE24" s="272"/>
      <c r="HF24" s="272"/>
      <c r="HG24" s="272"/>
      <c r="HH24" s="272"/>
      <c r="HI24" s="272"/>
      <c r="HJ24" s="272"/>
      <c r="HK24" s="272"/>
      <c r="HL24" s="272"/>
      <c r="HM24" s="272"/>
      <c r="HN24" s="272"/>
      <c r="HO24" s="272"/>
      <c r="HP24" s="272"/>
      <c r="HQ24" s="272"/>
      <c r="HR24" s="274"/>
      <c r="HS24" s="275"/>
      <c r="HT24" s="271"/>
      <c r="HU24" s="272"/>
      <c r="HV24" s="272"/>
      <c r="HW24" s="272"/>
      <c r="HX24" s="272"/>
      <c r="HY24" s="272"/>
      <c r="HZ24" s="272"/>
      <c r="IA24" s="272"/>
      <c r="IB24" s="272"/>
      <c r="IC24" s="272"/>
      <c r="ID24" s="272"/>
      <c r="IE24" s="272"/>
      <c r="IF24" s="272"/>
      <c r="IG24" s="274"/>
      <c r="IH24" s="275"/>
      <c r="II24" s="271"/>
      <c r="IJ24" s="272"/>
      <c r="IK24" s="272"/>
      <c r="IL24" s="276"/>
      <c r="IM24" s="277"/>
      <c r="IN24" s="277"/>
      <c r="IO24" s="333"/>
      <c r="IP24" s="334"/>
      <c r="JF24" s="296"/>
      <c r="JO24" s="335"/>
      <c r="KW24" s="296"/>
      <c r="KX24" s="277"/>
      <c r="KY24" s="277"/>
    </row>
    <row r="25" spans="1:398" s="352" customFormat="1" ht="42.65" hidden="1" customHeight="1">
      <c r="A25" s="1"/>
      <c r="B25" s="299"/>
      <c r="C25" s="241"/>
      <c r="D25" s="242"/>
      <c r="E25" s="243" t="s">
        <v>165</v>
      </c>
      <c r="F25" s="244"/>
      <c r="G25" s="246">
        <v>0</v>
      </c>
      <c r="H25" s="246">
        <v>0</v>
      </c>
      <c r="I25" s="246">
        <v>0</v>
      </c>
      <c r="J25" s="246">
        <v>0</v>
      </c>
      <c r="K25" s="246"/>
      <c r="L25" s="246">
        <v>0</v>
      </c>
      <c r="M25" s="300">
        <v>0</v>
      </c>
      <c r="N25" s="251">
        <v>0</v>
      </c>
      <c r="O25" s="251">
        <v>0</v>
      </c>
      <c r="P25" s="300">
        <v>0</v>
      </c>
      <c r="Q25" s="251">
        <v>0</v>
      </c>
      <c r="R25" s="251">
        <v>0</v>
      </c>
      <c r="S25" s="251">
        <v>0</v>
      </c>
      <c r="T25" s="251"/>
      <c r="U25" s="301" t="s">
        <v>165</v>
      </c>
      <c r="V25" s="242"/>
      <c r="W25" s="242"/>
      <c r="X25" s="242"/>
      <c r="Y25" s="242"/>
      <c r="Z25" s="242"/>
      <c r="AA25" s="302" t="s">
        <v>217</v>
      </c>
      <c r="AB25" s="303" t="s">
        <v>218</v>
      </c>
      <c r="AC25" s="304">
        <v>336</v>
      </c>
      <c r="AD25" s="256"/>
      <c r="AE25" s="336"/>
      <c r="AF25" s="337"/>
      <c r="AG25" s="337"/>
      <c r="AH25" s="337"/>
      <c r="AI25" s="337"/>
      <c r="AJ25" s="337"/>
      <c r="AK25" s="337"/>
      <c r="AL25" s="337"/>
      <c r="AM25" s="337"/>
      <c r="AN25" s="337"/>
      <c r="AO25" s="337"/>
      <c r="AP25" s="337"/>
      <c r="AQ25" s="337"/>
      <c r="AR25" s="337"/>
      <c r="AS25" s="339"/>
      <c r="AT25" s="337"/>
      <c r="AU25" s="339"/>
      <c r="AV25" s="337"/>
      <c r="AW25" s="337"/>
      <c r="AX25" s="337"/>
      <c r="AY25" s="337"/>
      <c r="AZ25" s="337"/>
      <c r="BA25" s="337"/>
      <c r="BB25" s="337"/>
      <c r="BC25" s="337"/>
      <c r="BD25" s="337"/>
      <c r="BE25" s="337"/>
      <c r="BF25" s="337"/>
      <c r="BG25" s="337"/>
      <c r="BH25" s="337"/>
      <c r="BI25" s="337"/>
      <c r="BJ25" s="337"/>
      <c r="BK25" s="337"/>
      <c r="BL25" s="337"/>
      <c r="BM25" s="337"/>
      <c r="BN25" s="337"/>
      <c r="BO25" s="337"/>
      <c r="BP25" s="337"/>
      <c r="BQ25" s="337"/>
      <c r="BR25" s="340"/>
      <c r="BS25" s="337"/>
      <c r="BT25" s="341"/>
      <c r="BU25" s="341"/>
      <c r="BV25" s="342"/>
      <c r="BW25" s="342"/>
      <c r="BX25" s="343"/>
      <c r="BY25" s="344"/>
      <c r="BZ25" s="345"/>
      <c r="CA25" s="345"/>
      <c r="CB25" s="345"/>
      <c r="CC25" s="271"/>
      <c r="CD25" s="272"/>
      <c r="CE25" s="272"/>
      <c r="CF25" s="272"/>
      <c r="CG25" s="272"/>
      <c r="CH25" s="272"/>
      <c r="CI25" s="272"/>
      <c r="CJ25" s="272"/>
      <c r="CK25" s="272"/>
      <c r="CL25" s="272"/>
      <c r="CM25" s="272"/>
      <c r="CN25" s="272"/>
      <c r="CO25" s="272"/>
      <c r="CP25" s="272"/>
      <c r="CQ25" s="274"/>
      <c r="CR25" s="275"/>
      <c r="CS25" s="271"/>
      <c r="CT25" s="272"/>
      <c r="CU25" s="272"/>
      <c r="CV25" s="272"/>
      <c r="CW25" s="272"/>
      <c r="CX25" s="272"/>
      <c r="CY25" s="272"/>
      <c r="CZ25" s="272"/>
      <c r="DA25" s="272"/>
      <c r="DB25" s="272"/>
      <c r="DC25" s="272"/>
      <c r="DD25" s="272"/>
      <c r="DE25" s="272"/>
      <c r="DF25" s="274"/>
      <c r="DG25" s="275"/>
      <c r="DH25" s="271"/>
      <c r="DI25" s="272"/>
      <c r="DJ25" s="272"/>
      <c r="DK25" s="276"/>
      <c r="DL25" s="277"/>
      <c r="DM25" s="277"/>
      <c r="DN25" s="277"/>
      <c r="DO25" s="277"/>
      <c r="DP25" s="277"/>
      <c r="DQ25" s="277"/>
      <c r="DR25" s="277"/>
      <c r="DS25" s="277"/>
      <c r="DT25" s="277"/>
      <c r="DU25" s="277"/>
      <c r="DV25" s="277"/>
      <c r="DW25" s="277"/>
      <c r="DX25" s="277"/>
      <c r="DY25" s="277"/>
      <c r="DZ25" s="277"/>
      <c r="EA25" s="277"/>
      <c r="EB25" s="277"/>
      <c r="EC25" s="277"/>
      <c r="ED25" s="277"/>
      <c r="EE25" s="277"/>
      <c r="EF25" s="277"/>
      <c r="EG25" s="277"/>
      <c r="EH25" s="277"/>
      <c r="EI25" s="277"/>
      <c r="EJ25" s="277"/>
      <c r="EK25" s="277"/>
      <c r="EL25" s="277"/>
      <c r="EM25" s="277"/>
      <c r="EN25" s="277"/>
      <c r="EO25" s="302" t="s">
        <v>217</v>
      </c>
      <c r="EP25" s="321" t="s">
        <v>219</v>
      </c>
      <c r="EQ25" s="347">
        <v>336</v>
      </c>
      <c r="ER25" s="323"/>
      <c r="ES25" s="323"/>
      <c r="ET25" s="323"/>
      <c r="EU25" s="323"/>
      <c r="EV25" s="324" t="s">
        <v>220</v>
      </c>
      <c r="EW25" s="325">
        <v>31</v>
      </c>
      <c r="EX25" s="326">
        <v>38</v>
      </c>
      <c r="EY25" s="327" t="s">
        <v>188</v>
      </c>
      <c r="EZ25" s="328">
        <v>31</v>
      </c>
      <c r="FA25" s="329">
        <v>38</v>
      </c>
      <c r="FB25" s="327" t="s">
        <v>189</v>
      </c>
      <c r="FC25" s="328"/>
      <c r="FD25" s="329"/>
      <c r="FE25" s="330" t="s">
        <v>189</v>
      </c>
      <c r="FF25" s="328"/>
      <c r="FG25" s="329"/>
      <c r="FH25" s="330" t="s">
        <v>189</v>
      </c>
      <c r="FI25" s="328"/>
      <c r="FJ25" s="331"/>
      <c r="FK25" s="289"/>
      <c r="FL25" s="290"/>
      <c r="FM25" s="349"/>
      <c r="FN25" s="336"/>
      <c r="FO25" s="337"/>
      <c r="FP25" s="337"/>
      <c r="FQ25" s="337"/>
      <c r="FR25" s="337"/>
      <c r="FS25" s="337"/>
      <c r="FT25" s="337"/>
      <c r="FU25" s="337"/>
      <c r="FV25" s="339"/>
      <c r="FW25" s="337"/>
      <c r="FX25" s="339"/>
      <c r="FY25" s="337"/>
      <c r="FZ25" s="337"/>
      <c r="GA25" s="337"/>
      <c r="GB25" s="337"/>
      <c r="GC25" s="337"/>
      <c r="GD25" s="337"/>
      <c r="GE25" s="337"/>
      <c r="GF25" s="337"/>
      <c r="GG25" s="337"/>
      <c r="GH25" s="337"/>
      <c r="GI25" s="337"/>
      <c r="GJ25" s="337"/>
      <c r="GK25" s="337"/>
      <c r="GL25" s="337"/>
      <c r="GM25" s="337"/>
      <c r="GN25" s="337"/>
      <c r="GO25" s="337"/>
      <c r="GP25" s="337"/>
      <c r="GQ25" s="337"/>
      <c r="GR25" s="337"/>
      <c r="GS25" s="337"/>
      <c r="GT25" s="337"/>
      <c r="GU25" s="341"/>
      <c r="GV25" s="341"/>
      <c r="GW25" s="342"/>
      <c r="GX25" s="342"/>
      <c r="GY25" s="343"/>
      <c r="GZ25" s="344"/>
      <c r="HA25" s="345"/>
      <c r="HB25" s="345"/>
      <c r="HC25" s="345"/>
      <c r="HD25" s="271"/>
      <c r="HE25" s="272"/>
      <c r="HF25" s="272"/>
      <c r="HG25" s="272"/>
      <c r="HH25" s="272"/>
      <c r="HI25" s="272"/>
      <c r="HJ25" s="272"/>
      <c r="HK25" s="272"/>
      <c r="HL25" s="272"/>
      <c r="HM25" s="272"/>
      <c r="HN25" s="272"/>
      <c r="HO25" s="272"/>
      <c r="HP25" s="272"/>
      <c r="HQ25" s="272"/>
      <c r="HR25" s="274"/>
      <c r="HS25" s="275"/>
      <c r="HT25" s="271"/>
      <c r="HU25" s="272"/>
      <c r="HV25" s="272"/>
      <c r="HW25" s="272"/>
      <c r="HX25" s="272"/>
      <c r="HY25" s="272"/>
      <c r="HZ25" s="272"/>
      <c r="IA25" s="272"/>
      <c r="IB25" s="272"/>
      <c r="IC25" s="272"/>
      <c r="ID25" s="272"/>
      <c r="IE25" s="272"/>
      <c r="IF25" s="272"/>
      <c r="IG25" s="274"/>
      <c r="IH25" s="275"/>
      <c r="II25" s="271"/>
      <c r="IJ25" s="272"/>
      <c r="IK25" s="272"/>
      <c r="IL25" s="276"/>
      <c r="IM25" s="277"/>
      <c r="IN25" s="277"/>
      <c r="IO25" s="333"/>
      <c r="IP25" s="334"/>
      <c r="IR25" s="353"/>
      <c r="IS25" s="353"/>
      <c r="IT25" s="353"/>
      <c r="IU25" s="353"/>
      <c r="IV25" s="353"/>
      <c r="IW25" s="353"/>
      <c r="JF25" s="354"/>
      <c r="JO25" s="355"/>
      <c r="KW25" s="354"/>
      <c r="KX25" s="277"/>
      <c r="KY25" s="277"/>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row>
    <row r="26" spans="1:398" ht="42.65" hidden="1" customHeight="1">
      <c r="B26" s="299"/>
      <c r="C26" s="241"/>
      <c r="D26" s="242"/>
      <c r="E26" s="243" t="s">
        <v>165</v>
      </c>
      <c r="F26" s="244"/>
      <c r="G26" s="246">
        <v>0</v>
      </c>
      <c r="H26" s="246">
        <v>0</v>
      </c>
      <c r="I26" s="246">
        <v>0</v>
      </c>
      <c r="J26" s="246">
        <v>0</v>
      </c>
      <c r="K26" s="246"/>
      <c r="L26" s="246">
        <v>0</v>
      </c>
      <c r="M26" s="300">
        <v>0</v>
      </c>
      <c r="N26" s="251">
        <v>0</v>
      </c>
      <c r="O26" s="251">
        <v>0</v>
      </c>
      <c r="P26" s="300">
        <v>0</v>
      </c>
      <c r="Q26" s="251">
        <v>0</v>
      </c>
      <c r="R26" s="251">
        <v>0</v>
      </c>
      <c r="S26" s="251">
        <v>0</v>
      </c>
      <c r="T26" s="251"/>
      <c r="U26" s="301" t="s">
        <v>165</v>
      </c>
      <c r="V26" s="242"/>
      <c r="W26" s="242"/>
      <c r="X26" s="242"/>
      <c r="Y26" s="242"/>
      <c r="Z26" s="242"/>
      <c r="AA26" s="302" t="s">
        <v>221</v>
      </c>
      <c r="AB26" s="303" t="s">
        <v>191</v>
      </c>
      <c r="AC26" s="304">
        <v>216</v>
      </c>
      <c r="AD26" s="256"/>
      <c r="AE26" s="336"/>
      <c r="AF26" s="337"/>
      <c r="AG26" s="337"/>
      <c r="AH26" s="337"/>
      <c r="AI26" s="337"/>
      <c r="AJ26" s="337"/>
      <c r="AK26" s="337"/>
      <c r="AL26" s="337"/>
      <c r="AM26" s="337"/>
      <c r="AN26" s="337"/>
      <c r="AO26" s="337"/>
      <c r="AP26" s="337"/>
      <c r="AQ26" s="337"/>
      <c r="AR26" s="337"/>
      <c r="AS26" s="339"/>
      <c r="AT26" s="337"/>
      <c r="AU26" s="339"/>
      <c r="AV26" s="337"/>
      <c r="AW26" s="337"/>
      <c r="AX26" s="337"/>
      <c r="AY26" s="337"/>
      <c r="AZ26" s="337"/>
      <c r="BA26" s="337"/>
      <c r="BB26" s="337"/>
      <c r="BC26" s="337"/>
      <c r="BD26" s="337"/>
      <c r="BE26" s="337"/>
      <c r="BF26" s="337"/>
      <c r="BG26" s="337"/>
      <c r="BH26" s="337"/>
      <c r="BI26" s="337"/>
      <c r="BJ26" s="337"/>
      <c r="BK26" s="337"/>
      <c r="BL26" s="337"/>
      <c r="BM26" s="337"/>
      <c r="BN26" s="337"/>
      <c r="BO26" s="337"/>
      <c r="BP26" s="337"/>
      <c r="BQ26" s="337"/>
      <c r="BR26" s="340"/>
      <c r="BS26" s="337"/>
      <c r="BT26" s="341"/>
      <c r="BU26" s="341"/>
      <c r="BV26" s="342"/>
      <c r="BW26" s="342"/>
      <c r="BX26" s="343"/>
      <c r="BY26" s="344"/>
      <c r="BZ26" s="345"/>
      <c r="CA26" s="345"/>
      <c r="CB26" s="345"/>
      <c r="CC26" s="271"/>
      <c r="CD26" s="272"/>
      <c r="CE26" s="272"/>
      <c r="CF26" s="272"/>
      <c r="CG26" s="272"/>
      <c r="CH26" s="272"/>
      <c r="CI26" s="272"/>
      <c r="CJ26" s="272"/>
      <c r="CK26" s="272"/>
      <c r="CL26" s="272"/>
      <c r="CM26" s="272"/>
      <c r="CN26" s="272"/>
      <c r="CO26" s="272"/>
      <c r="CP26" s="272"/>
      <c r="CQ26" s="274"/>
      <c r="CR26" s="275"/>
      <c r="CS26" s="271"/>
      <c r="CT26" s="272"/>
      <c r="CU26" s="272"/>
      <c r="CV26" s="272"/>
      <c r="CW26" s="272"/>
      <c r="CX26" s="272"/>
      <c r="CY26" s="272"/>
      <c r="CZ26" s="272"/>
      <c r="DA26" s="272"/>
      <c r="DB26" s="272"/>
      <c r="DC26" s="272"/>
      <c r="DD26" s="272"/>
      <c r="DE26" s="272"/>
      <c r="DF26" s="274"/>
      <c r="DG26" s="275"/>
      <c r="DH26" s="271"/>
      <c r="DI26" s="272"/>
      <c r="DJ26" s="272"/>
      <c r="DK26" s="276"/>
      <c r="DL26" s="277"/>
      <c r="DM26" s="277"/>
      <c r="DN26" s="277"/>
      <c r="DO26" s="277"/>
      <c r="DP26" s="277"/>
      <c r="DQ26" s="277"/>
      <c r="DR26" s="277"/>
      <c r="DS26" s="277"/>
      <c r="DT26" s="277"/>
      <c r="DU26" s="277"/>
      <c r="DV26" s="277"/>
      <c r="DW26" s="277"/>
      <c r="DX26" s="277"/>
      <c r="DY26" s="277"/>
      <c r="DZ26" s="277"/>
      <c r="EA26" s="277"/>
      <c r="EB26" s="277"/>
      <c r="EC26" s="277"/>
      <c r="ED26" s="277"/>
      <c r="EE26" s="277"/>
      <c r="EF26" s="277"/>
      <c r="EG26" s="277"/>
      <c r="EH26" s="277"/>
      <c r="EI26" s="277"/>
      <c r="EJ26" s="277"/>
      <c r="EK26" s="277"/>
      <c r="EL26" s="277"/>
      <c r="EM26" s="277"/>
      <c r="EN26" s="277"/>
      <c r="EO26" s="302" t="s">
        <v>221</v>
      </c>
      <c r="EP26" s="321" t="s">
        <v>191</v>
      </c>
      <c r="EQ26" s="322">
        <v>216</v>
      </c>
      <c r="ER26" s="323"/>
      <c r="ES26" s="323"/>
      <c r="ET26" s="323"/>
      <c r="EU26" s="323"/>
      <c r="EV26" s="324" t="s">
        <v>222</v>
      </c>
      <c r="EW26" s="325">
        <v>22</v>
      </c>
      <c r="EX26" s="326">
        <v>25</v>
      </c>
      <c r="EY26" s="327" t="s">
        <v>223</v>
      </c>
      <c r="EZ26" s="328">
        <v>31.8</v>
      </c>
      <c r="FA26" s="329">
        <v>37</v>
      </c>
      <c r="FB26" s="327" t="s">
        <v>224</v>
      </c>
      <c r="FC26" s="328">
        <v>38.5</v>
      </c>
      <c r="FD26" s="329">
        <v>43</v>
      </c>
      <c r="FE26" s="330" t="s">
        <v>225</v>
      </c>
      <c r="FF26" s="328">
        <v>38</v>
      </c>
      <c r="FG26" s="329">
        <v>40</v>
      </c>
      <c r="FH26" s="330" t="s">
        <v>226</v>
      </c>
      <c r="FI26" s="328">
        <v>32.299999999999997</v>
      </c>
      <c r="FJ26" s="331">
        <v>41</v>
      </c>
      <c r="FK26" s="289"/>
      <c r="FL26" s="290"/>
      <c r="FM26" s="349"/>
      <c r="FN26" s="336"/>
      <c r="FO26" s="337"/>
      <c r="FP26" s="337"/>
      <c r="FQ26" s="337"/>
      <c r="FR26" s="337"/>
      <c r="FS26" s="337"/>
      <c r="FT26" s="337"/>
      <c r="FU26" s="337"/>
      <c r="FV26" s="339"/>
      <c r="FW26" s="337"/>
      <c r="FX26" s="339"/>
      <c r="FY26" s="337"/>
      <c r="FZ26" s="337"/>
      <c r="GA26" s="337"/>
      <c r="GB26" s="337"/>
      <c r="GC26" s="337"/>
      <c r="GD26" s="337"/>
      <c r="GE26" s="337"/>
      <c r="GF26" s="337"/>
      <c r="GG26" s="337"/>
      <c r="GH26" s="337"/>
      <c r="GI26" s="337"/>
      <c r="GJ26" s="337"/>
      <c r="GK26" s="337"/>
      <c r="GL26" s="337"/>
      <c r="GM26" s="337"/>
      <c r="GN26" s="337"/>
      <c r="GO26" s="337"/>
      <c r="GP26" s="337"/>
      <c r="GQ26" s="337"/>
      <c r="GR26" s="337"/>
      <c r="GS26" s="337"/>
      <c r="GT26" s="337"/>
      <c r="GU26" s="341"/>
      <c r="GV26" s="341"/>
      <c r="GW26" s="342"/>
      <c r="GX26" s="342"/>
      <c r="GY26" s="343"/>
      <c r="GZ26" s="344"/>
      <c r="HA26" s="345"/>
      <c r="HB26" s="345"/>
      <c r="HC26" s="345"/>
      <c r="HD26" s="271"/>
      <c r="HE26" s="272"/>
      <c r="HF26" s="272"/>
      <c r="HG26" s="272"/>
      <c r="HH26" s="272"/>
      <c r="HI26" s="272"/>
      <c r="HJ26" s="272"/>
      <c r="HK26" s="272"/>
      <c r="HL26" s="272"/>
      <c r="HM26" s="272"/>
      <c r="HN26" s="272"/>
      <c r="HO26" s="272"/>
      <c r="HP26" s="272"/>
      <c r="HQ26" s="272"/>
      <c r="HR26" s="274"/>
      <c r="HS26" s="275"/>
      <c r="HT26" s="271"/>
      <c r="HU26" s="272"/>
      <c r="HV26" s="272"/>
      <c r="HW26" s="272"/>
      <c r="HX26" s="272"/>
      <c r="HY26" s="272"/>
      <c r="HZ26" s="272"/>
      <c r="IA26" s="272"/>
      <c r="IB26" s="272"/>
      <c r="IC26" s="272"/>
      <c r="ID26" s="272"/>
      <c r="IE26" s="272"/>
      <c r="IF26" s="272"/>
      <c r="IG26" s="274"/>
      <c r="IH26" s="275"/>
      <c r="II26" s="271"/>
      <c r="IJ26" s="272"/>
      <c r="IK26" s="272"/>
      <c r="IL26" s="276"/>
      <c r="IM26" s="277"/>
      <c r="IN26" s="277"/>
      <c r="IO26" s="333"/>
      <c r="IP26" s="334"/>
      <c r="JF26" s="296"/>
      <c r="JO26" s="335"/>
      <c r="KW26" s="296"/>
      <c r="KX26" s="277"/>
      <c r="KY26" s="277"/>
    </row>
    <row r="27" spans="1:398" ht="42.65" hidden="1" customHeight="1">
      <c r="B27" s="299"/>
      <c r="C27" s="241"/>
      <c r="D27" s="242"/>
      <c r="E27" s="243" t="s">
        <v>165</v>
      </c>
      <c r="F27" s="244"/>
      <c r="G27" s="246">
        <v>0</v>
      </c>
      <c r="H27" s="246">
        <v>0</v>
      </c>
      <c r="I27" s="246">
        <v>0</v>
      </c>
      <c r="J27" s="246">
        <v>0</v>
      </c>
      <c r="K27" s="246"/>
      <c r="L27" s="246">
        <v>0</v>
      </c>
      <c r="M27" s="300">
        <v>0</v>
      </c>
      <c r="N27" s="251">
        <v>0</v>
      </c>
      <c r="O27" s="251">
        <v>0</v>
      </c>
      <c r="P27" s="300">
        <v>0</v>
      </c>
      <c r="Q27" s="251">
        <v>0</v>
      </c>
      <c r="R27" s="251">
        <v>0</v>
      </c>
      <c r="S27" s="251">
        <v>0</v>
      </c>
      <c r="T27" s="251"/>
      <c r="U27" s="301" t="s">
        <v>165</v>
      </c>
      <c r="V27" s="242"/>
      <c r="W27" s="242"/>
      <c r="X27" s="242"/>
      <c r="Y27" s="242"/>
      <c r="Z27" s="242"/>
      <c r="AA27" s="302" t="s">
        <v>227</v>
      </c>
      <c r="AB27" s="303" t="s">
        <v>191</v>
      </c>
      <c r="AC27" s="304">
        <v>144</v>
      </c>
      <c r="AD27" s="256"/>
      <c r="AE27" s="336"/>
      <c r="AF27" s="337"/>
      <c r="AG27" s="337"/>
      <c r="AH27" s="337"/>
      <c r="AI27" s="337"/>
      <c r="AJ27" s="337"/>
      <c r="AK27" s="337"/>
      <c r="AL27" s="337"/>
      <c r="AM27" s="337"/>
      <c r="AN27" s="337"/>
      <c r="AO27" s="337"/>
      <c r="AP27" s="337"/>
      <c r="AQ27" s="337"/>
      <c r="AR27" s="337"/>
      <c r="AS27" s="339"/>
      <c r="AT27" s="337"/>
      <c r="AU27" s="339"/>
      <c r="AV27" s="337"/>
      <c r="AW27" s="337"/>
      <c r="AX27" s="337"/>
      <c r="AY27" s="337"/>
      <c r="AZ27" s="337"/>
      <c r="BA27" s="337"/>
      <c r="BB27" s="337"/>
      <c r="BC27" s="337"/>
      <c r="BD27" s="337"/>
      <c r="BE27" s="337"/>
      <c r="BF27" s="337"/>
      <c r="BG27" s="337"/>
      <c r="BH27" s="337"/>
      <c r="BI27" s="337"/>
      <c r="BJ27" s="337"/>
      <c r="BK27" s="337"/>
      <c r="BL27" s="337"/>
      <c r="BM27" s="337"/>
      <c r="BN27" s="337"/>
      <c r="BO27" s="337"/>
      <c r="BP27" s="337"/>
      <c r="BQ27" s="337"/>
      <c r="BR27" s="340"/>
      <c r="BS27" s="337"/>
      <c r="BT27" s="341"/>
      <c r="BU27" s="341"/>
      <c r="BV27" s="342"/>
      <c r="BW27" s="342"/>
      <c r="BX27" s="343"/>
      <c r="BY27" s="344"/>
      <c r="BZ27" s="345"/>
      <c r="CA27" s="345"/>
      <c r="CB27" s="345"/>
      <c r="CC27" s="271"/>
      <c r="CD27" s="272"/>
      <c r="CE27" s="272"/>
      <c r="CF27" s="272"/>
      <c r="CG27" s="272"/>
      <c r="CH27" s="272"/>
      <c r="CI27" s="272"/>
      <c r="CJ27" s="272"/>
      <c r="CK27" s="272"/>
      <c r="CL27" s="272"/>
      <c r="CM27" s="272"/>
      <c r="CN27" s="272"/>
      <c r="CO27" s="272"/>
      <c r="CP27" s="272"/>
      <c r="CQ27" s="274"/>
      <c r="CR27" s="275"/>
      <c r="CS27" s="271"/>
      <c r="CT27" s="272"/>
      <c r="CU27" s="272"/>
      <c r="CV27" s="272"/>
      <c r="CW27" s="272"/>
      <c r="CX27" s="272"/>
      <c r="CY27" s="272"/>
      <c r="CZ27" s="272"/>
      <c r="DA27" s="272"/>
      <c r="DB27" s="272"/>
      <c r="DC27" s="272"/>
      <c r="DD27" s="272"/>
      <c r="DE27" s="272"/>
      <c r="DF27" s="274"/>
      <c r="DG27" s="275"/>
      <c r="DH27" s="271"/>
      <c r="DI27" s="272"/>
      <c r="DJ27" s="272"/>
      <c r="DK27" s="276"/>
      <c r="DL27" s="277"/>
      <c r="DM27" s="277"/>
      <c r="DN27" s="277"/>
      <c r="DO27" s="277"/>
      <c r="DP27" s="277"/>
      <c r="DQ27" s="277"/>
      <c r="DR27" s="277"/>
      <c r="DS27" s="277"/>
      <c r="DT27" s="277"/>
      <c r="DU27" s="277"/>
      <c r="DV27" s="277"/>
      <c r="DW27" s="277"/>
      <c r="DX27" s="277"/>
      <c r="DY27" s="277"/>
      <c r="DZ27" s="277"/>
      <c r="EA27" s="277"/>
      <c r="EB27" s="277"/>
      <c r="EC27" s="277"/>
      <c r="ED27" s="277"/>
      <c r="EE27" s="277"/>
      <c r="EF27" s="277"/>
      <c r="EG27" s="277"/>
      <c r="EH27" s="277"/>
      <c r="EI27" s="277"/>
      <c r="EJ27" s="277"/>
      <c r="EK27" s="277"/>
      <c r="EL27" s="277"/>
      <c r="EM27" s="277"/>
      <c r="EN27" s="277"/>
      <c r="EO27" s="302" t="s">
        <v>227</v>
      </c>
      <c r="EP27" s="321" t="s">
        <v>191</v>
      </c>
      <c r="EQ27" s="322">
        <v>144</v>
      </c>
      <c r="ER27" s="323"/>
      <c r="ES27" s="323"/>
      <c r="ET27" s="323"/>
      <c r="EU27" s="323"/>
      <c r="EV27" s="324" t="s">
        <v>222</v>
      </c>
      <c r="EW27" s="325">
        <v>22</v>
      </c>
      <c r="EX27" s="326">
        <v>25</v>
      </c>
      <c r="EY27" s="327" t="s">
        <v>223</v>
      </c>
      <c r="EZ27" s="328">
        <v>31.2</v>
      </c>
      <c r="FA27" s="329">
        <v>37</v>
      </c>
      <c r="FB27" s="327" t="s">
        <v>224</v>
      </c>
      <c r="FC27" s="328">
        <v>38.5</v>
      </c>
      <c r="FD27" s="329">
        <v>43</v>
      </c>
      <c r="FE27" s="330" t="s">
        <v>225</v>
      </c>
      <c r="FF27" s="328">
        <v>38</v>
      </c>
      <c r="FG27" s="329">
        <v>40</v>
      </c>
      <c r="FH27" s="330" t="s">
        <v>226</v>
      </c>
      <c r="FI27" s="328">
        <v>32.299999999999997</v>
      </c>
      <c r="FJ27" s="331">
        <v>41</v>
      </c>
      <c r="FK27" s="289"/>
      <c r="FL27" s="290"/>
      <c r="FM27" s="349"/>
      <c r="FN27" s="336"/>
      <c r="FO27" s="337"/>
      <c r="FP27" s="337"/>
      <c r="FQ27" s="337"/>
      <c r="FR27" s="337"/>
      <c r="FS27" s="337"/>
      <c r="FT27" s="337"/>
      <c r="FU27" s="337"/>
      <c r="FV27" s="339"/>
      <c r="FW27" s="337"/>
      <c r="FX27" s="339"/>
      <c r="FY27" s="337"/>
      <c r="FZ27" s="337"/>
      <c r="GA27" s="337"/>
      <c r="GB27" s="337"/>
      <c r="GC27" s="337"/>
      <c r="GD27" s="337"/>
      <c r="GE27" s="337"/>
      <c r="GF27" s="337"/>
      <c r="GG27" s="337"/>
      <c r="GH27" s="337"/>
      <c r="GI27" s="337"/>
      <c r="GJ27" s="337"/>
      <c r="GK27" s="337"/>
      <c r="GL27" s="337"/>
      <c r="GM27" s="337"/>
      <c r="GN27" s="337"/>
      <c r="GO27" s="337"/>
      <c r="GP27" s="337"/>
      <c r="GQ27" s="337"/>
      <c r="GR27" s="337"/>
      <c r="GS27" s="337"/>
      <c r="GT27" s="337"/>
      <c r="GU27" s="341"/>
      <c r="GV27" s="341"/>
      <c r="GW27" s="342"/>
      <c r="GX27" s="342"/>
      <c r="GY27" s="343"/>
      <c r="GZ27" s="344"/>
      <c r="HA27" s="345"/>
      <c r="HB27" s="345"/>
      <c r="HC27" s="345"/>
      <c r="HD27" s="271"/>
      <c r="HE27" s="272"/>
      <c r="HF27" s="272"/>
      <c r="HG27" s="272"/>
      <c r="HH27" s="272"/>
      <c r="HI27" s="272"/>
      <c r="HJ27" s="272"/>
      <c r="HK27" s="272"/>
      <c r="HL27" s="272"/>
      <c r="HM27" s="272"/>
      <c r="HN27" s="272"/>
      <c r="HO27" s="272"/>
      <c r="HP27" s="272"/>
      <c r="HQ27" s="272"/>
      <c r="HR27" s="274"/>
      <c r="HS27" s="275"/>
      <c r="HT27" s="271"/>
      <c r="HU27" s="272"/>
      <c r="HV27" s="272"/>
      <c r="HW27" s="272"/>
      <c r="HX27" s="272"/>
      <c r="HY27" s="272"/>
      <c r="HZ27" s="272"/>
      <c r="IA27" s="272"/>
      <c r="IB27" s="272"/>
      <c r="IC27" s="272"/>
      <c r="ID27" s="272"/>
      <c r="IE27" s="272"/>
      <c r="IF27" s="272"/>
      <c r="IG27" s="274"/>
      <c r="IH27" s="275"/>
      <c r="II27" s="271"/>
      <c r="IJ27" s="272"/>
      <c r="IK27" s="272"/>
      <c r="IL27" s="276"/>
      <c r="IM27" s="277"/>
      <c r="IN27" s="277"/>
      <c r="IO27" s="333"/>
      <c r="IP27" s="334"/>
      <c r="JF27" s="296"/>
      <c r="JO27" s="335"/>
      <c r="KW27" s="296"/>
      <c r="KX27" s="277"/>
      <c r="KY27" s="277"/>
    </row>
    <row r="28" spans="1:398" ht="42.65" hidden="1" customHeight="1">
      <c r="B28" s="299"/>
      <c r="C28" s="241"/>
      <c r="D28" s="242"/>
      <c r="E28" s="243"/>
      <c r="F28" s="244"/>
      <c r="G28" s="246"/>
      <c r="H28" s="246"/>
      <c r="I28" s="246">
        <v>0</v>
      </c>
      <c r="J28" s="246">
        <v>0</v>
      </c>
      <c r="K28" s="246"/>
      <c r="L28" s="246">
        <v>0</v>
      </c>
      <c r="M28" s="300"/>
      <c r="N28" s="251"/>
      <c r="O28" s="251"/>
      <c r="P28" s="300"/>
      <c r="Q28" s="251"/>
      <c r="R28" s="251"/>
      <c r="S28" s="251"/>
      <c r="T28" s="251"/>
      <c r="U28" s="301" t="s">
        <v>165</v>
      </c>
      <c r="V28" s="242"/>
      <c r="W28" s="242"/>
      <c r="X28" s="242"/>
      <c r="Y28" s="242"/>
      <c r="Z28" s="242"/>
      <c r="AA28" s="302" t="s">
        <v>228</v>
      </c>
      <c r="AB28" s="303" t="s">
        <v>191</v>
      </c>
      <c r="AC28" s="304">
        <v>311</v>
      </c>
      <c r="AD28" s="256"/>
      <c r="AE28" s="336"/>
      <c r="AF28" s="337"/>
      <c r="AG28" s="337"/>
      <c r="AH28" s="337"/>
      <c r="AI28" s="337"/>
      <c r="AJ28" s="337"/>
      <c r="AK28" s="337"/>
      <c r="AL28" s="337"/>
      <c r="AM28" s="337"/>
      <c r="AN28" s="337"/>
      <c r="AO28" s="337"/>
      <c r="AP28" s="337"/>
      <c r="AQ28" s="337"/>
      <c r="AR28" s="337"/>
      <c r="AS28" s="339"/>
      <c r="AT28" s="337"/>
      <c r="AU28" s="339"/>
      <c r="AV28" s="337"/>
      <c r="AW28" s="337"/>
      <c r="AX28" s="337"/>
      <c r="AY28" s="337"/>
      <c r="AZ28" s="337"/>
      <c r="BA28" s="337"/>
      <c r="BB28" s="337"/>
      <c r="BC28" s="337"/>
      <c r="BD28" s="337"/>
      <c r="BE28" s="337"/>
      <c r="BF28" s="337"/>
      <c r="BG28" s="337"/>
      <c r="BH28" s="337"/>
      <c r="BI28" s="337"/>
      <c r="BJ28" s="337"/>
      <c r="BK28" s="337"/>
      <c r="BL28" s="337"/>
      <c r="BM28" s="337"/>
      <c r="BN28" s="337"/>
      <c r="BO28" s="337"/>
      <c r="BP28" s="337"/>
      <c r="BQ28" s="337"/>
      <c r="BR28" s="340"/>
      <c r="BS28" s="337"/>
      <c r="BT28" s="341"/>
      <c r="BU28" s="341"/>
      <c r="BV28" s="342"/>
      <c r="BW28" s="342"/>
      <c r="BX28" s="343"/>
      <c r="BY28" s="344"/>
      <c r="BZ28" s="345"/>
      <c r="CA28" s="345"/>
      <c r="CB28" s="345"/>
      <c r="CC28" s="271"/>
      <c r="CD28" s="272"/>
      <c r="CE28" s="272"/>
      <c r="CF28" s="272"/>
      <c r="CG28" s="272"/>
      <c r="CH28" s="272"/>
      <c r="CI28" s="272"/>
      <c r="CJ28" s="272"/>
      <c r="CK28" s="272"/>
      <c r="CL28" s="272"/>
      <c r="CM28" s="272"/>
      <c r="CN28" s="272"/>
      <c r="CO28" s="272"/>
      <c r="CP28" s="272"/>
      <c r="CQ28" s="274"/>
      <c r="CR28" s="275"/>
      <c r="CS28" s="271"/>
      <c r="CT28" s="272"/>
      <c r="CU28" s="272"/>
      <c r="CV28" s="272"/>
      <c r="CW28" s="272"/>
      <c r="CX28" s="272"/>
      <c r="CY28" s="272"/>
      <c r="CZ28" s="272"/>
      <c r="DA28" s="272"/>
      <c r="DB28" s="272"/>
      <c r="DC28" s="272"/>
      <c r="DD28" s="272"/>
      <c r="DE28" s="272"/>
      <c r="DF28" s="274"/>
      <c r="DG28" s="275"/>
      <c r="DH28" s="271"/>
      <c r="DI28" s="272"/>
      <c r="DJ28" s="272"/>
      <c r="DK28" s="276"/>
      <c r="DL28" s="277"/>
      <c r="DM28" s="277"/>
      <c r="DN28" s="277"/>
      <c r="DO28" s="277"/>
      <c r="DP28" s="277"/>
      <c r="DQ28" s="277"/>
      <c r="DR28" s="277"/>
      <c r="DS28" s="277"/>
      <c r="DT28" s="277"/>
      <c r="DU28" s="277"/>
      <c r="DV28" s="277"/>
      <c r="DW28" s="277"/>
      <c r="DX28" s="277"/>
      <c r="DY28" s="277"/>
      <c r="DZ28" s="277"/>
      <c r="EA28" s="277"/>
      <c r="EB28" s="277"/>
      <c r="EC28" s="277"/>
      <c r="ED28" s="277"/>
      <c r="EE28" s="277"/>
      <c r="EF28" s="277"/>
      <c r="EG28" s="277"/>
      <c r="EH28" s="277"/>
      <c r="EI28" s="277"/>
      <c r="EJ28" s="277"/>
      <c r="EK28" s="277"/>
      <c r="EL28" s="277"/>
      <c r="EM28" s="277"/>
      <c r="EN28" s="277"/>
      <c r="EO28" s="302" t="s">
        <v>228</v>
      </c>
      <c r="EP28" s="321" t="s">
        <v>191</v>
      </c>
      <c r="EQ28" s="347">
        <v>311</v>
      </c>
      <c r="ER28" s="323"/>
      <c r="ES28" s="323"/>
      <c r="ET28" s="323"/>
      <c r="EU28" s="323"/>
      <c r="EV28" s="324" t="s">
        <v>229</v>
      </c>
      <c r="EW28" s="325">
        <v>24</v>
      </c>
      <c r="EX28" s="326">
        <v>29</v>
      </c>
      <c r="EY28" s="327" t="s">
        <v>230</v>
      </c>
      <c r="EZ28" s="328">
        <v>29.7</v>
      </c>
      <c r="FA28" s="329">
        <v>31</v>
      </c>
      <c r="FB28" s="327" t="s">
        <v>189</v>
      </c>
      <c r="FC28" s="328"/>
      <c r="FD28" s="329"/>
      <c r="FE28" s="330" t="s">
        <v>189</v>
      </c>
      <c r="FF28" s="328"/>
      <c r="FG28" s="329"/>
      <c r="FH28" s="330" t="s">
        <v>189</v>
      </c>
      <c r="FI28" s="328"/>
      <c r="FJ28" s="331"/>
      <c r="FK28" s="289"/>
      <c r="FL28" s="290"/>
      <c r="FM28" s="349"/>
      <c r="FN28" s="336"/>
      <c r="FO28" s="337"/>
      <c r="FP28" s="337"/>
      <c r="FQ28" s="337"/>
      <c r="FR28" s="337"/>
      <c r="FS28" s="337"/>
      <c r="FT28" s="337"/>
      <c r="FU28" s="337"/>
      <c r="FV28" s="339"/>
      <c r="FW28" s="337"/>
      <c r="FX28" s="339"/>
      <c r="FY28" s="337"/>
      <c r="FZ28" s="337"/>
      <c r="GA28" s="337"/>
      <c r="GB28" s="337"/>
      <c r="GC28" s="337"/>
      <c r="GD28" s="337"/>
      <c r="GE28" s="337"/>
      <c r="GF28" s="337"/>
      <c r="GG28" s="337"/>
      <c r="GH28" s="337"/>
      <c r="GI28" s="337"/>
      <c r="GJ28" s="337"/>
      <c r="GK28" s="337"/>
      <c r="GL28" s="337"/>
      <c r="GM28" s="337"/>
      <c r="GN28" s="337"/>
      <c r="GO28" s="337"/>
      <c r="GP28" s="337"/>
      <c r="GQ28" s="337"/>
      <c r="GR28" s="337"/>
      <c r="GS28" s="337"/>
      <c r="GT28" s="337"/>
      <c r="GU28" s="341"/>
      <c r="GV28" s="341"/>
      <c r="GW28" s="342"/>
      <c r="GX28" s="342"/>
      <c r="GY28" s="343"/>
      <c r="GZ28" s="344"/>
      <c r="HA28" s="345"/>
      <c r="HB28" s="345"/>
      <c r="HC28" s="345"/>
      <c r="HD28" s="271"/>
      <c r="HE28" s="272"/>
      <c r="HF28" s="272"/>
      <c r="HG28" s="272"/>
      <c r="HH28" s="272"/>
      <c r="HI28" s="272"/>
      <c r="HJ28" s="272"/>
      <c r="HK28" s="272"/>
      <c r="HL28" s="272"/>
      <c r="HM28" s="272"/>
      <c r="HN28" s="272"/>
      <c r="HO28" s="272"/>
      <c r="HP28" s="272"/>
      <c r="HQ28" s="272"/>
      <c r="HR28" s="274"/>
      <c r="HS28" s="275"/>
      <c r="HT28" s="271"/>
      <c r="HU28" s="272"/>
      <c r="HV28" s="272"/>
      <c r="HW28" s="272"/>
      <c r="HX28" s="272"/>
      <c r="HY28" s="272"/>
      <c r="HZ28" s="272"/>
      <c r="IA28" s="272"/>
      <c r="IB28" s="272"/>
      <c r="IC28" s="272"/>
      <c r="ID28" s="272"/>
      <c r="IE28" s="272"/>
      <c r="IF28" s="272"/>
      <c r="IG28" s="274"/>
      <c r="IH28" s="275"/>
      <c r="II28" s="271"/>
      <c r="IJ28" s="272"/>
      <c r="IK28" s="272"/>
      <c r="IL28" s="276"/>
      <c r="IM28" s="277"/>
      <c r="IN28" s="277"/>
      <c r="IO28" s="333"/>
      <c r="IP28" s="334"/>
      <c r="JF28" s="296"/>
      <c r="JO28" s="335"/>
      <c r="KW28" s="296"/>
      <c r="KX28" s="277"/>
      <c r="KY28" s="277"/>
    </row>
    <row r="29" spans="1:398" ht="42.65" hidden="1" customHeight="1">
      <c r="B29" s="299"/>
      <c r="C29" s="242"/>
      <c r="D29" s="242"/>
      <c r="E29" s="243"/>
      <c r="F29" s="244"/>
      <c r="G29" s="246"/>
      <c r="H29" s="246"/>
      <c r="I29" s="246">
        <v>0</v>
      </c>
      <c r="J29" s="246">
        <v>0</v>
      </c>
      <c r="K29" s="246"/>
      <c r="L29" s="246">
        <v>0</v>
      </c>
      <c r="M29" s="300" t="s">
        <v>231</v>
      </c>
      <c r="N29" s="251"/>
      <c r="O29" s="251"/>
      <c r="P29" s="300"/>
      <c r="Q29" s="251"/>
      <c r="R29" s="251"/>
      <c r="S29" s="251"/>
      <c r="T29" s="251"/>
      <c r="U29" s="301"/>
      <c r="V29" s="242"/>
      <c r="W29" s="242"/>
      <c r="X29" s="242"/>
      <c r="Y29" s="242"/>
      <c r="Z29" s="242"/>
      <c r="AA29" s="302" t="s">
        <v>232</v>
      </c>
      <c r="AB29" s="303" t="s">
        <v>191</v>
      </c>
      <c r="AC29" s="304">
        <v>144</v>
      </c>
      <c r="AD29" s="256"/>
      <c r="AE29" s="336"/>
      <c r="AF29" s="337"/>
      <c r="AG29" s="337"/>
      <c r="AH29" s="337"/>
      <c r="AI29" s="337"/>
      <c r="AJ29" s="337"/>
      <c r="AK29" s="337"/>
      <c r="AL29" s="337"/>
      <c r="AM29" s="337"/>
      <c r="AN29" s="337"/>
      <c r="AO29" s="337"/>
      <c r="AP29" s="337"/>
      <c r="AQ29" s="337"/>
      <c r="AR29" s="337"/>
      <c r="AS29" s="339"/>
      <c r="AT29" s="337"/>
      <c r="AU29" s="339"/>
      <c r="AV29" s="337"/>
      <c r="AW29" s="337"/>
      <c r="AX29" s="337"/>
      <c r="AY29" s="337"/>
      <c r="AZ29" s="337"/>
      <c r="BA29" s="337"/>
      <c r="BB29" s="337"/>
      <c r="BC29" s="337"/>
      <c r="BD29" s="337"/>
      <c r="BE29" s="337"/>
      <c r="BF29" s="337"/>
      <c r="BG29" s="337"/>
      <c r="BH29" s="337"/>
      <c r="BI29" s="337"/>
      <c r="BJ29" s="337"/>
      <c r="BK29" s="337"/>
      <c r="BL29" s="337"/>
      <c r="BM29" s="337"/>
      <c r="BN29" s="337"/>
      <c r="BO29" s="337"/>
      <c r="BP29" s="337"/>
      <c r="BQ29" s="337"/>
      <c r="BR29" s="340"/>
      <c r="BS29" s="337"/>
      <c r="BT29" s="341"/>
      <c r="BU29" s="341"/>
      <c r="BV29" s="342"/>
      <c r="BW29" s="342"/>
      <c r="BX29" s="343"/>
      <c r="BY29" s="344"/>
      <c r="BZ29" s="345"/>
      <c r="CA29" s="345"/>
      <c r="CB29" s="345"/>
      <c r="CC29" s="271"/>
      <c r="CD29" s="272"/>
      <c r="CE29" s="272"/>
      <c r="CF29" s="272"/>
      <c r="CG29" s="272"/>
      <c r="CH29" s="272"/>
      <c r="CI29" s="272"/>
      <c r="CJ29" s="272"/>
      <c r="CK29" s="272"/>
      <c r="CL29" s="272"/>
      <c r="CM29" s="272"/>
      <c r="CN29" s="272"/>
      <c r="CO29" s="272"/>
      <c r="CP29" s="272"/>
      <c r="CQ29" s="274"/>
      <c r="CR29" s="275"/>
      <c r="CS29" s="271"/>
      <c r="CT29" s="272"/>
      <c r="CU29" s="272"/>
      <c r="CV29" s="272"/>
      <c r="CW29" s="272"/>
      <c r="CX29" s="272"/>
      <c r="CY29" s="272"/>
      <c r="CZ29" s="272"/>
      <c r="DA29" s="272"/>
      <c r="DB29" s="272"/>
      <c r="DC29" s="272"/>
      <c r="DD29" s="272"/>
      <c r="DE29" s="272"/>
      <c r="DF29" s="274"/>
      <c r="DG29" s="275"/>
      <c r="DH29" s="271"/>
      <c r="DI29" s="272"/>
      <c r="DJ29" s="272"/>
      <c r="DK29" s="276"/>
      <c r="DL29" s="277"/>
      <c r="DM29" s="277"/>
      <c r="DN29" s="277"/>
      <c r="DO29" s="277"/>
      <c r="DP29" s="277"/>
      <c r="DQ29" s="277"/>
      <c r="DR29" s="277"/>
      <c r="DS29" s="277"/>
      <c r="DT29" s="277"/>
      <c r="DU29" s="277"/>
      <c r="DV29" s="277"/>
      <c r="DW29" s="277"/>
      <c r="DX29" s="277"/>
      <c r="DY29" s="277"/>
      <c r="DZ29" s="277"/>
      <c r="EA29" s="277"/>
      <c r="EB29" s="277"/>
      <c r="EC29" s="277"/>
      <c r="ED29" s="277"/>
      <c r="EE29" s="277"/>
      <c r="EF29" s="277"/>
      <c r="EG29" s="277"/>
      <c r="EH29" s="277"/>
      <c r="EI29" s="277"/>
      <c r="EJ29" s="277"/>
      <c r="EK29" s="277"/>
      <c r="EL29" s="277"/>
      <c r="EM29" s="277"/>
      <c r="EN29" s="277"/>
      <c r="EO29" s="302" t="s">
        <v>232</v>
      </c>
      <c r="EP29" s="321" t="s">
        <v>191</v>
      </c>
      <c r="EQ29" s="347">
        <v>144</v>
      </c>
      <c r="ER29" s="323"/>
      <c r="ES29" s="323"/>
      <c r="ET29" s="323"/>
      <c r="EU29" s="323"/>
      <c r="EV29" s="324" t="s">
        <v>233</v>
      </c>
      <c r="EW29" s="325">
        <v>1</v>
      </c>
      <c r="EX29" s="326">
        <v>2</v>
      </c>
      <c r="EY29" s="327" t="s">
        <v>188</v>
      </c>
      <c r="EZ29" s="328">
        <v>1</v>
      </c>
      <c r="FA29" s="329">
        <v>2</v>
      </c>
      <c r="FB29" s="327" t="s">
        <v>189</v>
      </c>
      <c r="FC29" s="328"/>
      <c r="FD29" s="329"/>
      <c r="FE29" s="330" t="s">
        <v>189</v>
      </c>
      <c r="FF29" s="328"/>
      <c r="FG29" s="329"/>
      <c r="FH29" s="330" t="s">
        <v>189</v>
      </c>
      <c r="FI29" s="328"/>
      <c r="FJ29" s="331"/>
      <c r="FK29" s="289"/>
      <c r="FL29" s="290"/>
      <c r="FM29" s="349"/>
      <c r="FN29" s="336"/>
      <c r="FO29" s="337"/>
      <c r="FP29" s="337"/>
      <c r="FQ29" s="337"/>
      <c r="FR29" s="337"/>
      <c r="FS29" s="337"/>
      <c r="FT29" s="337"/>
      <c r="FU29" s="337"/>
      <c r="FV29" s="339"/>
      <c r="FW29" s="337"/>
      <c r="FX29" s="339"/>
      <c r="FY29" s="337"/>
      <c r="FZ29" s="337"/>
      <c r="GA29" s="337"/>
      <c r="GB29" s="337"/>
      <c r="GC29" s="337"/>
      <c r="GD29" s="337"/>
      <c r="GE29" s="337"/>
      <c r="GF29" s="337"/>
      <c r="GG29" s="337"/>
      <c r="GH29" s="337"/>
      <c r="GI29" s="337"/>
      <c r="GJ29" s="337"/>
      <c r="GK29" s="337"/>
      <c r="GL29" s="337"/>
      <c r="GM29" s="337"/>
      <c r="GN29" s="337"/>
      <c r="GO29" s="337"/>
      <c r="GP29" s="337"/>
      <c r="GQ29" s="337"/>
      <c r="GR29" s="337"/>
      <c r="GS29" s="337"/>
      <c r="GT29" s="337"/>
      <c r="GU29" s="341"/>
      <c r="GV29" s="341"/>
      <c r="GW29" s="342"/>
      <c r="GX29" s="342"/>
      <c r="GY29" s="343"/>
      <c r="GZ29" s="344"/>
      <c r="HA29" s="345"/>
      <c r="HB29" s="345"/>
      <c r="HC29" s="345"/>
      <c r="HD29" s="271"/>
      <c r="HE29" s="272"/>
      <c r="HF29" s="272"/>
      <c r="HG29" s="272"/>
      <c r="HH29" s="272"/>
      <c r="HI29" s="272"/>
      <c r="HJ29" s="272"/>
      <c r="HK29" s="272"/>
      <c r="HL29" s="272"/>
      <c r="HM29" s="272"/>
      <c r="HN29" s="272"/>
      <c r="HO29" s="272"/>
      <c r="HP29" s="272"/>
      <c r="HQ29" s="272"/>
      <c r="HR29" s="274"/>
      <c r="HS29" s="275"/>
      <c r="HT29" s="271"/>
      <c r="HU29" s="272"/>
      <c r="HV29" s="272"/>
      <c r="HW29" s="272"/>
      <c r="HX29" s="272"/>
      <c r="HY29" s="272"/>
      <c r="HZ29" s="272"/>
      <c r="IA29" s="272"/>
      <c r="IB29" s="272"/>
      <c r="IC29" s="272"/>
      <c r="ID29" s="272"/>
      <c r="IE29" s="272"/>
      <c r="IF29" s="272"/>
      <c r="IG29" s="274"/>
      <c r="IH29" s="275"/>
      <c r="II29" s="271"/>
      <c r="IJ29" s="272"/>
      <c r="IK29" s="272"/>
      <c r="IL29" s="276"/>
      <c r="IM29" s="277"/>
      <c r="IN29" s="277"/>
      <c r="IO29" s="333"/>
      <c r="IP29" s="334"/>
      <c r="JF29" s="296"/>
      <c r="JO29" s="335"/>
      <c r="KW29" s="296"/>
      <c r="KX29" s="277"/>
      <c r="KY29" s="277"/>
    </row>
    <row r="30" spans="1:398" ht="42.65" hidden="1" customHeight="1">
      <c r="B30" s="299"/>
      <c r="C30" s="241"/>
      <c r="D30" s="242"/>
      <c r="E30" s="243"/>
      <c r="F30" s="244"/>
      <c r="G30" s="246"/>
      <c r="H30" s="246"/>
      <c r="I30" s="246">
        <v>0</v>
      </c>
      <c r="J30" s="246">
        <v>0</v>
      </c>
      <c r="K30" s="246"/>
      <c r="L30" s="246">
        <v>0</v>
      </c>
      <c r="M30" s="300"/>
      <c r="N30" s="251"/>
      <c r="O30" s="251"/>
      <c r="P30" s="300"/>
      <c r="Q30" s="251"/>
      <c r="R30" s="251"/>
      <c r="S30" s="251"/>
      <c r="T30" s="251"/>
      <c r="U30" s="301"/>
      <c r="V30" s="242"/>
      <c r="W30" s="242"/>
      <c r="X30" s="242"/>
      <c r="Y30" s="242"/>
      <c r="Z30" s="242"/>
      <c r="AA30" s="302" t="s">
        <v>234</v>
      </c>
      <c r="AB30" s="303" t="s">
        <v>191</v>
      </c>
      <c r="AC30" s="304">
        <v>104</v>
      </c>
      <c r="AD30" s="256"/>
      <c r="AE30" s="336"/>
      <c r="AF30" s="337"/>
      <c r="AG30" s="337"/>
      <c r="AH30" s="337"/>
      <c r="AI30" s="337"/>
      <c r="AJ30" s="337"/>
      <c r="AK30" s="337"/>
      <c r="AL30" s="337"/>
      <c r="AM30" s="337"/>
      <c r="AN30" s="337"/>
      <c r="AO30" s="337"/>
      <c r="AP30" s="337"/>
      <c r="AQ30" s="337"/>
      <c r="AR30" s="337"/>
      <c r="AS30" s="339"/>
      <c r="AT30" s="337"/>
      <c r="AU30" s="339"/>
      <c r="AV30" s="337"/>
      <c r="AW30" s="337"/>
      <c r="AX30" s="337"/>
      <c r="AY30" s="337"/>
      <c r="AZ30" s="337"/>
      <c r="BA30" s="337"/>
      <c r="BB30" s="337"/>
      <c r="BC30" s="337"/>
      <c r="BD30" s="337"/>
      <c r="BE30" s="337"/>
      <c r="BF30" s="337"/>
      <c r="BG30" s="337"/>
      <c r="BH30" s="337"/>
      <c r="BI30" s="337"/>
      <c r="BJ30" s="337"/>
      <c r="BK30" s="337"/>
      <c r="BL30" s="337"/>
      <c r="BM30" s="337"/>
      <c r="BN30" s="337"/>
      <c r="BO30" s="337"/>
      <c r="BP30" s="337"/>
      <c r="BQ30" s="337"/>
      <c r="BR30" s="340"/>
      <c r="BS30" s="337"/>
      <c r="BT30" s="341"/>
      <c r="BU30" s="341"/>
      <c r="BV30" s="342"/>
      <c r="BW30" s="342"/>
      <c r="BX30" s="343"/>
      <c r="BY30" s="344"/>
      <c r="BZ30" s="345"/>
      <c r="CA30" s="345"/>
      <c r="CB30" s="345"/>
      <c r="CC30" s="271"/>
      <c r="CD30" s="272"/>
      <c r="CE30" s="272"/>
      <c r="CF30" s="272"/>
      <c r="CG30" s="272"/>
      <c r="CH30" s="272"/>
      <c r="CI30" s="272"/>
      <c r="CJ30" s="272"/>
      <c r="CK30" s="272"/>
      <c r="CL30" s="272"/>
      <c r="CM30" s="272"/>
      <c r="CN30" s="272"/>
      <c r="CO30" s="272"/>
      <c r="CP30" s="272"/>
      <c r="CQ30" s="274"/>
      <c r="CR30" s="275"/>
      <c r="CS30" s="271"/>
      <c r="CT30" s="272"/>
      <c r="CU30" s="272"/>
      <c r="CV30" s="272"/>
      <c r="CW30" s="272"/>
      <c r="CX30" s="272"/>
      <c r="CY30" s="272"/>
      <c r="CZ30" s="272"/>
      <c r="DA30" s="272"/>
      <c r="DB30" s="272"/>
      <c r="DC30" s="272"/>
      <c r="DD30" s="272"/>
      <c r="DE30" s="272"/>
      <c r="DF30" s="274"/>
      <c r="DG30" s="275"/>
      <c r="DH30" s="271"/>
      <c r="DI30" s="272"/>
      <c r="DJ30" s="272"/>
      <c r="DK30" s="276"/>
      <c r="DL30" s="277"/>
      <c r="DM30" s="277"/>
      <c r="DN30" s="277"/>
      <c r="DO30" s="277"/>
      <c r="DP30" s="277"/>
      <c r="DQ30" s="277"/>
      <c r="DR30" s="277"/>
      <c r="DS30" s="277"/>
      <c r="DT30" s="277"/>
      <c r="DU30" s="277"/>
      <c r="DV30" s="277"/>
      <c r="DW30" s="277"/>
      <c r="DX30" s="277"/>
      <c r="DY30" s="277"/>
      <c r="DZ30" s="277"/>
      <c r="EA30" s="277"/>
      <c r="EB30" s="277"/>
      <c r="EC30" s="277"/>
      <c r="ED30" s="277"/>
      <c r="EE30" s="277"/>
      <c r="EF30" s="277"/>
      <c r="EG30" s="277"/>
      <c r="EH30" s="277"/>
      <c r="EI30" s="277"/>
      <c r="EJ30" s="277"/>
      <c r="EK30" s="277"/>
      <c r="EL30" s="277"/>
      <c r="EM30" s="277"/>
      <c r="EN30" s="277"/>
      <c r="EO30" s="302" t="s">
        <v>234</v>
      </c>
      <c r="EP30" s="321" t="s">
        <v>191</v>
      </c>
      <c r="EQ30" s="347">
        <v>104</v>
      </c>
      <c r="ER30" s="323"/>
      <c r="ES30" s="323"/>
      <c r="ET30" s="323"/>
      <c r="EU30" s="323"/>
      <c r="EV30" s="324" t="s">
        <v>235</v>
      </c>
      <c r="EW30" s="325">
        <v>1</v>
      </c>
      <c r="EX30" s="326">
        <v>2</v>
      </c>
      <c r="EY30" s="327" t="s">
        <v>188</v>
      </c>
      <c r="EZ30" s="328">
        <v>1</v>
      </c>
      <c r="FA30" s="329">
        <v>2</v>
      </c>
      <c r="FB30" s="327" t="s">
        <v>189</v>
      </c>
      <c r="FC30" s="328"/>
      <c r="FD30" s="329"/>
      <c r="FE30" s="330" t="s">
        <v>189</v>
      </c>
      <c r="FF30" s="328"/>
      <c r="FG30" s="329"/>
      <c r="FH30" s="330" t="s">
        <v>189</v>
      </c>
      <c r="FI30" s="328"/>
      <c r="FJ30" s="331"/>
      <c r="FK30" s="289"/>
      <c r="FL30" s="290"/>
      <c r="FM30" s="349"/>
      <c r="FN30" s="336"/>
      <c r="FO30" s="337"/>
      <c r="FP30" s="337"/>
      <c r="FQ30" s="337"/>
      <c r="FR30" s="337"/>
      <c r="FS30" s="337"/>
      <c r="FT30" s="337"/>
      <c r="FU30" s="337"/>
      <c r="FV30" s="339"/>
      <c r="FW30" s="337"/>
      <c r="FX30" s="339"/>
      <c r="FY30" s="337"/>
      <c r="FZ30" s="337"/>
      <c r="GA30" s="337"/>
      <c r="GB30" s="337"/>
      <c r="GC30" s="337"/>
      <c r="GD30" s="337"/>
      <c r="GE30" s="337"/>
      <c r="GF30" s="337"/>
      <c r="GG30" s="337"/>
      <c r="GH30" s="337"/>
      <c r="GI30" s="337"/>
      <c r="GJ30" s="337"/>
      <c r="GK30" s="337"/>
      <c r="GL30" s="337"/>
      <c r="GM30" s="337"/>
      <c r="GN30" s="337"/>
      <c r="GO30" s="337"/>
      <c r="GP30" s="337"/>
      <c r="GQ30" s="337"/>
      <c r="GR30" s="337"/>
      <c r="GS30" s="337"/>
      <c r="GT30" s="337"/>
      <c r="GU30" s="341"/>
      <c r="GV30" s="341"/>
      <c r="GW30" s="342"/>
      <c r="GX30" s="342"/>
      <c r="GY30" s="343"/>
      <c r="GZ30" s="344"/>
      <c r="HA30" s="345"/>
      <c r="HB30" s="345"/>
      <c r="HC30" s="345"/>
      <c r="HD30" s="271"/>
      <c r="HE30" s="272"/>
      <c r="HF30" s="272"/>
      <c r="HG30" s="272"/>
      <c r="HH30" s="272"/>
      <c r="HI30" s="272"/>
      <c r="HJ30" s="272"/>
      <c r="HK30" s="272"/>
      <c r="HL30" s="272"/>
      <c r="HM30" s="272"/>
      <c r="HN30" s="272"/>
      <c r="HO30" s="272"/>
      <c r="HP30" s="272"/>
      <c r="HQ30" s="272"/>
      <c r="HR30" s="274"/>
      <c r="HS30" s="275"/>
      <c r="HT30" s="271"/>
      <c r="HU30" s="272"/>
      <c r="HV30" s="272"/>
      <c r="HW30" s="272"/>
      <c r="HX30" s="272"/>
      <c r="HY30" s="272"/>
      <c r="HZ30" s="272"/>
      <c r="IA30" s="272"/>
      <c r="IB30" s="272"/>
      <c r="IC30" s="272"/>
      <c r="ID30" s="272"/>
      <c r="IE30" s="272"/>
      <c r="IF30" s="272"/>
      <c r="IG30" s="274"/>
      <c r="IH30" s="275"/>
      <c r="II30" s="271"/>
      <c r="IJ30" s="272"/>
      <c r="IK30" s="272"/>
      <c r="IL30" s="276"/>
      <c r="IM30" s="277"/>
      <c r="IN30" s="277"/>
      <c r="IO30" s="333"/>
      <c r="IP30" s="334"/>
      <c r="JF30" s="296"/>
      <c r="JO30" s="335"/>
      <c r="KW30" s="296"/>
      <c r="KX30" s="277"/>
      <c r="KY30" s="277"/>
    </row>
    <row r="31" spans="1:398" ht="42.65" hidden="1" customHeight="1">
      <c r="B31" s="299"/>
      <c r="C31" s="241"/>
      <c r="D31" s="242"/>
      <c r="E31" s="243"/>
      <c r="F31" s="244"/>
      <c r="G31" s="246"/>
      <c r="H31" s="246"/>
      <c r="I31" s="246">
        <v>0</v>
      </c>
      <c r="J31" s="246">
        <v>0</v>
      </c>
      <c r="K31" s="246"/>
      <c r="L31" s="246">
        <v>0</v>
      </c>
      <c r="M31" s="300"/>
      <c r="N31" s="251"/>
      <c r="O31" s="251"/>
      <c r="P31" s="300"/>
      <c r="Q31" s="251"/>
      <c r="R31" s="251"/>
      <c r="S31" s="251"/>
      <c r="T31" s="251"/>
      <c r="U31" s="301" t="s">
        <v>165</v>
      </c>
      <c r="V31" s="242"/>
      <c r="W31" s="242"/>
      <c r="X31" s="242"/>
      <c r="Y31" s="242"/>
      <c r="Z31" s="242"/>
      <c r="AA31" s="302" t="s">
        <v>236</v>
      </c>
      <c r="AB31" s="303" t="s">
        <v>191</v>
      </c>
      <c r="AC31" s="304">
        <v>261</v>
      </c>
      <c r="AD31" s="256"/>
      <c r="AE31" s="336"/>
      <c r="AF31" s="337"/>
      <c r="AG31" s="337"/>
      <c r="AH31" s="337"/>
      <c r="AI31" s="337"/>
      <c r="AJ31" s="337"/>
      <c r="AK31" s="337"/>
      <c r="AL31" s="337"/>
      <c r="AM31" s="337"/>
      <c r="AN31" s="337"/>
      <c r="AO31" s="337"/>
      <c r="AP31" s="337"/>
      <c r="AQ31" s="337"/>
      <c r="AR31" s="337"/>
      <c r="AS31" s="339"/>
      <c r="AT31" s="337"/>
      <c r="AU31" s="339"/>
      <c r="AV31" s="337"/>
      <c r="AW31" s="337"/>
      <c r="AX31" s="337"/>
      <c r="AY31" s="337"/>
      <c r="AZ31" s="337"/>
      <c r="BA31" s="337"/>
      <c r="BB31" s="337"/>
      <c r="BC31" s="337"/>
      <c r="BD31" s="337"/>
      <c r="BE31" s="337"/>
      <c r="BF31" s="337"/>
      <c r="BG31" s="337"/>
      <c r="BH31" s="337"/>
      <c r="BI31" s="337"/>
      <c r="BJ31" s="337"/>
      <c r="BK31" s="337"/>
      <c r="BL31" s="337"/>
      <c r="BM31" s="337"/>
      <c r="BN31" s="337"/>
      <c r="BO31" s="337"/>
      <c r="BP31" s="337"/>
      <c r="BQ31" s="337"/>
      <c r="BR31" s="340"/>
      <c r="BS31" s="337"/>
      <c r="BT31" s="341"/>
      <c r="BU31" s="341"/>
      <c r="BV31" s="342"/>
      <c r="BW31" s="342"/>
      <c r="BX31" s="343"/>
      <c r="BY31" s="344"/>
      <c r="BZ31" s="345"/>
      <c r="CA31" s="345"/>
      <c r="CB31" s="345"/>
      <c r="CC31" s="271"/>
      <c r="CD31" s="272"/>
      <c r="CE31" s="272"/>
      <c r="CF31" s="272"/>
      <c r="CG31" s="272"/>
      <c r="CH31" s="272"/>
      <c r="CI31" s="272"/>
      <c r="CJ31" s="272"/>
      <c r="CK31" s="272"/>
      <c r="CL31" s="272"/>
      <c r="CM31" s="272"/>
      <c r="CN31" s="272"/>
      <c r="CO31" s="272"/>
      <c r="CP31" s="272"/>
      <c r="CQ31" s="274"/>
      <c r="CR31" s="275"/>
      <c r="CS31" s="271"/>
      <c r="CT31" s="272"/>
      <c r="CU31" s="272"/>
      <c r="CV31" s="272"/>
      <c r="CW31" s="272"/>
      <c r="CX31" s="272"/>
      <c r="CY31" s="272"/>
      <c r="CZ31" s="272"/>
      <c r="DA31" s="272"/>
      <c r="DB31" s="272"/>
      <c r="DC31" s="272"/>
      <c r="DD31" s="272"/>
      <c r="DE31" s="272"/>
      <c r="DF31" s="274"/>
      <c r="DG31" s="275"/>
      <c r="DH31" s="271"/>
      <c r="DI31" s="272"/>
      <c r="DJ31" s="272"/>
      <c r="DK31" s="276"/>
      <c r="DL31" s="277"/>
      <c r="DM31" s="277"/>
      <c r="DN31" s="277"/>
      <c r="DO31" s="277"/>
      <c r="DP31" s="277"/>
      <c r="DQ31" s="277"/>
      <c r="DR31" s="277"/>
      <c r="DS31" s="277"/>
      <c r="DT31" s="277"/>
      <c r="DU31" s="277"/>
      <c r="DV31" s="277"/>
      <c r="DW31" s="277"/>
      <c r="DX31" s="277"/>
      <c r="DY31" s="277"/>
      <c r="DZ31" s="277"/>
      <c r="EA31" s="277"/>
      <c r="EB31" s="277"/>
      <c r="EC31" s="277"/>
      <c r="ED31" s="277"/>
      <c r="EE31" s="277"/>
      <c r="EF31" s="277"/>
      <c r="EG31" s="277"/>
      <c r="EH31" s="277"/>
      <c r="EI31" s="277"/>
      <c r="EJ31" s="277"/>
      <c r="EK31" s="277"/>
      <c r="EL31" s="277"/>
      <c r="EM31" s="277"/>
      <c r="EN31" s="277"/>
      <c r="EO31" s="302" t="s">
        <v>236</v>
      </c>
      <c r="EP31" s="321" t="s">
        <v>191</v>
      </c>
      <c r="EQ31" s="347">
        <v>261</v>
      </c>
      <c r="ER31" s="323"/>
      <c r="ES31" s="323"/>
      <c r="ET31" s="323"/>
      <c r="EU31" s="323"/>
      <c r="EV31" s="324" t="s">
        <v>237</v>
      </c>
      <c r="EW31" s="325">
        <v>26</v>
      </c>
      <c r="EX31" s="326">
        <v>28</v>
      </c>
      <c r="EY31" s="327" t="s">
        <v>188</v>
      </c>
      <c r="EZ31" s="328">
        <v>26</v>
      </c>
      <c r="FA31" s="329">
        <v>28</v>
      </c>
      <c r="FB31" s="327" t="s">
        <v>189</v>
      </c>
      <c r="FC31" s="328"/>
      <c r="FD31" s="329"/>
      <c r="FE31" s="330" t="s">
        <v>189</v>
      </c>
      <c r="FF31" s="328"/>
      <c r="FG31" s="329"/>
      <c r="FH31" s="330" t="s">
        <v>189</v>
      </c>
      <c r="FI31" s="328"/>
      <c r="FJ31" s="331"/>
      <c r="FK31" s="289"/>
      <c r="FL31" s="290"/>
      <c r="FM31" s="349"/>
      <c r="FN31" s="336"/>
      <c r="FO31" s="337"/>
      <c r="FP31" s="337"/>
      <c r="FQ31" s="337"/>
      <c r="FR31" s="337"/>
      <c r="FS31" s="337"/>
      <c r="FT31" s="337"/>
      <c r="FU31" s="337"/>
      <c r="FV31" s="339"/>
      <c r="FW31" s="337"/>
      <c r="FX31" s="339"/>
      <c r="FY31" s="337"/>
      <c r="FZ31" s="337"/>
      <c r="GA31" s="337"/>
      <c r="GB31" s="337"/>
      <c r="GC31" s="337"/>
      <c r="GD31" s="337"/>
      <c r="GE31" s="337"/>
      <c r="GF31" s="337"/>
      <c r="GG31" s="337"/>
      <c r="GH31" s="337"/>
      <c r="GI31" s="337"/>
      <c r="GJ31" s="337"/>
      <c r="GK31" s="337"/>
      <c r="GL31" s="337"/>
      <c r="GM31" s="337"/>
      <c r="GN31" s="337"/>
      <c r="GO31" s="337"/>
      <c r="GP31" s="337"/>
      <c r="GQ31" s="337"/>
      <c r="GR31" s="337"/>
      <c r="GS31" s="337"/>
      <c r="GT31" s="337"/>
      <c r="GU31" s="341"/>
      <c r="GV31" s="341"/>
      <c r="GW31" s="342"/>
      <c r="GX31" s="342"/>
      <c r="GY31" s="343"/>
      <c r="GZ31" s="344"/>
      <c r="HA31" s="345"/>
      <c r="HB31" s="345"/>
      <c r="HC31" s="345"/>
      <c r="HD31" s="271"/>
      <c r="HE31" s="272"/>
      <c r="HF31" s="272"/>
      <c r="HG31" s="272"/>
      <c r="HH31" s="272"/>
      <c r="HI31" s="272"/>
      <c r="HJ31" s="272"/>
      <c r="HK31" s="272"/>
      <c r="HL31" s="272"/>
      <c r="HM31" s="272"/>
      <c r="HN31" s="272"/>
      <c r="HO31" s="272"/>
      <c r="HP31" s="272"/>
      <c r="HQ31" s="272"/>
      <c r="HR31" s="274"/>
      <c r="HS31" s="275"/>
      <c r="HT31" s="271"/>
      <c r="HU31" s="272"/>
      <c r="HV31" s="272"/>
      <c r="HW31" s="272"/>
      <c r="HX31" s="272"/>
      <c r="HY31" s="272"/>
      <c r="HZ31" s="272"/>
      <c r="IA31" s="272"/>
      <c r="IB31" s="272"/>
      <c r="IC31" s="272"/>
      <c r="ID31" s="272"/>
      <c r="IE31" s="272"/>
      <c r="IF31" s="272"/>
      <c r="IG31" s="274"/>
      <c r="IH31" s="275"/>
      <c r="II31" s="271"/>
      <c r="IJ31" s="272"/>
      <c r="IK31" s="272"/>
      <c r="IL31" s="276"/>
      <c r="IM31" s="277"/>
      <c r="IN31" s="277"/>
      <c r="IO31" s="333"/>
      <c r="IP31" s="334"/>
      <c r="JF31" s="296"/>
      <c r="JO31" s="335"/>
      <c r="KW31" s="296"/>
      <c r="KX31" s="277"/>
      <c r="KY31" s="277"/>
    </row>
    <row r="32" spans="1:398" s="352" customFormat="1" ht="42.65" hidden="1" customHeight="1">
      <c r="A32" s="1"/>
      <c r="B32" s="299"/>
      <c r="C32" s="241"/>
      <c r="D32" s="242"/>
      <c r="E32" s="243" t="s">
        <v>165</v>
      </c>
      <c r="F32" s="244"/>
      <c r="G32" s="246">
        <v>0</v>
      </c>
      <c r="H32" s="246">
        <v>0</v>
      </c>
      <c r="I32" s="246">
        <v>0</v>
      </c>
      <c r="J32" s="246">
        <v>0</v>
      </c>
      <c r="K32" s="246"/>
      <c r="L32" s="246">
        <v>0</v>
      </c>
      <c r="M32" s="300">
        <v>0</v>
      </c>
      <c r="N32" s="251">
        <v>0</v>
      </c>
      <c r="O32" s="251">
        <v>0</v>
      </c>
      <c r="P32" s="300">
        <v>0</v>
      </c>
      <c r="Q32" s="251">
        <v>0</v>
      </c>
      <c r="R32" s="251">
        <v>0</v>
      </c>
      <c r="S32" s="251">
        <v>0</v>
      </c>
      <c r="T32" s="251"/>
      <c r="U32" s="301" t="s">
        <v>165</v>
      </c>
      <c r="V32" s="242"/>
      <c r="W32" s="242"/>
      <c r="X32" s="242"/>
      <c r="Y32" s="242"/>
      <c r="Z32" s="242"/>
      <c r="AA32" s="302" t="s">
        <v>238</v>
      </c>
      <c r="AB32" s="303" t="s">
        <v>191</v>
      </c>
      <c r="AC32" s="304">
        <v>212</v>
      </c>
      <c r="AD32" s="256"/>
      <c r="AE32" s="336"/>
      <c r="AF32" s="337"/>
      <c r="AG32" s="337"/>
      <c r="AH32" s="337"/>
      <c r="AI32" s="337"/>
      <c r="AJ32" s="337"/>
      <c r="AK32" s="337"/>
      <c r="AL32" s="337"/>
      <c r="AM32" s="337"/>
      <c r="AN32" s="337"/>
      <c r="AO32" s="337"/>
      <c r="AP32" s="337"/>
      <c r="AQ32" s="337"/>
      <c r="AR32" s="337"/>
      <c r="AS32" s="339"/>
      <c r="AT32" s="337"/>
      <c r="AU32" s="339"/>
      <c r="AV32" s="337"/>
      <c r="AW32" s="337"/>
      <c r="AX32" s="337"/>
      <c r="AY32" s="337"/>
      <c r="AZ32" s="337"/>
      <c r="BA32" s="337"/>
      <c r="BB32" s="337"/>
      <c r="BC32" s="337"/>
      <c r="BD32" s="337"/>
      <c r="BE32" s="337"/>
      <c r="BF32" s="337"/>
      <c r="BG32" s="337"/>
      <c r="BH32" s="337"/>
      <c r="BI32" s="337"/>
      <c r="BJ32" s="337"/>
      <c r="BK32" s="337"/>
      <c r="BL32" s="337"/>
      <c r="BM32" s="337"/>
      <c r="BN32" s="337"/>
      <c r="BO32" s="337"/>
      <c r="BP32" s="337"/>
      <c r="BQ32" s="337"/>
      <c r="BR32" s="340"/>
      <c r="BS32" s="337"/>
      <c r="BT32" s="341"/>
      <c r="BU32" s="341"/>
      <c r="BV32" s="342"/>
      <c r="BW32" s="342"/>
      <c r="BX32" s="343"/>
      <c r="BY32" s="344"/>
      <c r="BZ32" s="345"/>
      <c r="CA32" s="345"/>
      <c r="CB32" s="345"/>
      <c r="CC32" s="271"/>
      <c r="CD32" s="272"/>
      <c r="CE32" s="272"/>
      <c r="CF32" s="272"/>
      <c r="CG32" s="272"/>
      <c r="CH32" s="272"/>
      <c r="CI32" s="272"/>
      <c r="CJ32" s="272"/>
      <c r="CK32" s="272"/>
      <c r="CL32" s="272"/>
      <c r="CM32" s="272"/>
      <c r="CN32" s="272"/>
      <c r="CO32" s="272"/>
      <c r="CP32" s="272"/>
      <c r="CQ32" s="274"/>
      <c r="CR32" s="275"/>
      <c r="CS32" s="271"/>
      <c r="CT32" s="272"/>
      <c r="CU32" s="272"/>
      <c r="CV32" s="272"/>
      <c r="CW32" s="272"/>
      <c r="CX32" s="272"/>
      <c r="CY32" s="272"/>
      <c r="CZ32" s="272"/>
      <c r="DA32" s="272"/>
      <c r="DB32" s="272"/>
      <c r="DC32" s="272"/>
      <c r="DD32" s="272"/>
      <c r="DE32" s="272"/>
      <c r="DF32" s="274"/>
      <c r="DG32" s="275"/>
      <c r="DH32" s="271"/>
      <c r="DI32" s="272"/>
      <c r="DJ32" s="272"/>
      <c r="DK32" s="276"/>
      <c r="DL32" s="277"/>
      <c r="DM32" s="277"/>
      <c r="DN32" s="277"/>
      <c r="DO32" s="277"/>
      <c r="DP32" s="277"/>
      <c r="DQ32" s="277"/>
      <c r="DR32" s="277"/>
      <c r="DS32" s="277"/>
      <c r="DT32" s="277"/>
      <c r="DU32" s="277"/>
      <c r="DV32" s="277"/>
      <c r="DW32" s="277"/>
      <c r="DX32" s="277"/>
      <c r="DY32" s="277"/>
      <c r="DZ32" s="277"/>
      <c r="EA32" s="277"/>
      <c r="EB32" s="277"/>
      <c r="EC32" s="277"/>
      <c r="ED32" s="277"/>
      <c r="EE32" s="277"/>
      <c r="EF32" s="277"/>
      <c r="EG32" s="277"/>
      <c r="EH32" s="277"/>
      <c r="EI32" s="277"/>
      <c r="EJ32" s="277"/>
      <c r="EK32" s="277"/>
      <c r="EL32" s="277"/>
      <c r="EM32" s="277"/>
      <c r="EN32" s="277"/>
      <c r="EO32" s="302" t="s">
        <v>238</v>
      </c>
      <c r="EP32" s="321" t="s">
        <v>191</v>
      </c>
      <c r="EQ32" s="322">
        <v>212</v>
      </c>
      <c r="ER32" s="323"/>
      <c r="ES32" s="323"/>
      <c r="ET32" s="323"/>
      <c r="EU32" s="323"/>
      <c r="EV32" s="324" t="s">
        <v>239</v>
      </c>
      <c r="EW32" s="325">
        <v>28</v>
      </c>
      <c r="EX32" s="326">
        <v>26</v>
      </c>
      <c r="EY32" s="327" t="s">
        <v>188</v>
      </c>
      <c r="EZ32" s="328">
        <v>28</v>
      </c>
      <c r="FA32" s="329">
        <v>26</v>
      </c>
      <c r="FB32" s="327" t="s">
        <v>189</v>
      </c>
      <c r="FC32" s="328"/>
      <c r="FD32" s="329"/>
      <c r="FE32" s="330" t="s">
        <v>189</v>
      </c>
      <c r="FF32" s="328"/>
      <c r="FG32" s="329"/>
      <c r="FH32" s="330" t="s">
        <v>189</v>
      </c>
      <c r="FI32" s="328"/>
      <c r="FJ32" s="331"/>
      <c r="FK32" s="289"/>
      <c r="FL32" s="290"/>
      <c r="FM32" s="349"/>
      <c r="FN32" s="336"/>
      <c r="FO32" s="337"/>
      <c r="FP32" s="337"/>
      <c r="FQ32" s="337"/>
      <c r="FR32" s="337"/>
      <c r="FS32" s="337"/>
      <c r="FT32" s="337"/>
      <c r="FU32" s="337"/>
      <c r="FV32" s="339"/>
      <c r="FW32" s="337"/>
      <c r="FX32" s="339"/>
      <c r="FY32" s="337"/>
      <c r="FZ32" s="337"/>
      <c r="GA32" s="337"/>
      <c r="GB32" s="337"/>
      <c r="GC32" s="337"/>
      <c r="GD32" s="337"/>
      <c r="GE32" s="337"/>
      <c r="GF32" s="337"/>
      <c r="GG32" s="337"/>
      <c r="GH32" s="337"/>
      <c r="GI32" s="337"/>
      <c r="GJ32" s="337"/>
      <c r="GK32" s="337"/>
      <c r="GL32" s="337"/>
      <c r="GM32" s="337"/>
      <c r="GN32" s="337"/>
      <c r="GO32" s="337"/>
      <c r="GP32" s="337"/>
      <c r="GQ32" s="337"/>
      <c r="GR32" s="337"/>
      <c r="GS32" s="337"/>
      <c r="GT32" s="337"/>
      <c r="GU32" s="341"/>
      <c r="GV32" s="341"/>
      <c r="GW32" s="342"/>
      <c r="GX32" s="342"/>
      <c r="GY32" s="343"/>
      <c r="GZ32" s="344"/>
      <c r="HA32" s="345"/>
      <c r="HB32" s="345"/>
      <c r="HC32" s="345"/>
      <c r="HD32" s="271"/>
      <c r="HE32" s="272"/>
      <c r="HF32" s="272"/>
      <c r="HG32" s="272"/>
      <c r="HH32" s="272"/>
      <c r="HI32" s="272"/>
      <c r="HJ32" s="272"/>
      <c r="HK32" s="272"/>
      <c r="HL32" s="272"/>
      <c r="HM32" s="272"/>
      <c r="HN32" s="272"/>
      <c r="HO32" s="272"/>
      <c r="HP32" s="272"/>
      <c r="HQ32" s="272"/>
      <c r="HR32" s="274"/>
      <c r="HS32" s="275"/>
      <c r="HT32" s="271"/>
      <c r="HU32" s="272"/>
      <c r="HV32" s="272"/>
      <c r="HW32" s="272"/>
      <c r="HX32" s="272"/>
      <c r="HY32" s="272"/>
      <c r="HZ32" s="272"/>
      <c r="IA32" s="272"/>
      <c r="IB32" s="272"/>
      <c r="IC32" s="272"/>
      <c r="ID32" s="272"/>
      <c r="IE32" s="272"/>
      <c r="IF32" s="272"/>
      <c r="IG32" s="274"/>
      <c r="IH32" s="275"/>
      <c r="II32" s="271"/>
      <c r="IJ32" s="272"/>
      <c r="IK32" s="272"/>
      <c r="IL32" s="276"/>
      <c r="IM32" s="277"/>
      <c r="IN32" s="277"/>
      <c r="IO32" s="333"/>
      <c r="IP32" s="334"/>
      <c r="IR32" s="353"/>
      <c r="IS32" s="353"/>
      <c r="IT32" s="353"/>
      <c r="IU32" s="353"/>
      <c r="IV32" s="353"/>
      <c r="IW32" s="353"/>
      <c r="JF32" s="354"/>
      <c r="JO32" s="355"/>
      <c r="KW32" s="354"/>
      <c r="KX32" s="277"/>
      <c r="KY32" s="277"/>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row>
    <row r="33" spans="2:311" ht="42.65" hidden="1" customHeight="1">
      <c r="B33" s="299"/>
      <c r="C33" s="241"/>
      <c r="D33" s="242"/>
      <c r="E33" s="243" t="s">
        <v>165</v>
      </c>
      <c r="F33" s="244"/>
      <c r="G33" s="246">
        <v>0</v>
      </c>
      <c r="H33" s="246">
        <v>0</v>
      </c>
      <c r="I33" s="246">
        <v>0</v>
      </c>
      <c r="J33" s="246">
        <v>0</v>
      </c>
      <c r="K33" s="246"/>
      <c r="L33" s="246">
        <v>0</v>
      </c>
      <c r="M33" s="300">
        <v>0</v>
      </c>
      <c r="N33" s="251">
        <v>0</v>
      </c>
      <c r="O33" s="251">
        <v>0</v>
      </c>
      <c r="P33" s="300">
        <v>0</v>
      </c>
      <c r="Q33" s="251">
        <v>0</v>
      </c>
      <c r="R33" s="251">
        <v>0</v>
      </c>
      <c r="S33" s="251">
        <v>0</v>
      </c>
      <c r="T33" s="251"/>
      <c r="U33" s="301" t="s">
        <v>165</v>
      </c>
      <c r="V33" s="242"/>
      <c r="W33" s="242"/>
      <c r="X33" s="242"/>
      <c r="Y33" s="242"/>
      <c r="Z33" s="242"/>
      <c r="AA33" s="302" t="s">
        <v>240</v>
      </c>
      <c r="AB33" s="303" t="s">
        <v>191</v>
      </c>
      <c r="AC33" s="304">
        <v>371</v>
      </c>
      <c r="AD33" s="256"/>
      <c r="AE33" s="336"/>
      <c r="AF33" s="337"/>
      <c r="AG33" s="337"/>
      <c r="AH33" s="337"/>
      <c r="AI33" s="337"/>
      <c r="AJ33" s="337"/>
      <c r="AK33" s="337"/>
      <c r="AL33" s="337"/>
      <c r="AM33" s="337"/>
      <c r="AN33" s="337"/>
      <c r="AO33" s="337"/>
      <c r="AP33" s="337"/>
      <c r="AQ33" s="337"/>
      <c r="AR33" s="337"/>
      <c r="AS33" s="339"/>
      <c r="AT33" s="337"/>
      <c r="AU33" s="339"/>
      <c r="AV33" s="337"/>
      <c r="AW33" s="337"/>
      <c r="AX33" s="337"/>
      <c r="AY33" s="337"/>
      <c r="AZ33" s="337"/>
      <c r="BA33" s="337"/>
      <c r="BB33" s="337"/>
      <c r="BC33" s="337"/>
      <c r="BD33" s="337"/>
      <c r="BE33" s="337"/>
      <c r="BF33" s="337"/>
      <c r="BG33" s="337"/>
      <c r="BH33" s="337"/>
      <c r="BI33" s="337"/>
      <c r="BJ33" s="337"/>
      <c r="BK33" s="337"/>
      <c r="BL33" s="337"/>
      <c r="BM33" s="337"/>
      <c r="BN33" s="337"/>
      <c r="BO33" s="337"/>
      <c r="BP33" s="337"/>
      <c r="BQ33" s="337"/>
      <c r="BR33" s="340"/>
      <c r="BS33" s="337"/>
      <c r="BT33" s="341"/>
      <c r="BU33" s="341"/>
      <c r="BV33" s="342"/>
      <c r="BW33" s="342"/>
      <c r="BX33" s="343"/>
      <c r="BY33" s="344"/>
      <c r="BZ33" s="345"/>
      <c r="CA33" s="345"/>
      <c r="CB33" s="345"/>
      <c r="CC33" s="271"/>
      <c r="CD33" s="272"/>
      <c r="CE33" s="272"/>
      <c r="CF33" s="272"/>
      <c r="CG33" s="272"/>
      <c r="CH33" s="272"/>
      <c r="CI33" s="272"/>
      <c r="CJ33" s="272"/>
      <c r="CK33" s="272"/>
      <c r="CL33" s="272"/>
      <c r="CM33" s="272"/>
      <c r="CN33" s="272"/>
      <c r="CO33" s="272"/>
      <c r="CP33" s="272"/>
      <c r="CQ33" s="274"/>
      <c r="CR33" s="275"/>
      <c r="CS33" s="271"/>
      <c r="CT33" s="272"/>
      <c r="CU33" s="272"/>
      <c r="CV33" s="272"/>
      <c r="CW33" s="272"/>
      <c r="CX33" s="272"/>
      <c r="CY33" s="272"/>
      <c r="CZ33" s="272"/>
      <c r="DA33" s="272"/>
      <c r="DB33" s="272"/>
      <c r="DC33" s="272"/>
      <c r="DD33" s="272"/>
      <c r="DE33" s="272"/>
      <c r="DF33" s="274"/>
      <c r="DG33" s="275"/>
      <c r="DH33" s="271"/>
      <c r="DI33" s="272"/>
      <c r="DJ33" s="272"/>
      <c r="DK33" s="276"/>
      <c r="DL33" s="277"/>
      <c r="DM33" s="277"/>
      <c r="DN33" s="277"/>
      <c r="DO33" s="277"/>
      <c r="DP33" s="277"/>
      <c r="DQ33" s="277"/>
      <c r="DR33" s="277"/>
      <c r="DS33" s="277"/>
      <c r="DT33" s="277"/>
      <c r="DU33" s="277"/>
      <c r="DV33" s="277"/>
      <c r="DW33" s="277"/>
      <c r="DX33" s="277"/>
      <c r="DY33" s="277"/>
      <c r="DZ33" s="277"/>
      <c r="EA33" s="277"/>
      <c r="EB33" s="277"/>
      <c r="EC33" s="277"/>
      <c r="ED33" s="277"/>
      <c r="EE33" s="277"/>
      <c r="EF33" s="277"/>
      <c r="EG33" s="277"/>
      <c r="EH33" s="277"/>
      <c r="EI33" s="277"/>
      <c r="EJ33" s="277"/>
      <c r="EK33" s="277"/>
      <c r="EL33" s="277"/>
      <c r="EM33" s="277"/>
      <c r="EN33" s="277"/>
      <c r="EO33" s="302" t="s">
        <v>240</v>
      </c>
      <c r="EP33" s="321" t="s">
        <v>191</v>
      </c>
      <c r="EQ33" s="347">
        <v>371</v>
      </c>
      <c r="ER33" s="323"/>
      <c r="ES33" s="323"/>
      <c r="ET33" s="323"/>
      <c r="EU33" s="323"/>
      <c r="EV33" s="324" t="s">
        <v>241</v>
      </c>
      <c r="EW33" s="325">
        <v>5</v>
      </c>
      <c r="EX33" s="326">
        <v>8</v>
      </c>
      <c r="EY33" s="327" t="s">
        <v>242</v>
      </c>
      <c r="EZ33" s="328">
        <v>24.4</v>
      </c>
      <c r="FA33" s="329">
        <v>30</v>
      </c>
      <c r="FB33" s="327" t="s">
        <v>189</v>
      </c>
      <c r="FC33" s="328"/>
      <c r="FD33" s="329"/>
      <c r="FE33" s="330" t="s">
        <v>189</v>
      </c>
      <c r="FF33" s="328"/>
      <c r="FG33" s="329"/>
      <c r="FH33" s="330" t="s">
        <v>189</v>
      </c>
      <c r="FI33" s="328"/>
      <c r="FJ33" s="331"/>
      <c r="FK33" s="289"/>
      <c r="FL33" s="290"/>
      <c r="FM33" s="349"/>
      <c r="FN33" s="336"/>
      <c r="FO33" s="337"/>
      <c r="FP33" s="337"/>
      <c r="FQ33" s="337"/>
      <c r="FR33" s="337"/>
      <c r="FS33" s="337"/>
      <c r="FT33" s="337"/>
      <c r="FU33" s="337"/>
      <c r="FV33" s="339"/>
      <c r="FW33" s="337"/>
      <c r="FX33" s="339"/>
      <c r="FY33" s="337"/>
      <c r="FZ33" s="337"/>
      <c r="GA33" s="337"/>
      <c r="GB33" s="337"/>
      <c r="GC33" s="337"/>
      <c r="GD33" s="337"/>
      <c r="GE33" s="337"/>
      <c r="GF33" s="337"/>
      <c r="GG33" s="337"/>
      <c r="GH33" s="337"/>
      <c r="GI33" s="337"/>
      <c r="GJ33" s="337"/>
      <c r="GK33" s="337"/>
      <c r="GL33" s="337"/>
      <c r="GM33" s="337"/>
      <c r="GN33" s="337"/>
      <c r="GO33" s="337"/>
      <c r="GP33" s="337"/>
      <c r="GQ33" s="337"/>
      <c r="GR33" s="337"/>
      <c r="GS33" s="337"/>
      <c r="GT33" s="337"/>
      <c r="GU33" s="341"/>
      <c r="GV33" s="341"/>
      <c r="GW33" s="342"/>
      <c r="GX33" s="342"/>
      <c r="GY33" s="343"/>
      <c r="GZ33" s="344"/>
      <c r="HA33" s="345"/>
      <c r="HB33" s="345"/>
      <c r="HC33" s="345"/>
      <c r="HD33" s="271"/>
      <c r="HE33" s="272"/>
      <c r="HF33" s="272"/>
      <c r="HG33" s="272"/>
      <c r="HH33" s="272"/>
      <c r="HI33" s="272"/>
      <c r="HJ33" s="272"/>
      <c r="HK33" s="272"/>
      <c r="HL33" s="272"/>
      <c r="HM33" s="272"/>
      <c r="HN33" s="272"/>
      <c r="HO33" s="272"/>
      <c r="HP33" s="272"/>
      <c r="HQ33" s="272"/>
      <c r="HR33" s="274"/>
      <c r="HS33" s="275"/>
      <c r="HT33" s="271"/>
      <c r="HU33" s="272"/>
      <c r="HV33" s="272"/>
      <c r="HW33" s="272"/>
      <c r="HX33" s="272"/>
      <c r="HY33" s="272"/>
      <c r="HZ33" s="272"/>
      <c r="IA33" s="272"/>
      <c r="IB33" s="272"/>
      <c r="IC33" s="272"/>
      <c r="ID33" s="272"/>
      <c r="IE33" s="272"/>
      <c r="IF33" s="272"/>
      <c r="IG33" s="274"/>
      <c r="IH33" s="275"/>
      <c r="II33" s="271"/>
      <c r="IJ33" s="272"/>
      <c r="IK33" s="272"/>
      <c r="IL33" s="276"/>
      <c r="IM33" s="277"/>
      <c r="IN33" s="277"/>
      <c r="IO33" s="333"/>
      <c r="IP33" s="334"/>
      <c r="JF33" s="296"/>
      <c r="JO33" s="335"/>
      <c r="KW33" s="296"/>
      <c r="KX33" s="277"/>
      <c r="KY33" s="277"/>
    </row>
    <row r="34" spans="2:311" ht="42.65" hidden="1" customHeight="1">
      <c r="B34" s="299"/>
      <c r="C34" s="241"/>
      <c r="D34" s="242"/>
      <c r="E34" s="243" t="s">
        <v>165</v>
      </c>
      <c r="F34" s="244"/>
      <c r="G34" s="246">
        <v>0</v>
      </c>
      <c r="H34" s="246">
        <v>0</v>
      </c>
      <c r="I34" s="246">
        <v>0</v>
      </c>
      <c r="J34" s="246">
        <v>0</v>
      </c>
      <c r="K34" s="246"/>
      <c r="L34" s="246">
        <v>0</v>
      </c>
      <c r="M34" s="300">
        <v>0</v>
      </c>
      <c r="N34" s="251">
        <v>0</v>
      </c>
      <c r="O34" s="251">
        <v>0</v>
      </c>
      <c r="P34" s="300">
        <v>0</v>
      </c>
      <c r="Q34" s="251">
        <v>0</v>
      </c>
      <c r="R34" s="251">
        <v>0</v>
      </c>
      <c r="S34" s="251">
        <v>0</v>
      </c>
      <c r="T34" s="251"/>
      <c r="U34" s="301" t="s">
        <v>165</v>
      </c>
      <c r="V34" s="242"/>
      <c r="W34" s="242"/>
      <c r="X34" s="242"/>
      <c r="Y34" s="242"/>
      <c r="Z34" s="242"/>
      <c r="AA34" s="302" t="s">
        <v>243</v>
      </c>
      <c r="AB34" s="303" t="s">
        <v>191</v>
      </c>
      <c r="AC34" s="304">
        <v>260</v>
      </c>
      <c r="AD34" s="256"/>
      <c r="AE34" s="336"/>
      <c r="AF34" s="337"/>
      <c r="AG34" s="337"/>
      <c r="AH34" s="337"/>
      <c r="AI34" s="337"/>
      <c r="AJ34" s="337"/>
      <c r="AK34" s="337"/>
      <c r="AL34" s="337"/>
      <c r="AM34" s="337"/>
      <c r="AN34" s="337"/>
      <c r="AO34" s="337"/>
      <c r="AP34" s="337"/>
      <c r="AQ34" s="337"/>
      <c r="AR34" s="337"/>
      <c r="AS34" s="339"/>
      <c r="AT34" s="337"/>
      <c r="AU34" s="339"/>
      <c r="AV34" s="337"/>
      <c r="AW34" s="337"/>
      <c r="AX34" s="337"/>
      <c r="AY34" s="337"/>
      <c r="AZ34" s="337"/>
      <c r="BA34" s="337"/>
      <c r="BB34" s="337"/>
      <c r="BC34" s="337"/>
      <c r="BD34" s="337"/>
      <c r="BE34" s="337"/>
      <c r="BF34" s="337"/>
      <c r="BG34" s="337"/>
      <c r="BH34" s="337"/>
      <c r="BI34" s="337"/>
      <c r="BJ34" s="337"/>
      <c r="BK34" s="337"/>
      <c r="BL34" s="337"/>
      <c r="BM34" s="337"/>
      <c r="BN34" s="337"/>
      <c r="BO34" s="337"/>
      <c r="BP34" s="337"/>
      <c r="BQ34" s="337"/>
      <c r="BR34" s="340"/>
      <c r="BS34" s="337"/>
      <c r="BT34" s="341"/>
      <c r="BU34" s="341"/>
      <c r="BV34" s="342"/>
      <c r="BW34" s="342"/>
      <c r="BX34" s="343"/>
      <c r="BY34" s="344"/>
      <c r="BZ34" s="345"/>
      <c r="CA34" s="345"/>
      <c r="CB34" s="345"/>
      <c r="CC34" s="271"/>
      <c r="CD34" s="272"/>
      <c r="CE34" s="272"/>
      <c r="CF34" s="272"/>
      <c r="CG34" s="272"/>
      <c r="CH34" s="272"/>
      <c r="CI34" s="272"/>
      <c r="CJ34" s="272"/>
      <c r="CK34" s="272"/>
      <c r="CL34" s="272"/>
      <c r="CM34" s="272"/>
      <c r="CN34" s="272"/>
      <c r="CO34" s="272"/>
      <c r="CP34" s="272"/>
      <c r="CQ34" s="274"/>
      <c r="CR34" s="275"/>
      <c r="CS34" s="271"/>
      <c r="CT34" s="272"/>
      <c r="CU34" s="272"/>
      <c r="CV34" s="272"/>
      <c r="CW34" s="272"/>
      <c r="CX34" s="272"/>
      <c r="CY34" s="272"/>
      <c r="CZ34" s="272"/>
      <c r="DA34" s="272"/>
      <c r="DB34" s="272"/>
      <c r="DC34" s="272"/>
      <c r="DD34" s="272"/>
      <c r="DE34" s="272"/>
      <c r="DF34" s="274"/>
      <c r="DG34" s="275"/>
      <c r="DH34" s="271"/>
      <c r="DI34" s="272"/>
      <c r="DJ34" s="272"/>
      <c r="DK34" s="276"/>
      <c r="DL34" s="277"/>
      <c r="DM34" s="277"/>
      <c r="DN34" s="277"/>
      <c r="DO34" s="277"/>
      <c r="DP34" s="277"/>
      <c r="DQ34" s="277"/>
      <c r="DR34" s="277"/>
      <c r="DS34" s="277"/>
      <c r="DT34" s="277"/>
      <c r="DU34" s="277"/>
      <c r="DV34" s="277"/>
      <c r="DW34" s="277"/>
      <c r="DX34" s="277"/>
      <c r="DY34" s="277"/>
      <c r="DZ34" s="277"/>
      <c r="EA34" s="277"/>
      <c r="EB34" s="277"/>
      <c r="EC34" s="277"/>
      <c r="ED34" s="277"/>
      <c r="EE34" s="277"/>
      <c r="EF34" s="277"/>
      <c r="EG34" s="277"/>
      <c r="EH34" s="277"/>
      <c r="EI34" s="277"/>
      <c r="EJ34" s="277"/>
      <c r="EK34" s="277"/>
      <c r="EL34" s="277"/>
      <c r="EM34" s="277"/>
      <c r="EN34" s="277"/>
      <c r="EO34" s="302" t="s">
        <v>243</v>
      </c>
      <c r="EP34" s="321" t="s">
        <v>191</v>
      </c>
      <c r="EQ34" s="322">
        <v>260</v>
      </c>
      <c r="ER34" s="323"/>
      <c r="ES34" s="323"/>
      <c r="ET34" s="323"/>
      <c r="EU34" s="323"/>
      <c r="EV34" s="324" t="s">
        <v>215</v>
      </c>
      <c r="EW34" s="325">
        <v>11</v>
      </c>
      <c r="EX34" s="326">
        <v>19</v>
      </c>
      <c r="EY34" s="327" t="s">
        <v>244</v>
      </c>
      <c r="EZ34" s="328">
        <v>25.9</v>
      </c>
      <c r="FA34" s="329">
        <v>35</v>
      </c>
      <c r="FB34" s="327" t="s">
        <v>189</v>
      </c>
      <c r="FC34" s="328"/>
      <c r="FD34" s="329"/>
      <c r="FE34" s="330" t="s">
        <v>189</v>
      </c>
      <c r="FF34" s="328"/>
      <c r="FG34" s="329"/>
      <c r="FH34" s="330" t="s">
        <v>189</v>
      </c>
      <c r="FI34" s="328"/>
      <c r="FJ34" s="331"/>
      <c r="FK34" s="289"/>
      <c r="FL34" s="290"/>
      <c r="FM34" s="349"/>
      <c r="FN34" s="336"/>
      <c r="FO34" s="337"/>
      <c r="FP34" s="337"/>
      <c r="FQ34" s="337"/>
      <c r="FR34" s="337"/>
      <c r="FS34" s="337"/>
      <c r="FT34" s="337"/>
      <c r="FU34" s="337"/>
      <c r="FV34" s="339"/>
      <c r="FW34" s="337"/>
      <c r="FX34" s="339"/>
      <c r="FY34" s="337"/>
      <c r="FZ34" s="337"/>
      <c r="GA34" s="337"/>
      <c r="GB34" s="337"/>
      <c r="GC34" s="337"/>
      <c r="GD34" s="337"/>
      <c r="GE34" s="337"/>
      <c r="GF34" s="337"/>
      <c r="GG34" s="337"/>
      <c r="GH34" s="337"/>
      <c r="GI34" s="337"/>
      <c r="GJ34" s="337"/>
      <c r="GK34" s="337"/>
      <c r="GL34" s="337"/>
      <c r="GM34" s="337"/>
      <c r="GN34" s="337"/>
      <c r="GO34" s="337"/>
      <c r="GP34" s="337"/>
      <c r="GQ34" s="337"/>
      <c r="GR34" s="337"/>
      <c r="GS34" s="337"/>
      <c r="GT34" s="337"/>
      <c r="GU34" s="341"/>
      <c r="GV34" s="341"/>
      <c r="GW34" s="342"/>
      <c r="GX34" s="342"/>
      <c r="GY34" s="343"/>
      <c r="GZ34" s="344"/>
      <c r="HA34" s="345"/>
      <c r="HB34" s="345"/>
      <c r="HC34" s="345"/>
      <c r="HD34" s="271"/>
      <c r="HE34" s="272"/>
      <c r="HF34" s="272"/>
      <c r="HG34" s="272"/>
      <c r="HH34" s="272"/>
      <c r="HI34" s="272"/>
      <c r="HJ34" s="272"/>
      <c r="HK34" s="272"/>
      <c r="HL34" s="272"/>
      <c r="HM34" s="272"/>
      <c r="HN34" s="272"/>
      <c r="HO34" s="272"/>
      <c r="HP34" s="272"/>
      <c r="HQ34" s="272"/>
      <c r="HR34" s="274"/>
      <c r="HS34" s="275"/>
      <c r="HT34" s="271"/>
      <c r="HU34" s="272"/>
      <c r="HV34" s="272"/>
      <c r="HW34" s="272"/>
      <c r="HX34" s="272"/>
      <c r="HY34" s="272"/>
      <c r="HZ34" s="272"/>
      <c r="IA34" s="272"/>
      <c r="IB34" s="272"/>
      <c r="IC34" s="272"/>
      <c r="ID34" s="272"/>
      <c r="IE34" s="272"/>
      <c r="IF34" s="272"/>
      <c r="IG34" s="274"/>
      <c r="IH34" s="275"/>
      <c r="II34" s="271"/>
      <c r="IJ34" s="272"/>
      <c r="IK34" s="272"/>
      <c r="IL34" s="276"/>
      <c r="IM34" s="277"/>
      <c r="IN34" s="277"/>
      <c r="IO34" s="333"/>
      <c r="IP34" s="334"/>
      <c r="JF34" s="296"/>
      <c r="JO34" s="335"/>
      <c r="KW34" s="296"/>
      <c r="KX34" s="277"/>
      <c r="KY34" s="277"/>
    </row>
    <row r="35" spans="2:311" ht="42.65" hidden="1" customHeight="1">
      <c r="B35" s="299"/>
      <c r="C35" s="241"/>
      <c r="D35" s="242"/>
      <c r="E35" s="243" t="s">
        <v>165</v>
      </c>
      <c r="F35" s="244"/>
      <c r="G35" s="246">
        <v>0</v>
      </c>
      <c r="H35" s="249">
        <v>0</v>
      </c>
      <c r="I35" s="249">
        <v>0</v>
      </c>
      <c r="J35" s="249">
        <v>0</v>
      </c>
      <c r="K35" s="249"/>
      <c r="L35" s="249">
        <v>0</v>
      </c>
      <c r="M35" s="300">
        <v>0</v>
      </c>
      <c r="N35" s="251">
        <v>0</v>
      </c>
      <c r="O35" s="251">
        <v>0</v>
      </c>
      <c r="P35" s="300">
        <v>0</v>
      </c>
      <c r="Q35" s="251">
        <v>0</v>
      </c>
      <c r="R35" s="251">
        <v>0</v>
      </c>
      <c r="S35" s="251">
        <v>0</v>
      </c>
      <c r="T35" s="251"/>
      <c r="U35" s="301" t="s">
        <v>165</v>
      </c>
      <c r="V35" s="242"/>
      <c r="W35" s="242"/>
      <c r="X35" s="242"/>
      <c r="Y35" s="242"/>
      <c r="Z35" s="242"/>
      <c r="AA35" s="302" t="s">
        <v>245</v>
      </c>
      <c r="AB35" s="358" t="s">
        <v>191</v>
      </c>
      <c r="AC35" s="359">
        <v>90</v>
      </c>
      <c r="AD35" s="256"/>
      <c r="AE35" s="336"/>
      <c r="AF35" s="337"/>
      <c r="AG35" s="337"/>
      <c r="AH35" s="337"/>
      <c r="AI35" s="337"/>
      <c r="AJ35" s="337"/>
      <c r="AK35" s="337"/>
      <c r="AL35" s="337"/>
      <c r="AM35" s="337"/>
      <c r="AN35" s="337"/>
      <c r="AO35" s="337"/>
      <c r="AP35" s="337"/>
      <c r="AQ35" s="337"/>
      <c r="AR35" s="337"/>
      <c r="AS35" s="339"/>
      <c r="AT35" s="337"/>
      <c r="AU35" s="339"/>
      <c r="AV35" s="337"/>
      <c r="AW35" s="337"/>
      <c r="AX35" s="337"/>
      <c r="AY35" s="337"/>
      <c r="AZ35" s="337"/>
      <c r="BA35" s="337"/>
      <c r="BB35" s="337"/>
      <c r="BC35" s="337"/>
      <c r="BD35" s="337"/>
      <c r="BE35" s="337"/>
      <c r="BF35" s="337"/>
      <c r="BG35" s="337"/>
      <c r="BH35" s="337"/>
      <c r="BI35" s="337"/>
      <c r="BJ35" s="337"/>
      <c r="BK35" s="337"/>
      <c r="BL35" s="337"/>
      <c r="BM35" s="337"/>
      <c r="BN35" s="337"/>
      <c r="BO35" s="337"/>
      <c r="BP35" s="337"/>
      <c r="BQ35" s="337"/>
      <c r="BR35" s="340"/>
      <c r="BS35" s="337"/>
      <c r="BT35" s="341"/>
      <c r="BU35" s="341"/>
      <c r="BV35" s="342"/>
      <c r="BW35" s="342"/>
      <c r="BX35" s="343"/>
      <c r="BY35" s="360" t="s">
        <v>246</v>
      </c>
      <c r="BZ35" s="361" t="s">
        <v>247</v>
      </c>
      <c r="CA35" s="362"/>
      <c r="CB35" s="362"/>
      <c r="CC35" s="362"/>
      <c r="CD35" s="362"/>
      <c r="CE35" s="362"/>
      <c r="CF35" s="362"/>
      <c r="CG35" s="362"/>
      <c r="CH35" s="362"/>
      <c r="CI35" s="362"/>
      <c r="CJ35" s="362"/>
      <c r="CK35" s="362"/>
      <c r="CL35" s="362"/>
      <c r="CM35" s="362"/>
      <c r="CN35" s="363">
        <v>0</v>
      </c>
      <c r="CO35" s="363">
        <v>780</v>
      </c>
      <c r="CP35" s="363">
        <v>500</v>
      </c>
      <c r="CQ35" s="364">
        <v>460</v>
      </c>
      <c r="CR35" s="365">
        <v>460</v>
      </c>
      <c r="CS35" s="366">
        <v>340</v>
      </c>
      <c r="CT35" s="363">
        <v>340</v>
      </c>
      <c r="CU35" s="363">
        <v>190</v>
      </c>
      <c r="CV35" s="363">
        <v>80</v>
      </c>
      <c r="CW35" s="363">
        <v>0</v>
      </c>
      <c r="CX35" s="363">
        <v>0</v>
      </c>
      <c r="CY35" s="363">
        <v>0</v>
      </c>
      <c r="CZ35" s="363">
        <v>0</v>
      </c>
      <c r="DA35" s="363">
        <v>110</v>
      </c>
      <c r="DB35" s="363">
        <v>180</v>
      </c>
      <c r="DC35" s="363">
        <v>180</v>
      </c>
      <c r="DD35" s="363">
        <v>450</v>
      </c>
      <c r="DE35" s="363">
        <v>450</v>
      </c>
      <c r="DF35" s="364">
        <v>450</v>
      </c>
      <c r="DG35" s="365">
        <v>500</v>
      </c>
      <c r="DH35" s="366">
        <v>1370</v>
      </c>
      <c r="DI35" s="363">
        <v>0</v>
      </c>
      <c r="DJ35" s="362"/>
      <c r="DK35" s="276"/>
      <c r="DL35" s="277"/>
      <c r="DM35" s="277"/>
      <c r="DN35" s="277"/>
      <c r="DO35" s="277"/>
      <c r="DP35" s="277"/>
      <c r="DQ35" s="277"/>
      <c r="DR35" s="277"/>
      <c r="DS35" s="277"/>
      <c r="DT35" s="277"/>
      <c r="DU35" s="277"/>
      <c r="DV35" s="277"/>
      <c r="DW35" s="277"/>
      <c r="DX35" s="277"/>
      <c r="DY35" s="277"/>
      <c r="DZ35" s="277"/>
      <c r="EA35" s="277"/>
      <c r="EB35" s="277"/>
      <c r="EC35" s="277"/>
      <c r="ED35" s="277"/>
      <c r="EE35" s="277"/>
      <c r="EF35" s="277"/>
      <c r="EG35" s="277"/>
      <c r="EH35" s="277"/>
      <c r="EI35" s="277"/>
      <c r="EJ35" s="277"/>
      <c r="EK35" s="277"/>
      <c r="EL35" s="277"/>
      <c r="EM35" s="277"/>
      <c r="EN35" s="277"/>
      <c r="EO35" s="302" t="s">
        <v>245</v>
      </c>
      <c r="EP35" s="367" t="s">
        <v>248</v>
      </c>
      <c r="EQ35" s="368">
        <v>90</v>
      </c>
      <c r="ER35" s="323"/>
      <c r="ES35" s="323"/>
      <c r="ET35" s="323"/>
      <c r="EU35" s="323"/>
      <c r="EV35" s="369" t="s">
        <v>249</v>
      </c>
      <c r="EW35" s="370">
        <v>20.2</v>
      </c>
      <c r="EX35" s="371">
        <v>23</v>
      </c>
      <c r="EY35" s="372" t="s">
        <v>250</v>
      </c>
      <c r="EZ35" s="373">
        <v>9</v>
      </c>
      <c r="FA35" s="374">
        <v>15</v>
      </c>
      <c r="FB35" s="327" t="s">
        <v>189</v>
      </c>
      <c r="FC35" s="328"/>
      <c r="FD35" s="329"/>
      <c r="FE35" s="330" t="s">
        <v>189</v>
      </c>
      <c r="FF35" s="328"/>
      <c r="FG35" s="329"/>
      <c r="FH35" s="330" t="s">
        <v>189</v>
      </c>
      <c r="FI35" s="328"/>
      <c r="FJ35" s="331"/>
      <c r="FK35" s="375"/>
      <c r="FL35" s="376"/>
      <c r="FM35" s="377"/>
      <c r="FN35" s="336"/>
      <c r="FO35" s="337"/>
      <c r="FP35" s="337"/>
      <c r="FQ35" s="337"/>
      <c r="FR35" s="337"/>
      <c r="FS35" s="337"/>
      <c r="FT35" s="337"/>
      <c r="FU35" s="337"/>
      <c r="FV35" s="339"/>
      <c r="FW35" s="337"/>
      <c r="FX35" s="339"/>
      <c r="FY35" s="337"/>
      <c r="FZ35" s="337"/>
      <c r="GA35" s="337"/>
      <c r="GB35" s="337"/>
      <c r="GC35" s="337"/>
      <c r="GD35" s="337"/>
      <c r="GE35" s="337"/>
      <c r="GF35" s="337"/>
      <c r="GG35" s="337"/>
      <c r="GH35" s="337"/>
      <c r="GI35" s="337"/>
      <c r="GJ35" s="337"/>
      <c r="GK35" s="337"/>
      <c r="GL35" s="337"/>
      <c r="GM35" s="337"/>
      <c r="GN35" s="337"/>
      <c r="GO35" s="337"/>
      <c r="GP35" s="337"/>
      <c r="GQ35" s="337"/>
      <c r="GR35" s="337"/>
      <c r="GS35" s="337"/>
      <c r="GT35" s="337"/>
      <c r="GU35" s="341"/>
      <c r="GV35" s="341"/>
      <c r="GW35" s="342"/>
      <c r="GX35" s="342"/>
      <c r="GY35" s="343"/>
      <c r="GZ35" s="344"/>
      <c r="HA35" s="345"/>
      <c r="HB35" s="345"/>
      <c r="HC35" s="345"/>
      <c r="HD35" s="271"/>
      <c r="HE35" s="272"/>
      <c r="HF35" s="272"/>
      <c r="HG35" s="272"/>
      <c r="HH35" s="272"/>
      <c r="HI35" s="272"/>
      <c r="HJ35" s="272"/>
      <c r="HK35" s="272"/>
      <c r="HL35" s="272"/>
      <c r="HM35" s="272"/>
      <c r="HN35" s="272"/>
      <c r="HO35" s="272"/>
      <c r="HP35" s="272"/>
      <c r="HQ35" s="272"/>
      <c r="HR35" s="274"/>
      <c r="HS35" s="275"/>
      <c r="HT35" s="271"/>
      <c r="HU35" s="272"/>
      <c r="HV35" s="272"/>
      <c r="HW35" s="272"/>
      <c r="HX35" s="272"/>
      <c r="HY35" s="272"/>
      <c r="HZ35" s="272"/>
      <c r="IA35" s="272"/>
      <c r="IB35" s="272"/>
      <c r="IC35" s="272"/>
      <c r="ID35" s="272"/>
      <c r="IE35" s="272"/>
      <c r="IF35" s="272"/>
      <c r="IG35" s="274"/>
      <c r="IH35" s="275"/>
      <c r="II35" s="271"/>
      <c r="IJ35" s="272"/>
      <c r="IK35" s="272"/>
      <c r="IL35" s="276"/>
      <c r="IM35" s="277"/>
      <c r="IN35" s="277"/>
      <c r="IO35" s="333"/>
      <c r="IP35" s="334"/>
      <c r="JF35" s="296"/>
      <c r="JO35" s="335"/>
      <c r="KW35" s="296"/>
      <c r="KX35" s="277"/>
      <c r="KY35" s="277"/>
    </row>
    <row r="36" spans="2:311" ht="42.65" hidden="1" customHeight="1">
      <c r="B36" s="299"/>
      <c r="C36" s="378" t="s">
        <v>251</v>
      </c>
      <c r="D36" s="378">
        <v>2</v>
      </c>
      <c r="E36" s="379" t="s">
        <v>165</v>
      </c>
      <c r="F36" s="380" t="s">
        <v>252</v>
      </c>
      <c r="G36" s="381"/>
      <c r="H36" s="382">
        <v>1300</v>
      </c>
      <c r="I36" s="382"/>
      <c r="J36" s="382">
        <v>1600</v>
      </c>
      <c r="K36" s="245" t="e">
        <v>#N/A</v>
      </c>
      <c r="L36" s="382">
        <v>1682</v>
      </c>
      <c r="M36" s="383" t="s">
        <v>167</v>
      </c>
      <c r="N36" s="384" t="s">
        <v>167</v>
      </c>
      <c r="O36" s="384">
        <v>0</v>
      </c>
      <c r="P36" s="383" t="s">
        <v>167</v>
      </c>
      <c r="Q36" s="384" t="s">
        <v>167</v>
      </c>
      <c r="R36" s="384" t="s">
        <v>167</v>
      </c>
      <c r="S36" s="384" t="s">
        <v>167</v>
      </c>
      <c r="T36" s="384" t="s">
        <v>167</v>
      </c>
      <c r="U36" s="385" t="s">
        <v>169</v>
      </c>
      <c r="V36" s="378" t="s">
        <v>172</v>
      </c>
      <c r="W36" s="378"/>
      <c r="X36" s="378"/>
      <c r="Y36" s="378"/>
      <c r="Z36" s="378"/>
      <c r="AA36" s="386" t="s">
        <v>253</v>
      </c>
      <c r="AB36" s="387" t="s">
        <v>191</v>
      </c>
      <c r="AC36" s="388">
        <v>135</v>
      </c>
      <c r="AD36" s="389">
        <f>SUM(AC36:AC49)</f>
        <v>2530</v>
      </c>
      <c r="AE36" s="257" t="s">
        <v>175</v>
      </c>
      <c r="AF36" s="390"/>
      <c r="AG36" s="391">
        <f>FP36</f>
        <v>0</v>
      </c>
      <c r="AH36" s="391">
        <f>FQ36</f>
        <v>0</v>
      </c>
      <c r="AI36" s="391">
        <f>FR36</f>
        <v>0</v>
      </c>
      <c r="AJ36" s="391"/>
      <c r="AK36" s="391"/>
      <c r="AL36" s="391"/>
      <c r="AM36" s="391"/>
      <c r="AN36" s="391"/>
      <c r="AO36" s="391"/>
      <c r="AP36" s="391">
        <f t="shared" ref="AP36:AR36" si="1">FS36</f>
        <v>0</v>
      </c>
      <c r="AQ36" s="392">
        <f t="shared" si="1"/>
        <v>0</v>
      </c>
      <c r="AR36" s="393">
        <f t="shared" si="1"/>
        <v>1050.8857142857144</v>
      </c>
      <c r="AS36" s="394" t="s">
        <v>176</v>
      </c>
      <c r="AT36" s="390" t="s">
        <v>176</v>
      </c>
      <c r="AU36" s="394" t="s">
        <v>176</v>
      </c>
      <c r="AV36" s="395">
        <v>26000</v>
      </c>
      <c r="AW36" s="395">
        <v>48000</v>
      </c>
      <c r="AX36" s="391">
        <f>GA36</f>
        <v>0</v>
      </c>
      <c r="AY36" s="391">
        <f>GB36</f>
        <v>0</v>
      </c>
      <c r="AZ36" s="396">
        <f>GC36</f>
        <v>0</v>
      </c>
      <c r="BA36" s="396">
        <f>GD36</f>
        <v>0</v>
      </c>
      <c r="BB36" s="396">
        <f>AI36*DM36</f>
        <v>0</v>
      </c>
      <c r="BC36" s="396">
        <f>AH36*DM36</f>
        <v>0</v>
      </c>
      <c r="BD36" s="396">
        <f>AK36*DM36*0.6</f>
        <v>0</v>
      </c>
      <c r="BE36" s="396"/>
      <c r="BF36" s="396">
        <f>AM36*DM36*0.4</f>
        <v>0</v>
      </c>
      <c r="BG36" s="396"/>
      <c r="BH36" s="396"/>
      <c r="BI36" s="396">
        <f>GJ36</f>
        <v>0</v>
      </c>
      <c r="BJ36" s="396">
        <f>GK36</f>
        <v>0</v>
      </c>
      <c r="BK36" s="396">
        <f>BM36*5000*BX36</f>
        <v>0</v>
      </c>
      <c r="BL36" s="396">
        <f>1800000*BN36*BX36</f>
        <v>0</v>
      </c>
      <c r="BM36" s="396">
        <f>GP36</f>
        <v>0</v>
      </c>
      <c r="BN36" s="396">
        <f>GQ36</f>
        <v>0</v>
      </c>
      <c r="BO36" s="396"/>
      <c r="BP36" s="396">
        <f>SUM(AZ36,BA36,BI36,BO36)</f>
        <v>0</v>
      </c>
      <c r="BQ36" s="396">
        <f>BP36-GR36</f>
        <v>0</v>
      </c>
      <c r="BR36" s="397"/>
      <c r="BS36" s="396"/>
      <c r="BT36" s="398"/>
      <c r="BU36" s="398"/>
      <c r="BV36" s="268">
        <f>IFERROR(INDEX($BY$9:$DH$9, MATCH("準備", BY36:DK36, 0)), "")</f>
        <v>46265</v>
      </c>
      <c r="BW36" s="269" cm="1">
        <f t="array" ref="BW36">IF(COUNTIF(BY36:DK36,"*撤去*")=0,"",INDEX(BY$9:DK$9,1,MAX(IF(CC36:DK36="撤去",COLUMN(CC36:DK36)-COLUMN(BY36)+1))))</f>
        <v>46302</v>
      </c>
      <c r="BX36" s="270">
        <f>BW36-BV36</f>
        <v>37</v>
      </c>
      <c r="BY36" s="399" t="s">
        <v>177</v>
      </c>
      <c r="BZ36" s="400" t="s">
        <v>177</v>
      </c>
      <c r="CA36" s="401">
        <v>300</v>
      </c>
      <c r="CB36" s="401">
        <v>300</v>
      </c>
      <c r="CC36" s="402">
        <v>300</v>
      </c>
      <c r="CD36" s="403">
        <v>300</v>
      </c>
      <c r="CE36" s="403">
        <v>300</v>
      </c>
      <c r="CF36" s="403">
        <v>732</v>
      </c>
      <c r="CG36" s="403">
        <v>732</v>
      </c>
      <c r="CH36" s="403">
        <v>732</v>
      </c>
      <c r="CI36" s="403">
        <v>732</v>
      </c>
      <c r="CJ36" s="403">
        <v>876</v>
      </c>
      <c r="CK36" s="403">
        <v>1020</v>
      </c>
      <c r="CL36" s="403">
        <v>1416</v>
      </c>
      <c r="CM36" s="403">
        <v>1416</v>
      </c>
      <c r="CN36" s="403">
        <v>1416</v>
      </c>
      <c r="CO36" s="403">
        <v>1551</v>
      </c>
      <c r="CP36" s="403">
        <v>1551</v>
      </c>
      <c r="CQ36" s="403">
        <v>1551</v>
      </c>
      <c r="CR36" s="404">
        <v>1551</v>
      </c>
      <c r="CS36" s="405">
        <v>1551</v>
      </c>
      <c r="CT36" s="403">
        <v>1776</v>
      </c>
      <c r="CU36" s="403">
        <v>1668</v>
      </c>
      <c r="CV36" s="403">
        <v>1920</v>
      </c>
      <c r="CW36" s="403">
        <v>1658</v>
      </c>
      <c r="CX36" s="403">
        <v>1658</v>
      </c>
      <c r="CY36" s="403">
        <v>1523</v>
      </c>
      <c r="CZ36" s="403">
        <v>1442</v>
      </c>
      <c r="DA36" s="403">
        <v>1270</v>
      </c>
      <c r="DB36" s="403">
        <v>1234</v>
      </c>
      <c r="DC36" s="403">
        <v>1208</v>
      </c>
      <c r="DD36" s="403">
        <v>1208</v>
      </c>
      <c r="DE36" s="403">
        <v>1208</v>
      </c>
      <c r="DF36" s="403">
        <v>1028</v>
      </c>
      <c r="DG36" s="404">
        <v>1028</v>
      </c>
      <c r="DH36" s="405">
        <v>300</v>
      </c>
      <c r="DI36" s="403">
        <v>300</v>
      </c>
      <c r="DJ36" s="406" t="s">
        <v>178</v>
      </c>
      <c r="DK36" s="407">
        <v>0</v>
      </c>
      <c r="DL36" s="277"/>
      <c r="DM36" s="277" cm="1">
        <f t="array" ref="DM36">SUM(IF(ISNUMBER($BY36:$DK36),$BY36:$DK36, 0))</f>
        <v>38756</v>
      </c>
      <c r="DN36" s="277"/>
      <c r="DO36" s="277"/>
      <c r="DP36" s="277"/>
      <c r="DQ36" s="277"/>
      <c r="DR36" s="277"/>
      <c r="DS36" s="277"/>
      <c r="DT36" s="277"/>
      <c r="DU36" s="277"/>
      <c r="DV36" s="277"/>
      <c r="DW36" s="277"/>
      <c r="DX36" s="277"/>
      <c r="DY36" s="277"/>
      <c r="DZ36" s="277"/>
      <c r="EA36" s="277"/>
      <c r="EB36" s="277"/>
      <c r="EC36" s="277"/>
      <c r="ED36" s="277"/>
      <c r="EE36" s="277"/>
      <c r="EF36" s="277"/>
      <c r="EG36" s="277"/>
      <c r="EH36" s="277"/>
      <c r="EI36" s="277"/>
      <c r="EJ36" s="277"/>
      <c r="EK36" s="277"/>
      <c r="EL36" s="277"/>
      <c r="EM36" s="277"/>
      <c r="EN36" s="277"/>
      <c r="EO36" s="386" t="s">
        <v>253</v>
      </c>
      <c r="EP36" s="408" t="s">
        <v>191</v>
      </c>
      <c r="EQ36" s="409">
        <v>135</v>
      </c>
      <c r="ER36" s="410">
        <v>2410</v>
      </c>
      <c r="ES36" s="245" t="e">
        <v>#N/A</v>
      </c>
      <c r="ET36" s="245" t="e">
        <v>#N/A</v>
      </c>
      <c r="EU36" s="245" t="e">
        <v>#N/A</v>
      </c>
      <c r="EV36" s="411" t="s">
        <v>254</v>
      </c>
      <c r="EW36" s="412">
        <v>6</v>
      </c>
      <c r="EX36" s="413">
        <v>15</v>
      </c>
      <c r="EY36" s="414" t="s">
        <v>255</v>
      </c>
      <c r="EZ36" s="415">
        <v>30.5</v>
      </c>
      <c r="FA36" s="416">
        <v>44</v>
      </c>
      <c r="FB36" s="417" t="s">
        <v>256</v>
      </c>
      <c r="FC36" s="415">
        <v>27.5</v>
      </c>
      <c r="FD36" s="416">
        <v>35</v>
      </c>
      <c r="FE36" s="418" t="s">
        <v>189</v>
      </c>
      <c r="FF36" s="415"/>
      <c r="FG36" s="416"/>
      <c r="FH36" s="418" t="s">
        <v>189</v>
      </c>
      <c r="FI36" s="415"/>
      <c r="FJ36" s="419"/>
      <c r="FK36" s="289">
        <v>-476</v>
      </c>
      <c r="FL36" s="290">
        <v>-0.36615384615384616</v>
      </c>
      <c r="FM36" s="291" t="s">
        <v>257</v>
      </c>
      <c r="FN36" s="420"/>
      <c r="FO36" s="390"/>
      <c r="FP36" s="391"/>
      <c r="FQ36" s="391"/>
      <c r="FR36" s="391"/>
      <c r="FS36" s="391"/>
      <c r="FT36" s="392"/>
      <c r="FU36" s="393">
        <v>1050.8857142857144</v>
      </c>
      <c r="FV36" s="394"/>
      <c r="FW36" s="390"/>
      <c r="FX36" s="394"/>
      <c r="FY36" s="395"/>
      <c r="FZ36" s="395"/>
      <c r="GA36" s="391"/>
      <c r="GB36" s="391"/>
      <c r="GC36" s="396"/>
      <c r="GD36" s="396"/>
      <c r="GE36" s="396"/>
      <c r="GF36" s="396"/>
      <c r="GG36" s="396"/>
      <c r="GH36" s="396"/>
      <c r="GI36" s="396"/>
      <c r="GJ36" s="396"/>
      <c r="GK36" s="396"/>
      <c r="GL36" s="396"/>
      <c r="GM36" s="396"/>
      <c r="GN36" s="396"/>
      <c r="GO36" s="396"/>
      <c r="GP36" s="396"/>
      <c r="GQ36" s="396"/>
      <c r="GR36" s="396"/>
      <c r="GS36" s="396"/>
      <c r="GT36" s="396"/>
      <c r="GU36" s="398"/>
      <c r="GV36" s="398"/>
      <c r="GW36" s="268">
        <v>46265</v>
      </c>
      <c r="GX36" s="269">
        <v>46302</v>
      </c>
      <c r="GY36" s="270">
        <v>37</v>
      </c>
      <c r="GZ36" s="399" t="s">
        <v>177</v>
      </c>
      <c r="HA36" s="400" t="s">
        <v>177</v>
      </c>
      <c r="HB36" s="401">
        <v>300</v>
      </c>
      <c r="HC36" s="401">
        <v>300</v>
      </c>
      <c r="HD36" s="402">
        <v>300</v>
      </c>
      <c r="HE36" s="403">
        <v>300</v>
      </c>
      <c r="HF36" s="403">
        <v>300</v>
      </c>
      <c r="HG36" s="403">
        <v>732</v>
      </c>
      <c r="HH36" s="403">
        <v>732</v>
      </c>
      <c r="HI36" s="403">
        <v>732</v>
      </c>
      <c r="HJ36" s="403">
        <v>876</v>
      </c>
      <c r="HK36" s="403">
        <v>1020</v>
      </c>
      <c r="HL36" s="403">
        <v>1020</v>
      </c>
      <c r="HM36" s="403">
        <v>1416</v>
      </c>
      <c r="HN36" s="403">
        <v>1416</v>
      </c>
      <c r="HO36" s="403">
        <v>1682</v>
      </c>
      <c r="HP36" s="403">
        <v>1682</v>
      </c>
      <c r="HQ36" s="403">
        <v>1682</v>
      </c>
      <c r="HR36" s="403">
        <v>1682</v>
      </c>
      <c r="HS36" s="404">
        <v>1682</v>
      </c>
      <c r="HT36" s="405">
        <v>1682</v>
      </c>
      <c r="HU36" s="403">
        <v>1610</v>
      </c>
      <c r="HV36" s="403">
        <v>1430</v>
      </c>
      <c r="HW36" s="403">
        <v>1358</v>
      </c>
      <c r="HX36" s="403">
        <v>1538</v>
      </c>
      <c r="HY36" s="403">
        <v>1407</v>
      </c>
      <c r="HZ36" s="403">
        <v>1371</v>
      </c>
      <c r="IA36" s="403">
        <v>1335</v>
      </c>
      <c r="IB36" s="403">
        <v>1028</v>
      </c>
      <c r="IC36" s="403">
        <v>1028</v>
      </c>
      <c r="ID36" s="403">
        <v>1028</v>
      </c>
      <c r="IE36" s="403">
        <v>1028</v>
      </c>
      <c r="IF36" s="403">
        <v>1028</v>
      </c>
      <c r="IG36" s="403">
        <v>1028</v>
      </c>
      <c r="IH36" s="404">
        <v>1028</v>
      </c>
      <c r="II36" s="405">
        <v>300</v>
      </c>
      <c r="IJ36" s="403">
        <v>300</v>
      </c>
      <c r="IK36" s="406" t="s">
        <v>178</v>
      </c>
      <c r="IL36" s="407">
        <v>0</v>
      </c>
      <c r="IM36" s="277"/>
      <c r="IN36" s="277" cm="1">
        <f t="array" ref="IN36">SUM(IF(ISNUMBER($HD36:$IL36),$HD36:$IL36, 0))</f>
        <v>36781</v>
      </c>
      <c r="IO36" s="333"/>
      <c r="IP36" s="334"/>
      <c r="JF36" s="296"/>
      <c r="JO36" s="335"/>
      <c r="KW36" s="296"/>
      <c r="KX36" s="277"/>
      <c r="KY36" s="277" cm="1">
        <f t="array" ref="KY36">SUM(IF(ISNUMBER($HD36:$IL36),$HD36:$IL36, 0))</f>
        <v>36781</v>
      </c>
    </row>
    <row r="37" spans="2:311" ht="42.65" hidden="1" customHeight="1">
      <c r="B37" s="299"/>
      <c r="C37" s="241"/>
      <c r="D37" s="242"/>
      <c r="E37" s="243"/>
      <c r="F37" s="244"/>
      <c r="G37" s="246"/>
      <c r="H37" s="249"/>
      <c r="I37" s="249">
        <v>0</v>
      </c>
      <c r="J37" s="249">
        <v>0</v>
      </c>
      <c r="K37" s="249"/>
      <c r="L37" s="249">
        <v>0</v>
      </c>
      <c r="M37" s="300"/>
      <c r="N37" s="251"/>
      <c r="O37" s="251"/>
      <c r="P37" s="300"/>
      <c r="Q37" s="251"/>
      <c r="R37" s="251"/>
      <c r="S37" s="251"/>
      <c r="T37" s="251"/>
      <c r="U37" s="301"/>
      <c r="V37" s="242"/>
      <c r="W37" s="242"/>
      <c r="X37" s="242"/>
      <c r="Y37" s="242"/>
      <c r="Z37" s="242"/>
      <c r="AA37" s="302" t="s">
        <v>258</v>
      </c>
      <c r="AB37" s="303" t="s">
        <v>191</v>
      </c>
      <c r="AC37" s="304">
        <v>180</v>
      </c>
      <c r="AD37" s="256"/>
      <c r="AE37" s="336"/>
      <c r="AF37" s="337"/>
      <c r="AG37" s="337"/>
      <c r="AH37" s="337"/>
      <c r="AI37" s="337"/>
      <c r="AJ37" s="337"/>
      <c r="AK37" s="337"/>
      <c r="AL37" s="337"/>
      <c r="AM37" s="337"/>
      <c r="AN37" s="337"/>
      <c r="AO37" s="337"/>
      <c r="AP37" s="337"/>
      <c r="AQ37" s="337"/>
      <c r="AR37" s="337"/>
      <c r="AS37" s="339"/>
      <c r="AT37" s="337"/>
      <c r="AU37" s="339"/>
      <c r="AV37" s="337"/>
      <c r="AW37" s="337"/>
      <c r="AX37" s="337"/>
      <c r="AY37" s="337"/>
      <c r="AZ37" s="337"/>
      <c r="BA37" s="337"/>
      <c r="BB37" s="337"/>
      <c r="BC37" s="337"/>
      <c r="BD37" s="337"/>
      <c r="BE37" s="337"/>
      <c r="BF37" s="337"/>
      <c r="BG37" s="337"/>
      <c r="BH37" s="337"/>
      <c r="BI37" s="337"/>
      <c r="BJ37" s="337"/>
      <c r="BK37" s="337"/>
      <c r="BL37" s="337"/>
      <c r="BM37" s="337"/>
      <c r="BN37" s="337"/>
      <c r="BO37" s="337"/>
      <c r="BP37" s="337"/>
      <c r="BQ37" s="337"/>
      <c r="BR37" s="340"/>
      <c r="BS37" s="337"/>
      <c r="BT37" s="341"/>
      <c r="BU37" s="341"/>
      <c r="BV37" s="342"/>
      <c r="BW37" s="342"/>
      <c r="BX37" s="343"/>
      <c r="BY37" s="344"/>
      <c r="BZ37" s="345"/>
      <c r="CA37" s="345"/>
      <c r="CB37" s="345"/>
      <c r="CC37" s="271"/>
      <c r="CD37" s="272"/>
      <c r="CE37" s="272"/>
      <c r="CF37" s="272"/>
      <c r="CG37" s="272"/>
      <c r="CH37" s="272"/>
      <c r="CI37" s="272"/>
      <c r="CJ37" s="272"/>
      <c r="CK37" s="272"/>
      <c r="CL37" s="272"/>
      <c r="CM37" s="272"/>
      <c r="CN37" s="272"/>
      <c r="CO37" s="272"/>
      <c r="CP37" s="272"/>
      <c r="CQ37" s="274"/>
      <c r="CR37" s="275"/>
      <c r="CS37" s="271"/>
      <c r="CT37" s="272"/>
      <c r="CU37" s="272"/>
      <c r="CV37" s="272"/>
      <c r="CW37" s="272"/>
      <c r="CX37" s="272"/>
      <c r="CY37" s="272"/>
      <c r="CZ37" s="272"/>
      <c r="DA37" s="272"/>
      <c r="DB37" s="272"/>
      <c r="DC37" s="272"/>
      <c r="DD37" s="272"/>
      <c r="DE37" s="272"/>
      <c r="DF37" s="274"/>
      <c r="DG37" s="275"/>
      <c r="DH37" s="271"/>
      <c r="DI37" s="272"/>
      <c r="DJ37" s="272"/>
      <c r="DK37" s="276"/>
      <c r="DL37" s="277"/>
      <c r="DM37" s="277"/>
      <c r="DN37" s="277"/>
      <c r="DO37" s="277"/>
      <c r="DP37" s="277"/>
      <c r="DQ37" s="277"/>
      <c r="DR37" s="277"/>
      <c r="DS37" s="277"/>
      <c r="DT37" s="277"/>
      <c r="DU37" s="277"/>
      <c r="DV37" s="277"/>
      <c r="DW37" s="277"/>
      <c r="DX37" s="277"/>
      <c r="DY37" s="277"/>
      <c r="DZ37" s="277"/>
      <c r="EA37" s="277"/>
      <c r="EB37" s="277"/>
      <c r="EC37" s="277"/>
      <c r="ED37" s="277"/>
      <c r="EE37" s="277"/>
      <c r="EF37" s="277"/>
      <c r="EG37" s="277"/>
      <c r="EH37" s="277"/>
      <c r="EI37" s="277"/>
      <c r="EJ37" s="277"/>
      <c r="EK37" s="277"/>
      <c r="EL37" s="277"/>
      <c r="EM37" s="277"/>
      <c r="EN37" s="277"/>
      <c r="EO37" s="302" t="s">
        <v>258</v>
      </c>
      <c r="EP37" s="321" t="s">
        <v>191</v>
      </c>
      <c r="EQ37" s="357">
        <v>180</v>
      </c>
      <c r="ER37" s="323"/>
      <c r="ES37" s="323"/>
      <c r="ET37" s="323"/>
      <c r="EU37" s="323"/>
      <c r="EV37" s="324" t="s">
        <v>254</v>
      </c>
      <c r="EW37" s="325">
        <v>37.6</v>
      </c>
      <c r="EX37" s="326">
        <v>40</v>
      </c>
      <c r="EY37" s="327" t="s">
        <v>255</v>
      </c>
      <c r="EZ37" s="421">
        <v>38</v>
      </c>
      <c r="FA37" s="422">
        <v>40</v>
      </c>
      <c r="FB37" s="423" t="s">
        <v>256</v>
      </c>
      <c r="FC37" s="421"/>
      <c r="FD37" s="422"/>
      <c r="FE37" s="424" t="s">
        <v>189</v>
      </c>
      <c r="FF37" s="328"/>
      <c r="FG37" s="329"/>
      <c r="FH37" s="424" t="s">
        <v>189</v>
      </c>
      <c r="FI37" s="421"/>
      <c r="FJ37" s="425"/>
      <c r="FK37" s="289"/>
      <c r="FL37" s="290"/>
      <c r="FM37" s="349"/>
      <c r="FN37" s="336"/>
      <c r="FO37" s="337"/>
      <c r="FP37" s="337"/>
      <c r="FQ37" s="337"/>
      <c r="FR37" s="337"/>
      <c r="FS37" s="337"/>
      <c r="FT37" s="337"/>
      <c r="FU37" s="337"/>
      <c r="FV37" s="339"/>
      <c r="FW37" s="337"/>
      <c r="FX37" s="339"/>
      <c r="FY37" s="337"/>
      <c r="FZ37" s="337"/>
      <c r="GA37" s="337"/>
      <c r="GB37" s="337"/>
      <c r="GC37" s="337"/>
      <c r="GD37" s="337"/>
      <c r="GE37" s="337"/>
      <c r="GF37" s="337"/>
      <c r="GG37" s="337"/>
      <c r="GH37" s="337"/>
      <c r="GI37" s="337"/>
      <c r="GJ37" s="337"/>
      <c r="GK37" s="337"/>
      <c r="GL37" s="337"/>
      <c r="GM37" s="337"/>
      <c r="GN37" s="337"/>
      <c r="GO37" s="337"/>
      <c r="GP37" s="337"/>
      <c r="GQ37" s="337"/>
      <c r="GR37" s="337"/>
      <c r="GS37" s="337"/>
      <c r="GT37" s="337"/>
      <c r="GU37" s="341"/>
      <c r="GV37" s="341"/>
      <c r="GW37" s="342"/>
      <c r="GX37" s="342"/>
      <c r="GY37" s="343"/>
      <c r="GZ37" s="344"/>
      <c r="HA37" s="345"/>
      <c r="HB37" s="345"/>
      <c r="HC37" s="345"/>
      <c r="HD37" s="271"/>
      <c r="HE37" s="272"/>
      <c r="HF37" s="272"/>
      <c r="HG37" s="272"/>
      <c r="HH37" s="272"/>
      <c r="HI37" s="272"/>
      <c r="HJ37" s="272"/>
      <c r="HK37" s="272"/>
      <c r="HL37" s="272"/>
      <c r="HM37" s="272"/>
      <c r="HN37" s="272"/>
      <c r="HO37" s="272"/>
      <c r="HP37" s="272"/>
      <c r="HQ37" s="272"/>
      <c r="HR37" s="274"/>
      <c r="HS37" s="275"/>
      <c r="HT37" s="271"/>
      <c r="HU37" s="272"/>
      <c r="HV37" s="272"/>
      <c r="HW37" s="272"/>
      <c r="HX37" s="272"/>
      <c r="HY37" s="272"/>
      <c r="HZ37" s="272"/>
      <c r="IA37" s="272"/>
      <c r="IB37" s="272"/>
      <c r="IC37" s="272"/>
      <c r="ID37" s="272"/>
      <c r="IE37" s="272"/>
      <c r="IF37" s="272"/>
      <c r="IG37" s="274"/>
      <c r="IH37" s="275"/>
      <c r="II37" s="271"/>
      <c r="IJ37" s="272"/>
      <c r="IK37" s="272"/>
      <c r="IL37" s="276"/>
      <c r="IM37" s="277"/>
      <c r="IN37" s="277"/>
      <c r="IO37" s="426"/>
      <c r="IP37" s="427"/>
      <c r="JF37" s="296"/>
      <c r="JO37" s="335"/>
      <c r="KW37" s="296"/>
      <c r="KX37" s="277"/>
      <c r="KY37" s="277"/>
    </row>
    <row r="38" spans="2:311" ht="42.65" hidden="1" customHeight="1">
      <c r="B38" s="299"/>
      <c r="C38" s="241"/>
      <c r="D38" s="242"/>
      <c r="E38" s="243"/>
      <c r="F38" s="244"/>
      <c r="G38" s="246"/>
      <c r="H38" s="249"/>
      <c r="I38" s="249">
        <v>0</v>
      </c>
      <c r="J38" s="249">
        <v>0</v>
      </c>
      <c r="K38" s="249"/>
      <c r="L38" s="249">
        <v>0</v>
      </c>
      <c r="M38" s="300"/>
      <c r="N38" s="251"/>
      <c r="O38" s="251"/>
      <c r="P38" s="300"/>
      <c r="Q38" s="251"/>
      <c r="R38" s="251"/>
      <c r="S38" s="251"/>
      <c r="T38" s="251"/>
      <c r="U38" s="301"/>
      <c r="V38" s="242"/>
      <c r="W38" s="242"/>
      <c r="X38" s="242"/>
      <c r="Y38" s="242"/>
      <c r="Z38" s="242"/>
      <c r="AA38" s="302" t="s">
        <v>259</v>
      </c>
      <c r="AB38" s="303" t="s">
        <v>191</v>
      </c>
      <c r="AC38" s="304">
        <v>216</v>
      </c>
      <c r="AD38" s="256"/>
      <c r="AE38" s="336"/>
      <c r="AF38" s="337"/>
      <c r="AG38" s="337"/>
      <c r="AH38" s="337"/>
      <c r="AI38" s="337"/>
      <c r="AJ38" s="337"/>
      <c r="AK38" s="337"/>
      <c r="AL38" s="337"/>
      <c r="AM38" s="337"/>
      <c r="AN38" s="337"/>
      <c r="AO38" s="337"/>
      <c r="AP38" s="337"/>
      <c r="AQ38" s="337"/>
      <c r="AR38" s="337"/>
      <c r="AS38" s="339"/>
      <c r="AT38" s="337"/>
      <c r="AU38" s="339"/>
      <c r="AV38" s="337"/>
      <c r="AW38" s="337"/>
      <c r="AX38" s="337"/>
      <c r="AY38" s="337"/>
      <c r="AZ38" s="337"/>
      <c r="BA38" s="337"/>
      <c r="BB38" s="337"/>
      <c r="BC38" s="337"/>
      <c r="BD38" s="337"/>
      <c r="BE38" s="337"/>
      <c r="BF38" s="337"/>
      <c r="BG38" s="337"/>
      <c r="BH38" s="337"/>
      <c r="BI38" s="337"/>
      <c r="BJ38" s="337"/>
      <c r="BK38" s="337"/>
      <c r="BL38" s="337"/>
      <c r="BM38" s="337"/>
      <c r="BN38" s="337"/>
      <c r="BO38" s="337"/>
      <c r="BP38" s="337"/>
      <c r="BQ38" s="337"/>
      <c r="BR38" s="340"/>
      <c r="BS38" s="337"/>
      <c r="BT38" s="341"/>
      <c r="BU38" s="341"/>
      <c r="BV38" s="342"/>
      <c r="BW38" s="342"/>
      <c r="BX38" s="343"/>
      <c r="BY38" s="344"/>
      <c r="BZ38" s="345"/>
      <c r="CA38" s="345"/>
      <c r="CB38" s="345"/>
      <c r="CC38" s="271"/>
      <c r="CD38" s="272"/>
      <c r="CE38" s="272"/>
      <c r="CF38" s="272"/>
      <c r="CG38" s="272"/>
      <c r="CH38" s="272"/>
      <c r="CI38" s="272"/>
      <c r="CJ38" s="272"/>
      <c r="CK38" s="272"/>
      <c r="CL38" s="272"/>
      <c r="CM38" s="272"/>
      <c r="CN38" s="272"/>
      <c r="CO38" s="272"/>
      <c r="CP38" s="272"/>
      <c r="CQ38" s="274"/>
      <c r="CR38" s="275"/>
      <c r="CS38" s="271"/>
      <c r="CT38" s="272"/>
      <c r="CU38" s="272"/>
      <c r="CV38" s="272"/>
      <c r="CW38" s="272"/>
      <c r="CX38" s="272"/>
      <c r="CY38" s="272"/>
      <c r="CZ38" s="272"/>
      <c r="DA38" s="272"/>
      <c r="DB38" s="272"/>
      <c r="DC38" s="272"/>
      <c r="DD38" s="272"/>
      <c r="DE38" s="272"/>
      <c r="DF38" s="274"/>
      <c r="DG38" s="275"/>
      <c r="DH38" s="271"/>
      <c r="DI38" s="272"/>
      <c r="DJ38" s="272"/>
      <c r="DK38" s="276"/>
      <c r="DL38" s="277"/>
      <c r="DM38" s="277"/>
      <c r="DN38" s="277"/>
      <c r="DO38" s="277"/>
      <c r="DP38" s="277"/>
      <c r="DQ38" s="277"/>
      <c r="DR38" s="277"/>
      <c r="DS38" s="277"/>
      <c r="DT38" s="277"/>
      <c r="DU38" s="277"/>
      <c r="DV38" s="277"/>
      <c r="DW38" s="277"/>
      <c r="DX38" s="277"/>
      <c r="DY38" s="277"/>
      <c r="DZ38" s="277"/>
      <c r="EA38" s="277"/>
      <c r="EB38" s="277"/>
      <c r="EC38" s="277"/>
      <c r="ED38" s="277"/>
      <c r="EE38" s="277"/>
      <c r="EF38" s="277"/>
      <c r="EG38" s="277"/>
      <c r="EH38" s="277"/>
      <c r="EI38" s="277"/>
      <c r="EJ38" s="277"/>
      <c r="EK38" s="277"/>
      <c r="EL38" s="277"/>
      <c r="EM38" s="277"/>
      <c r="EN38" s="277"/>
      <c r="EO38" s="302" t="s">
        <v>259</v>
      </c>
      <c r="EP38" s="321" t="s">
        <v>191</v>
      </c>
      <c r="EQ38" s="347">
        <v>216</v>
      </c>
      <c r="ER38" s="323"/>
      <c r="ES38" s="323"/>
      <c r="ET38" s="323"/>
      <c r="EU38" s="323"/>
      <c r="EV38" s="324" t="s">
        <v>260</v>
      </c>
      <c r="EW38" s="325">
        <v>13</v>
      </c>
      <c r="EX38" s="326">
        <v>24</v>
      </c>
      <c r="EY38" s="327" t="s">
        <v>261</v>
      </c>
      <c r="EZ38" s="421">
        <v>22</v>
      </c>
      <c r="FA38" s="422">
        <v>31</v>
      </c>
      <c r="FB38" s="423" t="s">
        <v>262</v>
      </c>
      <c r="FC38" s="421">
        <v>22</v>
      </c>
      <c r="FD38" s="422">
        <v>30</v>
      </c>
      <c r="FE38" s="424" t="s">
        <v>189</v>
      </c>
      <c r="FF38" s="328"/>
      <c r="FG38" s="329"/>
      <c r="FH38" s="428" t="s">
        <v>189</v>
      </c>
      <c r="FI38" s="429"/>
      <c r="FJ38" s="430"/>
      <c r="FK38" s="289"/>
      <c r="FL38" s="290"/>
      <c r="FM38" s="349"/>
      <c r="FN38" s="336"/>
      <c r="FO38" s="337"/>
      <c r="FP38" s="337"/>
      <c r="FQ38" s="337"/>
      <c r="FR38" s="337"/>
      <c r="FS38" s="337"/>
      <c r="FT38" s="337"/>
      <c r="FU38" s="337"/>
      <c r="FV38" s="339"/>
      <c r="FW38" s="337"/>
      <c r="FX38" s="339"/>
      <c r="FY38" s="337"/>
      <c r="FZ38" s="337"/>
      <c r="GA38" s="337"/>
      <c r="GB38" s="337"/>
      <c r="GC38" s="337"/>
      <c r="GD38" s="337"/>
      <c r="GE38" s="337"/>
      <c r="GF38" s="337"/>
      <c r="GG38" s="337"/>
      <c r="GH38" s="337"/>
      <c r="GI38" s="337"/>
      <c r="GJ38" s="337"/>
      <c r="GK38" s="337"/>
      <c r="GL38" s="337"/>
      <c r="GM38" s="337"/>
      <c r="GN38" s="337"/>
      <c r="GO38" s="337"/>
      <c r="GP38" s="337"/>
      <c r="GQ38" s="337"/>
      <c r="GR38" s="337"/>
      <c r="GS38" s="337"/>
      <c r="GT38" s="337"/>
      <c r="GU38" s="341"/>
      <c r="GV38" s="341"/>
      <c r="GW38" s="342"/>
      <c r="GX38" s="342"/>
      <c r="GY38" s="343"/>
      <c r="GZ38" s="344"/>
      <c r="HA38" s="345"/>
      <c r="HB38" s="345"/>
      <c r="HC38" s="345"/>
      <c r="HD38" s="271"/>
      <c r="HE38" s="272"/>
      <c r="HF38" s="272"/>
      <c r="HG38" s="272"/>
      <c r="HH38" s="272"/>
      <c r="HI38" s="272"/>
      <c r="HJ38" s="272"/>
      <c r="HK38" s="272"/>
      <c r="HL38" s="272"/>
      <c r="HM38" s="272"/>
      <c r="HN38" s="272"/>
      <c r="HO38" s="272"/>
      <c r="HP38" s="272"/>
      <c r="HQ38" s="272"/>
      <c r="HR38" s="274"/>
      <c r="HS38" s="275"/>
      <c r="HT38" s="271"/>
      <c r="HU38" s="272"/>
      <c r="HV38" s="272"/>
      <c r="HW38" s="272"/>
      <c r="HX38" s="272"/>
      <c r="HY38" s="272"/>
      <c r="HZ38" s="272"/>
      <c r="IA38" s="272"/>
      <c r="IB38" s="272"/>
      <c r="IC38" s="272"/>
      <c r="ID38" s="272"/>
      <c r="IE38" s="272"/>
      <c r="IF38" s="272"/>
      <c r="IG38" s="274"/>
      <c r="IH38" s="275"/>
      <c r="II38" s="271"/>
      <c r="IJ38" s="272"/>
      <c r="IK38" s="272"/>
      <c r="IL38" s="276"/>
      <c r="IM38" s="277"/>
      <c r="IN38" s="277"/>
      <c r="IO38" s="333"/>
      <c r="IP38" s="334"/>
      <c r="JF38" s="296"/>
      <c r="JO38" s="335"/>
      <c r="KW38" s="296"/>
      <c r="KX38" s="277"/>
      <c r="KY38" s="277"/>
    </row>
    <row r="39" spans="2:311" ht="42.65" hidden="1" customHeight="1">
      <c r="B39" s="299"/>
      <c r="C39" s="241"/>
      <c r="D39" s="242"/>
      <c r="E39" s="243"/>
      <c r="F39" s="244"/>
      <c r="G39" s="246"/>
      <c r="H39" s="249"/>
      <c r="I39" s="249"/>
      <c r="J39" s="249"/>
      <c r="K39" s="249"/>
      <c r="L39" s="249"/>
      <c r="M39" s="300"/>
      <c r="N39" s="251"/>
      <c r="O39" s="251"/>
      <c r="P39" s="300"/>
      <c r="Q39" s="251"/>
      <c r="R39" s="251"/>
      <c r="S39" s="251"/>
      <c r="T39" s="251"/>
      <c r="U39" s="301"/>
      <c r="V39" s="242"/>
      <c r="W39" s="242"/>
      <c r="X39" s="242"/>
      <c r="Y39" s="242"/>
      <c r="Z39" s="242"/>
      <c r="AA39" s="302" t="s">
        <v>263</v>
      </c>
      <c r="AB39" s="303" t="s">
        <v>191</v>
      </c>
      <c r="AC39" s="304">
        <v>216</v>
      </c>
      <c r="AD39" s="256"/>
      <c r="AE39" s="336"/>
      <c r="AF39" s="337"/>
      <c r="AG39" s="337"/>
      <c r="AH39" s="337"/>
      <c r="AI39" s="337"/>
      <c r="AJ39" s="337"/>
      <c r="AK39" s="337"/>
      <c r="AL39" s="337"/>
      <c r="AM39" s="337"/>
      <c r="AN39" s="337"/>
      <c r="AO39" s="337"/>
      <c r="AP39" s="337"/>
      <c r="AQ39" s="337"/>
      <c r="AR39" s="337"/>
      <c r="AS39" s="339"/>
      <c r="AT39" s="337"/>
      <c r="AU39" s="339"/>
      <c r="AV39" s="337"/>
      <c r="AW39" s="337"/>
      <c r="AX39" s="337"/>
      <c r="AY39" s="337"/>
      <c r="AZ39" s="337"/>
      <c r="BA39" s="337"/>
      <c r="BB39" s="337"/>
      <c r="BC39" s="337"/>
      <c r="BD39" s="337"/>
      <c r="BE39" s="337"/>
      <c r="BF39" s="337"/>
      <c r="BG39" s="337"/>
      <c r="BH39" s="337"/>
      <c r="BI39" s="337"/>
      <c r="BJ39" s="337"/>
      <c r="BK39" s="337"/>
      <c r="BL39" s="337"/>
      <c r="BM39" s="337"/>
      <c r="BN39" s="337"/>
      <c r="BO39" s="337"/>
      <c r="BP39" s="337"/>
      <c r="BQ39" s="337"/>
      <c r="BR39" s="340"/>
      <c r="BS39" s="337"/>
      <c r="BT39" s="341"/>
      <c r="BU39" s="341"/>
      <c r="BV39" s="342"/>
      <c r="BW39" s="342"/>
      <c r="BX39" s="343"/>
      <c r="BY39" s="344"/>
      <c r="BZ39" s="345"/>
      <c r="CA39" s="345"/>
      <c r="CB39" s="345"/>
      <c r="CC39" s="271"/>
      <c r="CD39" s="272"/>
      <c r="CE39" s="272"/>
      <c r="CF39" s="272"/>
      <c r="CG39" s="272"/>
      <c r="CH39" s="272"/>
      <c r="CI39" s="272"/>
      <c r="CJ39" s="272"/>
      <c r="CK39" s="272"/>
      <c r="CL39" s="272"/>
      <c r="CM39" s="272"/>
      <c r="CN39" s="272"/>
      <c r="CO39" s="272"/>
      <c r="CP39" s="272"/>
      <c r="CQ39" s="274"/>
      <c r="CR39" s="275"/>
      <c r="CS39" s="271"/>
      <c r="CT39" s="272"/>
      <c r="CU39" s="272"/>
      <c r="CV39" s="272"/>
      <c r="CW39" s="272"/>
      <c r="CX39" s="272"/>
      <c r="CY39" s="272"/>
      <c r="CZ39" s="272"/>
      <c r="DA39" s="272"/>
      <c r="DB39" s="272"/>
      <c r="DC39" s="272"/>
      <c r="DD39" s="272"/>
      <c r="DE39" s="272"/>
      <c r="DF39" s="274"/>
      <c r="DG39" s="275"/>
      <c r="DH39" s="271"/>
      <c r="DI39" s="272"/>
      <c r="DJ39" s="272"/>
      <c r="DK39" s="276"/>
      <c r="DL39" s="277"/>
      <c r="DM39" s="277"/>
      <c r="DN39" s="277"/>
      <c r="DO39" s="277"/>
      <c r="DP39" s="277"/>
      <c r="DQ39" s="277"/>
      <c r="DR39" s="277"/>
      <c r="DS39" s="277"/>
      <c r="DT39" s="277"/>
      <c r="DU39" s="277"/>
      <c r="DV39" s="277"/>
      <c r="DW39" s="277"/>
      <c r="DX39" s="277"/>
      <c r="DY39" s="277"/>
      <c r="DZ39" s="277"/>
      <c r="EA39" s="277"/>
      <c r="EB39" s="277"/>
      <c r="EC39" s="277"/>
      <c r="ED39" s="277"/>
      <c r="EE39" s="277"/>
      <c r="EF39" s="277"/>
      <c r="EG39" s="277"/>
      <c r="EH39" s="277"/>
      <c r="EI39" s="277"/>
      <c r="EJ39" s="277"/>
      <c r="EK39" s="277"/>
      <c r="EL39" s="277"/>
      <c r="EM39" s="277"/>
      <c r="EN39" s="277"/>
      <c r="EO39" s="302" t="s">
        <v>263</v>
      </c>
      <c r="EP39" s="321" t="s">
        <v>191</v>
      </c>
      <c r="EQ39" s="347">
        <v>216</v>
      </c>
      <c r="ER39" s="323"/>
      <c r="ES39" s="323"/>
      <c r="ET39" s="323"/>
      <c r="EU39" s="323"/>
      <c r="EV39" s="324" t="s">
        <v>260</v>
      </c>
      <c r="EW39" s="325">
        <v>13</v>
      </c>
      <c r="EX39" s="326">
        <v>24</v>
      </c>
      <c r="EY39" s="327" t="s">
        <v>261</v>
      </c>
      <c r="EZ39" s="421">
        <v>22</v>
      </c>
      <c r="FA39" s="422">
        <v>31</v>
      </c>
      <c r="FB39" s="423" t="s">
        <v>262</v>
      </c>
      <c r="FC39" s="421">
        <v>22</v>
      </c>
      <c r="FD39" s="422">
        <v>30</v>
      </c>
      <c r="FE39" s="424" t="s">
        <v>189</v>
      </c>
      <c r="FF39" s="328"/>
      <c r="FG39" s="329"/>
      <c r="FH39" s="428" t="s">
        <v>189</v>
      </c>
      <c r="FI39" s="429"/>
      <c r="FJ39" s="430"/>
      <c r="FK39" s="289"/>
      <c r="FL39" s="290"/>
      <c r="FM39" s="349"/>
      <c r="FN39" s="336"/>
      <c r="FO39" s="337"/>
      <c r="FP39" s="337"/>
      <c r="FQ39" s="337"/>
      <c r="FR39" s="337"/>
      <c r="FS39" s="337"/>
      <c r="FT39" s="337"/>
      <c r="FU39" s="337"/>
      <c r="FV39" s="339"/>
      <c r="FW39" s="337"/>
      <c r="FX39" s="339"/>
      <c r="FY39" s="337"/>
      <c r="FZ39" s="337"/>
      <c r="GA39" s="337"/>
      <c r="GB39" s="337"/>
      <c r="GC39" s="337"/>
      <c r="GD39" s="337"/>
      <c r="GE39" s="337"/>
      <c r="GF39" s="337"/>
      <c r="GG39" s="337"/>
      <c r="GH39" s="337"/>
      <c r="GI39" s="337"/>
      <c r="GJ39" s="337"/>
      <c r="GK39" s="337"/>
      <c r="GL39" s="337"/>
      <c r="GM39" s="337"/>
      <c r="GN39" s="337"/>
      <c r="GO39" s="337"/>
      <c r="GP39" s="337"/>
      <c r="GQ39" s="337"/>
      <c r="GR39" s="337"/>
      <c r="GS39" s="337"/>
      <c r="GT39" s="337"/>
      <c r="GU39" s="341"/>
      <c r="GV39" s="341"/>
      <c r="GW39" s="342"/>
      <c r="GX39" s="342"/>
      <c r="GY39" s="343"/>
      <c r="GZ39" s="344"/>
      <c r="HA39" s="345"/>
      <c r="HB39" s="345"/>
      <c r="HC39" s="345"/>
      <c r="HD39" s="271"/>
      <c r="HE39" s="272"/>
      <c r="HF39" s="272"/>
      <c r="HG39" s="272"/>
      <c r="HH39" s="272"/>
      <c r="HI39" s="272"/>
      <c r="HJ39" s="272"/>
      <c r="HK39" s="272"/>
      <c r="HL39" s="272"/>
      <c r="HM39" s="272"/>
      <c r="HN39" s="272"/>
      <c r="HO39" s="272"/>
      <c r="HP39" s="272"/>
      <c r="HQ39" s="272"/>
      <c r="HR39" s="274"/>
      <c r="HS39" s="275"/>
      <c r="HT39" s="271"/>
      <c r="HU39" s="272"/>
      <c r="HV39" s="272"/>
      <c r="HW39" s="272"/>
      <c r="HX39" s="272"/>
      <c r="HY39" s="272"/>
      <c r="HZ39" s="272"/>
      <c r="IA39" s="272"/>
      <c r="IB39" s="272"/>
      <c r="IC39" s="272"/>
      <c r="ID39" s="272"/>
      <c r="IE39" s="272"/>
      <c r="IF39" s="272"/>
      <c r="IG39" s="274"/>
      <c r="IH39" s="275"/>
      <c r="II39" s="271"/>
      <c r="IJ39" s="272"/>
      <c r="IK39" s="272"/>
      <c r="IL39" s="276"/>
      <c r="IM39" s="277"/>
      <c r="IN39" s="277"/>
      <c r="IO39" s="333"/>
      <c r="IP39" s="334"/>
      <c r="JF39" s="296"/>
      <c r="JO39" s="335"/>
      <c r="KW39" s="296"/>
      <c r="KX39" s="277"/>
      <c r="KY39" s="277"/>
    </row>
    <row r="40" spans="2:311" ht="42.65" hidden="1" customHeight="1">
      <c r="B40" s="299"/>
      <c r="C40" s="241"/>
      <c r="D40" s="242"/>
      <c r="E40" s="243"/>
      <c r="F40" s="244"/>
      <c r="G40" s="246"/>
      <c r="H40" s="249"/>
      <c r="I40" s="249">
        <v>0</v>
      </c>
      <c r="J40" s="249">
        <v>0</v>
      </c>
      <c r="K40" s="249"/>
      <c r="L40" s="249">
        <v>0</v>
      </c>
      <c r="M40" s="300"/>
      <c r="N40" s="251"/>
      <c r="O40" s="251"/>
      <c r="P40" s="300"/>
      <c r="Q40" s="251"/>
      <c r="R40" s="251"/>
      <c r="S40" s="251"/>
      <c r="T40" s="251"/>
      <c r="U40" s="301"/>
      <c r="V40" s="242"/>
      <c r="W40" s="242"/>
      <c r="X40" s="242"/>
      <c r="Y40" s="242"/>
      <c r="Z40" s="242"/>
      <c r="AA40" s="302" t="s">
        <v>264</v>
      </c>
      <c r="AB40" s="303" t="s">
        <v>191</v>
      </c>
      <c r="AC40" s="304">
        <v>288</v>
      </c>
      <c r="AD40" s="256"/>
      <c r="AE40" s="336"/>
      <c r="AF40" s="337"/>
      <c r="AG40" s="337"/>
      <c r="AH40" s="337"/>
      <c r="AI40" s="337"/>
      <c r="AJ40" s="337"/>
      <c r="AK40" s="337"/>
      <c r="AL40" s="337"/>
      <c r="AM40" s="337"/>
      <c r="AN40" s="337"/>
      <c r="AO40" s="337"/>
      <c r="AP40" s="337"/>
      <c r="AQ40" s="337"/>
      <c r="AR40" s="337"/>
      <c r="AS40" s="339"/>
      <c r="AT40" s="337"/>
      <c r="AU40" s="339"/>
      <c r="AV40" s="337"/>
      <c r="AW40" s="337"/>
      <c r="AX40" s="337"/>
      <c r="AY40" s="337"/>
      <c r="AZ40" s="337"/>
      <c r="BA40" s="337"/>
      <c r="BB40" s="337"/>
      <c r="BC40" s="337"/>
      <c r="BD40" s="337"/>
      <c r="BE40" s="337"/>
      <c r="BF40" s="337"/>
      <c r="BG40" s="337"/>
      <c r="BH40" s="337"/>
      <c r="BI40" s="337"/>
      <c r="BJ40" s="337"/>
      <c r="BK40" s="337"/>
      <c r="BL40" s="337"/>
      <c r="BM40" s="337"/>
      <c r="BN40" s="337"/>
      <c r="BO40" s="337"/>
      <c r="BP40" s="337"/>
      <c r="BQ40" s="337"/>
      <c r="BR40" s="340"/>
      <c r="BS40" s="337"/>
      <c r="BT40" s="341"/>
      <c r="BU40" s="341"/>
      <c r="BV40" s="342"/>
      <c r="BW40" s="342"/>
      <c r="BX40" s="343"/>
      <c r="BY40" s="344"/>
      <c r="BZ40" s="345"/>
      <c r="CA40" s="345"/>
      <c r="CB40" s="345"/>
      <c r="CC40" s="271"/>
      <c r="CD40" s="272"/>
      <c r="CE40" s="272"/>
      <c r="CF40" s="272"/>
      <c r="CG40" s="272"/>
      <c r="CH40" s="272"/>
      <c r="CI40" s="272"/>
      <c r="CJ40" s="272"/>
      <c r="CK40" s="272"/>
      <c r="CL40" s="272"/>
      <c r="CM40" s="272"/>
      <c r="CN40" s="272"/>
      <c r="CO40" s="272"/>
      <c r="CP40" s="272"/>
      <c r="CQ40" s="274"/>
      <c r="CR40" s="275"/>
      <c r="CS40" s="271"/>
      <c r="CT40" s="272"/>
      <c r="CU40" s="272"/>
      <c r="CV40" s="272"/>
      <c r="CW40" s="272"/>
      <c r="CX40" s="272"/>
      <c r="CY40" s="272"/>
      <c r="CZ40" s="272"/>
      <c r="DA40" s="272"/>
      <c r="DB40" s="272"/>
      <c r="DC40" s="272"/>
      <c r="DD40" s="272"/>
      <c r="DE40" s="272"/>
      <c r="DF40" s="274"/>
      <c r="DG40" s="275"/>
      <c r="DH40" s="271"/>
      <c r="DI40" s="272"/>
      <c r="DJ40" s="272"/>
      <c r="DK40" s="276"/>
      <c r="DL40" s="277"/>
      <c r="DM40" s="277"/>
      <c r="DN40" s="277"/>
      <c r="DO40" s="277"/>
      <c r="DP40" s="277"/>
      <c r="DQ40" s="277"/>
      <c r="DR40" s="277"/>
      <c r="DS40" s="277"/>
      <c r="DT40" s="277"/>
      <c r="DU40" s="277"/>
      <c r="DV40" s="277"/>
      <c r="DW40" s="277"/>
      <c r="DX40" s="277"/>
      <c r="DY40" s="277"/>
      <c r="DZ40" s="277"/>
      <c r="EA40" s="277"/>
      <c r="EB40" s="277"/>
      <c r="EC40" s="277"/>
      <c r="ED40" s="277"/>
      <c r="EE40" s="277"/>
      <c r="EF40" s="277"/>
      <c r="EG40" s="277"/>
      <c r="EH40" s="277"/>
      <c r="EI40" s="277"/>
      <c r="EJ40" s="277"/>
      <c r="EK40" s="277"/>
      <c r="EL40" s="277"/>
      <c r="EM40" s="277"/>
      <c r="EN40" s="277"/>
      <c r="EO40" s="302" t="s">
        <v>264</v>
      </c>
      <c r="EP40" s="321" t="s">
        <v>191</v>
      </c>
      <c r="EQ40" s="357">
        <v>288</v>
      </c>
      <c r="ER40" s="323"/>
      <c r="ES40" s="323"/>
      <c r="ET40" s="323"/>
      <c r="EU40" s="323"/>
      <c r="EV40" s="324" t="s">
        <v>265</v>
      </c>
      <c r="EW40" s="325">
        <v>8</v>
      </c>
      <c r="EX40" s="326">
        <v>16</v>
      </c>
      <c r="EY40" s="327" t="s">
        <v>266</v>
      </c>
      <c r="EZ40" s="421">
        <v>38.799999999999997</v>
      </c>
      <c r="FA40" s="422">
        <v>41</v>
      </c>
      <c r="FB40" s="423" t="s">
        <v>267</v>
      </c>
      <c r="FC40" s="421">
        <v>29.7</v>
      </c>
      <c r="FD40" s="422">
        <v>35</v>
      </c>
      <c r="FE40" s="424" t="s">
        <v>268</v>
      </c>
      <c r="FF40" s="328">
        <v>25.4</v>
      </c>
      <c r="FG40" s="329">
        <v>34</v>
      </c>
      <c r="FH40" s="428" t="s">
        <v>189</v>
      </c>
      <c r="FI40" s="429"/>
      <c r="FJ40" s="430"/>
      <c r="FK40" s="289"/>
      <c r="FL40" s="290"/>
      <c r="FM40" s="349"/>
      <c r="FN40" s="336"/>
      <c r="FO40" s="337"/>
      <c r="FP40" s="337"/>
      <c r="FQ40" s="337"/>
      <c r="FR40" s="337"/>
      <c r="FS40" s="337"/>
      <c r="FT40" s="337"/>
      <c r="FU40" s="337"/>
      <c r="FV40" s="339"/>
      <c r="FW40" s="337"/>
      <c r="FX40" s="339"/>
      <c r="FY40" s="337"/>
      <c r="FZ40" s="337"/>
      <c r="GA40" s="337"/>
      <c r="GB40" s="337"/>
      <c r="GC40" s="337"/>
      <c r="GD40" s="337"/>
      <c r="GE40" s="337"/>
      <c r="GF40" s="337"/>
      <c r="GG40" s="337"/>
      <c r="GH40" s="337"/>
      <c r="GI40" s="337"/>
      <c r="GJ40" s="337"/>
      <c r="GK40" s="337"/>
      <c r="GL40" s="337"/>
      <c r="GM40" s="337"/>
      <c r="GN40" s="337"/>
      <c r="GO40" s="337"/>
      <c r="GP40" s="337"/>
      <c r="GQ40" s="337"/>
      <c r="GR40" s="337"/>
      <c r="GS40" s="337"/>
      <c r="GT40" s="337"/>
      <c r="GU40" s="341"/>
      <c r="GV40" s="341"/>
      <c r="GW40" s="342"/>
      <c r="GX40" s="342"/>
      <c r="GY40" s="343"/>
      <c r="GZ40" s="344"/>
      <c r="HA40" s="345"/>
      <c r="HB40" s="345"/>
      <c r="HC40" s="345"/>
      <c r="HD40" s="271"/>
      <c r="HE40" s="272"/>
      <c r="HF40" s="272"/>
      <c r="HG40" s="272"/>
      <c r="HH40" s="272"/>
      <c r="HI40" s="272"/>
      <c r="HJ40" s="272"/>
      <c r="HK40" s="272"/>
      <c r="HL40" s="272"/>
      <c r="HM40" s="272"/>
      <c r="HN40" s="272"/>
      <c r="HO40" s="272"/>
      <c r="HP40" s="272"/>
      <c r="HQ40" s="272"/>
      <c r="HR40" s="274"/>
      <c r="HS40" s="275"/>
      <c r="HT40" s="271"/>
      <c r="HU40" s="272"/>
      <c r="HV40" s="272"/>
      <c r="HW40" s="272"/>
      <c r="HX40" s="272"/>
      <c r="HY40" s="272"/>
      <c r="HZ40" s="272"/>
      <c r="IA40" s="272"/>
      <c r="IB40" s="272"/>
      <c r="IC40" s="272"/>
      <c r="ID40" s="272"/>
      <c r="IE40" s="272"/>
      <c r="IF40" s="272"/>
      <c r="IG40" s="274"/>
      <c r="IH40" s="275"/>
      <c r="II40" s="271"/>
      <c r="IJ40" s="272"/>
      <c r="IK40" s="272"/>
      <c r="IL40" s="276"/>
      <c r="IM40" s="277"/>
      <c r="IN40" s="277"/>
      <c r="IO40" s="333"/>
      <c r="IP40" s="334"/>
      <c r="JF40" s="296"/>
      <c r="JO40" s="335"/>
      <c r="KW40" s="296"/>
      <c r="KX40" s="277"/>
      <c r="KY40" s="277"/>
    </row>
    <row r="41" spans="2:311" ht="42.65" hidden="1" customHeight="1">
      <c r="B41" s="299"/>
      <c r="C41" s="241"/>
      <c r="D41" s="242"/>
      <c r="E41" s="243"/>
      <c r="F41" s="244"/>
      <c r="G41" s="246"/>
      <c r="H41" s="249"/>
      <c r="I41" s="249">
        <v>0</v>
      </c>
      <c r="J41" s="249">
        <v>0</v>
      </c>
      <c r="K41" s="249"/>
      <c r="L41" s="249">
        <v>0</v>
      </c>
      <c r="M41" s="300"/>
      <c r="N41" s="251"/>
      <c r="O41" s="251"/>
      <c r="P41" s="300"/>
      <c r="Q41" s="251"/>
      <c r="R41" s="251"/>
      <c r="S41" s="251"/>
      <c r="T41" s="251"/>
      <c r="U41" s="301"/>
      <c r="V41" s="242"/>
      <c r="W41" s="242"/>
      <c r="X41" s="242"/>
      <c r="Y41" s="242"/>
      <c r="Z41" s="242"/>
      <c r="AA41" s="302" t="s">
        <v>269</v>
      </c>
      <c r="AB41" s="303" t="s">
        <v>191</v>
      </c>
      <c r="AC41" s="304">
        <v>260</v>
      </c>
      <c r="AD41" s="256"/>
      <c r="AE41" s="336"/>
      <c r="AF41" s="337"/>
      <c r="AG41" s="337"/>
      <c r="AH41" s="337"/>
      <c r="AI41" s="337"/>
      <c r="AJ41" s="337"/>
      <c r="AK41" s="337"/>
      <c r="AL41" s="337"/>
      <c r="AM41" s="337"/>
      <c r="AN41" s="337"/>
      <c r="AO41" s="337"/>
      <c r="AP41" s="337"/>
      <c r="AQ41" s="337"/>
      <c r="AR41" s="337"/>
      <c r="AS41" s="339"/>
      <c r="AT41" s="337"/>
      <c r="AU41" s="339"/>
      <c r="AV41" s="337"/>
      <c r="AW41" s="337"/>
      <c r="AX41" s="337"/>
      <c r="AY41" s="337"/>
      <c r="AZ41" s="337"/>
      <c r="BA41" s="337"/>
      <c r="BB41" s="337"/>
      <c r="BC41" s="337"/>
      <c r="BD41" s="337"/>
      <c r="BE41" s="337"/>
      <c r="BF41" s="337"/>
      <c r="BG41" s="337"/>
      <c r="BH41" s="337"/>
      <c r="BI41" s="337"/>
      <c r="BJ41" s="337"/>
      <c r="BK41" s="337"/>
      <c r="BL41" s="337"/>
      <c r="BM41" s="337"/>
      <c r="BN41" s="337"/>
      <c r="BO41" s="337"/>
      <c r="BP41" s="337"/>
      <c r="BQ41" s="337"/>
      <c r="BR41" s="340"/>
      <c r="BS41" s="337"/>
      <c r="BT41" s="341"/>
      <c r="BU41" s="341"/>
      <c r="BV41" s="342"/>
      <c r="BW41" s="342"/>
      <c r="BX41" s="343"/>
      <c r="BY41" s="344"/>
      <c r="BZ41" s="345"/>
      <c r="CA41" s="345"/>
      <c r="CB41" s="345"/>
      <c r="CC41" s="271"/>
      <c r="CD41" s="272"/>
      <c r="CE41" s="272"/>
      <c r="CF41" s="272"/>
      <c r="CG41" s="272"/>
      <c r="CH41" s="272"/>
      <c r="CI41" s="272"/>
      <c r="CJ41" s="272"/>
      <c r="CK41" s="272"/>
      <c r="CL41" s="272"/>
      <c r="CM41" s="272"/>
      <c r="CN41" s="272"/>
      <c r="CO41" s="272"/>
      <c r="CP41" s="272"/>
      <c r="CQ41" s="274"/>
      <c r="CR41" s="275"/>
      <c r="CS41" s="271"/>
      <c r="CT41" s="272"/>
      <c r="CU41" s="272"/>
      <c r="CV41" s="272"/>
      <c r="CW41" s="272"/>
      <c r="CX41" s="272"/>
      <c r="CY41" s="272"/>
      <c r="CZ41" s="272"/>
      <c r="DA41" s="272"/>
      <c r="DB41" s="272"/>
      <c r="DC41" s="272"/>
      <c r="DD41" s="272"/>
      <c r="DE41" s="272"/>
      <c r="DF41" s="274"/>
      <c r="DG41" s="275"/>
      <c r="DH41" s="271"/>
      <c r="DI41" s="272"/>
      <c r="DJ41" s="272"/>
      <c r="DK41" s="276"/>
      <c r="DL41" s="277"/>
      <c r="DM41" s="277"/>
      <c r="DN41" s="277"/>
      <c r="DO41" s="277"/>
      <c r="DP41" s="277"/>
      <c r="DQ41" s="277"/>
      <c r="DR41" s="277"/>
      <c r="DS41" s="277"/>
      <c r="DT41" s="277"/>
      <c r="DU41" s="277"/>
      <c r="DV41" s="277"/>
      <c r="DW41" s="277"/>
      <c r="DX41" s="277"/>
      <c r="DY41" s="277"/>
      <c r="DZ41" s="277"/>
      <c r="EA41" s="277"/>
      <c r="EB41" s="277"/>
      <c r="EC41" s="277"/>
      <c r="ED41" s="277"/>
      <c r="EE41" s="277"/>
      <c r="EF41" s="277"/>
      <c r="EG41" s="277"/>
      <c r="EH41" s="277"/>
      <c r="EI41" s="277"/>
      <c r="EJ41" s="277"/>
      <c r="EK41" s="277"/>
      <c r="EL41" s="277"/>
      <c r="EM41" s="277"/>
      <c r="EN41" s="277"/>
      <c r="EO41" s="302" t="s">
        <v>269</v>
      </c>
      <c r="EP41" s="321" t="s">
        <v>191</v>
      </c>
      <c r="EQ41" s="322">
        <v>260</v>
      </c>
      <c r="ER41" s="323"/>
      <c r="ES41" s="323"/>
      <c r="ET41" s="323"/>
      <c r="EU41" s="323"/>
      <c r="EV41" s="324" t="s">
        <v>215</v>
      </c>
      <c r="EW41" s="325">
        <v>5.5</v>
      </c>
      <c r="EX41" s="326">
        <v>15</v>
      </c>
      <c r="EY41" s="327" t="s">
        <v>244</v>
      </c>
      <c r="EZ41" s="421">
        <v>24.6</v>
      </c>
      <c r="FA41" s="422">
        <v>40</v>
      </c>
      <c r="FB41" s="423" t="s">
        <v>189</v>
      </c>
      <c r="FC41" s="421"/>
      <c r="FD41" s="422"/>
      <c r="FE41" s="424" t="s">
        <v>189</v>
      </c>
      <c r="FF41" s="328"/>
      <c r="FG41" s="329"/>
      <c r="FH41" s="428" t="s">
        <v>189</v>
      </c>
      <c r="FI41" s="429"/>
      <c r="FJ41" s="430"/>
      <c r="FK41" s="289"/>
      <c r="FL41" s="290"/>
      <c r="FM41" s="349"/>
      <c r="FN41" s="336"/>
      <c r="FO41" s="337"/>
      <c r="FP41" s="337"/>
      <c r="FQ41" s="337"/>
      <c r="FR41" s="337"/>
      <c r="FS41" s="337"/>
      <c r="FT41" s="337"/>
      <c r="FU41" s="337"/>
      <c r="FV41" s="339"/>
      <c r="FW41" s="337"/>
      <c r="FX41" s="339"/>
      <c r="FY41" s="337"/>
      <c r="FZ41" s="337"/>
      <c r="GA41" s="337"/>
      <c r="GB41" s="337"/>
      <c r="GC41" s="337"/>
      <c r="GD41" s="337"/>
      <c r="GE41" s="337"/>
      <c r="GF41" s="337"/>
      <c r="GG41" s="337"/>
      <c r="GH41" s="337"/>
      <c r="GI41" s="337"/>
      <c r="GJ41" s="337"/>
      <c r="GK41" s="337"/>
      <c r="GL41" s="337"/>
      <c r="GM41" s="337"/>
      <c r="GN41" s="337"/>
      <c r="GO41" s="337"/>
      <c r="GP41" s="337"/>
      <c r="GQ41" s="337"/>
      <c r="GR41" s="337"/>
      <c r="GS41" s="337"/>
      <c r="GT41" s="337"/>
      <c r="GU41" s="341"/>
      <c r="GV41" s="341"/>
      <c r="GW41" s="342"/>
      <c r="GX41" s="342"/>
      <c r="GY41" s="343"/>
      <c r="GZ41" s="344"/>
      <c r="HA41" s="345"/>
      <c r="HB41" s="345"/>
      <c r="HC41" s="345"/>
      <c r="HD41" s="271"/>
      <c r="HE41" s="272"/>
      <c r="HF41" s="272"/>
      <c r="HG41" s="272"/>
      <c r="HH41" s="272"/>
      <c r="HI41" s="272"/>
      <c r="HJ41" s="272"/>
      <c r="HK41" s="272"/>
      <c r="HL41" s="272"/>
      <c r="HM41" s="272"/>
      <c r="HN41" s="272"/>
      <c r="HO41" s="272"/>
      <c r="HP41" s="272"/>
      <c r="HQ41" s="272"/>
      <c r="HR41" s="274"/>
      <c r="HS41" s="275"/>
      <c r="HT41" s="271"/>
      <c r="HU41" s="272"/>
      <c r="HV41" s="272"/>
      <c r="HW41" s="272"/>
      <c r="HX41" s="272"/>
      <c r="HY41" s="272"/>
      <c r="HZ41" s="272"/>
      <c r="IA41" s="272"/>
      <c r="IB41" s="272"/>
      <c r="IC41" s="272"/>
      <c r="ID41" s="272"/>
      <c r="IE41" s="272"/>
      <c r="IF41" s="272"/>
      <c r="IG41" s="274"/>
      <c r="IH41" s="275"/>
      <c r="II41" s="271"/>
      <c r="IJ41" s="272"/>
      <c r="IK41" s="272"/>
      <c r="IL41" s="276"/>
      <c r="IM41" s="277"/>
      <c r="IN41" s="277"/>
      <c r="IO41" s="333"/>
      <c r="IP41" s="334"/>
      <c r="JF41" s="296"/>
      <c r="JO41" s="335"/>
      <c r="KW41" s="296"/>
      <c r="KX41" s="277"/>
      <c r="KY41" s="277"/>
    </row>
    <row r="42" spans="2:311" ht="42.65" hidden="1" customHeight="1">
      <c r="B42" s="299"/>
      <c r="C42" s="241"/>
      <c r="D42" s="242"/>
      <c r="E42" s="243"/>
      <c r="F42" s="244"/>
      <c r="G42" s="246"/>
      <c r="H42" s="249"/>
      <c r="I42" s="249"/>
      <c r="J42" s="249"/>
      <c r="K42" s="249"/>
      <c r="L42" s="249"/>
      <c r="M42" s="300"/>
      <c r="N42" s="251"/>
      <c r="O42" s="251"/>
      <c r="P42" s="300"/>
      <c r="Q42" s="251"/>
      <c r="R42" s="251"/>
      <c r="S42" s="251"/>
      <c r="T42" s="251"/>
      <c r="U42" s="301"/>
      <c r="V42" s="242"/>
      <c r="W42" s="242"/>
      <c r="X42" s="242"/>
      <c r="Y42" s="242"/>
      <c r="Z42" s="242"/>
      <c r="AA42" s="302" t="s">
        <v>270</v>
      </c>
      <c r="AB42" s="303" t="s">
        <v>271</v>
      </c>
      <c r="AC42" s="304">
        <v>180</v>
      </c>
      <c r="AD42" s="256"/>
      <c r="AE42" s="336"/>
      <c r="AF42" s="337"/>
      <c r="AG42" s="337"/>
      <c r="AH42" s="337"/>
      <c r="AI42" s="337"/>
      <c r="AJ42" s="337"/>
      <c r="AK42" s="337"/>
      <c r="AL42" s="337"/>
      <c r="AM42" s="337"/>
      <c r="AN42" s="337"/>
      <c r="AO42" s="337"/>
      <c r="AP42" s="337"/>
      <c r="AQ42" s="337"/>
      <c r="AR42" s="337"/>
      <c r="AS42" s="339"/>
      <c r="AT42" s="337"/>
      <c r="AU42" s="339"/>
      <c r="AV42" s="337"/>
      <c r="AW42" s="337"/>
      <c r="AX42" s="337"/>
      <c r="AY42" s="337"/>
      <c r="AZ42" s="337"/>
      <c r="BA42" s="337"/>
      <c r="BB42" s="337"/>
      <c r="BC42" s="337"/>
      <c r="BD42" s="337"/>
      <c r="BE42" s="337"/>
      <c r="BF42" s="337"/>
      <c r="BG42" s="337"/>
      <c r="BH42" s="337"/>
      <c r="BI42" s="337"/>
      <c r="BJ42" s="337"/>
      <c r="BK42" s="337"/>
      <c r="BL42" s="337"/>
      <c r="BM42" s="337"/>
      <c r="BN42" s="337"/>
      <c r="BO42" s="337"/>
      <c r="BP42" s="337"/>
      <c r="BQ42" s="337"/>
      <c r="BR42" s="340"/>
      <c r="BS42" s="337"/>
      <c r="BT42" s="341"/>
      <c r="BU42" s="341"/>
      <c r="BV42" s="342"/>
      <c r="BW42" s="342"/>
      <c r="BX42" s="343"/>
      <c r="BY42" s="344"/>
      <c r="BZ42" s="345"/>
      <c r="CA42" s="345"/>
      <c r="CB42" s="345"/>
      <c r="CC42" s="271"/>
      <c r="CD42" s="272"/>
      <c r="CE42" s="272"/>
      <c r="CF42" s="272"/>
      <c r="CG42" s="272"/>
      <c r="CH42" s="272"/>
      <c r="CI42" s="272"/>
      <c r="CJ42" s="272"/>
      <c r="CK42" s="272"/>
      <c r="CL42" s="272"/>
      <c r="CM42" s="272"/>
      <c r="CN42" s="272"/>
      <c r="CO42" s="272"/>
      <c r="CP42" s="272"/>
      <c r="CQ42" s="274"/>
      <c r="CR42" s="275"/>
      <c r="CS42" s="271"/>
      <c r="CT42" s="272"/>
      <c r="CU42" s="272"/>
      <c r="CV42" s="272"/>
      <c r="CW42" s="272"/>
      <c r="CX42" s="272"/>
      <c r="CY42" s="272"/>
      <c r="CZ42" s="272"/>
      <c r="DA42" s="272"/>
      <c r="DB42" s="272"/>
      <c r="DC42" s="272"/>
      <c r="DD42" s="272"/>
      <c r="DE42" s="272"/>
      <c r="DF42" s="274"/>
      <c r="DG42" s="275"/>
      <c r="DH42" s="271"/>
      <c r="DI42" s="272"/>
      <c r="DJ42" s="272"/>
      <c r="DK42" s="276"/>
      <c r="DL42" s="277"/>
      <c r="DM42" s="277"/>
      <c r="DN42" s="277"/>
      <c r="DO42" s="277"/>
      <c r="DP42" s="277"/>
      <c r="DQ42" s="277"/>
      <c r="DR42" s="277"/>
      <c r="DS42" s="277"/>
      <c r="DT42" s="277"/>
      <c r="DU42" s="277"/>
      <c r="DV42" s="277"/>
      <c r="DW42" s="277"/>
      <c r="DX42" s="277"/>
      <c r="DY42" s="277"/>
      <c r="DZ42" s="277"/>
      <c r="EA42" s="277"/>
      <c r="EB42" s="277"/>
      <c r="EC42" s="277"/>
      <c r="ED42" s="277"/>
      <c r="EE42" s="277"/>
      <c r="EF42" s="277"/>
      <c r="EG42" s="277"/>
      <c r="EH42" s="277"/>
      <c r="EI42" s="277"/>
      <c r="EJ42" s="277"/>
      <c r="EK42" s="277"/>
      <c r="EL42" s="277"/>
      <c r="EM42" s="277"/>
      <c r="EN42" s="277"/>
      <c r="EO42" s="302"/>
      <c r="EP42" s="321"/>
      <c r="EQ42" s="322"/>
      <c r="ER42" s="323"/>
      <c r="ES42" s="323"/>
      <c r="ET42" s="323"/>
      <c r="EU42" s="323"/>
      <c r="EV42" s="324"/>
      <c r="EW42" s="325"/>
      <c r="EX42" s="326"/>
      <c r="EY42" s="327"/>
      <c r="EZ42" s="421"/>
      <c r="FA42" s="422"/>
      <c r="FB42" s="423"/>
      <c r="FC42" s="421"/>
      <c r="FD42" s="422"/>
      <c r="FE42" s="424"/>
      <c r="FF42" s="328"/>
      <c r="FG42" s="329"/>
      <c r="FH42" s="431"/>
      <c r="FI42" s="429"/>
      <c r="FJ42" s="432"/>
      <c r="FK42" s="289"/>
      <c r="FL42" s="290"/>
      <c r="FM42" s="349"/>
      <c r="FN42" s="336"/>
      <c r="FO42" s="337"/>
      <c r="FP42" s="337"/>
      <c r="FQ42" s="337"/>
      <c r="FR42" s="337"/>
      <c r="FS42" s="337"/>
      <c r="FT42" s="337"/>
      <c r="FU42" s="337"/>
      <c r="FV42" s="339"/>
      <c r="FW42" s="337"/>
      <c r="FX42" s="339"/>
      <c r="FY42" s="337"/>
      <c r="FZ42" s="337"/>
      <c r="GA42" s="337"/>
      <c r="GB42" s="337"/>
      <c r="GC42" s="337"/>
      <c r="GD42" s="337"/>
      <c r="GE42" s="337"/>
      <c r="GF42" s="337"/>
      <c r="GG42" s="337"/>
      <c r="GH42" s="337"/>
      <c r="GI42" s="337"/>
      <c r="GJ42" s="337"/>
      <c r="GK42" s="337"/>
      <c r="GL42" s="337"/>
      <c r="GM42" s="337"/>
      <c r="GN42" s="337"/>
      <c r="GO42" s="337"/>
      <c r="GP42" s="337"/>
      <c r="GQ42" s="337"/>
      <c r="GR42" s="337"/>
      <c r="GS42" s="337"/>
      <c r="GT42" s="337"/>
      <c r="GU42" s="341"/>
      <c r="GV42" s="341"/>
      <c r="GW42" s="342"/>
      <c r="GX42" s="342"/>
      <c r="GY42" s="343"/>
      <c r="GZ42" s="344"/>
      <c r="HA42" s="345"/>
      <c r="HB42" s="345"/>
      <c r="HC42" s="345"/>
      <c r="HD42" s="271"/>
      <c r="HE42" s="272"/>
      <c r="HF42" s="272"/>
      <c r="HG42" s="272"/>
      <c r="HH42" s="272"/>
      <c r="HI42" s="272"/>
      <c r="HJ42" s="272"/>
      <c r="HK42" s="272"/>
      <c r="HL42" s="272"/>
      <c r="HM42" s="272"/>
      <c r="HN42" s="272"/>
      <c r="HO42" s="272"/>
      <c r="HP42" s="272"/>
      <c r="HQ42" s="272"/>
      <c r="HR42" s="274"/>
      <c r="HS42" s="275"/>
      <c r="HT42" s="271"/>
      <c r="HU42" s="272"/>
      <c r="HV42" s="272"/>
      <c r="HW42" s="272"/>
      <c r="HX42" s="272"/>
      <c r="HY42" s="272"/>
      <c r="HZ42" s="272"/>
      <c r="IA42" s="272"/>
      <c r="IB42" s="272"/>
      <c r="IC42" s="272"/>
      <c r="ID42" s="272"/>
      <c r="IE42" s="272"/>
      <c r="IF42" s="272"/>
      <c r="IG42" s="274"/>
      <c r="IH42" s="275"/>
      <c r="II42" s="271"/>
      <c r="IJ42" s="272"/>
      <c r="IK42" s="272"/>
      <c r="IL42" s="276"/>
      <c r="IM42" s="277"/>
      <c r="IN42" s="277"/>
      <c r="IO42" s="333"/>
      <c r="IP42" s="334"/>
      <c r="JF42" s="296"/>
      <c r="JO42" s="335"/>
      <c r="KW42" s="296"/>
      <c r="KX42" s="277"/>
      <c r="KY42" s="277"/>
    </row>
    <row r="43" spans="2:311" ht="42.65" hidden="1" customHeight="1">
      <c r="B43" s="299"/>
      <c r="C43" s="241"/>
      <c r="D43" s="242"/>
      <c r="E43" s="243"/>
      <c r="F43" s="244"/>
      <c r="G43" s="246"/>
      <c r="H43" s="249"/>
      <c r="I43" s="249">
        <v>0</v>
      </c>
      <c r="J43" s="249">
        <v>0</v>
      </c>
      <c r="K43" s="249"/>
      <c r="L43" s="249">
        <v>0</v>
      </c>
      <c r="M43" s="300"/>
      <c r="N43" s="251"/>
      <c r="O43" s="251"/>
      <c r="P43" s="300"/>
      <c r="Q43" s="251"/>
      <c r="R43" s="251"/>
      <c r="S43" s="251"/>
      <c r="T43" s="251"/>
      <c r="U43" s="301"/>
      <c r="V43" s="242"/>
      <c r="W43" s="242"/>
      <c r="X43" s="242"/>
      <c r="Y43" s="242"/>
      <c r="Z43" s="242"/>
      <c r="AA43" s="350" t="s">
        <v>272</v>
      </c>
      <c r="AB43" s="303" t="s">
        <v>273</v>
      </c>
      <c r="AC43" s="304">
        <v>108</v>
      </c>
      <c r="AD43" s="256"/>
      <c r="AE43" s="336"/>
      <c r="AF43" s="337"/>
      <c r="AG43" s="337"/>
      <c r="AH43" s="337"/>
      <c r="AI43" s="337"/>
      <c r="AJ43" s="337"/>
      <c r="AK43" s="337"/>
      <c r="AL43" s="337"/>
      <c r="AM43" s="337"/>
      <c r="AN43" s="337"/>
      <c r="AO43" s="337"/>
      <c r="AP43" s="337"/>
      <c r="AQ43" s="337"/>
      <c r="AR43" s="337"/>
      <c r="AS43" s="339"/>
      <c r="AT43" s="337"/>
      <c r="AU43" s="339"/>
      <c r="AV43" s="337"/>
      <c r="AW43" s="337"/>
      <c r="AX43" s="337"/>
      <c r="AY43" s="337"/>
      <c r="AZ43" s="337"/>
      <c r="BA43" s="337"/>
      <c r="BB43" s="337"/>
      <c r="BC43" s="337"/>
      <c r="BD43" s="337"/>
      <c r="BE43" s="337"/>
      <c r="BF43" s="337"/>
      <c r="BG43" s="337"/>
      <c r="BH43" s="337"/>
      <c r="BI43" s="337"/>
      <c r="BJ43" s="337"/>
      <c r="BK43" s="337"/>
      <c r="BL43" s="337"/>
      <c r="BM43" s="337"/>
      <c r="BN43" s="337"/>
      <c r="BO43" s="337"/>
      <c r="BP43" s="337"/>
      <c r="BQ43" s="337"/>
      <c r="BR43" s="340"/>
      <c r="BS43" s="337"/>
      <c r="BT43" s="341"/>
      <c r="BU43" s="341"/>
      <c r="BV43" s="342"/>
      <c r="BW43" s="342"/>
      <c r="BX43" s="343"/>
      <c r="BY43" s="344"/>
      <c r="BZ43" s="345"/>
      <c r="CA43" s="345"/>
      <c r="CB43" s="345"/>
      <c r="CC43" s="271"/>
      <c r="CD43" s="272"/>
      <c r="CE43" s="272"/>
      <c r="CF43" s="272"/>
      <c r="CG43" s="272"/>
      <c r="CH43" s="272"/>
      <c r="CI43" s="272"/>
      <c r="CJ43" s="272"/>
      <c r="CK43" s="272"/>
      <c r="CL43" s="272"/>
      <c r="CM43" s="272"/>
      <c r="CN43" s="272"/>
      <c r="CO43" s="272"/>
      <c r="CP43" s="272"/>
      <c r="CQ43" s="274"/>
      <c r="CR43" s="275"/>
      <c r="CS43" s="271"/>
      <c r="CT43" s="272"/>
      <c r="CU43" s="272"/>
      <c r="CV43" s="272"/>
      <c r="CW43" s="272"/>
      <c r="CX43" s="272"/>
      <c r="CY43" s="272"/>
      <c r="CZ43" s="272"/>
      <c r="DA43" s="272"/>
      <c r="DB43" s="272"/>
      <c r="DC43" s="272"/>
      <c r="DD43" s="272"/>
      <c r="DE43" s="272"/>
      <c r="DF43" s="274"/>
      <c r="DG43" s="275"/>
      <c r="DH43" s="271"/>
      <c r="DI43" s="272"/>
      <c r="DJ43" s="272"/>
      <c r="DK43" s="276"/>
      <c r="DL43" s="277"/>
      <c r="DM43" s="277"/>
      <c r="DN43" s="277"/>
      <c r="DO43" s="277"/>
      <c r="DP43" s="277"/>
      <c r="DQ43" s="277"/>
      <c r="DR43" s="277"/>
      <c r="DS43" s="277"/>
      <c r="DT43" s="277"/>
      <c r="DU43" s="277"/>
      <c r="DV43" s="277"/>
      <c r="DW43" s="277"/>
      <c r="DX43" s="277"/>
      <c r="DY43" s="277"/>
      <c r="DZ43" s="277"/>
      <c r="EA43" s="277"/>
      <c r="EB43" s="277"/>
      <c r="EC43" s="277"/>
      <c r="ED43" s="277"/>
      <c r="EE43" s="277"/>
      <c r="EF43" s="277"/>
      <c r="EG43" s="277"/>
      <c r="EH43" s="277"/>
      <c r="EI43" s="277"/>
      <c r="EJ43" s="277"/>
      <c r="EK43" s="277"/>
      <c r="EL43" s="277"/>
      <c r="EM43" s="277"/>
      <c r="EN43" s="277"/>
      <c r="EO43" s="302" t="s">
        <v>272</v>
      </c>
      <c r="EP43" s="321" t="s">
        <v>273</v>
      </c>
      <c r="EQ43" s="322">
        <v>108</v>
      </c>
      <c r="ER43" s="323"/>
      <c r="ES43" s="323"/>
      <c r="ET43" s="323"/>
      <c r="EU43" s="323"/>
      <c r="EV43" s="324" t="s">
        <v>274</v>
      </c>
      <c r="EW43" s="325">
        <v>37.6</v>
      </c>
      <c r="EX43" s="326">
        <v>40</v>
      </c>
      <c r="EY43" s="327" t="s">
        <v>188</v>
      </c>
      <c r="EZ43" s="421">
        <v>38</v>
      </c>
      <c r="FA43" s="422">
        <v>40</v>
      </c>
      <c r="FB43" s="423" t="s">
        <v>189</v>
      </c>
      <c r="FC43" s="421"/>
      <c r="FD43" s="422"/>
      <c r="FE43" s="424" t="s">
        <v>189</v>
      </c>
      <c r="FF43" s="328"/>
      <c r="FG43" s="329"/>
      <c r="FH43" s="424" t="s">
        <v>189</v>
      </c>
      <c r="FI43" s="421"/>
      <c r="FJ43" s="425"/>
      <c r="FK43" s="289"/>
      <c r="FL43" s="290"/>
      <c r="FM43" s="349"/>
      <c r="FN43" s="336"/>
      <c r="FO43" s="337"/>
      <c r="FP43" s="337"/>
      <c r="FQ43" s="337"/>
      <c r="FR43" s="337"/>
      <c r="FS43" s="337"/>
      <c r="FT43" s="337"/>
      <c r="FU43" s="337"/>
      <c r="FV43" s="339"/>
      <c r="FW43" s="337"/>
      <c r="FX43" s="339"/>
      <c r="FY43" s="337"/>
      <c r="FZ43" s="337"/>
      <c r="GA43" s="337"/>
      <c r="GB43" s="337"/>
      <c r="GC43" s="337"/>
      <c r="GD43" s="337"/>
      <c r="GE43" s="337"/>
      <c r="GF43" s="337"/>
      <c r="GG43" s="337"/>
      <c r="GH43" s="337"/>
      <c r="GI43" s="337"/>
      <c r="GJ43" s="337"/>
      <c r="GK43" s="337"/>
      <c r="GL43" s="337"/>
      <c r="GM43" s="337"/>
      <c r="GN43" s="337"/>
      <c r="GO43" s="337"/>
      <c r="GP43" s="337"/>
      <c r="GQ43" s="337"/>
      <c r="GR43" s="337"/>
      <c r="GS43" s="337"/>
      <c r="GT43" s="337"/>
      <c r="GU43" s="341"/>
      <c r="GV43" s="341"/>
      <c r="GW43" s="342"/>
      <c r="GX43" s="342"/>
      <c r="GY43" s="343"/>
      <c r="GZ43" s="344"/>
      <c r="HA43" s="345"/>
      <c r="HB43" s="345"/>
      <c r="HC43" s="345"/>
      <c r="HD43" s="271"/>
      <c r="HE43" s="272"/>
      <c r="HF43" s="272"/>
      <c r="HG43" s="272"/>
      <c r="HH43" s="272"/>
      <c r="HI43" s="272"/>
      <c r="HJ43" s="272"/>
      <c r="HK43" s="272"/>
      <c r="HL43" s="272"/>
      <c r="HM43" s="272"/>
      <c r="HN43" s="272"/>
      <c r="HO43" s="272"/>
      <c r="HP43" s="272"/>
      <c r="HQ43" s="272"/>
      <c r="HR43" s="274"/>
      <c r="HS43" s="275"/>
      <c r="HT43" s="271"/>
      <c r="HU43" s="272"/>
      <c r="HV43" s="272"/>
      <c r="HW43" s="272"/>
      <c r="HX43" s="272"/>
      <c r="HY43" s="272"/>
      <c r="HZ43" s="272"/>
      <c r="IA43" s="272"/>
      <c r="IB43" s="272"/>
      <c r="IC43" s="272"/>
      <c r="ID43" s="272"/>
      <c r="IE43" s="272"/>
      <c r="IF43" s="272"/>
      <c r="IG43" s="274"/>
      <c r="IH43" s="275"/>
      <c r="II43" s="271"/>
      <c r="IJ43" s="272"/>
      <c r="IK43" s="272"/>
      <c r="IL43" s="276"/>
      <c r="IM43" s="277"/>
      <c r="IN43" s="277"/>
      <c r="IO43" s="333"/>
      <c r="IP43" s="334"/>
      <c r="JF43" s="296"/>
      <c r="JO43" s="335"/>
      <c r="KW43" s="296"/>
      <c r="KX43" s="277"/>
      <c r="KY43" s="277"/>
    </row>
    <row r="44" spans="2:311" ht="42.65" hidden="1" customHeight="1">
      <c r="B44" s="299"/>
      <c r="C44" s="241"/>
      <c r="D44" s="242"/>
      <c r="E44" s="243"/>
      <c r="F44" s="244"/>
      <c r="G44" s="246"/>
      <c r="H44" s="249"/>
      <c r="I44" s="249">
        <v>0</v>
      </c>
      <c r="J44" s="249">
        <v>0</v>
      </c>
      <c r="K44" s="249"/>
      <c r="L44" s="249">
        <v>0</v>
      </c>
      <c r="M44" s="300"/>
      <c r="N44" s="251"/>
      <c r="O44" s="251"/>
      <c r="P44" s="300"/>
      <c r="Q44" s="251"/>
      <c r="R44" s="251"/>
      <c r="S44" s="251"/>
      <c r="T44" s="251"/>
      <c r="U44" s="301"/>
      <c r="V44" s="242"/>
      <c r="W44" s="242"/>
      <c r="X44" s="242"/>
      <c r="Y44" s="242"/>
      <c r="Z44" s="242"/>
      <c r="AA44" s="433" t="s">
        <v>275</v>
      </c>
      <c r="AB44" s="303"/>
      <c r="AC44" s="304"/>
      <c r="AD44" s="256"/>
      <c r="AE44" s="336"/>
      <c r="AF44" s="337"/>
      <c r="AG44" s="337"/>
      <c r="AH44" s="337"/>
      <c r="AI44" s="337"/>
      <c r="AJ44" s="337"/>
      <c r="AK44" s="337"/>
      <c r="AL44" s="337"/>
      <c r="AM44" s="337"/>
      <c r="AN44" s="337"/>
      <c r="AO44" s="337"/>
      <c r="AP44" s="337"/>
      <c r="AQ44" s="337"/>
      <c r="AR44" s="337"/>
      <c r="AS44" s="339"/>
      <c r="AT44" s="337"/>
      <c r="AU44" s="339"/>
      <c r="AV44" s="337"/>
      <c r="AW44" s="337"/>
      <c r="AX44" s="337"/>
      <c r="AY44" s="337"/>
      <c r="AZ44" s="337"/>
      <c r="BA44" s="337"/>
      <c r="BB44" s="337"/>
      <c r="BC44" s="337"/>
      <c r="BD44" s="337"/>
      <c r="BE44" s="337"/>
      <c r="BF44" s="337"/>
      <c r="BG44" s="337"/>
      <c r="BH44" s="337"/>
      <c r="BI44" s="337"/>
      <c r="BJ44" s="337"/>
      <c r="BK44" s="337"/>
      <c r="BL44" s="337"/>
      <c r="BM44" s="337"/>
      <c r="BN44" s="337"/>
      <c r="BO44" s="337"/>
      <c r="BP44" s="337"/>
      <c r="BQ44" s="337"/>
      <c r="BR44" s="266"/>
      <c r="BS44" s="337"/>
      <c r="BT44" s="341"/>
      <c r="BU44" s="341"/>
      <c r="BV44" s="342"/>
      <c r="BW44" s="342"/>
      <c r="BX44" s="343"/>
      <c r="BY44" s="344"/>
      <c r="BZ44" s="345"/>
      <c r="CA44" s="345"/>
      <c r="CB44" s="345"/>
      <c r="CC44" s="271"/>
      <c r="CD44" s="272"/>
      <c r="CE44" s="272"/>
      <c r="CF44" s="272"/>
      <c r="CG44" s="272"/>
      <c r="CH44" s="272"/>
      <c r="CI44" s="272"/>
      <c r="CJ44" s="272"/>
      <c r="CK44" s="272"/>
      <c r="CL44" s="272"/>
      <c r="CM44" s="272"/>
      <c r="CN44" s="272"/>
      <c r="CO44" s="272"/>
      <c r="CP44" s="272"/>
      <c r="CQ44" s="274"/>
      <c r="CR44" s="275"/>
      <c r="CS44" s="271"/>
      <c r="CT44" s="272"/>
      <c r="CU44" s="272"/>
      <c r="CV44" s="272"/>
      <c r="CW44" s="272"/>
      <c r="CX44" s="272"/>
      <c r="CY44" s="272"/>
      <c r="CZ44" s="272"/>
      <c r="DA44" s="272"/>
      <c r="DB44" s="272"/>
      <c r="DC44" s="272"/>
      <c r="DD44" s="272"/>
      <c r="DE44" s="272"/>
      <c r="DF44" s="274"/>
      <c r="DG44" s="275"/>
      <c r="DH44" s="271"/>
      <c r="DI44" s="272"/>
      <c r="DJ44" s="272"/>
      <c r="DK44" s="276"/>
      <c r="DL44" s="277"/>
      <c r="DM44" s="277"/>
      <c r="DN44" s="277"/>
      <c r="DO44" s="277"/>
      <c r="DP44" s="277"/>
      <c r="DQ44" s="277"/>
      <c r="DR44" s="277"/>
      <c r="DS44" s="277"/>
      <c r="DT44" s="277"/>
      <c r="DU44" s="277"/>
      <c r="DV44" s="277"/>
      <c r="DW44" s="277"/>
      <c r="DX44" s="277"/>
      <c r="DY44" s="277"/>
      <c r="DZ44" s="277"/>
      <c r="EA44" s="277"/>
      <c r="EB44" s="277"/>
      <c r="EC44" s="277"/>
      <c r="ED44" s="277"/>
      <c r="EE44" s="277"/>
      <c r="EF44" s="277"/>
      <c r="EG44" s="277"/>
      <c r="EH44" s="277"/>
      <c r="EI44" s="277"/>
      <c r="EJ44" s="277"/>
      <c r="EK44" s="277"/>
      <c r="EL44" s="277"/>
      <c r="EM44" s="277"/>
      <c r="EN44" s="277"/>
      <c r="EO44" s="302" t="s">
        <v>276</v>
      </c>
      <c r="EP44" s="321" t="s">
        <v>191</v>
      </c>
      <c r="EQ44" s="322">
        <v>131</v>
      </c>
      <c r="ER44" s="323"/>
      <c r="ES44" s="323"/>
      <c r="ET44" s="323"/>
      <c r="EU44" s="323"/>
      <c r="EV44" s="324" t="s">
        <v>237</v>
      </c>
      <c r="EW44" s="325">
        <v>20.2</v>
      </c>
      <c r="EX44" s="326">
        <v>31</v>
      </c>
      <c r="EY44" s="327" t="s">
        <v>188</v>
      </c>
      <c r="EZ44" s="421">
        <v>20.2</v>
      </c>
      <c r="FA44" s="422">
        <v>31</v>
      </c>
      <c r="FB44" s="423" t="s">
        <v>189</v>
      </c>
      <c r="FC44" s="421"/>
      <c r="FD44" s="422"/>
      <c r="FE44" s="424" t="s">
        <v>189</v>
      </c>
      <c r="FF44" s="328"/>
      <c r="FG44" s="329"/>
      <c r="FH44" s="424" t="s">
        <v>189</v>
      </c>
      <c r="FI44" s="421"/>
      <c r="FJ44" s="425"/>
      <c r="FK44" s="289"/>
      <c r="FL44" s="290"/>
      <c r="FM44" s="349"/>
      <c r="FN44" s="336"/>
      <c r="FO44" s="337"/>
      <c r="FP44" s="337"/>
      <c r="FQ44" s="337"/>
      <c r="FR44" s="337"/>
      <c r="FS44" s="337"/>
      <c r="FT44" s="337"/>
      <c r="FU44" s="337"/>
      <c r="FV44" s="339"/>
      <c r="FW44" s="337"/>
      <c r="FX44" s="339"/>
      <c r="FY44" s="337"/>
      <c r="FZ44" s="337"/>
      <c r="GA44" s="337"/>
      <c r="GB44" s="337"/>
      <c r="GC44" s="337"/>
      <c r="GD44" s="337"/>
      <c r="GE44" s="337"/>
      <c r="GF44" s="337"/>
      <c r="GG44" s="337"/>
      <c r="GH44" s="337"/>
      <c r="GI44" s="337"/>
      <c r="GJ44" s="337"/>
      <c r="GK44" s="337"/>
      <c r="GL44" s="337"/>
      <c r="GM44" s="337"/>
      <c r="GN44" s="337"/>
      <c r="GO44" s="337"/>
      <c r="GP44" s="337"/>
      <c r="GQ44" s="337"/>
      <c r="GR44" s="337"/>
      <c r="GS44" s="337"/>
      <c r="GT44" s="337"/>
      <c r="GU44" s="341"/>
      <c r="GV44" s="341"/>
      <c r="GW44" s="342"/>
      <c r="GX44" s="342"/>
      <c r="GY44" s="343"/>
      <c r="GZ44" s="344"/>
      <c r="HA44" s="345"/>
      <c r="HB44" s="345"/>
      <c r="HC44" s="345"/>
      <c r="HD44" s="271"/>
      <c r="HE44" s="272"/>
      <c r="HF44" s="272"/>
      <c r="HG44" s="272"/>
      <c r="HH44" s="272"/>
      <c r="HI44" s="272"/>
      <c r="HJ44" s="272"/>
      <c r="HK44" s="272"/>
      <c r="HL44" s="272"/>
      <c r="HM44" s="272"/>
      <c r="HN44" s="272"/>
      <c r="HO44" s="272"/>
      <c r="HP44" s="272"/>
      <c r="HQ44" s="272"/>
      <c r="HR44" s="274"/>
      <c r="HS44" s="275"/>
      <c r="HT44" s="271"/>
      <c r="HU44" s="272"/>
      <c r="HV44" s="272"/>
      <c r="HW44" s="272"/>
      <c r="HX44" s="272"/>
      <c r="HY44" s="272"/>
      <c r="HZ44" s="272"/>
      <c r="IA44" s="272"/>
      <c r="IB44" s="272"/>
      <c r="IC44" s="272"/>
      <c r="ID44" s="272"/>
      <c r="IE44" s="272"/>
      <c r="IF44" s="272"/>
      <c r="IG44" s="274"/>
      <c r="IH44" s="275"/>
      <c r="II44" s="271"/>
      <c r="IJ44" s="272"/>
      <c r="IK44" s="272"/>
      <c r="IL44" s="276"/>
      <c r="IM44" s="277"/>
      <c r="IN44" s="277"/>
      <c r="IO44" s="333"/>
      <c r="IP44" s="334"/>
      <c r="JF44" s="296"/>
      <c r="JO44" s="335"/>
      <c r="KW44" s="296"/>
      <c r="KX44" s="277"/>
      <c r="KY44" s="277"/>
    </row>
    <row r="45" spans="2:311" ht="42.65" hidden="1" customHeight="1">
      <c r="B45" s="299"/>
      <c r="C45" s="242"/>
      <c r="D45" s="242"/>
      <c r="E45" s="243"/>
      <c r="F45" s="244"/>
      <c r="G45" s="246"/>
      <c r="H45" s="249"/>
      <c r="I45" s="249">
        <v>0</v>
      </c>
      <c r="J45" s="249">
        <v>0</v>
      </c>
      <c r="K45" s="249"/>
      <c r="L45" s="249">
        <v>0</v>
      </c>
      <c r="M45" s="300"/>
      <c r="N45" s="251"/>
      <c r="O45" s="251">
        <v>0</v>
      </c>
      <c r="P45" s="300"/>
      <c r="Q45" s="251"/>
      <c r="R45" s="251"/>
      <c r="S45" s="251"/>
      <c r="T45" s="251"/>
      <c r="U45" s="301"/>
      <c r="V45" s="242"/>
      <c r="W45" s="242"/>
      <c r="X45" s="242"/>
      <c r="Y45" s="242"/>
      <c r="Z45" s="242"/>
      <c r="AA45" s="350" t="s">
        <v>277</v>
      </c>
      <c r="AB45" s="358" t="s">
        <v>278</v>
      </c>
      <c r="AC45" s="359">
        <v>288</v>
      </c>
      <c r="AD45" s="256"/>
      <c r="AE45" s="336"/>
      <c r="AF45" s="337"/>
      <c r="AG45" s="337"/>
      <c r="AH45" s="337"/>
      <c r="AI45" s="337"/>
      <c r="AJ45" s="337"/>
      <c r="AK45" s="337"/>
      <c r="AL45" s="337"/>
      <c r="AM45" s="337"/>
      <c r="AN45" s="337"/>
      <c r="AO45" s="337"/>
      <c r="AP45" s="337"/>
      <c r="AQ45" s="337"/>
      <c r="AR45" s="337"/>
      <c r="AS45" s="339"/>
      <c r="AT45" s="337"/>
      <c r="AU45" s="339"/>
      <c r="AV45" s="337"/>
      <c r="AW45" s="337"/>
      <c r="AX45" s="337"/>
      <c r="AY45" s="337"/>
      <c r="AZ45" s="337"/>
      <c r="BA45" s="337"/>
      <c r="BB45" s="337"/>
      <c r="BC45" s="337"/>
      <c r="BD45" s="337"/>
      <c r="BE45" s="337"/>
      <c r="BF45" s="337"/>
      <c r="BG45" s="337"/>
      <c r="BH45" s="337"/>
      <c r="BI45" s="337"/>
      <c r="BJ45" s="337"/>
      <c r="BK45" s="337"/>
      <c r="BL45" s="337"/>
      <c r="BM45" s="337"/>
      <c r="BN45" s="337"/>
      <c r="BO45" s="337"/>
      <c r="BP45" s="337"/>
      <c r="BQ45" s="337"/>
      <c r="BR45" s="340"/>
      <c r="BS45" s="337"/>
      <c r="BT45" s="341"/>
      <c r="BU45" s="341"/>
      <c r="BV45" s="342"/>
      <c r="BW45" s="342"/>
      <c r="BX45" s="343"/>
      <c r="BY45" s="344"/>
      <c r="BZ45" s="345"/>
      <c r="CA45" s="345"/>
      <c r="CB45" s="345"/>
      <c r="CC45" s="271"/>
      <c r="CD45" s="272"/>
      <c r="CE45" s="272"/>
      <c r="CF45" s="272"/>
      <c r="CG45" s="272"/>
      <c r="CH45" s="272"/>
      <c r="CI45" s="272"/>
      <c r="CJ45" s="272"/>
      <c r="CK45" s="272"/>
      <c r="CL45" s="272"/>
      <c r="CM45" s="272"/>
      <c r="CN45" s="272"/>
      <c r="CO45" s="272"/>
      <c r="CP45" s="272"/>
      <c r="CQ45" s="274"/>
      <c r="CR45" s="275"/>
      <c r="CS45" s="271"/>
      <c r="CT45" s="272"/>
      <c r="CU45" s="272"/>
      <c r="CV45" s="272"/>
      <c r="CW45" s="272"/>
      <c r="CX45" s="272"/>
      <c r="CY45" s="272"/>
      <c r="CZ45" s="272"/>
      <c r="DA45" s="272"/>
      <c r="DB45" s="272"/>
      <c r="DC45" s="272"/>
      <c r="DD45" s="272"/>
      <c r="DE45" s="272"/>
      <c r="DF45" s="274"/>
      <c r="DG45" s="275"/>
      <c r="DH45" s="271"/>
      <c r="DI45" s="272"/>
      <c r="DJ45" s="272"/>
      <c r="DK45" s="276"/>
      <c r="DL45" s="277"/>
      <c r="DM45" s="277"/>
      <c r="DN45" s="277"/>
      <c r="DO45" s="277"/>
      <c r="DP45" s="277"/>
      <c r="DQ45" s="277"/>
      <c r="DR45" s="277"/>
      <c r="DS45" s="277"/>
      <c r="DT45" s="277"/>
      <c r="DU45" s="277"/>
      <c r="DV45" s="277"/>
      <c r="DW45" s="277"/>
      <c r="DX45" s="277"/>
      <c r="DY45" s="277"/>
      <c r="DZ45" s="277"/>
      <c r="EA45" s="277"/>
      <c r="EB45" s="277"/>
      <c r="EC45" s="277"/>
      <c r="ED45" s="277"/>
      <c r="EE45" s="277"/>
      <c r="EF45" s="277"/>
      <c r="EG45" s="277"/>
      <c r="EH45" s="277"/>
      <c r="EI45" s="277"/>
      <c r="EJ45" s="277"/>
      <c r="EK45" s="277"/>
      <c r="EL45" s="277"/>
      <c r="EM45" s="277"/>
      <c r="EN45" s="277"/>
      <c r="EO45" s="350" t="s">
        <v>277</v>
      </c>
      <c r="EP45" s="367" t="s">
        <v>278</v>
      </c>
      <c r="EQ45" s="434">
        <v>288</v>
      </c>
      <c r="ER45" s="323"/>
      <c r="ES45" s="323"/>
      <c r="ET45" s="323"/>
      <c r="EU45" s="323"/>
      <c r="EV45" s="369" t="s">
        <v>279</v>
      </c>
      <c r="EW45" s="370">
        <v>48</v>
      </c>
      <c r="EX45" s="371">
        <v>45</v>
      </c>
      <c r="EY45" s="372" t="s">
        <v>280</v>
      </c>
      <c r="EZ45" s="435">
        <v>49.1</v>
      </c>
      <c r="FA45" s="436">
        <v>55</v>
      </c>
      <c r="FB45" s="437" t="s">
        <v>281</v>
      </c>
      <c r="FC45" s="435">
        <v>49.1</v>
      </c>
      <c r="FD45" s="436">
        <v>50</v>
      </c>
      <c r="FE45" s="438" t="s">
        <v>189</v>
      </c>
      <c r="FF45" s="328"/>
      <c r="FG45" s="329"/>
      <c r="FH45" s="438" t="s">
        <v>189</v>
      </c>
      <c r="FI45" s="435"/>
      <c r="FJ45" s="439"/>
      <c r="FK45" s="375"/>
      <c r="FL45" s="376"/>
      <c r="FM45" s="377"/>
      <c r="FN45" s="336"/>
      <c r="FO45" s="337"/>
      <c r="FP45" s="337"/>
      <c r="FQ45" s="337"/>
      <c r="FR45" s="337"/>
      <c r="FS45" s="337"/>
      <c r="FT45" s="337"/>
      <c r="FU45" s="337"/>
      <c r="FV45" s="339"/>
      <c r="FW45" s="337"/>
      <c r="FX45" s="339"/>
      <c r="FY45" s="337"/>
      <c r="FZ45" s="337"/>
      <c r="GA45" s="337"/>
      <c r="GB45" s="337"/>
      <c r="GC45" s="337"/>
      <c r="GD45" s="337"/>
      <c r="GE45" s="337"/>
      <c r="GF45" s="337"/>
      <c r="GG45" s="337"/>
      <c r="GH45" s="337"/>
      <c r="GI45" s="337"/>
      <c r="GJ45" s="337"/>
      <c r="GK45" s="337"/>
      <c r="GL45" s="337"/>
      <c r="GM45" s="337"/>
      <c r="GN45" s="337"/>
      <c r="GO45" s="337"/>
      <c r="GP45" s="337"/>
      <c r="GQ45" s="337"/>
      <c r="GR45" s="337"/>
      <c r="GS45" s="337"/>
      <c r="GT45" s="337"/>
      <c r="GU45" s="341"/>
      <c r="GV45" s="341"/>
      <c r="GW45" s="342"/>
      <c r="GX45" s="342"/>
      <c r="GY45" s="343"/>
      <c r="GZ45" s="344"/>
      <c r="HA45" s="345"/>
      <c r="HB45" s="345"/>
      <c r="HC45" s="345"/>
      <c r="HD45" s="271"/>
      <c r="HE45" s="272"/>
      <c r="HF45" s="272"/>
      <c r="HG45" s="272"/>
      <c r="HH45" s="272"/>
      <c r="HI45" s="272"/>
      <c r="HJ45" s="272"/>
      <c r="HK45" s="272"/>
      <c r="HL45" s="272"/>
      <c r="HM45" s="272"/>
      <c r="HN45" s="272"/>
      <c r="HO45" s="272"/>
      <c r="HP45" s="272"/>
      <c r="HQ45" s="272"/>
      <c r="HR45" s="274"/>
      <c r="HS45" s="275"/>
      <c r="HT45" s="271"/>
      <c r="HU45" s="272"/>
      <c r="HV45" s="272"/>
      <c r="HW45" s="272"/>
      <c r="HX45" s="272"/>
      <c r="HY45" s="272"/>
      <c r="HZ45" s="272"/>
      <c r="IA45" s="272"/>
      <c r="IB45" s="272"/>
      <c r="IC45" s="272"/>
      <c r="ID45" s="272"/>
      <c r="IE45" s="272"/>
      <c r="IF45" s="272"/>
      <c r="IG45" s="274"/>
      <c r="IH45" s="275"/>
      <c r="II45" s="271"/>
      <c r="IJ45" s="272"/>
      <c r="IK45" s="272"/>
      <c r="IL45" s="276"/>
      <c r="IM45" s="277"/>
      <c r="IN45" s="277"/>
      <c r="IO45" s="333"/>
      <c r="IP45" s="334"/>
      <c r="JF45" s="296"/>
      <c r="JO45" s="335"/>
      <c r="KW45" s="296"/>
      <c r="KX45" s="277"/>
      <c r="KY45" s="277"/>
    </row>
    <row r="46" spans="2:311" ht="42.65" hidden="1" customHeight="1">
      <c r="B46" s="299"/>
      <c r="C46" s="242"/>
      <c r="D46" s="242"/>
      <c r="E46" s="243"/>
      <c r="F46" s="244"/>
      <c r="G46" s="246"/>
      <c r="H46" s="249"/>
      <c r="I46" s="249">
        <v>0</v>
      </c>
      <c r="J46" s="249">
        <v>0</v>
      </c>
      <c r="K46" s="249"/>
      <c r="L46" s="249">
        <v>0</v>
      </c>
      <c r="M46" s="300"/>
      <c r="N46" s="251"/>
      <c r="O46" s="251">
        <v>0</v>
      </c>
      <c r="P46" s="300"/>
      <c r="Q46" s="251"/>
      <c r="R46" s="251"/>
      <c r="S46" s="251"/>
      <c r="T46" s="251"/>
      <c r="U46" s="301"/>
      <c r="V46" s="242"/>
      <c r="W46" s="242"/>
      <c r="X46" s="242"/>
      <c r="Y46" s="242"/>
      <c r="Z46" s="242"/>
      <c r="AA46" s="350" t="s">
        <v>282</v>
      </c>
      <c r="AB46" s="358" t="s">
        <v>278</v>
      </c>
      <c r="AC46" s="359">
        <v>288</v>
      </c>
      <c r="AD46" s="256"/>
      <c r="AE46" s="336"/>
      <c r="AF46" s="337"/>
      <c r="AG46" s="337"/>
      <c r="AH46" s="337"/>
      <c r="AI46" s="337"/>
      <c r="AJ46" s="337"/>
      <c r="AK46" s="337"/>
      <c r="AL46" s="337"/>
      <c r="AM46" s="337"/>
      <c r="AN46" s="337"/>
      <c r="AO46" s="337"/>
      <c r="AP46" s="337"/>
      <c r="AQ46" s="337"/>
      <c r="AR46" s="337"/>
      <c r="AS46" s="339"/>
      <c r="AT46" s="337"/>
      <c r="AU46" s="339"/>
      <c r="AV46" s="337"/>
      <c r="AW46" s="337"/>
      <c r="AX46" s="337"/>
      <c r="AY46" s="337"/>
      <c r="AZ46" s="337"/>
      <c r="BA46" s="337"/>
      <c r="BB46" s="337"/>
      <c r="BC46" s="337"/>
      <c r="BD46" s="337"/>
      <c r="BE46" s="337"/>
      <c r="BF46" s="337"/>
      <c r="BG46" s="337"/>
      <c r="BH46" s="337"/>
      <c r="BI46" s="337"/>
      <c r="BJ46" s="337"/>
      <c r="BK46" s="337"/>
      <c r="BL46" s="337"/>
      <c r="BM46" s="337"/>
      <c r="BN46" s="337"/>
      <c r="BO46" s="337"/>
      <c r="BP46" s="337"/>
      <c r="BQ46" s="337"/>
      <c r="BR46" s="340"/>
      <c r="BS46" s="337"/>
      <c r="BT46" s="341"/>
      <c r="BU46" s="341"/>
      <c r="BV46" s="342"/>
      <c r="BW46" s="342"/>
      <c r="BX46" s="343"/>
      <c r="BY46" s="344"/>
      <c r="BZ46" s="345"/>
      <c r="CA46" s="345"/>
      <c r="CB46" s="345"/>
      <c r="CC46" s="271"/>
      <c r="CD46" s="272"/>
      <c r="CE46" s="272"/>
      <c r="CF46" s="272"/>
      <c r="CG46" s="272"/>
      <c r="CH46" s="272"/>
      <c r="CI46" s="272"/>
      <c r="CJ46" s="272"/>
      <c r="CK46" s="272"/>
      <c r="CL46" s="272"/>
      <c r="CM46" s="272"/>
      <c r="CN46" s="272"/>
      <c r="CO46" s="272"/>
      <c r="CP46" s="272"/>
      <c r="CQ46" s="274"/>
      <c r="CR46" s="275"/>
      <c r="CS46" s="271"/>
      <c r="CT46" s="272"/>
      <c r="CU46" s="272"/>
      <c r="CV46" s="272"/>
      <c r="CW46" s="272"/>
      <c r="CX46" s="272"/>
      <c r="CY46" s="272"/>
      <c r="CZ46" s="272"/>
      <c r="DA46" s="272"/>
      <c r="DB46" s="272"/>
      <c r="DC46" s="272"/>
      <c r="DD46" s="272"/>
      <c r="DE46" s="272"/>
      <c r="DF46" s="274"/>
      <c r="DG46" s="275"/>
      <c r="DH46" s="271"/>
      <c r="DI46" s="272"/>
      <c r="DJ46" s="272"/>
      <c r="DK46" s="276"/>
      <c r="DL46" s="277"/>
      <c r="DM46" s="277"/>
      <c r="DN46" s="277"/>
      <c r="DO46" s="277"/>
      <c r="DP46" s="277"/>
      <c r="DQ46" s="277"/>
      <c r="DR46" s="277"/>
      <c r="DS46" s="277"/>
      <c r="DT46" s="277"/>
      <c r="DU46" s="277"/>
      <c r="DV46" s="277"/>
      <c r="DW46" s="277"/>
      <c r="DX46" s="277"/>
      <c r="DY46" s="277"/>
      <c r="DZ46" s="277"/>
      <c r="EA46" s="277"/>
      <c r="EB46" s="277"/>
      <c r="EC46" s="277"/>
      <c r="ED46" s="277"/>
      <c r="EE46" s="277"/>
      <c r="EF46" s="277"/>
      <c r="EG46" s="277"/>
      <c r="EH46" s="277"/>
      <c r="EI46" s="277"/>
      <c r="EJ46" s="277"/>
      <c r="EK46" s="277"/>
      <c r="EL46" s="277"/>
      <c r="EM46" s="277"/>
      <c r="EN46" s="277"/>
      <c r="EO46" s="350" t="s">
        <v>282</v>
      </c>
      <c r="EP46" s="367" t="s">
        <v>278</v>
      </c>
      <c r="EQ46" s="368">
        <v>288</v>
      </c>
      <c r="ER46" s="323"/>
      <c r="ES46" s="323"/>
      <c r="ET46" s="323"/>
      <c r="EU46" s="323"/>
      <c r="EV46" s="369" t="s">
        <v>283</v>
      </c>
      <c r="EW46" s="370">
        <v>28</v>
      </c>
      <c r="EX46" s="371">
        <v>36</v>
      </c>
      <c r="EY46" s="372" t="s">
        <v>284</v>
      </c>
      <c r="EZ46" s="435">
        <v>34.1</v>
      </c>
      <c r="FA46" s="436">
        <v>45</v>
      </c>
      <c r="FB46" s="437" t="s">
        <v>285</v>
      </c>
      <c r="FC46" s="435">
        <v>34.799999999999997</v>
      </c>
      <c r="FD46" s="436">
        <v>45</v>
      </c>
      <c r="FE46" s="438" t="s">
        <v>189</v>
      </c>
      <c r="FF46" s="328"/>
      <c r="FG46" s="329"/>
      <c r="FH46" s="438" t="s">
        <v>189</v>
      </c>
      <c r="FI46" s="435"/>
      <c r="FJ46" s="439"/>
      <c r="FK46" s="375"/>
      <c r="FL46" s="376"/>
      <c r="FM46" s="377"/>
      <c r="FN46" s="336"/>
      <c r="FO46" s="337"/>
      <c r="FP46" s="337"/>
      <c r="FQ46" s="337"/>
      <c r="FR46" s="337"/>
      <c r="FS46" s="337"/>
      <c r="FT46" s="337"/>
      <c r="FU46" s="337"/>
      <c r="FV46" s="339"/>
      <c r="FW46" s="337"/>
      <c r="FX46" s="339"/>
      <c r="FY46" s="337"/>
      <c r="FZ46" s="337"/>
      <c r="GA46" s="337"/>
      <c r="GB46" s="337"/>
      <c r="GC46" s="337"/>
      <c r="GD46" s="337"/>
      <c r="GE46" s="337"/>
      <c r="GF46" s="337"/>
      <c r="GG46" s="337"/>
      <c r="GH46" s="337"/>
      <c r="GI46" s="337"/>
      <c r="GJ46" s="337"/>
      <c r="GK46" s="337"/>
      <c r="GL46" s="337"/>
      <c r="GM46" s="337"/>
      <c r="GN46" s="337"/>
      <c r="GO46" s="337"/>
      <c r="GP46" s="337"/>
      <c r="GQ46" s="337"/>
      <c r="GR46" s="337"/>
      <c r="GS46" s="337"/>
      <c r="GT46" s="337"/>
      <c r="GU46" s="341"/>
      <c r="GV46" s="341"/>
      <c r="GW46" s="342"/>
      <c r="GX46" s="342"/>
      <c r="GY46" s="343"/>
      <c r="GZ46" s="344"/>
      <c r="HA46" s="345"/>
      <c r="HB46" s="345"/>
      <c r="HC46" s="345"/>
      <c r="HD46" s="271"/>
      <c r="HE46" s="272"/>
      <c r="HF46" s="272"/>
      <c r="HG46" s="272"/>
      <c r="HH46" s="272"/>
      <c r="HI46" s="272"/>
      <c r="HJ46" s="272"/>
      <c r="HK46" s="272"/>
      <c r="HL46" s="272"/>
      <c r="HM46" s="272"/>
      <c r="HN46" s="272"/>
      <c r="HO46" s="272"/>
      <c r="HP46" s="272"/>
      <c r="HQ46" s="272"/>
      <c r="HR46" s="274"/>
      <c r="HS46" s="275"/>
      <c r="HT46" s="271"/>
      <c r="HU46" s="272"/>
      <c r="HV46" s="272"/>
      <c r="HW46" s="272"/>
      <c r="HX46" s="272"/>
      <c r="HY46" s="272"/>
      <c r="HZ46" s="272"/>
      <c r="IA46" s="272"/>
      <c r="IB46" s="272"/>
      <c r="IC46" s="272"/>
      <c r="ID46" s="272"/>
      <c r="IE46" s="272"/>
      <c r="IF46" s="272"/>
      <c r="IG46" s="274"/>
      <c r="IH46" s="275"/>
      <c r="II46" s="271"/>
      <c r="IJ46" s="272"/>
      <c r="IK46" s="272"/>
      <c r="IL46" s="276"/>
      <c r="IM46" s="277"/>
      <c r="IN46" s="277"/>
      <c r="IO46" s="333"/>
      <c r="IP46" s="334"/>
      <c r="JF46" s="296"/>
      <c r="JO46" s="335"/>
      <c r="KW46" s="296"/>
      <c r="KX46" s="277"/>
      <c r="KY46" s="277"/>
    </row>
    <row r="47" spans="2:311" ht="42.65" hidden="1" customHeight="1">
      <c r="B47" s="299"/>
      <c r="C47" s="242"/>
      <c r="D47" s="242"/>
      <c r="E47" s="243"/>
      <c r="F47" s="244"/>
      <c r="G47" s="246"/>
      <c r="H47" s="249"/>
      <c r="I47" s="249"/>
      <c r="J47" s="249"/>
      <c r="K47" s="249"/>
      <c r="L47" s="249"/>
      <c r="M47" s="300"/>
      <c r="N47" s="251"/>
      <c r="O47" s="251"/>
      <c r="P47" s="300"/>
      <c r="Q47" s="251"/>
      <c r="R47" s="251"/>
      <c r="S47" s="251"/>
      <c r="T47" s="251"/>
      <c r="U47" s="301"/>
      <c r="V47" s="242"/>
      <c r="W47" s="242"/>
      <c r="X47" s="242"/>
      <c r="Y47" s="242"/>
      <c r="Z47" s="242"/>
      <c r="AA47" s="350" t="s">
        <v>197</v>
      </c>
      <c r="AB47" s="358" t="s">
        <v>191</v>
      </c>
      <c r="AC47" s="359">
        <v>45</v>
      </c>
      <c r="AD47" s="256"/>
      <c r="AE47" s="336"/>
      <c r="AF47" s="337"/>
      <c r="AG47" s="337"/>
      <c r="AH47" s="337"/>
      <c r="AI47" s="337"/>
      <c r="AJ47" s="337"/>
      <c r="AK47" s="337"/>
      <c r="AL47" s="337"/>
      <c r="AM47" s="337"/>
      <c r="AN47" s="337"/>
      <c r="AO47" s="337"/>
      <c r="AP47" s="337"/>
      <c r="AQ47" s="337"/>
      <c r="AR47" s="337"/>
      <c r="AS47" s="339"/>
      <c r="AT47" s="337"/>
      <c r="AU47" s="339"/>
      <c r="AV47" s="337"/>
      <c r="AW47" s="337"/>
      <c r="AX47" s="337"/>
      <c r="AY47" s="337"/>
      <c r="AZ47" s="337"/>
      <c r="BA47" s="337"/>
      <c r="BB47" s="337"/>
      <c r="BC47" s="337"/>
      <c r="BD47" s="337"/>
      <c r="BE47" s="337"/>
      <c r="BF47" s="337"/>
      <c r="BG47" s="337"/>
      <c r="BH47" s="337"/>
      <c r="BI47" s="337"/>
      <c r="BJ47" s="337"/>
      <c r="BK47" s="337"/>
      <c r="BL47" s="337"/>
      <c r="BM47" s="337"/>
      <c r="BN47" s="337"/>
      <c r="BO47" s="337"/>
      <c r="BP47" s="337"/>
      <c r="BQ47" s="337"/>
      <c r="BR47" s="340"/>
      <c r="BS47" s="337"/>
      <c r="BT47" s="341"/>
      <c r="BU47" s="341"/>
      <c r="BV47" s="342"/>
      <c r="BW47" s="342"/>
      <c r="BX47" s="343"/>
      <c r="BY47" s="344"/>
      <c r="BZ47" s="345"/>
      <c r="CA47" s="345"/>
      <c r="CB47" s="345"/>
      <c r="CC47" s="271"/>
      <c r="CD47" s="272"/>
      <c r="CE47" s="272"/>
      <c r="CF47" s="272"/>
      <c r="CG47" s="272"/>
      <c r="CH47" s="272"/>
      <c r="CI47" s="272"/>
      <c r="CJ47" s="272"/>
      <c r="CK47" s="272"/>
      <c r="CL47" s="272"/>
      <c r="CM47" s="272"/>
      <c r="CN47" s="272"/>
      <c r="CO47" s="272"/>
      <c r="CP47" s="272"/>
      <c r="CQ47" s="274"/>
      <c r="CR47" s="275"/>
      <c r="CS47" s="271"/>
      <c r="CT47" s="272"/>
      <c r="CU47" s="272"/>
      <c r="CV47" s="272"/>
      <c r="CW47" s="272"/>
      <c r="CX47" s="272"/>
      <c r="CY47" s="272"/>
      <c r="CZ47" s="272"/>
      <c r="DA47" s="272"/>
      <c r="DB47" s="272"/>
      <c r="DC47" s="272"/>
      <c r="DD47" s="272"/>
      <c r="DE47" s="272"/>
      <c r="DF47" s="274"/>
      <c r="DG47" s="275"/>
      <c r="DH47" s="271"/>
      <c r="DI47" s="272"/>
      <c r="DJ47" s="272"/>
      <c r="DK47" s="276"/>
      <c r="DL47" s="277"/>
      <c r="DM47" s="277"/>
      <c r="DN47" s="277"/>
      <c r="DO47" s="277"/>
      <c r="DP47" s="277"/>
      <c r="DQ47" s="277"/>
      <c r="DR47" s="277"/>
      <c r="DS47" s="277"/>
      <c r="DT47" s="277"/>
      <c r="DU47" s="277"/>
      <c r="DV47" s="277"/>
      <c r="DW47" s="277"/>
      <c r="DX47" s="277"/>
      <c r="DY47" s="277"/>
      <c r="DZ47" s="277"/>
      <c r="EA47" s="277"/>
      <c r="EB47" s="277"/>
      <c r="EC47" s="277"/>
      <c r="ED47" s="277"/>
      <c r="EE47" s="277"/>
      <c r="EF47" s="277"/>
      <c r="EG47" s="277"/>
      <c r="EH47" s="277"/>
      <c r="EI47" s="277"/>
      <c r="EJ47" s="277"/>
      <c r="EK47" s="277"/>
      <c r="EL47" s="277"/>
      <c r="EM47" s="277"/>
      <c r="EN47" s="277"/>
      <c r="EO47" s="350"/>
      <c r="EP47" s="367"/>
      <c r="EQ47" s="368"/>
      <c r="ER47" s="323"/>
      <c r="ES47" s="323"/>
      <c r="ET47" s="323"/>
      <c r="EU47" s="323"/>
      <c r="EV47" s="369"/>
      <c r="EW47" s="370"/>
      <c r="EX47" s="371"/>
      <c r="EY47" s="372"/>
      <c r="EZ47" s="440"/>
      <c r="FA47" s="441"/>
      <c r="FB47" s="442"/>
      <c r="FC47" s="440"/>
      <c r="FD47" s="441"/>
      <c r="FE47" s="443"/>
      <c r="FF47" s="373"/>
      <c r="FG47" s="374"/>
      <c r="FH47" s="443"/>
      <c r="FI47" s="440"/>
      <c r="FJ47" s="444"/>
      <c r="FK47" s="289"/>
      <c r="FL47" s="290"/>
      <c r="FM47" s="349"/>
      <c r="FN47" s="336"/>
      <c r="FO47" s="337"/>
      <c r="FP47" s="337"/>
      <c r="FQ47" s="337"/>
      <c r="FR47" s="337"/>
      <c r="FS47" s="337"/>
      <c r="FT47" s="337"/>
      <c r="FU47" s="337"/>
      <c r="FV47" s="339"/>
      <c r="FW47" s="337"/>
      <c r="FX47" s="339"/>
      <c r="FY47" s="337"/>
      <c r="FZ47" s="337"/>
      <c r="GA47" s="337"/>
      <c r="GB47" s="337"/>
      <c r="GC47" s="337"/>
      <c r="GD47" s="337"/>
      <c r="GE47" s="337"/>
      <c r="GF47" s="337"/>
      <c r="GG47" s="337"/>
      <c r="GH47" s="337"/>
      <c r="GI47" s="337"/>
      <c r="GJ47" s="337"/>
      <c r="GK47" s="337"/>
      <c r="GL47" s="337"/>
      <c r="GM47" s="337"/>
      <c r="GN47" s="337"/>
      <c r="GO47" s="337"/>
      <c r="GP47" s="337"/>
      <c r="GQ47" s="337"/>
      <c r="GR47" s="337"/>
      <c r="GS47" s="337"/>
      <c r="GT47" s="337"/>
      <c r="GU47" s="341"/>
      <c r="GV47" s="341"/>
      <c r="GW47" s="342"/>
      <c r="GX47" s="342"/>
      <c r="GY47" s="343"/>
      <c r="GZ47" s="344"/>
      <c r="HA47" s="345"/>
      <c r="HB47" s="345"/>
      <c r="HC47" s="345"/>
      <c r="HD47" s="271"/>
      <c r="HE47" s="272"/>
      <c r="HF47" s="272"/>
      <c r="HG47" s="272"/>
      <c r="HH47" s="272"/>
      <c r="HI47" s="272"/>
      <c r="HJ47" s="272"/>
      <c r="HK47" s="272"/>
      <c r="HL47" s="272"/>
      <c r="HM47" s="272"/>
      <c r="HN47" s="272"/>
      <c r="HO47" s="272"/>
      <c r="HP47" s="272"/>
      <c r="HQ47" s="272"/>
      <c r="HR47" s="274"/>
      <c r="HS47" s="275"/>
      <c r="HT47" s="271"/>
      <c r="HU47" s="272"/>
      <c r="HV47" s="272"/>
      <c r="HW47" s="272"/>
      <c r="HX47" s="272"/>
      <c r="HY47" s="272"/>
      <c r="HZ47" s="272"/>
      <c r="IA47" s="272"/>
      <c r="IB47" s="272"/>
      <c r="IC47" s="272"/>
      <c r="ID47" s="272"/>
      <c r="IE47" s="272"/>
      <c r="IF47" s="272"/>
      <c r="IG47" s="274"/>
      <c r="IH47" s="275"/>
      <c r="II47" s="271"/>
      <c r="IJ47" s="272"/>
      <c r="IK47" s="272"/>
      <c r="IL47" s="276"/>
      <c r="IM47" s="277"/>
      <c r="IN47" s="277"/>
      <c r="IO47" s="333"/>
      <c r="IP47" s="334"/>
      <c r="JF47" s="296"/>
      <c r="JO47" s="335"/>
      <c r="KW47" s="296"/>
      <c r="KX47" s="277"/>
      <c r="KY47" s="277"/>
    </row>
    <row r="48" spans="2:311" ht="42.65" hidden="1" customHeight="1">
      <c r="B48" s="299"/>
      <c r="C48" s="242"/>
      <c r="D48" s="242"/>
      <c r="E48" s="243"/>
      <c r="F48" s="244"/>
      <c r="G48" s="246"/>
      <c r="H48" s="249"/>
      <c r="I48" s="249"/>
      <c r="J48" s="249"/>
      <c r="K48" s="249"/>
      <c r="L48" s="249"/>
      <c r="M48" s="300"/>
      <c r="N48" s="251"/>
      <c r="O48" s="251"/>
      <c r="P48" s="300"/>
      <c r="Q48" s="251"/>
      <c r="R48" s="251"/>
      <c r="S48" s="251"/>
      <c r="T48" s="251"/>
      <c r="U48" s="301"/>
      <c r="V48" s="242"/>
      <c r="W48" s="242"/>
      <c r="X48" s="242"/>
      <c r="Y48" s="242"/>
      <c r="Z48" s="242"/>
      <c r="AA48" s="350" t="s">
        <v>199</v>
      </c>
      <c r="AB48" s="358" t="s">
        <v>191</v>
      </c>
      <c r="AC48" s="359">
        <v>26</v>
      </c>
      <c r="AD48" s="256"/>
      <c r="AE48" s="336"/>
      <c r="AF48" s="337"/>
      <c r="AG48" s="337"/>
      <c r="AH48" s="337"/>
      <c r="AI48" s="337"/>
      <c r="AJ48" s="337"/>
      <c r="AK48" s="337"/>
      <c r="AL48" s="337"/>
      <c r="AM48" s="337"/>
      <c r="AN48" s="337"/>
      <c r="AO48" s="337"/>
      <c r="AP48" s="337"/>
      <c r="AQ48" s="337"/>
      <c r="AR48" s="337"/>
      <c r="AS48" s="339"/>
      <c r="AT48" s="337"/>
      <c r="AU48" s="339"/>
      <c r="AV48" s="337"/>
      <c r="AW48" s="337"/>
      <c r="AX48" s="337"/>
      <c r="AY48" s="337"/>
      <c r="AZ48" s="337"/>
      <c r="BA48" s="337"/>
      <c r="BB48" s="337"/>
      <c r="BC48" s="337"/>
      <c r="BD48" s="337"/>
      <c r="BE48" s="337"/>
      <c r="BF48" s="337"/>
      <c r="BG48" s="337"/>
      <c r="BH48" s="337"/>
      <c r="BI48" s="337"/>
      <c r="BJ48" s="337"/>
      <c r="BK48" s="337"/>
      <c r="BL48" s="337"/>
      <c r="BM48" s="337"/>
      <c r="BN48" s="337"/>
      <c r="BO48" s="337"/>
      <c r="BP48" s="337"/>
      <c r="BQ48" s="337"/>
      <c r="BR48" s="340"/>
      <c r="BS48" s="337"/>
      <c r="BT48" s="341"/>
      <c r="BU48" s="341"/>
      <c r="BV48" s="342"/>
      <c r="BW48" s="342"/>
      <c r="BX48" s="343"/>
      <c r="BY48" s="344"/>
      <c r="BZ48" s="345"/>
      <c r="CA48" s="345"/>
      <c r="CB48" s="345"/>
      <c r="CC48" s="271"/>
      <c r="CD48" s="272"/>
      <c r="CE48" s="272"/>
      <c r="CF48" s="272"/>
      <c r="CG48" s="272"/>
      <c r="CH48" s="272"/>
      <c r="CI48" s="272"/>
      <c r="CJ48" s="272"/>
      <c r="CK48" s="272"/>
      <c r="CL48" s="272"/>
      <c r="CM48" s="272"/>
      <c r="CN48" s="272"/>
      <c r="CO48" s="272"/>
      <c r="CP48" s="272"/>
      <c r="CQ48" s="274"/>
      <c r="CR48" s="275"/>
      <c r="CS48" s="271"/>
      <c r="CT48" s="272"/>
      <c r="CU48" s="272"/>
      <c r="CV48" s="272"/>
      <c r="CW48" s="272"/>
      <c r="CX48" s="272"/>
      <c r="CY48" s="272"/>
      <c r="CZ48" s="272"/>
      <c r="DA48" s="272"/>
      <c r="DB48" s="272"/>
      <c r="DC48" s="272"/>
      <c r="DD48" s="272"/>
      <c r="DE48" s="272"/>
      <c r="DF48" s="274"/>
      <c r="DG48" s="275"/>
      <c r="DH48" s="271"/>
      <c r="DI48" s="272"/>
      <c r="DJ48" s="272"/>
      <c r="DK48" s="276"/>
      <c r="DL48" s="277"/>
      <c r="DM48" s="277"/>
      <c r="DN48" s="277"/>
      <c r="DO48" s="277"/>
      <c r="DP48" s="277"/>
      <c r="DQ48" s="277"/>
      <c r="DR48" s="277"/>
      <c r="DS48" s="277"/>
      <c r="DT48" s="277"/>
      <c r="DU48" s="277"/>
      <c r="DV48" s="277"/>
      <c r="DW48" s="277"/>
      <c r="DX48" s="277"/>
      <c r="DY48" s="277"/>
      <c r="DZ48" s="277"/>
      <c r="EA48" s="277"/>
      <c r="EB48" s="277"/>
      <c r="EC48" s="277"/>
      <c r="ED48" s="277"/>
      <c r="EE48" s="277"/>
      <c r="EF48" s="277"/>
      <c r="EG48" s="277"/>
      <c r="EH48" s="277"/>
      <c r="EI48" s="277"/>
      <c r="EJ48" s="277"/>
      <c r="EK48" s="277"/>
      <c r="EL48" s="277"/>
      <c r="EM48" s="277"/>
      <c r="EN48" s="277"/>
      <c r="EO48" s="350"/>
      <c r="EP48" s="367"/>
      <c r="EQ48" s="368"/>
      <c r="ER48" s="323"/>
      <c r="ES48" s="323"/>
      <c r="ET48" s="323"/>
      <c r="EU48" s="323"/>
      <c r="EV48" s="369"/>
      <c r="EW48" s="370"/>
      <c r="EX48" s="371"/>
      <c r="EY48" s="372"/>
      <c r="EZ48" s="440"/>
      <c r="FA48" s="441"/>
      <c r="FB48" s="442"/>
      <c r="FC48" s="440"/>
      <c r="FD48" s="441"/>
      <c r="FE48" s="443"/>
      <c r="FF48" s="373"/>
      <c r="FG48" s="374"/>
      <c r="FH48" s="443"/>
      <c r="FI48" s="440"/>
      <c r="FJ48" s="444"/>
      <c r="FK48" s="289"/>
      <c r="FL48" s="290"/>
      <c r="FM48" s="349"/>
      <c r="FN48" s="336"/>
      <c r="FO48" s="337"/>
      <c r="FP48" s="337"/>
      <c r="FQ48" s="337"/>
      <c r="FR48" s="337"/>
      <c r="FS48" s="337"/>
      <c r="FT48" s="337"/>
      <c r="FU48" s="337"/>
      <c r="FV48" s="339"/>
      <c r="FW48" s="337"/>
      <c r="FX48" s="339"/>
      <c r="FY48" s="337"/>
      <c r="FZ48" s="337"/>
      <c r="GA48" s="337"/>
      <c r="GB48" s="337"/>
      <c r="GC48" s="337"/>
      <c r="GD48" s="337"/>
      <c r="GE48" s="337"/>
      <c r="GF48" s="337"/>
      <c r="GG48" s="337"/>
      <c r="GH48" s="337"/>
      <c r="GI48" s="337"/>
      <c r="GJ48" s="337"/>
      <c r="GK48" s="337"/>
      <c r="GL48" s="337"/>
      <c r="GM48" s="337"/>
      <c r="GN48" s="337"/>
      <c r="GO48" s="337"/>
      <c r="GP48" s="337"/>
      <c r="GQ48" s="337"/>
      <c r="GR48" s="337"/>
      <c r="GS48" s="337"/>
      <c r="GT48" s="337"/>
      <c r="GU48" s="341"/>
      <c r="GV48" s="341"/>
      <c r="GW48" s="342"/>
      <c r="GX48" s="342"/>
      <c r="GY48" s="343"/>
      <c r="GZ48" s="344"/>
      <c r="HA48" s="345"/>
      <c r="HB48" s="345"/>
      <c r="HC48" s="345"/>
      <c r="HD48" s="271"/>
      <c r="HE48" s="272"/>
      <c r="HF48" s="272"/>
      <c r="HG48" s="272"/>
      <c r="HH48" s="272"/>
      <c r="HI48" s="272"/>
      <c r="HJ48" s="272"/>
      <c r="HK48" s="272"/>
      <c r="HL48" s="272"/>
      <c r="HM48" s="272"/>
      <c r="HN48" s="272"/>
      <c r="HO48" s="272"/>
      <c r="HP48" s="272"/>
      <c r="HQ48" s="272"/>
      <c r="HR48" s="274"/>
      <c r="HS48" s="275"/>
      <c r="HT48" s="271"/>
      <c r="HU48" s="272"/>
      <c r="HV48" s="272"/>
      <c r="HW48" s="272"/>
      <c r="HX48" s="272"/>
      <c r="HY48" s="272"/>
      <c r="HZ48" s="272"/>
      <c r="IA48" s="272"/>
      <c r="IB48" s="272"/>
      <c r="IC48" s="272"/>
      <c r="ID48" s="272"/>
      <c r="IE48" s="272"/>
      <c r="IF48" s="272"/>
      <c r="IG48" s="274"/>
      <c r="IH48" s="275"/>
      <c r="II48" s="271"/>
      <c r="IJ48" s="272"/>
      <c r="IK48" s="272"/>
      <c r="IL48" s="276"/>
      <c r="IM48" s="277"/>
      <c r="IN48" s="277"/>
      <c r="IO48" s="333"/>
      <c r="IP48" s="334"/>
      <c r="JF48" s="296"/>
      <c r="JO48" s="335"/>
      <c r="KW48" s="296"/>
      <c r="KX48" s="277"/>
      <c r="KY48" s="277"/>
    </row>
    <row r="49" spans="1:398" ht="42.65" hidden="1" customHeight="1">
      <c r="B49" s="299"/>
      <c r="C49" s="445"/>
      <c r="D49" s="242"/>
      <c r="E49" s="243"/>
      <c r="F49" s="244"/>
      <c r="G49" s="246"/>
      <c r="H49" s="249"/>
      <c r="I49" s="249"/>
      <c r="J49" s="249"/>
      <c r="K49" s="249"/>
      <c r="L49" s="249"/>
      <c r="M49" s="300"/>
      <c r="N49" s="251"/>
      <c r="O49" s="251"/>
      <c r="P49" s="300"/>
      <c r="Q49" s="251"/>
      <c r="R49" s="251"/>
      <c r="S49" s="251"/>
      <c r="T49" s="251"/>
      <c r="U49" s="301"/>
      <c r="V49" s="242"/>
      <c r="W49" s="242"/>
      <c r="X49" s="242"/>
      <c r="Y49" s="242"/>
      <c r="Z49" s="242"/>
      <c r="AA49" s="446" t="s">
        <v>286</v>
      </c>
      <c r="AB49" s="447">
        <v>0</v>
      </c>
      <c r="AC49" s="448">
        <v>300</v>
      </c>
      <c r="AD49" s="256"/>
      <c r="AE49" s="336"/>
      <c r="AF49" s="337"/>
      <c r="AG49" s="337"/>
      <c r="AH49" s="337"/>
      <c r="AI49" s="337"/>
      <c r="AJ49" s="337"/>
      <c r="AK49" s="337"/>
      <c r="AL49" s="337"/>
      <c r="AM49" s="337"/>
      <c r="AN49" s="337"/>
      <c r="AO49" s="337"/>
      <c r="AP49" s="337"/>
      <c r="AQ49" s="337"/>
      <c r="AR49" s="337"/>
      <c r="AS49" s="339"/>
      <c r="AT49" s="337"/>
      <c r="AU49" s="339"/>
      <c r="AV49" s="337"/>
      <c r="AW49" s="337"/>
      <c r="AX49" s="337"/>
      <c r="AY49" s="337"/>
      <c r="AZ49" s="337"/>
      <c r="BA49" s="337"/>
      <c r="BB49" s="337"/>
      <c r="BC49" s="337"/>
      <c r="BD49" s="337"/>
      <c r="BE49" s="337"/>
      <c r="BF49" s="337"/>
      <c r="BG49" s="337"/>
      <c r="BH49" s="337"/>
      <c r="BI49" s="337"/>
      <c r="BJ49" s="337"/>
      <c r="BK49" s="337"/>
      <c r="BL49" s="337"/>
      <c r="BM49" s="337"/>
      <c r="BN49" s="337"/>
      <c r="BO49" s="337"/>
      <c r="BP49" s="337"/>
      <c r="BQ49" s="337"/>
      <c r="BR49" s="340"/>
      <c r="BS49" s="337"/>
      <c r="BT49" s="341"/>
      <c r="BU49" s="341"/>
      <c r="BV49" s="342"/>
      <c r="BW49" s="342"/>
      <c r="BX49" s="343"/>
      <c r="BY49" s="360" t="s">
        <v>246</v>
      </c>
      <c r="BZ49" s="361" t="s">
        <v>247</v>
      </c>
      <c r="CA49" s="363">
        <v>290</v>
      </c>
      <c r="CB49" s="363">
        <v>290</v>
      </c>
      <c r="CC49" s="363">
        <v>290</v>
      </c>
      <c r="CD49" s="363">
        <v>290</v>
      </c>
      <c r="CE49" s="363">
        <v>290</v>
      </c>
      <c r="CF49" s="363">
        <v>190</v>
      </c>
      <c r="CG49" s="363">
        <v>190</v>
      </c>
      <c r="CH49" s="363">
        <v>190</v>
      </c>
      <c r="CI49" s="363">
        <v>190</v>
      </c>
      <c r="CJ49" s="363">
        <v>160</v>
      </c>
      <c r="CK49" s="363">
        <v>130</v>
      </c>
      <c r="CL49" s="363">
        <v>50</v>
      </c>
      <c r="CM49" s="363">
        <v>50</v>
      </c>
      <c r="CN49" s="363">
        <v>20</v>
      </c>
      <c r="CO49" s="363">
        <v>20</v>
      </c>
      <c r="CP49" s="363">
        <v>20</v>
      </c>
      <c r="CQ49" s="364">
        <v>20</v>
      </c>
      <c r="CR49" s="365">
        <v>20</v>
      </c>
      <c r="CS49" s="366">
        <v>20</v>
      </c>
      <c r="CT49" s="363">
        <v>0</v>
      </c>
      <c r="CU49" s="363">
        <v>0</v>
      </c>
      <c r="CV49" s="363">
        <v>30</v>
      </c>
      <c r="CW49" s="363">
        <v>0</v>
      </c>
      <c r="CX49" s="363">
        <v>0</v>
      </c>
      <c r="CY49" s="363">
        <v>0</v>
      </c>
      <c r="CZ49" s="363">
        <v>15</v>
      </c>
      <c r="DA49" s="363">
        <v>80</v>
      </c>
      <c r="DB49" s="363">
        <v>90</v>
      </c>
      <c r="DC49" s="363">
        <v>90</v>
      </c>
      <c r="DD49" s="363">
        <v>90</v>
      </c>
      <c r="DE49" s="363">
        <v>90</v>
      </c>
      <c r="DF49" s="364">
        <v>90</v>
      </c>
      <c r="DG49" s="365">
        <v>130</v>
      </c>
      <c r="DH49" s="366">
        <v>290</v>
      </c>
      <c r="DI49" s="363">
        <v>290</v>
      </c>
      <c r="DJ49" s="363">
        <v>0</v>
      </c>
      <c r="DK49" s="449">
        <v>0</v>
      </c>
      <c r="DL49" s="277"/>
      <c r="DM49" s="277"/>
      <c r="DN49" s="277"/>
      <c r="DO49" s="277"/>
      <c r="DP49" s="277"/>
      <c r="DQ49" s="277"/>
      <c r="DR49" s="277"/>
      <c r="DS49" s="277"/>
      <c r="DT49" s="277"/>
      <c r="DU49" s="277"/>
      <c r="DV49" s="277"/>
      <c r="DW49" s="277"/>
      <c r="DX49" s="277"/>
      <c r="DY49" s="277"/>
      <c r="DZ49" s="277"/>
      <c r="EA49" s="277"/>
      <c r="EB49" s="277"/>
      <c r="EC49" s="277"/>
      <c r="ED49" s="277"/>
      <c r="EE49" s="277"/>
      <c r="EF49" s="277"/>
      <c r="EG49" s="277"/>
      <c r="EH49" s="277"/>
      <c r="EI49" s="277"/>
      <c r="EJ49" s="277"/>
      <c r="EK49" s="277"/>
      <c r="EL49" s="277"/>
      <c r="EM49" s="277"/>
      <c r="EN49" s="277"/>
      <c r="EO49" s="446" t="s">
        <v>286</v>
      </c>
      <c r="EP49" s="450">
        <v>0</v>
      </c>
      <c r="EQ49" s="451">
        <v>300</v>
      </c>
      <c r="ER49" s="323"/>
      <c r="ES49" s="323"/>
      <c r="ET49" s="323"/>
      <c r="EU49" s="323"/>
      <c r="EV49" s="452"/>
      <c r="EW49" s="453"/>
      <c r="EX49" s="454"/>
      <c r="EY49" s="455"/>
      <c r="EZ49" s="456"/>
      <c r="FA49" s="457"/>
      <c r="FB49" s="455"/>
      <c r="FC49" s="456"/>
      <c r="FD49" s="457"/>
      <c r="FE49" s="458"/>
      <c r="FF49" s="456"/>
      <c r="FG49" s="457"/>
      <c r="FH49" s="458"/>
      <c r="FI49" s="456"/>
      <c r="FJ49" s="459"/>
      <c r="FK49" s="289"/>
      <c r="FL49" s="290"/>
      <c r="FM49" s="349"/>
      <c r="FN49" s="336"/>
      <c r="FO49" s="337"/>
      <c r="FP49" s="337"/>
      <c r="FQ49" s="337"/>
      <c r="FR49" s="337"/>
      <c r="FS49" s="337"/>
      <c r="FT49" s="337"/>
      <c r="FU49" s="337"/>
      <c r="FV49" s="339"/>
      <c r="FW49" s="337"/>
      <c r="FX49" s="339"/>
      <c r="FY49" s="337"/>
      <c r="FZ49" s="337"/>
      <c r="GA49" s="337"/>
      <c r="GB49" s="337"/>
      <c r="GC49" s="337"/>
      <c r="GD49" s="337"/>
      <c r="GE49" s="337"/>
      <c r="GF49" s="337"/>
      <c r="GG49" s="337"/>
      <c r="GH49" s="337"/>
      <c r="GI49" s="337"/>
      <c r="GJ49" s="337"/>
      <c r="GK49" s="337"/>
      <c r="GL49" s="337"/>
      <c r="GM49" s="337"/>
      <c r="GN49" s="337"/>
      <c r="GO49" s="337"/>
      <c r="GP49" s="337"/>
      <c r="GQ49" s="337"/>
      <c r="GR49" s="337"/>
      <c r="GS49" s="337"/>
      <c r="GT49" s="337"/>
      <c r="GU49" s="341"/>
      <c r="GV49" s="341"/>
      <c r="GW49" s="342"/>
      <c r="GX49" s="342"/>
      <c r="GY49" s="343"/>
      <c r="GZ49" s="344"/>
      <c r="HA49" s="345"/>
      <c r="HB49" s="345"/>
      <c r="HC49" s="345"/>
      <c r="HD49" s="271"/>
      <c r="HE49" s="272"/>
      <c r="HF49" s="272"/>
      <c r="HG49" s="272"/>
      <c r="HH49" s="272"/>
      <c r="HI49" s="272"/>
      <c r="HJ49" s="272"/>
      <c r="HK49" s="272"/>
      <c r="HL49" s="272"/>
      <c r="HM49" s="272"/>
      <c r="HN49" s="272"/>
      <c r="HO49" s="272"/>
      <c r="HP49" s="272"/>
      <c r="HQ49" s="272"/>
      <c r="HR49" s="274"/>
      <c r="HS49" s="275"/>
      <c r="HT49" s="271"/>
      <c r="HU49" s="272"/>
      <c r="HV49" s="272"/>
      <c r="HW49" s="272"/>
      <c r="HX49" s="272"/>
      <c r="HY49" s="272"/>
      <c r="HZ49" s="272"/>
      <c r="IA49" s="272"/>
      <c r="IB49" s="272"/>
      <c r="IC49" s="272"/>
      <c r="ID49" s="272"/>
      <c r="IE49" s="272"/>
      <c r="IF49" s="272"/>
      <c r="IG49" s="274"/>
      <c r="IH49" s="275"/>
      <c r="II49" s="271"/>
      <c r="IJ49" s="272"/>
      <c r="IK49" s="272"/>
      <c r="IL49" s="276"/>
      <c r="IM49" s="277"/>
      <c r="IN49" s="277"/>
      <c r="IO49" s="333"/>
      <c r="IP49" s="334"/>
      <c r="JF49" s="296"/>
      <c r="JO49" s="335"/>
      <c r="KW49" s="296"/>
      <c r="KX49" s="277"/>
      <c r="KY49" s="277"/>
    </row>
    <row r="50" spans="1:398" ht="42.65" customHeight="1">
      <c r="B50" s="299"/>
      <c r="C50" s="241" t="s">
        <v>287</v>
      </c>
      <c r="D50" s="378">
        <v>3</v>
      </c>
      <c r="E50" s="379">
        <v>121</v>
      </c>
      <c r="F50" s="460" t="s">
        <v>288</v>
      </c>
      <c r="G50" s="382">
        <v>565</v>
      </c>
      <c r="H50" s="461">
        <v>776</v>
      </c>
      <c r="I50" s="461">
        <v>246</v>
      </c>
      <c r="J50" s="461">
        <v>349</v>
      </c>
      <c r="K50" s="245" t="s">
        <v>289</v>
      </c>
      <c r="L50" s="461">
        <v>315</v>
      </c>
      <c r="M50" s="383">
        <v>15</v>
      </c>
      <c r="N50" s="384" t="s">
        <v>170</v>
      </c>
      <c r="O50" s="384" t="s">
        <v>168</v>
      </c>
      <c r="P50" s="383">
        <v>116</v>
      </c>
      <c r="Q50" s="384" t="s">
        <v>169</v>
      </c>
      <c r="R50" s="384" t="s">
        <v>290</v>
      </c>
      <c r="S50" s="384" t="s">
        <v>170</v>
      </c>
      <c r="T50" s="384" t="s">
        <v>291</v>
      </c>
      <c r="U50" s="385" t="s">
        <v>169</v>
      </c>
      <c r="V50" s="378" t="s">
        <v>172</v>
      </c>
      <c r="W50" s="378"/>
      <c r="X50" s="462" t="s">
        <v>292</v>
      </c>
      <c r="Y50" s="462" t="s">
        <v>292</v>
      </c>
      <c r="Z50" s="378"/>
      <c r="AA50" s="386" t="s">
        <v>293</v>
      </c>
      <c r="AB50" s="463" t="s">
        <v>294</v>
      </c>
      <c r="AC50" s="464">
        <v>402</v>
      </c>
      <c r="AD50" s="389">
        <f>SUM(AC50,AC51)</f>
        <v>402</v>
      </c>
      <c r="AE50" s="465" t="s">
        <v>295</v>
      </c>
      <c r="AF50" s="466" t="s">
        <v>296</v>
      </c>
      <c r="AG50" s="467">
        <f>'[1]0121_名古屋東急　別紙1-1'!M29</f>
        <v>10221200</v>
      </c>
      <c r="AH50" s="468">
        <f>FQ50</f>
        <v>0</v>
      </c>
      <c r="AI50" s="468">
        <f>FR50</f>
        <v>4100</v>
      </c>
      <c r="AJ50" s="469">
        <v>0.98599999999999999</v>
      </c>
      <c r="AK50" s="470">
        <f>ROUNDUP(28250*1.1,0)</f>
        <v>31075</v>
      </c>
      <c r="AL50" s="471">
        <v>0.83</v>
      </c>
      <c r="AM50" s="470">
        <f>ROUNDUP(28250*1.1,0)</f>
        <v>31075</v>
      </c>
      <c r="AN50" s="472" t="s">
        <v>297</v>
      </c>
      <c r="AO50" s="470">
        <f>5650*1.1</f>
        <v>6215.0000000000009</v>
      </c>
      <c r="AP50" s="473">
        <f>'[1]0121_名古屋東急　別紙1-1'!K27</f>
        <v>246</v>
      </c>
      <c r="AQ50" s="467">
        <f>'[1]0121_名古屋東急　別紙1-1'!AF27</f>
        <v>349</v>
      </c>
      <c r="AR50" s="474">
        <f>DM50/(BX50-2)</f>
        <v>375.2</v>
      </c>
      <c r="AS50" s="475">
        <f>AG50/AR50</f>
        <v>27242.004264392326</v>
      </c>
      <c r="AT50" s="476">
        <f>AG50/AP50</f>
        <v>41549.593495934962</v>
      </c>
      <c r="AU50" s="475">
        <f>AG50/AQ50</f>
        <v>29287.106017191978</v>
      </c>
      <c r="AV50" s="477">
        <v>26000</v>
      </c>
      <c r="AW50" s="477">
        <v>48000</v>
      </c>
      <c r="AX50" s="467">
        <f>'[1]0121_名古屋東急　別紙1-2'!N23</f>
        <v>5004472</v>
      </c>
      <c r="AY50" s="467">
        <f>GB50</f>
        <v>6</v>
      </c>
      <c r="AZ50" s="478">
        <f>'[1]0121_名古屋東急　別紙1-1'!C31</f>
        <v>173760400</v>
      </c>
      <c r="BA50" s="478">
        <f>'[1]0121_名古屋東急　別紙1-2'!O21</f>
        <v>86991344</v>
      </c>
      <c r="BB50" s="478"/>
      <c r="BC50" s="478">
        <f>AH50*DM50</f>
        <v>0</v>
      </c>
      <c r="BD50" s="479">
        <v>102547500.00000001</v>
      </c>
      <c r="BE50" s="479"/>
      <c r="BF50" s="479">
        <v>68986500</v>
      </c>
      <c r="BG50" s="479">
        <v>68986500</v>
      </c>
      <c r="BH50" s="479">
        <v>11466675</v>
      </c>
      <c r="BI50" s="480">
        <f>GJ50</f>
        <v>0</v>
      </c>
      <c r="BJ50" s="480">
        <f>GK50</f>
        <v>0</v>
      </c>
      <c r="BK50" s="480">
        <f>BM50*5000*BX50</f>
        <v>170000</v>
      </c>
      <c r="BL50" s="480">
        <f>1800000*BN50*BX50</f>
        <v>520200000</v>
      </c>
      <c r="BM50" s="480">
        <f>GP50</f>
        <v>2</v>
      </c>
      <c r="BN50" s="480">
        <f>GQ50</f>
        <v>17</v>
      </c>
      <c r="BO50" s="481"/>
      <c r="BP50" s="481">
        <f>SUM(AZ50,BA50,BI50,BO50,BB50)</f>
        <v>260751744</v>
      </c>
      <c r="BQ50" s="481">
        <f>BP50-GR50</f>
        <v>-19372500</v>
      </c>
      <c r="BR50" s="482"/>
      <c r="BS50" s="483" t="str">
        <f>GT50</f>
        <v>無</v>
      </c>
      <c r="BT50" s="484">
        <f>GU50</f>
        <v>46279</v>
      </c>
      <c r="BU50" s="484">
        <f>GV50</f>
        <v>46296</v>
      </c>
      <c r="BV50" s="268">
        <f>IFERROR(INDEX($BY$9:$DK$9, MATCH("準備", BY50:DK50, 0)), "")</f>
        <v>46279</v>
      </c>
      <c r="BW50" s="269" cm="1">
        <f t="array" ref="BW50">IF(COUNTIF(BY50:DK50,"*撤去*")=0,"",INDEX(BY$9:DK$9,1,MAX(IF(CC50:DK50="撤去",COLUMN(CC50:DK50)-COLUMN(BY50)+1))))</f>
        <v>46296</v>
      </c>
      <c r="BX50" s="270">
        <f>BW50-BV50</f>
        <v>17</v>
      </c>
      <c r="BY50" s="485">
        <v>0</v>
      </c>
      <c r="BZ50" s="486">
        <v>0</v>
      </c>
      <c r="CA50" s="486">
        <v>0</v>
      </c>
      <c r="CB50" s="486">
        <v>0</v>
      </c>
      <c r="CC50" s="487">
        <v>0</v>
      </c>
      <c r="CD50" s="488">
        <v>0</v>
      </c>
      <c r="CE50" s="488">
        <v>0</v>
      </c>
      <c r="CF50" s="488">
        <v>0</v>
      </c>
      <c r="CG50" s="488">
        <v>0</v>
      </c>
      <c r="CH50" s="488">
        <v>0</v>
      </c>
      <c r="CI50" s="488">
        <v>0</v>
      </c>
      <c r="CJ50" s="488">
        <v>0</v>
      </c>
      <c r="CK50" s="488">
        <v>0</v>
      </c>
      <c r="CL50" s="488">
        <v>0</v>
      </c>
      <c r="CM50" s="400" t="s">
        <v>177</v>
      </c>
      <c r="CN50" s="400" t="s">
        <v>177</v>
      </c>
      <c r="CO50" s="488">
        <v>402</v>
      </c>
      <c r="CP50" s="488">
        <v>402</v>
      </c>
      <c r="CQ50" s="403">
        <v>402</v>
      </c>
      <c r="CR50" s="404">
        <v>402</v>
      </c>
      <c r="CS50" s="487">
        <v>402</v>
      </c>
      <c r="CT50" s="488">
        <v>402</v>
      </c>
      <c r="CU50" s="488">
        <v>402</v>
      </c>
      <c r="CV50" s="488">
        <v>402</v>
      </c>
      <c r="CW50" s="488">
        <v>402</v>
      </c>
      <c r="CX50" s="488">
        <v>402</v>
      </c>
      <c r="CY50" s="488">
        <v>402</v>
      </c>
      <c r="CZ50" s="488">
        <v>402</v>
      </c>
      <c r="DA50" s="488">
        <v>402</v>
      </c>
      <c r="DB50" s="488">
        <v>402</v>
      </c>
      <c r="DC50" s="488">
        <v>0</v>
      </c>
      <c r="DD50" s="406" t="s">
        <v>178</v>
      </c>
      <c r="DE50" s="488">
        <v>0</v>
      </c>
      <c r="DF50" s="403">
        <v>0</v>
      </c>
      <c r="DG50" s="404">
        <v>0</v>
      </c>
      <c r="DH50" s="487">
        <v>0</v>
      </c>
      <c r="DI50" s="488">
        <v>0</v>
      </c>
      <c r="DJ50" s="488">
        <v>0</v>
      </c>
      <c r="DK50" s="407">
        <v>0</v>
      </c>
      <c r="DL50" s="277"/>
      <c r="DM50" s="277" cm="1">
        <f t="array" ref="DM50">SUM(IF(ISNUMBER($BY50:$DK50),$BY50:$DK50, 0))</f>
        <v>5628</v>
      </c>
      <c r="DN50" s="277">
        <v>4410</v>
      </c>
      <c r="DO50" s="277">
        <f>DM50*(BX50)/(BX50+1)</f>
        <v>5315.333333333333</v>
      </c>
      <c r="DP50" s="277"/>
      <c r="DQ50" s="386" t="s">
        <v>293</v>
      </c>
      <c r="DR50" s="463" t="s">
        <v>294</v>
      </c>
      <c r="DS50" s="464">
        <v>315</v>
      </c>
      <c r="DT50" s="389">
        <f>SUM(DS50,DS51)</f>
        <v>315</v>
      </c>
      <c r="DU50" s="467">
        <v>10221200</v>
      </c>
      <c r="DV50" s="467">
        <v>5004472</v>
      </c>
      <c r="DW50" s="478">
        <v>173760400</v>
      </c>
      <c r="DX50" s="478">
        <v>86991344</v>
      </c>
      <c r="DY50" s="478">
        <v>19372500</v>
      </c>
      <c r="DZ50" s="478">
        <v>88097625</v>
      </c>
      <c r="EA50" s="478">
        <v>58731750</v>
      </c>
      <c r="EB50" s="478">
        <v>8809762.5</v>
      </c>
      <c r="EC50" s="480">
        <v>0</v>
      </c>
      <c r="ED50" s="480">
        <v>0</v>
      </c>
      <c r="EE50" s="480">
        <v>170000</v>
      </c>
      <c r="EF50" s="480">
        <v>520200000</v>
      </c>
      <c r="EG50" s="481"/>
      <c r="EH50" s="481">
        <v>280124244</v>
      </c>
      <c r="EI50" s="484">
        <v>46279</v>
      </c>
      <c r="EJ50" s="484">
        <v>46296</v>
      </c>
      <c r="EK50" s="268">
        <v>46279</v>
      </c>
      <c r="EL50" s="269">
        <v>46296</v>
      </c>
      <c r="EM50" s="270">
        <v>17</v>
      </c>
      <c r="EN50" s="277"/>
      <c r="EO50" s="386" t="s">
        <v>293</v>
      </c>
      <c r="EP50" s="489" t="s">
        <v>294</v>
      </c>
      <c r="EQ50" s="490">
        <v>315</v>
      </c>
      <c r="ER50" s="491">
        <v>315</v>
      </c>
      <c r="ES50" s="245">
        <v>264</v>
      </c>
      <c r="ET50" s="245">
        <v>264</v>
      </c>
      <c r="EU50" s="245" t="s">
        <v>165</v>
      </c>
      <c r="EV50" s="411" t="s">
        <v>298</v>
      </c>
      <c r="EW50" s="412">
        <v>36</v>
      </c>
      <c r="EX50" s="413">
        <v>39</v>
      </c>
      <c r="EY50" s="414" t="s">
        <v>188</v>
      </c>
      <c r="EZ50" s="492">
        <v>36</v>
      </c>
      <c r="FA50" s="493">
        <v>39</v>
      </c>
      <c r="FB50" s="414" t="s">
        <v>189</v>
      </c>
      <c r="FC50" s="492"/>
      <c r="FD50" s="493"/>
      <c r="FE50" s="494" t="s">
        <v>189</v>
      </c>
      <c r="FF50" s="492"/>
      <c r="FG50" s="493"/>
      <c r="FH50" s="494" t="s">
        <v>189</v>
      </c>
      <c r="FI50" s="492"/>
      <c r="FJ50" s="495"/>
      <c r="FK50" s="496">
        <v>461</v>
      </c>
      <c r="FL50" s="497">
        <v>0.59407216494845361</v>
      </c>
      <c r="FM50" s="498" t="s">
        <v>299</v>
      </c>
      <c r="FN50" s="499" t="s">
        <v>300</v>
      </c>
      <c r="FO50" s="466" t="s">
        <v>296</v>
      </c>
      <c r="FP50" s="467">
        <v>10221200</v>
      </c>
      <c r="FQ50" s="468">
        <v>0</v>
      </c>
      <c r="FR50" s="468">
        <v>4100</v>
      </c>
      <c r="FS50" s="467">
        <v>246</v>
      </c>
      <c r="FT50" s="467">
        <v>349</v>
      </c>
      <c r="FU50" s="474">
        <v>315</v>
      </c>
      <c r="FV50" s="475">
        <v>32448.253968253968</v>
      </c>
      <c r="FW50" s="476">
        <v>41549.593495934962</v>
      </c>
      <c r="FX50" s="475">
        <v>29287.106017191978</v>
      </c>
      <c r="FY50" s="477">
        <v>26000</v>
      </c>
      <c r="FZ50" s="477">
        <v>48000</v>
      </c>
      <c r="GA50" s="467">
        <v>5004472</v>
      </c>
      <c r="GB50" s="467">
        <v>6</v>
      </c>
      <c r="GC50" s="478">
        <v>173760400</v>
      </c>
      <c r="GD50" s="478">
        <v>86991344</v>
      </c>
      <c r="GE50" s="478">
        <v>173760400</v>
      </c>
      <c r="GF50" s="478">
        <v>86991344</v>
      </c>
      <c r="GG50" s="478">
        <v>0</v>
      </c>
      <c r="GH50" s="478">
        <v>0</v>
      </c>
      <c r="GI50" s="478">
        <v>19372500</v>
      </c>
      <c r="GJ50" s="480"/>
      <c r="GK50" s="480"/>
      <c r="GL50" s="480"/>
      <c r="GM50" s="480">
        <v>0</v>
      </c>
      <c r="GN50" s="480">
        <v>170000</v>
      </c>
      <c r="GO50" s="480">
        <v>520200000</v>
      </c>
      <c r="GP50" s="480">
        <v>2</v>
      </c>
      <c r="GQ50" s="480">
        <v>17</v>
      </c>
      <c r="GR50" s="481">
        <v>280124244</v>
      </c>
      <c r="GS50" s="481">
        <v>-260751744</v>
      </c>
      <c r="GT50" s="483" t="s">
        <v>301</v>
      </c>
      <c r="GU50" s="484">
        <v>46279</v>
      </c>
      <c r="GV50" s="484">
        <v>46296</v>
      </c>
      <c r="GW50" s="268">
        <v>46279</v>
      </c>
      <c r="GX50" s="269">
        <v>46296</v>
      </c>
      <c r="GY50" s="270">
        <v>17</v>
      </c>
      <c r="GZ50" s="485"/>
      <c r="HA50" s="486"/>
      <c r="HB50" s="486"/>
      <c r="HC50" s="486"/>
      <c r="HD50" s="487">
        <v>0</v>
      </c>
      <c r="HE50" s="488">
        <v>0</v>
      </c>
      <c r="HF50" s="488">
        <v>0</v>
      </c>
      <c r="HG50" s="488">
        <v>0</v>
      </c>
      <c r="HH50" s="488">
        <v>0</v>
      </c>
      <c r="HI50" s="488">
        <v>0</v>
      </c>
      <c r="HJ50" s="488">
        <v>0</v>
      </c>
      <c r="HK50" s="488">
        <v>0</v>
      </c>
      <c r="HL50" s="488">
        <v>0</v>
      </c>
      <c r="HM50" s="488">
        <v>0</v>
      </c>
      <c r="HN50" s="400" t="s">
        <v>177</v>
      </c>
      <c r="HO50" s="400" t="s">
        <v>177</v>
      </c>
      <c r="HP50" s="488">
        <v>315</v>
      </c>
      <c r="HQ50" s="488">
        <v>315</v>
      </c>
      <c r="HR50" s="403">
        <v>315</v>
      </c>
      <c r="HS50" s="404">
        <v>315</v>
      </c>
      <c r="HT50" s="487">
        <v>315</v>
      </c>
      <c r="HU50" s="488">
        <v>315</v>
      </c>
      <c r="HV50" s="488">
        <v>315</v>
      </c>
      <c r="HW50" s="488">
        <v>315</v>
      </c>
      <c r="HX50" s="488">
        <v>315</v>
      </c>
      <c r="HY50" s="488">
        <v>315</v>
      </c>
      <c r="HZ50" s="488">
        <v>315</v>
      </c>
      <c r="IA50" s="488">
        <v>315</v>
      </c>
      <c r="IB50" s="488">
        <v>315</v>
      </c>
      <c r="IC50" s="488">
        <v>315</v>
      </c>
      <c r="ID50" s="488">
        <v>315</v>
      </c>
      <c r="IE50" s="406" t="s">
        <v>178</v>
      </c>
      <c r="IF50" s="488">
        <v>0</v>
      </c>
      <c r="IG50" s="403">
        <v>0</v>
      </c>
      <c r="IH50" s="404">
        <v>0</v>
      </c>
      <c r="II50" s="487">
        <v>0</v>
      </c>
      <c r="IJ50" s="488">
        <v>0</v>
      </c>
      <c r="IK50" s="488">
        <v>0</v>
      </c>
      <c r="IL50" s="407">
        <v>0</v>
      </c>
      <c r="IM50" s="277"/>
      <c r="IN50" s="277" cm="1">
        <f t="array" ref="IN50">SUM(IF(ISNUMBER($HD50:$IL50),$HD50:$IL50, 0))</f>
        <v>4725</v>
      </c>
      <c r="IO50" s="333"/>
      <c r="IP50" s="334"/>
      <c r="IR50" s="500">
        <v>0</v>
      </c>
      <c r="IS50" s="501"/>
      <c r="IT50" s="501"/>
      <c r="IU50" s="501"/>
      <c r="IV50" s="501"/>
      <c r="IW50" s="501"/>
      <c r="IX50" s="502">
        <v>0</v>
      </c>
      <c r="IY50" s="502"/>
      <c r="IZ50" s="501">
        <v>0</v>
      </c>
      <c r="JA50" s="503">
        <v>0</v>
      </c>
      <c r="JB50" s="501"/>
      <c r="JC50" s="501"/>
      <c r="JD50" s="504"/>
      <c r="JE50" s="504"/>
      <c r="JF50" s="505"/>
      <c r="JG50" s="503">
        <v>10221200</v>
      </c>
      <c r="JH50" s="506">
        <v>4975872</v>
      </c>
      <c r="JO50" s="507"/>
      <c r="JP50" s="508"/>
      <c r="JQ50" s="508"/>
      <c r="JR50" s="508"/>
      <c r="JS50" s="508"/>
      <c r="JT50" s="508"/>
      <c r="JU50" s="508"/>
      <c r="JV50" s="508"/>
      <c r="JW50" s="508"/>
      <c r="JX50" s="508"/>
      <c r="JY50" s="508"/>
      <c r="JZ50" s="508"/>
      <c r="KA50" s="508"/>
      <c r="KB50" s="508"/>
      <c r="KC50" s="508"/>
      <c r="KD50" s="508"/>
      <c r="KE50" s="508"/>
      <c r="KF50" s="508"/>
      <c r="KG50" s="508"/>
      <c r="KH50" s="508"/>
      <c r="KI50" s="508"/>
      <c r="KJ50" s="508"/>
      <c r="KK50" s="508"/>
      <c r="KL50" s="508"/>
      <c r="KM50" s="508"/>
      <c r="KN50" s="508"/>
      <c r="KO50" s="508"/>
      <c r="KP50" s="508"/>
      <c r="KQ50" s="508"/>
      <c r="KR50" s="508"/>
      <c r="KS50" s="508"/>
      <c r="KT50" s="508"/>
      <c r="KU50" s="508"/>
      <c r="KV50" s="508"/>
      <c r="KW50" s="509"/>
      <c r="KX50" s="277"/>
      <c r="KY50" s="277" cm="1">
        <f t="array" ref="KY50">SUM(IF(ISNUMBER($JO50:$KW50),$JO50:$KW50, 0))</f>
        <v>0</v>
      </c>
    </row>
    <row r="51" spans="1:398" s="547" customFormat="1" ht="40" customHeight="1" thickBot="1">
      <c r="A51" s="1"/>
      <c r="B51" s="299"/>
      <c r="C51" s="241"/>
      <c r="D51" s="445"/>
      <c r="E51" s="510" t="s">
        <v>165</v>
      </c>
      <c r="F51" s="511"/>
      <c r="G51" s="512">
        <v>0</v>
      </c>
      <c r="H51" s="512">
        <v>0</v>
      </c>
      <c r="I51" s="512">
        <v>0</v>
      </c>
      <c r="J51" s="512">
        <v>0</v>
      </c>
      <c r="K51" s="512"/>
      <c r="L51" s="512">
        <v>0</v>
      </c>
      <c r="M51" s="513">
        <v>0</v>
      </c>
      <c r="N51" s="514">
        <v>0</v>
      </c>
      <c r="O51" s="514" t="s">
        <v>302</v>
      </c>
      <c r="P51" s="513">
        <v>0</v>
      </c>
      <c r="Q51" s="514">
        <v>0</v>
      </c>
      <c r="R51" s="514">
        <v>0</v>
      </c>
      <c r="S51" s="514">
        <v>0</v>
      </c>
      <c r="T51" s="514">
        <v>0</v>
      </c>
      <c r="U51" s="515" t="s">
        <v>165</v>
      </c>
      <c r="V51" s="445"/>
      <c r="W51" s="445"/>
      <c r="X51" s="445"/>
      <c r="Y51" s="445"/>
      <c r="Z51" s="445"/>
      <c r="AA51" s="446"/>
      <c r="AB51" s="447"/>
      <c r="AC51" s="448"/>
      <c r="AD51" s="516"/>
      <c r="AE51" s="517"/>
      <c r="AF51" s="518"/>
      <c r="AG51" s="518"/>
      <c r="AH51" s="518"/>
      <c r="AI51" s="518"/>
      <c r="AJ51" s="518"/>
      <c r="AK51" s="518"/>
      <c r="AL51" s="518"/>
      <c r="AM51" s="518"/>
      <c r="AN51" s="518"/>
      <c r="AO51" s="518"/>
      <c r="AP51" s="518"/>
      <c r="AQ51" s="518"/>
      <c r="AR51" s="518"/>
      <c r="AS51" s="519"/>
      <c r="AT51" s="518"/>
      <c r="AU51" s="519"/>
      <c r="AV51" s="518"/>
      <c r="AW51" s="518"/>
      <c r="AX51" s="518"/>
      <c r="AY51" s="518"/>
      <c r="AZ51" s="520"/>
      <c r="BA51" s="520"/>
      <c r="BB51" s="520"/>
      <c r="BC51" s="520"/>
      <c r="BD51" s="520"/>
      <c r="BE51" s="520"/>
      <c r="BF51" s="520"/>
      <c r="BG51" s="520"/>
      <c r="BH51" s="520"/>
      <c r="BI51" s="520"/>
      <c r="BJ51" s="520"/>
      <c r="BK51" s="520"/>
      <c r="BL51" s="520"/>
      <c r="BM51" s="520"/>
      <c r="BN51" s="520"/>
      <c r="BO51" s="521"/>
      <c r="BP51" s="521"/>
      <c r="BQ51" s="521"/>
      <c r="BR51" s="522"/>
      <c r="BS51" s="523"/>
      <c r="BT51" s="524"/>
      <c r="BU51" s="524"/>
      <c r="BV51" s="525" t="str">
        <f>IFERROR(INDEX($HD$9:$II$9, MATCH("準備", CC51:DK51, 0)), "")</f>
        <v/>
      </c>
      <c r="BW51" s="525" t="str" cm="1">
        <f t="array" ref="BW51">IF(COUNTIF(CC51:DK51,"*撤去*")=0,"",INDEX(CC$9:DK$9,1,MAX(IF(CC51:DK51="撤去",COLUMN(CC51:DK51)-COLUMN(CC51)+1))))</f>
        <v/>
      </c>
      <c r="BX51" s="526"/>
      <c r="BY51" s="360" t="s">
        <v>246</v>
      </c>
      <c r="BZ51" s="361" t="s">
        <v>247</v>
      </c>
      <c r="CA51" s="527"/>
      <c r="CB51" s="527"/>
      <c r="CC51" s="528"/>
      <c r="CD51" s="529"/>
      <c r="CE51" s="529"/>
      <c r="CF51" s="529"/>
      <c r="CG51" s="529"/>
      <c r="CH51" s="529"/>
      <c r="CI51" s="529"/>
      <c r="CJ51" s="529"/>
      <c r="CK51" s="529"/>
      <c r="CL51" s="529"/>
      <c r="CM51" s="363"/>
      <c r="CN51" s="363"/>
      <c r="CO51" s="363"/>
      <c r="CP51" s="363"/>
      <c r="CQ51" s="364"/>
      <c r="CR51" s="365"/>
      <c r="CS51" s="366"/>
      <c r="CT51" s="363"/>
      <c r="CU51" s="363"/>
      <c r="CV51" s="363"/>
      <c r="CW51" s="363"/>
      <c r="CX51" s="363"/>
      <c r="CY51" s="363"/>
      <c r="CZ51" s="363"/>
      <c r="DA51" s="363"/>
      <c r="DB51" s="363"/>
      <c r="DC51" s="363"/>
      <c r="DD51" s="363"/>
      <c r="DE51" s="529"/>
      <c r="DF51" s="530"/>
      <c r="DG51" s="531"/>
      <c r="DH51" s="528"/>
      <c r="DI51" s="529"/>
      <c r="DJ51" s="529"/>
      <c r="DK51" s="532"/>
      <c r="DL51" s="277"/>
      <c r="DM51" s="277"/>
      <c r="DN51" s="277"/>
      <c r="DO51" s="277"/>
      <c r="DP51" s="277"/>
      <c r="DQ51" s="446"/>
      <c r="DR51" s="447"/>
      <c r="DS51" s="448"/>
      <c r="DT51" s="516"/>
      <c r="DU51" s="518"/>
      <c r="DV51" s="518"/>
      <c r="DW51" s="520"/>
      <c r="DX51" s="520"/>
      <c r="DY51" s="520"/>
      <c r="DZ51" s="520"/>
      <c r="EA51" s="520"/>
      <c r="EB51" s="520"/>
      <c r="EC51" s="520"/>
      <c r="ED51" s="520"/>
      <c r="EE51" s="520"/>
      <c r="EF51" s="520"/>
      <c r="EG51" s="521"/>
      <c r="EH51" s="521"/>
      <c r="EI51" s="524"/>
      <c r="EJ51" s="524"/>
      <c r="EK51" s="525" t="s">
        <v>165</v>
      </c>
      <c r="EL51" s="525" t="s">
        <v>165</v>
      </c>
      <c r="EM51" s="526"/>
      <c r="EN51" s="277"/>
      <c r="EO51" s="446"/>
      <c r="EP51" s="450"/>
      <c r="EQ51" s="451"/>
      <c r="ER51" s="533"/>
      <c r="ES51" s="533"/>
      <c r="ET51" s="533"/>
      <c r="EU51" s="533"/>
      <c r="EV51" s="452" t="s">
        <v>298</v>
      </c>
      <c r="EW51" s="453">
        <v>35.6</v>
      </c>
      <c r="EX51" s="454">
        <v>39</v>
      </c>
      <c r="EY51" s="455" t="s">
        <v>188</v>
      </c>
      <c r="EZ51" s="456">
        <v>35.6</v>
      </c>
      <c r="FA51" s="457">
        <v>39</v>
      </c>
      <c r="FB51" s="455" t="s">
        <v>189</v>
      </c>
      <c r="FC51" s="456"/>
      <c r="FD51" s="457"/>
      <c r="FE51" s="458" t="s">
        <v>189</v>
      </c>
      <c r="FF51" s="456"/>
      <c r="FG51" s="457"/>
      <c r="FH51" s="458" t="s">
        <v>189</v>
      </c>
      <c r="FI51" s="456"/>
      <c r="FJ51" s="534"/>
      <c r="FK51" s="375"/>
      <c r="FL51" s="376"/>
      <c r="FM51" s="535"/>
      <c r="FN51" s="517"/>
      <c r="FO51" s="518"/>
      <c r="FP51" s="518"/>
      <c r="FQ51" s="518"/>
      <c r="FR51" s="518"/>
      <c r="FS51" s="518"/>
      <c r="FT51" s="518"/>
      <c r="FU51" s="518"/>
      <c r="FV51" s="519"/>
      <c r="FW51" s="518"/>
      <c r="FX51" s="519"/>
      <c r="FY51" s="518"/>
      <c r="FZ51" s="518"/>
      <c r="GA51" s="518"/>
      <c r="GB51" s="518"/>
      <c r="GC51" s="520"/>
      <c r="GD51" s="520"/>
      <c r="GE51" s="520"/>
      <c r="GF51" s="520"/>
      <c r="GG51" s="520"/>
      <c r="GH51" s="520"/>
      <c r="GI51" s="520"/>
      <c r="GJ51" s="520"/>
      <c r="GK51" s="520"/>
      <c r="GL51" s="520"/>
      <c r="GM51" s="520"/>
      <c r="GN51" s="520"/>
      <c r="GO51" s="520"/>
      <c r="GP51" s="520"/>
      <c r="GQ51" s="520"/>
      <c r="GR51" s="521"/>
      <c r="GS51" s="521"/>
      <c r="GT51" s="523"/>
      <c r="GU51" s="524"/>
      <c r="GV51" s="524"/>
      <c r="GW51" s="525" t="s">
        <v>165</v>
      </c>
      <c r="GX51" s="525" t="s">
        <v>165</v>
      </c>
      <c r="GY51" s="526"/>
      <c r="GZ51" s="536"/>
      <c r="HA51" s="527"/>
      <c r="HB51" s="527"/>
      <c r="HC51" s="527"/>
      <c r="HD51" s="528"/>
      <c r="HE51" s="529"/>
      <c r="HF51" s="529"/>
      <c r="HG51" s="529"/>
      <c r="HH51" s="529"/>
      <c r="HI51" s="529"/>
      <c r="HJ51" s="529"/>
      <c r="HK51" s="529"/>
      <c r="HL51" s="529"/>
      <c r="HM51" s="529"/>
      <c r="HN51" s="537"/>
      <c r="HO51" s="537"/>
      <c r="HP51" s="537"/>
      <c r="HQ51" s="537"/>
      <c r="HR51" s="538"/>
      <c r="HS51" s="539"/>
      <c r="HT51" s="540"/>
      <c r="HU51" s="537"/>
      <c r="HV51" s="537"/>
      <c r="HW51" s="537"/>
      <c r="HX51" s="537"/>
      <c r="HY51" s="537"/>
      <c r="HZ51" s="537"/>
      <c r="IA51" s="537"/>
      <c r="IB51" s="537"/>
      <c r="IC51" s="537"/>
      <c r="ID51" s="537"/>
      <c r="IE51" s="537"/>
      <c r="IF51" s="529"/>
      <c r="IG51" s="530"/>
      <c r="IH51" s="531"/>
      <c r="II51" s="528"/>
      <c r="IJ51" s="529"/>
      <c r="IK51" s="529"/>
      <c r="IL51" s="532"/>
      <c r="IM51" s="277"/>
      <c r="IN51" s="277"/>
      <c r="IO51" s="333"/>
      <c r="IP51" s="334"/>
      <c r="IQ51" s="541"/>
      <c r="IR51" s="542"/>
      <c r="IS51" s="543"/>
      <c r="IT51" s="543"/>
      <c r="IU51" s="543"/>
      <c r="IV51" s="543"/>
      <c r="IW51" s="543"/>
      <c r="IX51" s="544"/>
      <c r="IY51" s="544"/>
      <c r="IZ51" s="543"/>
      <c r="JA51" s="543"/>
      <c r="JB51" s="543"/>
      <c r="JC51" s="543"/>
      <c r="JD51" s="545"/>
      <c r="JE51" s="545"/>
      <c r="JF51" s="546"/>
      <c r="JG51" s="503"/>
      <c r="JH51" s="506"/>
      <c r="JI51" s="1"/>
      <c r="JJ51" s="1"/>
      <c r="JK51" s="1"/>
      <c r="JL51" s="1"/>
      <c r="JM51" s="1"/>
      <c r="JN51" s="1"/>
      <c r="JO51" s="507"/>
      <c r="JP51" s="508"/>
      <c r="JQ51" s="508"/>
      <c r="JR51" s="508"/>
      <c r="JS51" s="508"/>
      <c r="JT51" s="508"/>
      <c r="JU51" s="508"/>
      <c r="JV51" s="508"/>
      <c r="JW51" s="508"/>
      <c r="JX51" s="508"/>
      <c r="JY51" s="508"/>
      <c r="JZ51" s="508"/>
      <c r="KA51" s="508"/>
      <c r="KB51" s="508"/>
      <c r="KC51" s="508"/>
      <c r="KD51" s="508"/>
      <c r="KE51" s="508"/>
      <c r="KF51" s="508"/>
      <c r="KG51" s="508"/>
      <c r="KH51" s="508"/>
      <c r="KI51" s="508"/>
      <c r="KJ51" s="508"/>
      <c r="KK51" s="508"/>
      <c r="KL51" s="508"/>
      <c r="KM51" s="508"/>
      <c r="KN51" s="508"/>
      <c r="KO51" s="508"/>
      <c r="KP51" s="508"/>
      <c r="KQ51" s="508"/>
      <c r="KR51" s="508"/>
      <c r="KS51" s="508"/>
      <c r="KT51" s="508"/>
      <c r="KU51" s="508"/>
      <c r="KV51" s="508"/>
      <c r="KW51" s="509"/>
      <c r="KX51" s="277"/>
      <c r="KY51" s="277"/>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row>
    <row r="52" spans="1:398" ht="40" customHeight="1">
      <c r="B52" s="299"/>
      <c r="C52" s="241"/>
      <c r="D52" s="378">
        <v>4</v>
      </c>
      <c r="E52" s="379">
        <v>24</v>
      </c>
      <c r="F52" s="548" t="s">
        <v>303</v>
      </c>
      <c r="G52" s="381">
        <v>243</v>
      </c>
      <c r="H52" s="549">
        <v>322</v>
      </c>
      <c r="I52" s="549">
        <v>243</v>
      </c>
      <c r="J52" s="549">
        <v>330</v>
      </c>
      <c r="K52" s="245" t="s">
        <v>304</v>
      </c>
      <c r="L52" s="549">
        <v>288</v>
      </c>
      <c r="M52" s="383">
        <v>16</v>
      </c>
      <c r="N52" s="384" t="s">
        <v>305</v>
      </c>
      <c r="O52" s="384" t="s">
        <v>168</v>
      </c>
      <c r="P52" s="383">
        <v>122</v>
      </c>
      <c r="Q52" s="384" t="s">
        <v>170</v>
      </c>
      <c r="R52" s="384" t="s">
        <v>170</v>
      </c>
      <c r="S52" s="384" t="s">
        <v>170</v>
      </c>
      <c r="T52" s="384" t="s">
        <v>306</v>
      </c>
      <c r="U52" s="385" t="s">
        <v>169</v>
      </c>
      <c r="V52" s="378" t="s">
        <v>172</v>
      </c>
      <c r="W52" s="378"/>
      <c r="X52" s="462" t="s">
        <v>292</v>
      </c>
      <c r="Y52" s="462" t="s">
        <v>292</v>
      </c>
      <c r="Z52" s="462" t="s">
        <v>292</v>
      </c>
      <c r="AA52" s="386" t="s">
        <v>307</v>
      </c>
      <c r="AB52" s="463" t="s">
        <v>191</v>
      </c>
      <c r="AC52" s="464">
        <v>144</v>
      </c>
      <c r="AD52" s="389">
        <f>SUM(AC52,AC53)</f>
        <v>288</v>
      </c>
      <c r="AE52" s="257" t="s">
        <v>175</v>
      </c>
      <c r="AF52" s="550" t="s">
        <v>296</v>
      </c>
      <c r="AG52" s="467">
        <f>'[1]0024_ホテルメルパルク名古屋　別紙1-1'!M25</f>
        <v>6675240.0000000009</v>
      </c>
      <c r="AH52" s="468">
        <f>FQ52</f>
        <v>2640</v>
      </c>
      <c r="AI52" s="468">
        <f>FR52</f>
        <v>1460</v>
      </c>
      <c r="AJ52" s="469">
        <v>0.98599999999999999</v>
      </c>
      <c r="AK52" s="551">
        <f>$AK$4</f>
        <v>26106</v>
      </c>
      <c r="AL52" s="552">
        <v>0.83</v>
      </c>
      <c r="AM52" s="551">
        <f>$AM$4</f>
        <v>24690</v>
      </c>
      <c r="AN52" s="468" t="s">
        <v>308</v>
      </c>
      <c r="AO52" s="551">
        <f>$AO$4</f>
        <v>2373</v>
      </c>
      <c r="AP52" s="467">
        <f>'[1]0024_ホテルメルパルク名古屋　別紙1-1'!K23</f>
        <v>243</v>
      </c>
      <c r="AQ52" s="467">
        <f>'[1]0024_ホテルメルパルク名古屋　別紙1-1'!AF23</f>
        <v>330</v>
      </c>
      <c r="AR52" s="474">
        <f>DM52/(BX52-2)</f>
        <v>227.25</v>
      </c>
      <c r="AS52" s="475">
        <f>AG52/AR52</f>
        <v>29373.993399339939</v>
      </c>
      <c r="AT52" s="476">
        <f>AG52/AP52</f>
        <v>27470.123456790127</v>
      </c>
      <c r="AU52" s="475">
        <f>AG52/AQ52</f>
        <v>20228.000000000004</v>
      </c>
      <c r="AV52" s="477">
        <v>26000</v>
      </c>
      <c r="AW52" s="477">
        <v>48000</v>
      </c>
      <c r="AX52" s="467">
        <f>'[1]0024_ホテルメルパルク名古屋　別紙1-2'!N41</f>
        <v>14982660.000000002</v>
      </c>
      <c r="AY52" s="467">
        <f>GB52</f>
        <v>15</v>
      </c>
      <c r="AZ52" s="553">
        <f>AG52*BX52</f>
        <v>120154320.00000001</v>
      </c>
      <c r="BA52" s="553">
        <f>'[1]0024_ホテルメルパルク名古屋　別紙1-2'!O39</f>
        <v>311762269.5</v>
      </c>
      <c r="BB52" s="478">
        <f>AI52*DM52</f>
        <v>5308560</v>
      </c>
      <c r="BC52" s="478">
        <f>AH52*DM52</f>
        <v>9599040</v>
      </c>
      <c r="BD52" s="478">
        <f>AK52*DM52*0.6</f>
        <v>56952849.600000001</v>
      </c>
      <c r="BE52" s="478">
        <f>BD52-21000*DM52*0.6</f>
        <v>11139249.600000001</v>
      </c>
      <c r="BF52" s="478">
        <f>AM52*DM52*0.4</f>
        <v>35909136</v>
      </c>
      <c r="BG52" s="478">
        <f>BF52-0</f>
        <v>35909136</v>
      </c>
      <c r="BH52" s="478">
        <f>AO52*DM52*0.3</f>
        <v>2588468.4</v>
      </c>
      <c r="BI52" s="480">
        <f>GJ52</f>
        <v>0</v>
      </c>
      <c r="BJ52" s="480">
        <f>GK52</f>
        <v>4240456</v>
      </c>
      <c r="BK52" s="480">
        <f>BM52*5000*BX52</f>
        <v>450000</v>
      </c>
      <c r="BL52" s="480">
        <f>1800000*BN52*BX52</f>
        <v>32400000</v>
      </c>
      <c r="BM52" s="480">
        <f>GP52</f>
        <v>5</v>
      </c>
      <c r="BN52" s="480">
        <f>GQ52</f>
        <v>1</v>
      </c>
      <c r="BO52" s="481">
        <f>AX52*2</f>
        <v>29965320.000000004</v>
      </c>
      <c r="BP52" s="481">
        <f>SUM(AZ52,BA52,BI52,BO52)</f>
        <v>461881909.5</v>
      </c>
      <c r="BQ52" s="481">
        <f>BP52-GR52</f>
        <v>32658120</v>
      </c>
      <c r="BR52" s="554" t="s">
        <v>309</v>
      </c>
      <c r="BS52" s="555" t="s">
        <v>175</v>
      </c>
      <c r="BT52" s="484">
        <f>GU52</f>
        <v>46275</v>
      </c>
      <c r="BU52" s="484">
        <f>GV52</f>
        <v>46293</v>
      </c>
      <c r="BV52" s="268">
        <f>IFERROR(INDEX($BY$9:$DH$9, MATCH("準備", BY52:DK52, 0)), "")</f>
        <v>46275</v>
      </c>
      <c r="BW52" s="269" cm="1">
        <f t="array" ref="BW52">IF(COUNTIF(BY52:DK52,"*撤去*")=0,"",INDEX(BY$9:DK$9,1,MAX(IF(CC52:DK52="撤去",COLUMN(CC52:DK52)-COLUMN(BY52)+1))))</f>
        <v>46293</v>
      </c>
      <c r="BX52" s="270">
        <f>BW52-BV52</f>
        <v>18</v>
      </c>
      <c r="BY52" s="556">
        <v>0</v>
      </c>
      <c r="BZ52" s="557">
        <v>0</v>
      </c>
      <c r="CA52" s="557">
        <v>0</v>
      </c>
      <c r="CB52" s="557">
        <v>0</v>
      </c>
      <c r="CC52" s="487">
        <v>0</v>
      </c>
      <c r="CD52" s="488">
        <v>0</v>
      </c>
      <c r="CE52" s="488">
        <v>0</v>
      </c>
      <c r="CF52" s="488">
        <v>0</v>
      </c>
      <c r="CG52" s="488">
        <v>0</v>
      </c>
      <c r="CH52" s="488">
        <v>0</v>
      </c>
      <c r="CI52" s="400" t="s">
        <v>177</v>
      </c>
      <c r="CJ52" s="400" t="s">
        <v>177</v>
      </c>
      <c r="CK52" s="488">
        <v>144</v>
      </c>
      <c r="CL52" s="488">
        <v>288</v>
      </c>
      <c r="CM52" s="488">
        <v>288</v>
      </c>
      <c r="CN52" s="488">
        <v>288</v>
      </c>
      <c r="CO52" s="488">
        <v>288</v>
      </c>
      <c r="CP52" s="488">
        <v>288</v>
      </c>
      <c r="CQ52" s="403">
        <v>288</v>
      </c>
      <c r="CR52" s="404">
        <v>288</v>
      </c>
      <c r="CS52" s="487">
        <v>288</v>
      </c>
      <c r="CT52" s="488">
        <v>288</v>
      </c>
      <c r="CU52" s="488">
        <v>288</v>
      </c>
      <c r="CV52" s="488">
        <v>216</v>
      </c>
      <c r="CW52" s="558">
        <v>144</v>
      </c>
      <c r="CX52" s="488">
        <v>144</v>
      </c>
      <c r="CY52" s="488">
        <v>108</v>
      </c>
      <c r="CZ52" s="488">
        <v>0</v>
      </c>
      <c r="DA52" s="406" t="s">
        <v>178</v>
      </c>
      <c r="DB52" s="488">
        <v>0</v>
      </c>
      <c r="DC52" s="488">
        <v>0</v>
      </c>
      <c r="DD52" s="488">
        <v>0</v>
      </c>
      <c r="DE52" s="488">
        <v>0</v>
      </c>
      <c r="DF52" s="403">
        <v>0</v>
      </c>
      <c r="DG52" s="404">
        <v>0</v>
      </c>
      <c r="DH52" s="487">
        <v>0</v>
      </c>
      <c r="DI52" s="488">
        <v>0</v>
      </c>
      <c r="DJ52" s="488">
        <v>0</v>
      </c>
      <c r="DK52" s="407">
        <v>0</v>
      </c>
      <c r="DL52" s="277"/>
      <c r="DM52" s="277" cm="1">
        <f t="array" ref="DM52">SUM(IF(ISNUMBER($BY52:$DK52),$BY52:$DK52, 0))</f>
        <v>3636</v>
      </c>
      <c r="DN52" s="559"/>
      <c r="DO52" s="277">
        <f>DM52*(BX52)/(BX52+1)</f>
        <v>3444.6315789473683</v>
      </c>
      <c r="DP52" s="277"/>
      <c r="DQ52" s="386" t="s">
        <v>307</v>
      </c>
      <c r="DR52" s="463" t="s">
        <v>191</v>
      </c>
      <c r="DS52" s="464">
        <v>144</v>
      </c>
      <c r="DT52" s="389">
        <f>SUM(DS52,DS53)</f>
        <v>288</v>
      </c>
      <c r="DU52" s="467">
        <v>6675240.0000000009</v>
      </c>
      <c r="DV52" s="467">
        <v>14982660.000000002</v>
      </c>
      <c r="DW52" s="553">
        <v>120154320.00000001</v>
      </c>
      <c r="DX52" s="553">
        <v>311762269.5</v>
      </c>
      <c r="DY52" s="478">
        <v>5466240</v>
      </c>
      <c r="DZ52" s="478">
        <v>58644518.399999999</v>
      </c>
      <c r="EA52" s="478">
        <v>36975744</v>
      </c>
      <c r="EB52" s="478">
        <v>2665353.6</v>
      </c>
      <c r="EC52" s="480">
        <v>0</v>
      </c>
      <c r="ED52" s="480">
        <v>4240456</v>
      </c>
      <c r="EE52" s="480">
        <v>450000</v>
      </c>
      <c r="EF52" s="480">
        <v>32400000</v>
      </c>
      <c r="EG52" s="481">
        <v>29965320.000000004</v>
      </c>
      <c r="EH52" s="481">
        <v>461881909.5</v>
      </c>
      <c r="EI52" s="484">
        <v>46275</v>
      </c>
      <c r="EJ52" s="484">
        <v>46293</v>
      </c>
      <c r="EK52" s="268">
        <v>46275</v>
      </c>
      <c r="EL52" s="269">
        <v>46293</v>
      </c>
      <c r="EM52" s="270">
        <v>18</v>
      </c>
      <c r="EN52" s="277"/>
      <c r="EO52" s="386" t="s">
        <v>307</v>
      </c>
      <c r="EP52" s="489" t="s">
        <v>191</v>
      </c>
      <c r="EQ52" s="560">
        <v>144</v>
      </c>
      <c r="ER52" s="410">
        <v>288</v>
      </c>
      <c r="ES52" s="245">
        <v>288</v>
      </c>
      <c r="ET52" s="245">
        <v>288</v>
      </c>
      <c r="EU52" s="245">
        <v>166</v>
      </c>
      <c r="EV52" s="411" t="s">
        <v>222</v>
      </c>
      <c r="EW52" s="412">
        <v>7</v>
      </c>
      <c r="EX52" s="413">
        <v>8</v>
      </c>
      <c r="EY52" s="414" t="s">
        <v>310</v>
      </c>
      <c r="EZ52" s="492">
        <v>34.700000000000003</v>
      </c>
      <c r="FA52" s="493">
        <v>37</v>
      </c>
      <c r="FB52" s="414" t="s">
        <v>311</v>
      </c>
      <c r="FC52" s="492">
        <v>33.700000000000003</v>
      </c>
      <c r="FD52" s="493">
        <v>36</v>
      </c>
      <c r="FE52" s="494" t="s">
        <v>312</v>
      </c>
      <c r="FF52" s="492">
        <v>28.1</v>
      </c>
      <c r="FG52" s="493">
        <v>32</v>
      </c>
      <c r="FH52" s="494" t="s">
        <v>189</v>
      </c>
      <c r="FI52" s="492"/>
      <c r="FJ52" s="495"/>
      <c r="FK52" s="496">
        <v>58</v>
      </c>
      <c r="FL52" s="497">
        <v>0.18012422360248448</v>
      </c>
      <c r="FM52" s="498" t="s">
        <v>313</v>
      </c>
      <c r="FN52" s="561" t="s">
        <v>300</v>
      </c>
      <c r="FO52" s="550" t="s">
        <v>296</v>
      </c>
      <c r="FP52" s="562">
        <v>6675240.0000000009</v>
      </c>
      <c r="FQ52" s="563">
        <v>2640</v>
      </c>
      <c r="FR52" s="468">
        <v>1460</v>
      </c>
      <c r="FS52" s="562">
        <v>243</v>
      </c>
      <c r="FT52" s="467">
        <v>330</v>
      </c>
      <c r="FU52" s="261">
        <v>247.76470588235293</v>
      </c>
      <c r="FV52" s="394">
        <v>26941.851851851858</v>
      </c>
      <c r="FW52" s="390">
        <v>27470.123456790127</v>
      </c>
      <c r="FX52" s="394">
        <v>20228.000000000004</v>
      </c>
      <c r="FY52" s="564">
        <v>17400</v>
      </c>
      <c r="FZ52" s="564">
        <v>58000</v>
      </c>
      <c r="GA52" s="562">
        <v>14982660.000000002</v>
      </c>
      <c r="GB52" s="562">
        <v>15</v>
      </c>
      <c r="GC52" s="565">
        <v>117461520.00000001</v>
      </c>
      <c r="GD52" s="565">
        <v>311762269.5</v>
      </c>
      <c r="GE52" s="565">
        <v>124136760.00000001</v>
      </c>
      <c r="GF52" s="565">
        <v>295476027</v>
      </c>
      <c r="GG52" s="478">
        <v>6675240</v>
      </c>
      <c r="GH52" s="478">
        <v>-16286242.5</v>
      </c>
      <c r="GI52" s="478">
        <v>3689712</v>
      </c>
      <c r="GJ52" s="566"/>
      <c r="GK52" s="565">
        <v>4240456</v>
      </c>
      <c r="GL52" s="565">
        <v>4240456</v>
      </c>
      <c r="GM52" s="480">
        <v>0</v>
      </c>
      <c r="GN52" s="480">
        <v>350000</v>
      </c>
      <c r="GO52" s="480">
        <v>34200000</v>
      </c>
      <c r="GP52" s="565">
        <v>5</v>
      </c>
      <c r="GQ52" s="565">
        <v>1</v>
      </c>
      <c r="GR52" s="567">
        <v>429223789.5</v>
      </c>
      <c r="GS52" s="567">
        <v>-289073842.5</v>
      </c>
      <c r="GT52" s="555" t="s">
        <v>175</v>
      </c>
      <c r="GU52" s="568">
        <v>46275</v>
      </c>
      <c r="GV52" s="568">
        <v>46293</v>
      </c>
      <c r="GW52" s="268">
        <v>46273</v>
      </c>
      <c r="GX52" s="269">
        <v>46292</v>
      </c>
      <c r="GY52" s="270">
        <v>19</v>
      </c>
      <c r="GZ52" s="556"/>
      <c r="HA52" s="557"/>
      <c r="HB52" s="557"/>
      <c r="HC52" s="557"/>
      <c r="HD52" s="487">
        <v>0</v>
      </c>
      <c r="HE52" s="488">
        <v>0</v>
      </c>
      <c r="HF52" s="488">
        <v>0</v>
      </c>
      <c r="HG52" s="488">
        <v>0</v>
      </c>
      <c r="HH52" s="400" t="s">
        <v>177</v>
      </c>
      <c r="HI52" s="400" t="s">
        <v>177</v>
      </c>
      <c r="HJ52" s="488">
        <v>288</v>
      </c>
      <c r="HK52" s="488">
        <v>288</v>
      </c>
      <c r="HL52" s="488">
        <v>288</v>
      </c>
      <c r="HM52" s="488">
        <v>288</v>
      </c>
      <c r="HN52" s="488">
        <v>288</v>
      </c>
      <c r="HO52" s="488">
        <v>288</v>
      </c>
      <c r="HP52" s="488">
        <v>288</v>
      </c>
      <c r="HQ52" s="488">
        <v>288</v>
      </c>
      <c r="HR52" s="403">
        <v>288</v>
      </c>
      <c r="HS52" s="404">
        <v>288</v>
      </c>
      <c r="HT52" s="487">
        <v>288</v>
      </c>
      <c r="HU52" s="488">
        <v>288</v>
      </c>
      <c r="HV52" s="488">
        <v>216</v>
      </c>
      <c r="HW52" s="488">
        <v>144</v>
      </c>
      <c r="HX52" s="558">
        <v>144</v>
      </c>
      <c r="HY52" s="488">
        <v>144</v>
      </c>
      <c r="HZ52" s="488">
        <v>108</v>
      </c>
      <c r="IA52" s="406" t="s">
        <v>178</v>
      </c>
      <c r="IB52" s="488">
        <v>0</v>
      </c>
      <c r="IC52" s="488">
        <v>0</v>
      </c>
      <c r="ID52" s="488">
        <v>0</v>
      </c>
      <c r="IE52" s="488">
        <v>0</v>
      </c>
      <c r="IF52" s="488">
        <v>0</v>
      </c>
      <c r="IG52" s="403">
        <v>0</v>
      </c>
      <c r="IH52" s="404">
        <v>0</v>
      </c>
      <c r="II52" s="487">
        <v>0</v>
      </c>
      <c r="IJ52" s="488">
        <v>0</v>
      </c>
      <c r="IK52" s="488">
        <v>0</v>
      </c>
      <c r="IL52" s="407">
        <v>0</v>
      </c>
      <c r="IM52" s="277"/>
      <c r="IN52" s="277" cm="1">
        <f t="array" ref="IN52">SUM(IF(ISNUMBER($HD52:$IL52),$HD52:$IL52, 0))</f>
        <v>4212</v>
      </c>
      <c r="IO52" s="333"/>
      <c r="IP52" s="334"/>
      <c r="IQ52" s="541"/>
      <c r="IR52" s="569">
        <f>VLOOKUP($E52,[1]アジアResults1031!$A$1:$CH$259,23,FALSE)</f>
        <v>3105146</v>
      </c>
      <c r="IS52" s="570">
        <f>VLOOKUP($E52,[1]アジアResults1031!$A$1:$CH$259,32,FALSE)</f>
        <v>134</v>
      </c>
      <c r="IT52" s="570">
        <f>KY52/(GY52-2)</f>
        <v>185.52941176470588</v>
      </c>
      <c r="IU52" s="570">
        <f>IR52/IT52</f>
        <v>16736.677869372226</v>
      </c>
      <c r="IV52" s="570">
        <f>VLOOKUP(E52,[1]アジアResults1031!$A$1:$CH$264,26,FALSE)</f>
        <v>14236</v>
      </c>
      <c r="IW52" s="570">
        <f>VLOOKUP(E52,[1]アジアResults1031!$A$1:$CH$264,27,FALSE)</f>
        <v>30000</v>
      </c>
      <c r="IX52" s="571">
        <f>VLOOKUP($E52,[1]アジアResults1031!$A$1:$CH$259,18,FALSE)</f>
        <v>3568661</v>
      </c>
      <c r="IY52" s="571">
        <f>VLOOKUP($E52,[1]アジアResults1031!$A$1:$CH$259,9,FALSE)</f>
        <v>4</v>
      </c>
      <c r="IZ52" s="570">
        <f>IR52*JF52</f>
        <v>65208066</v>
      </c>
      <c r="JA52" s="570">
        <f>IX52*JF52</f>
        <v>74941881</v>
      </c>
      <c r="JB52" s="570"/>
      <c r="JC52" s="570"/>
      <c r="JD52" s="572">
        <f>IFERROR(INDEX($JO$9:$KW$9, MATCH("準備", JO52:KW52, 0)), "")</f>
        <v>46279</v>
      </c>
      <c r="JE52" s="572" cm="1">
        <f t="array" ref="JE52">IF(COUNTIF(JO52:KW52,"*撤去*")=0,"",INDEX(JO$9:KW$9,1,MAX(IF(JO52:KW52="撤去",COLUMN(JO52:KW52)-COLUMN(JO52)+1))))</f>
        <v>46300</v>
      </c>
      <c r="JF52" s="573">
        <f>JE52-JD52</f>
        <v>21</v>
      </c>
      <c r="JG52" s="574">
        <v>5574265</v>
      </c>
      <c r="JH52" s="575">
        <v>3568661</v>
      </c>
      <c r="JO52" s="576"/>
      <c r="JP52" s="577"/>
      <c r="JQ52" s="577"/>
      <c r="JR52" s="577"/>
      <c r="JS52" s="577"/>
      <c r="JT52" s="577"/>
      <c r="JU52" s="577"/>
      <c r="JV52" s="577"/>
      <c r="JW52" s="577"/>
      <c r="JX52" s="577"/>
      <c r="JY52" s="400" t="s">
        <v>177</v>
      </c>
      <c r="JZ52" s="400" t="s">
        <v>177</v>
      </c>
      <c r="KA52" s="577">
        <v>166</v>
      </c>
      <c r="KB52" s="577">
        <v>166</v>
      </c>
      <c r="KC52" s="577">
        <v>166</v>
      </c>
      <c r="KD52" s="577">
        <v>166</v>
      </c>
      <c r="KE52" s="577">
        <v>166</v>
      </c>
      <c r="KF52" s="577">
        <v>166</v>
      </c>
      <c r="KG52" s="577">
        <v>166</v>
      </c>
      <c r="KH52" s="577">
        <v>166</v>
      </c>
      <c r="KI52" s="577">
        <v>166</v>
      </c>
      <c r="KJ52" s="577">
        <v>166</v>
      </c>
      <c r="KK52" s="577">
        <v>166</v>
      </c>
      <c r="KL52" s="577">
        <v>166</v>
      </c>
      <c r="KM52" s="577">
        <v>166</v>
      </c>
      <c r="KN52" s="577">
        <v>166</v>
      </c>
      <c r="KO52" s="577">
        <v>166</v>
      </c>
      <c r="KP52" s="577">
        <v>166</v>
      </c>
      <c r="KQ52" s="577">
        <v>166</v>
      </c>
      <c r="KR52" s="577">
        <v>166</v>
      </c>
      <c r="KS52" s="577">
        <v>166</v>
      </c>
      <c r="KT52" s="406" t="s">
        <v>178</v>
      </c>
      <c r="KU52" s="577"/>
      <c r="KV52" s="577"/>
      <c r="KW52" s="578"/>
      <c r="KX52" s="277"/>
      <c r="KY52" s="277" cm="1">
        <f t="array" ref="KY52">SUM(IF(ISNUMBER($JO52:$KW52),$JO52:$KW52, 0))</f>
        <v>3154</v>
      </c>
    </row>
    <row r="53" spans="1:398" s="547" customFormat="1" ht="40" customHeight="1" thickBot="1">
      <c r="A53" s="1"/>
      <c r="B53" s="299"/>
      <c r="C53" s="241"/>
      <c r="D53" s="445"/>
      <c r="E53" s="510" t="s">
        <v>165</v>
      </c>
      <c r="F53" s="511"/>
      <c r="G53" s="512">
        <v>0</v>
      </c>
      <c r="H53" s="512">
        <v>0</v>
      </c>
      <c r="I53" s="512">
        <v>0</v>
      </c>
      <c r="J53" s="512">
        <v>0</v>
      </c>
      <c r="K53" s="512"/>
      <c r="L53" s="512">
        <v>0</v>
      </c>
      <c r="M53" s="513">
        <v>0</v>
      </c>
      <c r="N53" s="514">
        <v>0</v>
      </c>
      <c r="O53" s="514" t="s">
        <v>302</v>
      </c>
      <c r="P53" s="513">
        <v>0</v>
      </c>
      <c r="Q53" s="514">
        <v>0</v>
      </c>
      <c r="R53" s="514">
        <v>0</v>
      </c>
      <c r="S53" s="514">
        <v>0</v>
      </c>
      <c r="T53" s="514">
        <v>0</v>
      </c>
      <c r="U53" s="515" t="s">
        <v>165</v>
      </c>
      <c r="V53" s="445"/>
      <c r="W53" s="445"/>
      <c r="X53" s="445"/>
      <c r="Y53" s="445"/>
      <c r="Z53" s="445"/>
      <c r="AA53" s="446" t="s">
        <v>314</v>
      </c>
      <c r="AB53" s="447" t="s">
        <v>315</v>
      </c>
      <c r="AC53" s="448">
        <v>144</v>
      </c>
      <c r="AD53" s="516"/>
      <c r="AE53" s="517"/>
      <c r="AF53" s="518"/>
      <c r="AG53" s="518"/>
      <c r="AH53" s="518"/>
      <c r="AI53" s="518"/>
      <c r="AJ53" s="518"/>
      <c r="AK53" s="518"/>
      <c r="AL53" s="518"/>
      <c r="AM53" s="518"/>
      <c r="AN53" s="518"/>
      <c r="AO53" s="518"/>
      <c r="AP53" s="518"/>
      <c r="AQ53" s="518"/>
      <c r="AR53" s="518"/>
      <c r="AS53" s="519"/>
      <c r="AT53" s="518"/>
      <c r="AU53" s="519"/>
      <c r="AV53" s="518"/>
      <c r="AW53" s="518"/>
      <c r="AX53" s="518"/>
      <c r="AY53" s="518"/>
      <c r="AZ53" s="520"/>
      <c r="BA53" s="520"/>
      <c r="BB53" s="520"/>
      <c r="BC53" s="520"/>
      <c r="BD53" s="520"/>
      <c r="BE53" s="520"/>
      <c r="BF53" s="520"/>
      <c r="BG53" s="520"/>
      <c r="BH53" s="520"/>
      <c r="BI53" s="520"/>
      <c r="BJ53" s="520"/>
      <c r="BK53" s="520"/>
      <c r="BL53" s="520"/>
      <c r="BM53" s="520"/>
      <c r="BN53" s="520"/>
      <c r="BO53" s="521"/>
      <c r="BP53" s="521"/>
      <c r="BQ53" s="521"/>
      <c r="BR53" s="522"/>
      <c r="BS53" s="523"/>
      <c r="BT53" s="524"/>
      <c r="BU53" s="524"/>
      <c r="BV53" s="525" t="str">
        <f>IFERROR(INDEX($HD$9:$II$9, MATCH("準備", CC53:DK53, 0)), "")</f>
        <v/>
      </c>
      <c r="BW53" s="525" t="str" cm="1">
        <f t="array" ref="BW53">IF(COUNTIF(CC53:DK53,"*撤去*")=0,"",INDEX(CC$9:DK$9,1,MAX(IF(CC53:DK53="撤去",COLUMN(CC53:DK53)-COLUMN(CC53)+1))))</f>
        <v/>
      </c>
      <c r="BX53" s="526"/>
      <c r="BY53" s="360" t="s">
        <v>246</v>
      </c>
      <c r="BZ53" s="361" t="s">
        <v>247</v>
      </c>
      <c r="CA53" s="527"/>
      <c r="CB53" s="527"/>
      <c r="CC53" s="528"/>
      <c r="CD53" s="529"/>
      <c r="CE53" s="529"/>
      <c r="CF53" s="529"/>
      <c r="CG53" s="537"/>
      <c r="CH53" s="537"/>
      <c r="CI53" s="363"/>
      <c r="CJ53" s="363"/>
      <c r="CK53" s="363"/>
      <c r="CL53" s="363"/>
      <c r="CM53" s="363"/>
      <c r="CN53" s="363"/>
      <c r="CO53" s="363"/>
      <c r="CP53" s="363"/>
      <c r="CQ53" s="364"/>
      <c r="CR53" s="365"/>
      <c r="CS53" s="366"/>
      <c r="CT53" s="363"/>
      <c r="CU53" s="363"/>
      <c r="CV53" s="363"/>
      <c r="CW53" s="363"/>
      <c r="CX53" s="363"/>
      <c r="CY53" s="363"/>
      <c r="CZ53" s="363"/>
      <c r="DA53" s="363"/>
      <c r="DB53" s="537"/>
      <c r="DC53" s="537"/>
      <c r="DD53" s="537"/>
      <c r="DE53" s="529"/>
      <c r="DF53" s="530"/>
      <c r="DG53" s="531"/>
      <c r="DH53" s="528"/>
      <c r="DI53" s="529"/>
      <c r="DJ53" s="529"/>
      <c r="DK53" s="532"/>
      <c r="DL53" s="277"/>
      <c r="DM53" s="277"/>
      <c r="DN53" s="277"/>
      <c r="DO53" s="277"/>
      <c r="DP53" s="277"/>
      <c r="DQ53" s="446" t="s">
        <v>314</v>
      </c>
      <c r="DR53" s="447" t="s">
        <v>315</v>
      </c>
      <c r="DS53" s="448">
        <v>144</v>
      </c>
      <c r="DT53" s="516"/>
      <c r="DU53" s="518"/>
      <c r="DV53" s="518"/>
      <c r="DW53" s="520"/>
      <c r="DX53" s="520"/>
      <c r="DY53" s="520"/>
      <c r="DZ53" s="520"/>
      <c r="EA53" s="520"/>
      <c r="EB53" s="520"/>
      <c r="EC53" s="520"/>
      <c r="ED53" s="520"/>
      <c r="EE53" s="520"/>
      <c r="EF53" s="520"/>
      <c r="EG53" s="521"/>
      <c r="EH53" s="521"/>
      <c r="EI53" s="524"/>
      <c r="EJ53" s="524"/>
      <c r="EK53" s="525" t="s">
        <v>165</v>
      </c>
      <c r="EL53" s="525" t="s">
        <v>165</v>
      </c>
      <c r="EM53" s="526"/>
      <c r="EN53" s="277"/>
      <c r="EO53" s="446" t="s">
        <v>314</v>
      </c>
      <c r="EP53" s="450" t="s">
        <v>315</v>
      </c>
      <c r="EQ53" s="579">
        <v>144</v>
      </c>
      <c r="ER53" s="580"/>
      <c r="ES53" s="533" t="e">
        <v>#N/A</v>
      </c>
      <c r="ET53" s="533"/>
      <c r="EU53" s="533"/>
      <c r="EV53" s="452" t="s">
        <v>316</v>
      </c>
      <c r="EW53" s="453">
        <v>25.1</v>
      </c>
      <c r="EX53" s="454">
        <v>24</v>
      </c>
      <c r="EY53" s="455" t="s">
        <v>310</v>
      </c>
      <c r="EZ53" s="456">
        <v>35</v>
      </c>
      <c r="FA53" s="457">
        <v>37</v>
      </c>
      <c r="FB53" s="455" t="s">
        <v>311</v>
      </c>
      <c r="FC53" s="456">
        <v>34</v>
      </c>
      <c r="FD53" s="457">
        <v>36</v>
      </c>
      <c r="FE53" s="458" t="s">
        <v>312</v>
      </c>
      <c r="FF53" s="456">
        <v>28</v>
      </c>
      <c r="FG53" s="457">
        <v>32</v>
      </c>
      <c r="FH53" s="458" t="s">
        <v>189</v>
      </c>
      <c r="FI53" s="456"/>
      <c r="FJ53" s="534"/>
      <c r="FK53" s="375"/>
      <c r="FL53" s="376"/>
      <c r="FM53" s="535"/>
      <c r="FN53" s="517"/>
      <c r="FO53" s="518"/>
      <c r="FP53" s="518"/>
      <c r="FQ53" s="518"/>
      <c r="FR53" s="518"/>
      <c r="FS53" s="518"/>
      <c r="FT53" s="518"/>
      <c r="FU53" s="518"/>
      <c r="FV53" s="519"/>
      <c r="FW53" s="518"/>
      <c r="FX53" s="519"/>
      <c r="FY53" s="518"/>
      <c r="FZ53" s="518"/>
      <c r="GA53" s="518"/>
      <c r="GB53" s="518"/>
      <c r="GC53" s="520"/>
      <c r="GD53" s="520"/>
      <c r="GE53" s="520"/>
      <c r="GF53" s="520"/>
      <c r="GG53" s="520"/>
      <c r="GH53" s="520"/>
      <c r="GI53" s="520"/>
      <c r="GJ53" s="520"/>
      <c r="GK53" s="520"/>
      <c r="GL53" s="520"/>
      <c r="GM53" s="520"/>
      <c r="GN53" s="520"/>
      <c r="GO53" s="520"/>
      <c r="GP53" s="520"/>
      <c r="GQ53" s="520"/>
      <c r="GR53" s="521"/>
      <c r="GS53" s="521"/>
      <c r="GT53" s="523"/>
      <c r="GU53" s="524"/>
      <c r="GV53" s="524"/>
      <c r="GW53" s="525" t="s">
        <v>165</v>
      </c>
      <c r="GX53" s="525" t="s">
        <v>165</v>
      </c>
      <c r="GY53" s="526"/>
      <c r="GZ53" s="536"/>
      <c r="HA53" s="527"/>
      <c r="HB53" s="527"/>
      <c r="HC53" s="527"/>
      <c r="HD53" s="528"/>
      <c r="HE53" s="529"/>
      <c r="HF53" s="529"/>
      <c r="HG53" s="529"/>
      <c r="HH53" s="537"/>
      <c r="HI53" s="537"/>
      <c r="HJ53" s="537"/>
      <c r="HK53" s="537"/>
      <c r="HL53" s="537"/>
      <c r="HM53" s="537"/>
      <c r="HN53" s="537"/>
      <c r="HO53" s="537"/>
      <c r="HP53" s="537"/>
      <c r="HQ53" s="537"/>
      <c r="HR53" s="538"/>
      <c r="HS53" s="539"/>
      <c r="HT53" s="540"/>
      <c r="HU53" s="537"/>
      <c r="HV53" s="537"/>
      <c r="HW53" s="537"/>
      <c r="HX53" s="537"/>
      <c r="HY53" s="537"/>
      <c r="HZ53" s="537"/>
      <c r="IA53" s="537"/>
      <c r="IB53" s="537"/>
      <c r="IC53" s="537"/>
      <c r="ID53" s="537"/>
      <c r="IE53" s="537"/>
      <c r="IF53" s="529"/>
      <c r="IG53" s="530"/>
      <c r="IH53" s="531"/>
      <c r="II53" s="528"/>
      <c r="IJ53" s="529"/>
      <c r="IK53" s="529"/>
      <c r="IL53" s="532"/>
      <c r="IM53" s="277"/>
      <c r="IN53" s="277"/>
      <c r="IO53" s="333"/>
      <c r="IP53" s="334"/>
      <c r="IQ53" s="541"/>
      <c r="IR53" s="581"/>
      <c r="IS53" s="582"/>
      <c r="IT53" s="582"/>
      <c r="IU53" s="582"/>
      <c r="IV53" s="582"/>
      <c r="IW53" s="582"/>
      <c r="IX53" s="583"/>
      <c r="IY53" s="583"/>
      <c r="IZ53" s="582"/>
      <c r="JA53" s="582"/>
      <c r="JB53" s="582"/>
      <c r="JC53" s="582"/>
      <c r="JD53" s="584"/>
      <c r="JE53" s="584"/>
      <c r="JF53" s="585"/>
      <c r="JG53" s="586"/>
      <c r="JH53" s="587"/>
      <c r="JI53" s="1"/>
      <c r="JJ53" s="1"/>
      <c r="JK53" s="1"/>
      <c r="JL53" s="1"/>
      <c r="JM53" s="1"/>
      <c r="JN53" s="1"/>
      <c r="JO53" s="588"/>
      <c r="JP53" s="589"/>
      <c r="JQ53" s="589"/>
      <c r="JR53" s="589"/>
      <c r="JS53" s="589"/>
      <c r="JT53" s="589"/>
      <c r="JU53" s="589"/>
      <c r="JV53" s="589"/>
      <c r="JW53" s="589"/>
      <c r="JX53" s="589"/>
      <c r="JY53" s="589"/>
      <c r="JZ53" s="589"/>
      <c r="KA53" s="589"/>
      <c r="KB53" s="589"/>
      <c r="KC53" s="589"/>
      <c r="KD53" s="589"/>
      <c r="KE53" s="589"/>
      <c r="KF53" s="589"/>
      <c r="KG53" s="589"/>
      <c r="KH53" s="589"/>
      <c r="KI53" s="589"/>
      <c r="KJ53" s="589"/>
      <c r="KK53" s="589"/>
      <c r="KL53" s="589"/>
      <c r="KM53" s="589"/>
      <c r="KN53" s="589"/>
      <c r="KO53" s="589"/>
      <c r="KP53" s="589"/>
      <c r="KQ53" s="589"/>
      <c r="KR53" s="589"/>
      <c r="KS53" s="589"/>
      <c r="KT53" s="589"/>
      <c r="KU53" s="589"/>
      <c r="KV53" s="589"/>
      <c r="KW53" s="590"/>
      <c r="KX53" s="277"/>
      <c r="KY53" s="277"/>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row>
    <row r="54" spans="1:398" ht="40" customHeight="1">
      <c r="B54" s="299"/>
      <c r="C54" s="241"/>
      <c r="D54" s="242">
        <v>5</v>
      </c>
      <c r="E54" s="243">
        <v>159</v>
      </c>
      <c r="F54" s="591" t="s">
        <v>317</v>
      </c>
      <c r="G54" s="381">
        <v>216</v>
      </c>
      <c r="H54" s="549">
        <v>333</v>
      </c>
      <c r="I54" s="549">
        <v>216</v>
      </c>
      <c r="J54" s="549">
        <v>333</v>
      </c>
      <c r="K54" s="549">
        <v>173760400</v>
      </c>
      <c r="L54" s="383">
        <v>0</v>
      </c>
      <c r="M54" s="384" t="s">
        <v>318</v>
      </c>
      <c r="N54" s="384" t="s">
        <v>168</v>
      </c>
      <c r="O54" s="383">
        <v>95</v>
      </c>
      <c r="P54" s="384" t="s">
        <v>170</v>
      </c>
      <c r="Q54" s="384" t="s">
        <v>170</v>
      </c>
      <c r="R54" s="384" t="s">
        <v>170</v>
      </c>
      <c r="S54" s="384" t="s">
        <v>319</v>
      </c>
      <c r="T54" s="385" t="s">
        <v>169</v>
      </c>
      <c r="U54" s="378" t="s">
        <v>320</v>
      </c>
      <c r="V54" s="242"/>
      <c r="W54" s="242"/>
      <c r="X54" s="592" t="s">
        <v>292</v>
      </c>
      <c r="Y54" s="242"/>
      <c r="Z54" s="242"/>
      <c r="AA54" s="386" t="s">
        <v>321</v>
      </c>
      <c r="AB54" s="463" t="s">
        <v>322</v>
      </c>
      <c r="AC54" s="464">
        <v>191</v>
      </c>
      <c r="AD54" s="389">
        <f>SUM(AC54,AC55)</f>
        <v>339</v>
      </c>
      <c r="AE54" s="257" t="s">
        <v>175</v>
      </c>
      <c r="AF54" s="593" t="s">
        <v>323</v>
      </c>
      <c r="AG54" s="467">
        <f>'[1]0159_JALシティ錦　別紙1-1'!M60</f>
        <v>9004800</v>
      </c>
      <c r="AH54" s="468">
        <v>2400</v>
      </c>
      <c r="AI54" s="468">
        <f>4100-AH54</f>
        <v>1700</v>
      </c>
      <c r="AJ54" s="469">
        <v>0.98599999999999999</v>
      </c>
      <c r="AK54" s="551">
        <f>$AK$4</f>
        <v>26106</v>
      </c>
      <c r="AL54" s="552">
        <v>0.83</v>
      </c>
      <c r="AM54" s="551">
        <f>$AM$4</f>
        <v>24690</v>
      </c>
      <c r="AN54" s="468" t="s">
        <v>308</v>
      </c>
      <c r="AO54" s="551">
        <f>$AO$4</f>
        <v>2373</v>
      </c>
      <c r="AP54" s="467">
        <v>179</v>
      </c>
      <c r="AQ54" s="467">
        <v>333</v>
      </c>
      <c r="AR54" s="474">
        <f>DM54/(BX54-2)</f>
        <v>143</v>
      </c>
      <c r="AS54" s="475">
        <f>AG54/AR54</f>
        <v>62970.629370629373</v>
      </c>
      <c r="AT54" s="476">
        <f>AG54/AP54</f>
        <v>50306.145251396651</v>
      </c>
      <c r="AU54" s="475">
        <f>AG54/AQ54</f>
        <v>27041.441441441442</v>
      </c>
      <c r="AV54" s="477">
        <v>26000</v>
      </c>
      <c r="AW54" s="477">
        <v>48000</v>
      </c>
      <c r="AX54" s="467"/>
      <c r="AY54" s="467">
        <f>GB54</f>
        <v>0</v>
      </c>
      <c r="AZ54" s="478">
        <f>'[1]0159_JALシティ錦　別紙1-1'!C31</f>
        <v>195268800</v>
      </c>
      <c r="BA54" s="478">
        <v>0</v>
      </c>
      <c r="BB54" s="478">
        <f>AI54*DM54</f>
        <v>4862000</v>
      </c>
      <c r="BC54" s="478">
        <f>AH54*DM54</f>
        <v>6864000</v>
      </c>
      <c r="BD54" s="478">
        <f>AK54*DM54*0.6</f>
        <v>44797896</v>
      </c>
      <c r="BE54" s="478">
        <f>BD54-21000*DM54*0.6</f>
        <v>8761896</v>
      </c>
      <c r="BF54" s="478">
        <f>AM54*DM54*0.4</f>
        <v>28245360</v>
      </c>
      <c r="BG54" s="478">
        <f>BF54-0</f>
        <v>28245360</v>
      </c>
      <c r="BH54" s="478">
        <f>AO54*DM54*0.3</f>
        <v>2036034</v>
      </c>
      <c r="BI54" s="480">
        <f>GJ54</f>
        <v>0</v>
      </c>
      <c r="BJ54" s="480">
        <f>GK54</f>
        <v>0</v>
      </c>
      <c r="BK54" s="480">
        <f>BM54*5000*BX54</f>
        <v>550000</v>
      </c>
      <c r="BL54" s="480">
        <f>1800000*BN54*BX54</f>
        <v>0</v>
      </c>
      <c r="BM54" s="480">
        <v>5</v>
      </c>
      <c r="BN54" s="480">
        <f>GQ54</f>
        <v>0</v>
      </c>
      <c r="BO54" s="481"/>
      <c r="BP54" s="481">
        <f>SUM(AZ54,BA54,BI54,BO54)</f>
        <v>195268800</v>
      </c>
      <c r="BQ54" s="481">
        <f>BP54-GR54</f>
        <v>195268800</v>
      </c>
      <c r="BR54" s="594"/>
      <c r="BS54" s="595" t="s">
        <v>301</v>
      </c>
      <c r="BT54" s="484">
        <f>'[1]0159_JALシティ錦　別紙1-1'!B8</f>
        <v>46278</v>
      </c>
      <c r="BU54" s="484">
        <f>'[1]0159_JALシティ錦　別紙1-1'!G26</f>
        <v>46300</v>
      </c>
      <c r="BV54" s="268">
        <f>IFERROR(INDEX($BY$9:$DH$9, MATCH("準備", BY54:DK54, 0)), "")</f>
        <v>46278</v>
      </c>
      <c r="BW54" s="269" cm="1">
        <f t="array" ref="BW54">IF(COUNTIF(BY54:DK54,"*撤去*")=0,"",INDEX(BY$9:DK$9,1,MAX(IF(CC54:DK54="撤去",COLUMN(CC54:DK54)-COLUMN(BY54)+1))))</f>
        <v>46300</v>
      </c>
      <c r="BX54" s="270">
        <f>BW54-BV54</f>
        <v>22</v>
      </c>
      <c r="BY54" s="596">
        <v>0</v>
      </c>
      <c r="BZ54" s="597">
        <v>0</v>
      </c>
      <c r="CA54" s="597">
        <v>0</v>
      </c>
      <c r="CB54" s="597">
        <v>0</v>
      </c>
      <c r="CC54" s="271">
        <v>0</v>
      </c>
      <c r="CD54" s="272">
        <v>0</v>
      </c>
      <c r="CE54" s="272">
        <v>0</v>
      </c>
      <c r="CF54" s="272">
        <v>0</v>
      </c>
      <c r="CG54" s="272">
        <v>0</v>
      </c>
      <c r="CH54" s="272">
        <v>0</v>
      </c>
      <c r="CI54" s="272">
        <v>0</v>
      </c>
      <c r="CJ54" s="272">
        <v>0</v>
      </c>
      <c r="CK54" s="272">
        <v>0</v>
      </c>
      <c r="CL54" s="400" t="s">
        <v>177</v>
      </c>
      <c r="CM54" s="400" t="s">
        <v>177</v>
      </c>
      <c r="CN54" s="598">
        <v>148</v>
      </c>
      <c r="CO54" s="598">
        <v>148</v>
      </c>
      <c r="CP54" s="598">
        <v>148</v>
      </c>
      <c r="CQ54" s="599">
        <v>148</v>
      </c>
      <c r="CR54" s="600">
        <v>148</v>
      </c>
      <c r="CS54" s="601">
        <v>148</v>
      </c>
      <c r="CT54" s="598">
        <v>148</v>
      </c>
      <c r="CU54" s="598">
        <v>148</v>
      </c>
      <c r="CV54" s="598">
        <v>148</v>
      </c>
      <c r="CW54" s="598">
        <v>0</v>
      </c>
      <c r="CX54" s="598">
        <v>0</v>
      </c>
      <c r="CY54" s="598">
        <v>0</v>
      </c>
      <c r="CZ54" s="272">
        <v>191</v>
      </c>
      <c r="DA54" s="272">
        <v>191</v>
      </c>
      <c r="DB54" s="272">
        <v>191</v>
      </c>
      <c r="DC54" s="272">
        <v>191</v>
      </c>
      <c r="DD54" s="272">
        <v>191</v>
      </c>
      <c r="DE54" s="272">
        <v>191</v>
      </c>
      <c r="DF54" s="274">
        <v>191</v>
      </c>
      <c r="DG54" s="602">
        <v>191</v>
      </c>
      <c r="DH54" s="603" t="s">
        <v>178</v>
      </c>
      <c r="DI54" s="272">
        <v>0</v>
      </c>
      <c r="DJ54" s="272">
        <v>0</v>
      </c>
      <c r="DK54" s="276">
        <v>0</v>
      </c>
      <c r="DL54" s="277"/>
      <c r="DM54" s="277" cm="1">
        <f t="array" ref="DM54">SUM(IF(ISNUMBER($BY54:$DK54),$BY54:$DK54, 0))</f>
        <v>2860</v>
      </c>
      <c r="DN54" s="559"/>
      <c r="DO54" s="277">
        <f>DM54*(BX54)/(BX54+1)</f>
        <v>2735.6521739130435</v>
      </c>
      <c r="DP54" s="277"/>
      <c r="DQ54" s="386" t="s">
        <v>321</v>
      </c>
      <c r="DR54" s="463" t="s">
        <v>322</v>
      </c>
      <c r="DS54" s="464">
        <v>171</v>
      </c>
      <c r="DT54" s="389">
        <f>SUM(DS54,DS55)</f>
        <v>321</v>
      </c>
      <c r="DU54" s="467">
        <v>9004800</v>
      </c>
      <c r="DV54" s="467"/>
      <c r="DW54" s="478">
        <v>195268800</v>
      </c>
      <c r="DX54" s="478">
        <v>0</v>
      </c>
      <c r="DY54" s="478">
        <v>4875600</v>
      </c>
      <c r="DZ54" s="478">
        <v>44923204.799999997</v>
      </c>
      <c r="EA54" s="478">
        <v>28324368</v>
      </c>
      <c r="EB54" s="478">
        <v>2041729.2</v>
      </c>
      <c r="EC54" s="480">
        <v>0</v>
      </c>
      <c r="ED54" s="480">
        <v>0</v>
      </c>
      <c r="EE54" s="480">
        <v>550000</v>
      </c>
      <c r="EF54" s="480">
        <v>0</v>
      </c>
      <c r="EG54" s="481"/>
      <c r="EH54" s="481">
        <v>195268800</v>
      </c>
      <c r="EI54" s="484"/>
      <c r="EJ54" s="484"/>
      <c r="EK54" s="268">
        <v>46278</v>
      </c>
      <c r="EL54" s="269">
        <v>46300</v>
      </c>
      <c r="EM54" s="270">
        <v>22</v>
      </c>
      <c r="EN54" s="277"/>
      <c r="EO54" s="604"/>
      <c r="EP54" s="605"/>
      <c r="EQ54" s="606"/>
      <c r="ER54" s="607"/>
      <c r="ES54" s="323"/>
      <c r="ET54" s="323"/>
      <c r="EU54" s="323"/>
      <c r="EV54" s="608"/>
      <c r="EW54" s="609"/>
      <c r="EX54" s="610"/>
      <c r="EY54" s="442"/>
      <c r="EZ54" s="440"/>
      <c r="FA54" s="441"/>
      <c r="FB54" s="442"/>
      <c r="FC54" s="440"/>
      <c r="FD54" s="441"/>
      <c r="FE54" s="443"/>
      <c r="FF54" s="440"/>
      <c r="FG54" s="441"/>
      <c r="FH54" s="443"/>
      <c r="FI54" s="440"/>
      <c r="FJ54" s="444"/>
      <c r="FK54" s="289"/>
      <c r="FL54" s="290"/>
      <c r="FM54" s="349"/>
      <c r="FN54" s="336"/>
      <c r="FO54" s="337"/>
      <c r="FP54" s="337"/>
      <c r="FQ54" s="337"/>
      <c r="FR54" s="337"/>
      <c r="FS54" s="337"/>
      <c r="FT54" s="337"/>
      <c r="FU54" s="337"/>
      <c r="FV54" s="339"/>
      <c r="FW54" s="337"/>
      <c r="FX54" s="339"/>
      <c r="FY54" s="337"/>
      <c r="FZ54" s="337"/>
      <c r="GA54" s="337"/>
      <c r="GB54" s="337"/>
      <c r="GC54" s="611"/>
      <c r="GD54" s="611"/>
      <c r="GE54" s="611"/>
      <c r="GF54" s="611"/>
      <c r="GG54" s="611"/>
      <c r="GH54" s="611"/>
      <c r="GI54" s="611"/>
      <c r="GJ54" s="611"/>
      <c r="GK54" s="611"/>
      <c r="GL54" s="611"/>
      <c r="GM54" s="611"/>
      <c r="GN54" s="611"/>
      <c r="GO54" s="611"/>
      <c r="GP54" s="611"/>
      <c r="GQ54" s="611"/>
      <c r="GR54" s="612"/>
      <c r="GS54" s="612"/>
      <c r="GT54" s="613"/>
      <c r="GU54" s="614"/>
      <c r="GV54" s="614"/>
      <c r="GW54" s="615"/>
      <c r="GX54" s="615"/>
      <c r="GY54" s="616"/>
      <c r="GZ54" s="596"/>
      <c r="HA54" s="597"/>
      <c r="HB54" s="597"/>
      <c r="HC54" s="597"/>
      <c r="HD54" s="271"/>
      <c r="HE54" s="272"/>
      <c r="HF54" s="272"/>
      <c r="HG54" s="272"/>
      <c r="HH54" s="272"/>
      <c r="HI54" s="272"/>
      <c r="HJ54" s="272"/>
      <c r="HK54" s="272"/>
      <c r="HL54" s="272"/>
      <c r="HM54" s="272"/>
      <c r="HN54" s="272"/>
      <c r="HO54" s="272"/>
      <c r="HP54" s="272"/>
      <c r="HQ54" s="272"/>
      <c r="HR54" s="274"/>
      <c r="HS54" s="275"/>
      <c r="HT54" s="271"/>
      <c r="HU54" s="272"/>
      <c r="HV54" s="272"/>
      <c r="HW54" s="272"/>
      <c r="HX54" s="272"/>
      <c r="HY54" s="272"/>
      <c r="HZ54" s="272"/>
      <c r="IA54" s="272"/>
      <c r="IB54" s="272"/>
      <c r="IC54" s="272"/>
      <c r="ID54" s="272"/>
      <c r="IE54" s="272"/>
      <c r="IF54" s="272"/>
      <c r="IG54" s="274"/>
      <c r="IH54" s="275"/>
      <c r="II54" s="271"/>
      <c r="IJ54" s="272"/>
      <c r="IK54" s="272"/>
      <c r="IL54" s="276"/>
      <c r="IM54" s="277"/>
      <c r="IN54" s="277"/>
      <c r="IO54" s="333"/>
      <c r="IP54" s="334"/>
      <c r="IQ54" s="541"/>
      <c r="IR54" s="542"/>
      <c r="IS54" s="543"/>
      <c r="IT54" s="543"/>
      <c r="IU54" s="543"/>
      <c r="IV54" s="543"/>
      <c r="IW54" s="543"/>
      <c r="IX54" s="544"/>
      <c r="IY54" s="544"/>
      <c r="IZ54" s="543"/>
      <c r="JA54" s="543"/>
      <c r="JB54" s="543"/>
      <c r="JC54" s="543"/>
      <c r="JD54" s="545"/>
      <c r="JE54" s="545"/>
      <c r="JF54" s="546"/>
      <c r="JG54" s="503"/>
      <c r="JH54" s="506"/>
      <c r="JO54" s="507"/>
      <c r="JP54" s="508"/>
      <c r="JQ54" s="508"/>
      <c r="JR54" s="508"/>
      <c r="JS54" s="508"/>
      <c r="JT54" s="508"/>
      <c r="JU54" s="508"/>
      <c r="JV54" s="508"/>
      <c r="JW54" s="508"/>
      <c r="JX54" s="508"/>
      <c r="JY54" s="508"/>
      <c r="JZ54" s="508"/>
      <c r="KA54" s="508"/>
      <c r="KB54" s="508"/>
      <c r="KC54" s="508"/>
      <c r="KD54" s="508"/>
      <c r="KE54" s="508"/>
      <c r="KF54" s="508"/>
      <c r="KG54" s="508"/>
      <c r="KH54" s="508"/>
      <c r="KI54" s="508"/>
      <c r="KJ54" s="508"/>
      <c r="KK54" s="508"/>
      <c r="KL54" s="508"/>
      <c r="KM54" s="508"/>
      <c r="KN54" s="508"/>
      <c r="KO54" s="508"/>
      <c r="KP54" s="508"/>
      <c r="KQ54" s="508"/>
      <c r="KR54" s="508"/>
      <c r="KS54" s="508"/>
      <c r="KT54" s="508"/>
      <c r="KU54" s="508"/>
      <c r="KV54" s="508"/>
      <c r="KW54" s="509"/>
      <c r="KX54" s="277"/>
      <c r="KY54" s="277"/>
    </row>
    <row r="55" spans="1:398" ht="40" customHeight="1">
      <c r="B55" s="299"/>
      <c r="C55" s="241"/>
      <c r="D55" s="242"/>
      <c r="E55" s="243"/>
      <c r="F55" s="244"/>
      <c r="G55" s="246"/>
      <c r="H55" s="246"/>
      <c r="I55" s="246"/>
      <c r="J55" s="246"/>
      <c r="K55" s="246"/>
      <c r="L55" s="246"/>
      <c r="M55" s="300"/>
      <c r="N55" s="251"/>
      <c r="O55" s="251"/>
      <c r="P55" s="300"/>
      <c r="Q55" s="251"/>
      <c r="R55" s="251"/>
      <c r="S55" s="251"/>
      <c r="T55" s="251"/>
      <c r="U55" s="301"/>
      <c r="V55" s="242"/>
      <c r="W55" s="242"/>
      <c r="X55" s="242"/>
      <c r="Y55" s="242"/>
      <c r="Z55" s="242"/>
      <c r="AA55" s="604" t="s">
        <v>324</v>
      </c>
      <c r="AB55" s="617" t="s">
        <v>191</v>
      </c>
      <c r="AC55" s="618">
        <v>148</v>
      </c>
      <c r="AD55" s="256"/>
      <c r="AE55" s="336"/>
      <c r="AF55" s="337"/>
      <c r="AG55" s="337"/>
      <c r="AH55" s="337"/>
      <c r="AI55" s="337"/>
      <c r="AJ55" s="337"/>
      <c r="AK55" s="337"/>
      <c r="AL55" s="337"/>
      <c r="AM55" s="337"/>
      <c r="AN55" s="337"/>
      <c r="AO55" s="337"/>
      <c r="AP55" s="337"/>
      <c r="AQ55" s="337"/>
      <c r="AR55" s="337"/>
      <c r="AS55" s="339"/>
      <c r="AT55" s="337"/>
      <c r="AU55" s="339"/>
      <c r="AV55" s="337"/>
      <c r="AW55" s="337"/>
      <c r="AX55" s="337"/>
      <c r="AY55" s="337"/>
      <c r="AZ55" s="611"/>
      <c r="BA55" s="611"/>
      <c r="BB55" s="611"/>
      <c r="BC55" s="611"/>
      <c r="BD55" s="611"/>
      <c r="BE55" s="611"/>
      <c r="BF55" s="611"/>
      <c r="BG55" s="611"/>
      <c r="BH55" s="611"/>
      <c r="BI55" s="611"/>
      <c r="BJ55" s="611"/>
      <c r="BK55" s="611"/>
      <c r="BL55" s="611"/>
      <c r="BM55" s="611"/>
      <c r="BN55" s="611"/>
      <c r="BO55" s="612"/>
      <c r="BP55" s="612"/>
      <c r="BQ55" s="612"/>
      <c r="BR55" s="619"/>
      <c r="BS55" s="613"/>
      <c r="BT55" s="614"/>
      <c r="BU55" s="614"/>
      <c r="BV55" s="615"/>
      <c r="BW55" s="615"/>
      <c r="BX55" s="616"/>
      <c r="BY55" s="360" t="s">
        <v>246</v>
      </c>
      <c r="BZ55" s="361" t="s">
        <v>247</v>
      </c>
      <c r="CA55" s="620"/>
      <c r="CB55" s="620"/>
      <c r="CC55" s="621"/>
      <c r="CD55" s="622"/>
      <c r="CE55" s="622"/>
      <c r="CF55" s="622"/>
      <c r="CG55" s="622"/>
      <c r="CH55" s="622"/>
      <c r="CI55" s="622"/>
      <c r="CJ55" s="622"/>
      <c r="CK55" s="622"/>
      <c r="CL55" s="363"/>
      <c r="CM55" s="363"/>
      <c r="CN55" s="363"/>
      <c r="CO55" s="363"/>
      <c r="CP55" s="363"/>
      <c r="CQ55" s="364"/>
      <c r="CR55" s="365"/>
      <c r="CS55" s="366"/>
      <c r="CT55" s="363"/>
      <c r="CU55" s="363"/>
      <c r="CV55" s="363"/>
      <c r="CW55" s="363"/>
      <c r="CX55" s="363"/>
      <c r="CY55" s="363"/>
      <c r="CZ55" s="363"/>
      <c r="DA55" s="363"/>
      <c r="DB55" s="363"/>
      <c r="DC55" s="363"/>
      <c r="DD55" s="363"/>
      <c r="DE55" s="363"/>
      <c r="DF55" s="364"/>
      <c r="DG55" s="365"/>
      <c r="DH55" s="366"/>
      <c r="DI55" s="529"/>
      <c r="DJ55" s="529"/>
      <c r="DK55" s="532"/>
      <c r="DL55" s="277"/>
      <c r="DM55" s="277"/>
      <c r="DN55" s="277"/>
      <c r="DO55" s="277"/>
      <c r="DP55" s="277"/>
      <c r="DQ55" s="604" t="s">
        <v>324</v>
      </c>
      <c r="DR55" s="617" t="s">
        <v>191</v>
      </c>
      <c r="DS55" s="618">
        <v>150</v>
      </c>
      <c r="DT55" s="256"/>
      <c r="DU55" s="337"/>
      <c r="DV55" s="337"/>
      <c r="DW55" s="611"/>
      <c r="DX55" s="611"/>
      <c r="DY55" s="611"/>
      <c r="DZ55" s="611"/>
      <c r="EA55" s="611"/>
      <c r="EB55" s="611"/>
      <c r="EC55" s="611"/>
      <c r="ED55" s="611"/>
      <c r="EE55" s="611"/>
      <c r="EF55" s="611"/>
      <c r="EG55" s="612"/>
      <c r="EH55" s="612"/>
      <c r="EI55" s="614"/>
      <c r="EJ55" s="614"/>
      <c r="EK55" s="615"/>
      <c r="EL55" s="615"/>
      <c r="EM55" s="616"/>
      <c r="EN55" s="277"/>
      <c r="EO55" s="604"/>
      <c r="EP55" s="605"/>
      <c r="EQ55" s="606"/>
      <c r="ER55" s="607"/>
      <c r="ES55" s="323"/>
      <c r="ET55" s="323"/>
      <c r="EU55" s="323"/>
      <c r="EV55" s="608"/>
      <c r="EW55" s="609"/>
      <c r="EX55" s="610"/>
      <c r="EY55" s="442"/>
      <c r="EZ55" s="440"/>
      <c r="FA55" s="441"/>
      <c r="FB55" s="442"/>
      <c r="FC55" s="440"/>
      <c r="FD55" s="441"/>
      <c r="FE55" s="443"/>
      <c r="FF55" s="440"/>
      <c r="FG55" s="441"/>
      <c r="FH55" s="443"/>
      <c r="FI55" s="440"/>
      <c r="FJ55" s="444"/>
      <c r="FK55" s="289"/>
      <c r="FL55" s="290"/>
      <c r="FM55" s="349"/>
      <c r="FN55" s="336"/>
      <c r="FO55" s="337"/>
      <c r="FP55" s="337"/>
      <c r="FQ55" s="337"/>
      <c r="FR55" s="337"/>
      <c r="FS55" s="337"/>
      <c r="FT55" s="337"/>
      <c r="FU55" s="337"/>
      <c r="FV55" s="339"/>
      <c r="FW55" s="337"/>
      <c r="FX55" s="339"/>
      <c r="FY55" s="337"/>
      <c r="FZ55" s="337"/>
      <c r="GA55" s="337"/>
      <c r="GB55" s="337"/>
      <c r="GC55" s="611"/>
      <c r="GD55" s="611"/>
      <c r="GE55" s="611"/>
      <c r="GF55" s="611"/>
      <c r="GG55" s="611"/>
      <c r="GH55" s="611"/>
      <c r="GI55" s="611"/>
      <c r="GJ55" s="611"/>
      <c r="GK55" s="611"/>
      <c r="GL55" s="611"/>
      <c r="GM55" s="611"/>
      <c r="GN55" s="611"/>
      <c r="GO55" s="611"/>
      <c r="GP55" s="611"/>
      <c r="GQ55" s="611"/>
      <c r="GR55" s="612"/>
      <c r="GS55" s="612"/>
      <c r="GT55" s="613"/>
      <c r="GU55" s="614"/>
      <c r="GV55" s="614"/>
      <c r="GW55" s="615"/>
      <c r="GX55" s="615"/>
      <c r="GY55" s="616"/>
      <c r="GZ55" s="596"/>
      <c r="HA55" s="597"/>
      <c r="HB55" s="597"/>
      <c r="HC55" s="597"/>
      <c r="HD55" s="271"/>
      <c r="HE55" s="272"/>
      <c r="HF55" s="272"/>
      <c r="HG55" s="272"/>
      <c r="HH55" s="272"/>
      <c r="HI55" s="272"/>
      <c r="HJ55" s="272"/>
      <c r="HK55" s="272"/>
      <c r="HL55" s="272"/>
      <c r="HM55" s="272"/>
      <c r="HN55" s="272"/>
      <c r="HO55" s="272"/>
      <c r="HP55" s="272"/>
      <c r="HQ55" s="272"/>
      <c r="HR55" s="274"/>
      <c r="HS55" s="275"/>
      <c r="HT55" s="271"/>
      <c r="HU55" s="272"/>
      <c r="HV55" s="272"/>
      <c r="HW55" s="272"/>
      <c r="HX55" s="272"/>
      <c r="HY55" s="272"/>
      <c r="HZ55" s="272"/>
      <c r="IA55" s="272"/>
      <c r="IB55" s="272"/>
      <c r="IC55" s="272"/>
      <c r="ID55" s="272"/>
      <c r="IE55" s="272"/>
      <c r="IF55" s="272"/>
      <c r="IG55" s="274"/>
      <c r="IH55" s="275"/>
      <c r="II55" s="271"/>
      <c r="IJ55" s="272"/>
      <c r="IK55" s="272"/>
      <c r="IL55" s="276"/>
      <c r="IM55" s="277"/>
      <c r="IN55" s="277"/>
      <c r="IO55" s="333"/>
      <c r="IP55" s="334"/>
      <c r="IQ55" s="541"/>
      <c r="IR55" s="542"/>
      <c r="IS55" s="543"/>
      <c r="IT55" s="543"/>
      <c r="IU55" s="543"/>
      <c r="IV55" s="543"/>
      <c r="IW55" s="543"/>
      <c r="IX55" s="544"/>
      <c r="IY55" s="544"/>
      <c r="IZ55" s="543"/>
      <c r="JA55" s="543"/>
      <c r="JB55" s="543"/>
      <c r="JC55" s="543"/>
      <c r="JD55" s="545"/>
      <c r="JE55" s="545"/>
      <c r="JF55" s="546"/>
      <c r="JG55" s="503"/>
      <c r="JH55" s="506"/>
      <c r="JO55" s="507"/>
      <c r="JP55" s="508"/>
      <c r="JQ55" s="508"/>
      <c r="JR55" s="508"/>
      <c r="JS55" s="508"/>
      <c r="JT55" s="508"/>
      <c r="JU55" s="508"/>
      <c r="JV55" s="508"/>
      <c r="JW55" s="508"/>
      <c r="JX55" s="508"/>
      <c r="JY55" s="508"/>
      <c r="JZ55" s="508"/>
      <c r="KA55" s="508"/>
      <c r="KB55" s="508"/>
      <c r="KC55" s="508"/>
      <c r="KD55" s="508"/>
      <c r="KE55" s="508"/>
      <c r="KF55" s="508"/>
      <c r="KG55" s="508"/>
      <c r="KH55" s="508"/>
      <c r="KI55" s="508"/>
      <c r="KJ55" s="508"/>
      <c r="KK55" s="508"/>
      <c r="KL55" s="508"/>
      <c r="KM55" s="508"/>
      <c r="KN55" s="508"/>
      <c r="KO55" s="508"/>
      <c r="KP55" s="508"/>
      <c r="KQ55" s="508"/>
      <c r="KR55" s="508"/>
      <c r="KS55" s="508"/>
      <c r="KT55" s="508"/>
      <c r="KU55" s="508"/>
      <c r="KV55" s="508"/>
      <c r="KW55" s="509"/>
      <c r="KX55" s="277"/>
      <c r="KY55" s="277"/>
    </row>
    <row r="56" spans="1:398" ht="40" customHeight="1">
      <c r="B56" s="299"/>
      <c r="C56" s="241"/>
      <c r="D56" s="378">
        <v>6</v>
      </c>
      <c r="E56" s="379">
        <v>167</v>
      </c>
      <c r="F56" s="623" t="s">
        <v>325</v>
      </c>
      <c r="G56" s="381">
        <v>135</v>
      </c>
      <c r="H56" s="549">
        <v>153</v>
      </c>
      <c r="I56" s="549">
        <v>132</v>
      </c>
      <c r="J56" s="549">
        <v>150</v>
      </c>
      <c r="K56" s="549">
        <v>173760400</v>
      </c>
      <c r="L56" s="383">
        <v>0</v>
      </c>
      <c r="M56" s="384" t="s">
        <v>170</v>
      </c>
      <c r="N56" s="384" t="s">
        <v>168</v>
      </c>
      <c r="O56" s="383">
        <v>50</v>
      </c>
      <c r="P56" s="384" t="s">
        <v>170</v>
      </c>
      <c r="Q56" s="384" t="s">
        <v>170</v>
      </c>
      <c r="R56" s="384" t="s">
        <v>169</v>
      </c>
      <c r="S56" s="384" t="s">
        <v>326</v>
      </c>
      <c r="T56" s="385" t="s">
        <v>169</v>
      </c>
      <c r="U56" s="378" t="s">
        <v>320</v>
      </c>
      <c r="V56" s="378"/>
      <c r="W56" s="378"/>
      <c r="X56" s="378" t="s">
        <v>292</v>
      </c>
      <c r="Y56" s="378"/>
      <c r="Z56" s="378"/>
      <c r="AA56" s="386" t="s">
        <v>327</v>
      </c>
      <c r="AB56" s="463" t="s">
        <v>322</v>
      </c>
      <c r="AC56" s="464">
        <v>114</v>
      </c>
      <c r="AD56" s="389">
        <f>SUM(AC56,AC57)</f>
        <v>114</v>
      </c>
      <c r="AE56" s="624" t="s">
        <v>175</v>
      </c>
      <c r="AF56" s="625" t="s">
        <v>323</v>
      </c>
      <c r="AG56" s="467">
        <f>'[1]0167_グリーンリッチ　別紙1-1'!M26</f>
        <v>3698200.0000000005</v>
      </c>
      <c r="AH56" s="468">
        <v>1650</v>
      </c>
      <c r="AI56" s="468">
        <f>4100-AH56</f>
        <v>2450</v>
      </c>
      <c r="AJ56" s="469">
        <f>AK56/AT56</f>
        <v>0.70672218917311114</v>
      </c>
      <c r="AK56" s="468">
        <f>ROUNDUP(18000*1.1,0)</f>
        <v>19800</v>
      </c>
      <c r="AL56" s="469">
        <f>AM56/AT56</f>
        <v>0.63212373587150494</v>
      </c>
      <c r="AM56" s="468">
        <f>ROUNDUP(16100*1.1,0)</f>
        <v>17710</v>
      </c>
      <c r="AN56" s="626" t="s">
        <v>308</v>
      </c>
      <c r="AO56" s="468">
        <f>1000*1.1</f>
        <v>1100</v>
      </c>
      <c r="AP56" s="467">
        <v>132</v>
      </c>
      <c r="AQ56" s="467">
        <v>150</v>
      </c>
      <c r="AR56" s="474">
        <f>DM56/(BX56-2)</f>
        <v>114</v>
      </c>
      <c r="AS56" s="475">
        <f>AG56/AR56</f>
        <v>32440.350877192988</v>
      </c>
      <c r="AT56" s="476">
        <f>AG56/AP56</f>
        <v>28016.666666666672</v>
      </c>
      <c r="AU56" s="475">
        <f>AG56/AQ56</f>
        <v>24654.666666666672</v>
      </c>
      <c r="AV56" s="477">
        <v>26000</v>
      </c>
      <c r="AW56" s="477">
        <v>48000</v>
      </c>
      <c r="AX56" s="467">
        <v>0</v>
      </c>
      <c r="AY56" s="467">
        <f>GB56</f>
        <v>0</v>
      </c>
      <c r="AZ56" s="478">
        <f>'[1]0167_グリーンリッチ　別紙1-1'!C28</f>
        <v>36307315</v>
      </c>
      <c r="BA56" s="478">
        <f>GD56</f>
        <v>0</v>
      </c>
      <c r="BB56" s="478">
        <f>AI56*DM56</f>
        <v>2234400</v>
      </c>
      <c r="BC56" s="478">
        <f>AH56*DM56</f>
        <v>1504800</v>
      </c>
      <c r="BD56" s="478">
        <f>AK56*DM56*0.6</f>
        <v>10834560</v>
      </c>
      <c r="BE56" s="478">
        <f>BD56-21000*DM56*0.6</f>
        <v>-656640</v>
      </c>
      <c r="BF56" s="478">
        <f>AM56*DM56*0.4</f>
        <v>6460608</v>
      </c>
      <c r="BG56" s="478">
        <f>BF56-0</f>
        <v>6460608</v>
      </c>
      <c r="BH56" s="478">
        <f>AO56*DM56*0.3</f>
        <v>300960</v>
      </c>
      <c r="BI56" s="480">
        <f>GJ56</f>
        <v>0</v>
      </c>
      <c r="BJ56" s="480">
        <f>GK56</f>
        <v>0</v>
      </c>
      <c r="BK56" s="480">
        <f>BM56*5000*BX56</f>
        <v>250000</v>
      </c>
      <c r="BL56" s="480">
        <f>1800000*BN56*BX56</f>
        <v>0</v>
      </c>
      <c r="BM56" s="480">
        <v>5</v>
      </c>
      <c r="BN56" s="480">
        <f>GQ56</f>
        <v>0</v>
      </c>
      <c r="BO56" s="481"/>
      <c r="BP56" s="481">
        <f>SUM(AZ56,BA56,BI56,BO56)</f>
        <v>36307315</v>
      </c>
      <c r="BQ56" s="481">
        <f>BP56-GR56</f>
        <v>36307315</v>
      </c>
      <c r="BR56" s="594"/>
      <c r="BS56" s="595" t="s">
        <v>301</v>
      </c>
      <c r="BT56" s="484">
        <f>'[1]0167_グリーンリッチ　別紙1-1'!B9</f>
        <v>45925</v>
      </c>
      <c r="BU56" s="484">
        <f>'[1]0167_グリーンリッチ　別紙1-1'!G9</f>
        <v>45935</v>
      </c>
      <c r="BV56" s="268">
        <f>IFERROR(INDEX($BY$9:$DH$9, MATCH("準備", BY56:DK56, 0)), "")</f>
        <v>46290</v>
      </c>
      <c r="BW56" s="269" cm="1">
        <f t="array" ref="BW56">IF(COUNTIF(BY56:DK56,"*撤去*")=0,"",INDEX(BY$9:DK$9,1,MAX(IF(CC56:DK56="撤去",COLUMN(CC56:DK56)-COLUMN(BY56)+1))))</f>
        <v>46300</v>
      </c>
      <c r="BX56" s="270">
        <f>BW56-BV56</f>
        <v>10</v>
      </c>
      <c r="BY56" s="556">
        <v>0</v>
      </c>
      <c r="BZ56" s="557">
        <v>0</v>
      </c>
      <c r="CA56" s="557">
        <v>0</v>
      </c>
      <c r="CB56" s="557">
        <v>0</v>
      </c>
      <c r="CC56" s="601">
        <v>0</v>
      </c>
      <c r="CD56" s="598">
        <v>0</v>
      </c>
      <c r="CE56" s="598">
        <v>0</v>
      </c>
      <c r="CF56" s="598">
        <v>0</v>
      </c>
      <c r="CG56" s="598">
        <v>0</v>
      </c>
      <c r="CH56" s="598">
        <v>0</v>
      </c>
      <c r="CI56" s="598">
        <v>0</v>
      </c>
      <c r="CJ56" s="598">
        <v>0</v>
      </c>
      <c r="CK56" s="598">
        <v>0</v>
      </c>
      <c r="CL56" s="598">
        <v>0</v>
      </c>
      <c r="CM56" s="598">
        <v>0</v>
      </c>
      <c r="CN56" s="598">
        <v>0</v>
      </c>
      <c r="CO56" s="598">
        <v>0</v>
      </c>
      <c r="CP56" s="598">
        <v>0</v>
      </c>
      <c r="CQ56" s="599">
        <v>0</v>
      </c>
      <c r="CR56" s="600">
        <v>0</v>
      </c>
      <c r="CS56" s="601">
        <v>0</v>
      </c>
      <c r="CT56" s="598">
        <v>0</v>
      </c>
      <c r="CU56" s="598">
        <v>0</v>
      </c>
      <c r="CV56" s="598">
        <v>0</v>
      </c>
      <c r="CW56" s="598">
        <v>0</v>
      </c>
      <c r="CX56" s="400" t="s">
        <v>177</v>
      </c>
      <c r="CY56" s="400" t="s">
        <v>177</v>
      </c>
      <c r="CZ56" s="598">
        <v>114</v>
      </c>
      <c r="DA56" s="598">
        <v>114</v>
      </c>
      <c r="DB56" s="598">
        <v>114</v>
      </c>
      <c r="DC56" s="598">
        <v>114</v>
      </c>
      <c r="DD56" s="598">
        <v>114</v>
      </c>
      <c r="DE56" s="598">
        <v>114</v>
      </c>
      <c r="DF56" s="599">
        <v>114</v>
      </c>
      <c r="DG56" s="627">
        <v>114</v>
      </c>
      <c r="DH56" s="603" t="s">
        <v>178</v>
      </c>
      <c r="DI56" s="598">
        <v>0</v>
      </c>
      <c r="DJ56" s="598">
        <v>0</v>
      </c>
      <c r="DK56" s="628">
        <v>0</v>
      </c>
      <c r="DL56" s="629"/>
      <c r="DM56" s="277" cm="1">
        <f t="array" ref="DM56">SUM(IF(ISNUMBER($BY56:$DK56),$BY56:$DK56, 0))</f>
        <v>912</v>
      </c>
      <c r="DN56" s="277">
        <v>798</v>
      </c>
      <c r="DO56" s="277">
        <f>DM56*(BX56)/(BX56+1)</f>
        <v>829.09090909090912</v>
      </c>
      <c r="DP56" s="277"/>
      <c r="DQ56" s="386" t="s">
        <v>328</v>
      </c>
      <c r="DR56" s="463" t="s">
        <v>322</v>
      </c>
      <c r="DS56" s="464">
        <v>114</v>
      </c>
      <c r="DT56" s="389">
        <f>SUM(DS56,DS57)</f>
        <v>114</v>
      </c>
      <c r="DU56" s="467">
        <v>3698200.0000000005</v>
      </c>
      <c r="DV56" s="467">
        <v>0</v>
      </c>
      <c r="DW56" s="478">
        <v>36307315</v>
      </c>
      <c r="DX56" s="478">
        <v>0</v>
      </c>
      <c r="DY56" s="478">
        <v>2234400</v>
      </c>
      <c r="DZ56" s="478">
        <v>10834560</v>
      </c>
      <c r="EA56" s="478">
        <v>6460608</v>
      </c>
      <c r="EB56" s="478">
        <v>300960</v>
      </c>
      <c r="EC56" s="480">
        <v>0</v>
      </c>
      <c r="ED56" s="480">
        <v>0</v>
      </c>
      <c r="EE56" s="480">
        <v>250000</v>
      </c>
      <c r="EF56" s="480">
        <v>0</v>
      </c>
      <c r="EG56" s="481"/>
      <c r="EH56" s="481">
        <v>36307315</v>
      </c>
      <c r="EI56" s="484"/>
      <c r="EJ56" s="484"/>
      <c r="EK56" s="268">
        <v>46290</v>
      </c>
      <c r="EL56" s="269">
        <v>46300</v>
      </c>
      <c r="EM56" s="270">
        <v>10</v>
      </c>
      <c r="EN56" s="277"/>
      <c r="EO56" s="630"/>
      <c r="EP56" s="489"/>
      <c r="EQ56" s="560"/>
      <c r="ER56" s="410"/>
      <c r="ES56" s="491"/>
      <c r="ET56" s="491"/>
      <c r="EU56" s="491"/>
      <c r="EV56" s="631"/>
      <c r="EW56" s="632"/>
      <c r="EX56" s="633"/>
      <c r="EY56" s="634"/>
      <c r="EZ56" s="635"/>
      <c r="FA56" s="636"/>
      <c r="FB56" s="634"/>
      <c r="FC56" s="635"/>
      <c r="FD56" s="636"/>
      <c r="FE56" s="637"/>
      <c r="FF56" s="635"/>
      <c r="FG56" s="636"/>
      <c r="FH56" s="637"/>
      <c r="FI56" s="635"/>
      <c r="FJ56" s="638"/>
      <c r="FK56" s="496"/>
      <c r="FL56" s="497"/>
      <c r="FM56" s="639"/>
      <c r="FN56" s="640"/>
      <c r="FO56" s="641"/>
      <c r="FP56" s="641"/>
      <c r="FQ56" s="641"/>
      <c r="FR56" s="641"/>
      <c r="FS56" s="641"/>
      <c r="FT56" s="641"/>
      <c r="FU56" s="641"/>
      <c r="FV56" s="642"/>
      <c r="FW56" s="641"/>
      <c r="FX56" s="642"/>
      <c r="FY56" s="641"/>
      <c r="FZ56" s="641"/>
      <c r="GA56" s="641"/>
      <c r="GB56" s="641"/>
      <c r="GC56" s="643"/>
      <c r="GD56" s="643"/>
      <c r="GE56" s="643"/>
      <c r="GF56" s="643"/>
      <c r="GG56" s="643"/>
      <c r="GH56" s="643"/>
      <c r="GI56" s="643"/>
      <c r="GJ56" s="643"/>
      <c r="GK56" s="643"/>
      <c r="GL56" s="643"/>
      <c r="GM56" s="643"/>
      <c r="GN56" s="643"/>
      <c r="GO56" s="643"/>
      <c r="GP56" s="643"/>
      <c r="GQ56" s="643"/>
      <c r="GR56" s="644"/>
      <c r="GS56" s="644"/>
      <c r="GT56" s="645"/>
      <c r="GU56" s="646"/>
      <c r="GV56" s="646"/>
      <c r="GW56" s="647"/>
      <c r="GX56" s="647"/>
      <c r="GY56" s="648"/>
      <c r="GZ56" s="556"/>
      <c r="HA56" s="557"/>
      <c r="HB56" s="557"/>
      <c r="HC56" s="557"/>
      <c r="HD56" s="601"/>
      <c r="HE56" s="598"/>
      <c r="HF56" s="598"/>
      <c r="HG56" s="598"/>
      <c r="HH56" s="598"/>
      <c r="HI56" s="598"/>
      <c r="HJ56" s="598"/>
      <c r="HK56" s="598"/>
      <c r="HL56" s="598"/>
      <c r="HM56" s="598"/>
      <c r="HN56" s="598"/>
      <c r="HO56" s="598"/>
      <c r="HP56" s="598"/>
      <c r="HQ56" s="598"/>
      <c r="HR56" s="599"/>
      <c r="HS56" s="600"/>
      <c r="HT56" s="601"/>
      <c r="HU56" s="598"/>
      <c r="HV56" s="598"/>
      <c r="HW56" s="598"/>
      <c r="HX56" s="598"/>
      <c r="HY56" s="598"/>
      <c r="HZ56" s="598"/>
      <c r="IA56" s="598"/>
      <c r="IB56" s="598"/>
      <c r="IC56" s="598"/>
      <c r="ID56" s="598"/>
      <c r="IE56" s="598"/>
      <c r="IF56" s="598"/>
      <c r="IG56" s="599"/>
      <c r="IH56" s="600"/>
      <c r="II56" s="601"/>
      <c r="IJ56" s="598"/>
      <c r="IK56" s="598"/>
      <c r="IL56" s="628"/>
      <c r="IM56" s="629"/>
      <c r="IN56" s="629"/>
      <c r="IO56" s="426"/>
      <c r="IP56" s="427"/>
      <c r="IQ56" s="649"/>
      <c r="IR56" s="650"/>
      <c r="IS56" s="651"/>
      <c r="IT56" s="651"/>
      <c r="IU56" s="651"/>
      <c r="IV56" s="651"/>
      <c r="IW56" s="651"/>
      <c r="IX56" s="652"/>
      <c r="IY56" s="652"/>
      <c r="IZ56" s="651"/>
      <c r="JA56" s="651"/>
      <c r="JB56" s="651"/>
      <c r="JC56" s="651"/>
      <c r="JD56" s="653"/>
      <c r="JE56" s="653"/>
      <c r="JF56" s="654"/>
      <c r="JG56" s="574"/>
      <c r="JH56" s="575"/>
      <c r="JO56" s="507"/>
      <c r="JP56" s="508"/>
      <c r="JQ56" s="508"/>
      <c r="JR56" s="508"/>
      <c r="JS56" s="508"/>
      <c r="JT56" s="508"/>
      <c r="JU56" s="508"/>
      <c r="JV56" s="508"/>
      <c r="JW56" s="508"/>
      <c r="JX56" s="508"/>
      <c r="JY56" s="508"/>
      <c r="JZ56" s="508"/>
      <c r="KA56" s="508"/>
      <c r="KB56" s="508"/>
      <c r="KC56" s="508"/>
      <c r="KD56" s="508"/>
      <c r="KE56" s="508"/>
      <c r="KF56" s="508"/>
      <c r="KG56" s="508"/>
      <c r="KH56" s="508"/>
      <c r="KI56" s="508"/>
      <c r="KJ56" s="508"/>
      <c r="KK56" s="508"/>
      <c r="KL56" s="508"/>
      <c r="KM56" s="508"/>
      <c r="KN56" s="508"/>
      <c r="KO56" s="508"/>
      <c r="KP56" s="508"/>
      <c r="KQ56" s="508"/>
      <c r="KR56" s="508"/>
      <c r="KS56" s="508"/>
      <c r="KT56" s="508"/>
      <c r="KU56" s="508"/>
      <c r="KV56" s="508"/>
      <c r="KW56" s="509"/>
      <c r="KX56" s="277"/>
      <c r="KY56" s="277"/>
    </row>
    <row r="57" spans="1:398" ht="40" customHeight="1">
      <c r="B57" s="299"/>
      <c r="C57" s="241"/>
      <c r="D57" s="242"/>
      <c r="E57" s="243"/>
      <c r="F57" s="244"/>
      <c r="G57" s="246"/>
      <c r="H57" s="246"/>
      <c r="I57" s="246"/>
      <c r="J57" s="246"/>
      <c r="K57" s="246"/>
      <c r="L57" s="246"/>
      <c r="M57" s="300"/>
      <c r="N57" s="251"/>
      <c r="O57" s="251"/>
      <c r="P57" s="300"/>
      <c r="Q57" s="251"/>
      <c r="R57" s="251"/>
      <c r="S57" s="251"/>
      <c r="T57" s="251"/>
      <c r="U57" s="301"/>
      <c r="V57" s="242"/>
      <c r="W57" s="242"/>
      <c r="X57" s="242"/>
      <c r="Y57" s="242"/>
      <c r="Z57" s="242"/>
      <c r="AA57" s="446"/>
      <c r="AB57" s="447"/>
      <c r="AC57" s="448"/>
      <c r="AD57" s="516"/>
      <c r="AE57" s="655"/>
      <c r="AF57" s="656"/>
      <c r="AG57" s="337"/>
      <c r="AH57" s="337"/>
      <c r="AI57" s="337"/>
      <c r="AJ57" s="337"/>
      <c r="AK57" s="337"/>
      <c r="AL57" s="337"/>
      <c r="AM57" s="337"/>
      <c r="AN57" s="337"/>
      <c r="AO57" s="337"/>
      <c r="AP57" s="337"/>
      <c r="AQ57" s="337"/>
      <c r="AR57" s="337"/>
      <c r="AS57" s="339"/>
      <c r="AT57" s="337"/>
      <c r="AU57" s="339"/>
      <c r="AV57" s="337"/>
      <c r="AW57" s="337"/>
      <c r="AX57" s="337"/>
      <c r="AY57" s="337"/>
      <c r="AZ57" s="611"/>
      <c r="BA57" s="611"/>
      <c r="BB57" s="611"/>
      <c r="BC57" s="611"/>
      <c r="BD57" s="611"/>
      <c r="BE57" s="611"/>
      <c r="BF57" s="611"/>
      <c r="BG57" s="611"/>
      <c r="BH57" s="611"/>
      <c r="BI57" s="611"/>
      <c r="BJ57" s="611"/>
      <c r="BK57" s="611"/>
      <c r="BL57" s="611"/>
      <c r="BM57" s="611"/>
      <c r="BN57" s="611"/>
      <c r="BO57" s="612"/>
      <c r="BP57" s="612"/>
      <c r="BQ57" s="612"/>
      <c r="BR57" s="619"/>
      <c r="BS57" s="613"/>
      <c r="BT57" s="614"/>
      <c r="BU57" s="614"/>
      <c r="BV57" s="615"/>
      <c r="BW57" s="615"/>
      <c r="BX57" s="616"/>
      <c r="BY57" s="360" t="s">
        <v>246</v>
      </c>
      <c r="BZ57" s="361" t="s">
        <v>247</v>
      </c>
      <c r="CA57" s="620"/>
      <c r="CB57" s="620"/>
      <c r="CC57" s="621"/>
      <c r="CD57" s="622"/>
      <c r="CE57" s="622"/>
      <c r="CF57" s="622"/>
      <c r="CG57" s="622"/>
      <c r="CH57" s="622"/>
      <c r="CI57" s="622"/>
      <c r="CJ57" s="622"/>
      <c r="CK57" s="622"/>
      <c r="CL57" s="622"/>
      <c r="CM57" s="622"/>
      <c r="CN57" s="622"/>
      <c r="CO57" s="622"/>
      <c r="CP57" s="622"/>
      <c r="CQ57" s="657"/>
      <c r="CR57" s="658"/>
      <c r="CS57" s="621"/>
      <c r="CT57" s="622"/>
      <c r="CU57" s="622"/>
      <c r="CV57" s="622"/>
      <c r="CW57" s="622"/>
      <c r="CX57" s="363"/>
      <c r="CY57" s="363"/>
      <c r="CZ57" s="363"/>
      <c r="DA57" s="363"/>
      <c r="DB57" s="363"/>
      <c r="DC57" s="363"/>
      <c r="DD57" s="363"/>
      <c r="DE57" s="363"/>
      <c r="DF57" s="364"/>
      <c r="DG57" s="365"/>
      <c r="DH57" s="366"/>
      <c r="DI57" s="529"/>
      <c r="DJ57" s="529"/>
      <c r="DK57" s="532"/>
      <c r="DL57" s="277"/>
      <c r="DM57" s="277"/>
      <c r="DN57" s="277"/>
      <c r="DO57" s="277"/>
      <c r="DP57" s="277"/>
      <c r="DQ57" s="446"/>
      <c r="DR57" s="447"/>
      <c r="DS57" s="448"/>
      <c r="DT57" s="516"/>
      <c r="DU57" s="337"/>
      <c r="DV57" s="337"/>
      <c r="DW57" s="611"/>
      <c r="DX57" s="611"/>
      <c r="DY57" s="611"/>
      <c r="DZ57" s="611"/>
      <c r="EA57" s="611"/>
      <c r="EB57" s="611"/>
      <c r="EC57" s="611"/>
      <c r="ED57" s="611"/>
      <c r="EE57" s="611"/>
      <c r="EF57" s="611"/>
      <c r="EG57" s="612"/>
      <c r="EH57" s="612"/>
      <c r="EI57" s="614"/>
      <c r="EJ57" s="614"/>
      <c r="EK57" s="615"/>
      <c r="EL57" s="615"/>
      <c r="EM57" s="616"/>
      <c r="EN57" s="277"/>
      <c r="EO57" s="604"/>
      <c r="EP57" s="605"/>
      <c r="EQ57" s="606"/>
      <c r="ER57" s="607"/>
      <c r="ES57" s="323"/>
      <c r="ET57" s="323"/>
      <c r="EU57" s="323"/>
      <c r="EV57" s="608"/>
      <c r="EW57" s="609"/>
      <c r="EX57" s="610"/>
      <c r="EY57" s="442"/>
      <c r="EZ57" s="440"/>
      <c r="FA57" s="441"/>
      <c r="FB57" s="442"/>
      <c r="FC57" s="440"/>
      <c r="FD57" s="441"/>
      <c r="FE57" s="443"/>
      <c r="FF57" s="440"/>
      <c r="FG57" s="441"/>
      <c r="FH57" s="443"/>
      <c r="FI57" s="440"/>
      <c r="FJ57" s="444"/>
      <c r="FK57" s="289"/>
      <c r="FL57" s="290"/>
      <c r="FM57" s="349"/>
      <c r="FN57" s="336"/>
      <c r="FO57" s="337"/>
      <c r="FP57" s="337"/>
      <c r="FQ57" s="337"/>
      <c r="FR57" s="337"/>
      <c r="FS57" s="337"/>
      <c r="FT57" s="337"/>
      <c r="FU57" s="337"/>
      <c r="FV57" s="339"/>
      <c r="FW57" s="337"/>
      <c r="FX57" s="339"/>
      <c r="FY57" s="337"/>
      <c r="FZ57" s="337"/>
      <c r="GA57" s="337"/>
      <c r="GB57" s="337"/>
      <c r="GC57" s="611"/>
      <c r="GD57" s="611"/>
      <c r="GE57" s="611"/>
      <c r="GF57" s="611"/>
      <c r="GG57" s="611"/>
      <c r="GH57" s="611"/>
      <c r="GI57" s="611"/>
      <c r="GJ57" s="611"/>
      <c r="GK57" s="611"/>
      <c r="GL57" s="611"/>
      <c r="GM57" s="611"/>
      <c r="GN57" s="611"/>
      <c r="GO57" s="611"/>
      <c r="GP57" s="611"/>
      <c r="GQ57" s="611"/>
      <c r="GR57" s="612"/>
      <c r="GS57" s="612"/>
      <c r="GT57" s="613"/>
      <c r="GU57" s="614"/>
      <c r="GV57" s="614"/>
      <c r="GW57" s="615"/>
      <c r="GX57" s="615"/>
      <c r="GY57" s="616"/>
      <c r="GZ57" s="596"/>
      <c r="HA57" s="597"/>
      <c r="HB57" s="597"/>
      <c r="HC57" s="597"/>
      <c r="HD57" s="271"/>
      <c r="HE57" s="272"/>
      <c r="HF57" s="272"/>
      <c r="HG57" s="272"/>
      <c r="HH57" s="272"/>
      <c r="HI57" s="272"/>
      <c r="HJ57" s="272"/>
      <c r="HK57" s="272"/>
      <c r="HL57" s="272"/>
      <c r="HM57" s="272"/>
      <c r="HN57" s="272"/>
      <c r="HO57" s="272"/>
      <c r="HP57" s="272"/>
      <c r="HQ57" s="272"/>
      <c r="HR57" s="274"/>
      <c r="HS57" s="275"/>
      <c r="HT57" s="271"/>
      <c r="HU57" s="272"/>
      <c r="HV57" s="272"/>
      <c r="HW57" s="272"/>
      <c r="HX57" s="272"/>
      <c r="HY57" s="272"/>
      <c r="HZ57" s="272"/>
      <c r="IA57" s="272"/>
      <c r="IB57" s="272"/>
      <c r="IC57" s="272"/>
      <c r="ID57" s="272"/>
      <c r="IE57" s="272"/>
      <c r="IF57" s="272"/>
      <c r="IG57" s="274"/>
      <c r="IH57" s="275"/>
      <c r="II57" s="271"/>
      <c r="IJ57" s="272"/>
      <c r="IK57" s="272"/>
      <c r="IL57" s="276"/>
      <c r="IM57" s="277"/>
      <c r="IN57" s="277"/>
      <c r="IO57" s="333"/>
      <c r="IP57" s="334"/>
      <c r="IQ57" s="541"/>
      <c r="IR57" s="542"/>
      <c r="IS57" s="543"/>
      <c r="IT57" s="543"/>
      <c r="IU57" s="543"/>
      <c r="IV57" s="543"/>
      <c r="IW57" s="543"/>
      <c r="IX57" s="544"/>
      <c r="IY57" s="544"/>
      <c r="IZ57" s="543"/>
      <c r="JA57" s="543"/>
      <c r="JB57" s="543"/>
      <c r="JC57" s="543"/>
      <c r="JD57" s="545"/>
      <c r="JE57" s="545"/>
      <c r="JF57" s="546"/>
      <c r="JG57" s="503"/>
      <c r="JH57" s="506"/>
      <c r="JO57" s="507"/>
      <c r="JP57" s="508"/>
      <c r="JQ57" s="508"/>
      <c r="JR57" s="508"/>
      <c r="JS57" s="508"/>
      <c r="JT57" s="508"/>
      <c r="JU57" s="508"/>
      <c r="JV57" s="508"/>
      <c r="JW57" s="508"/>
      <c r="JX57" s="508"/>
      <c r="JY57" s="508"/>
      <c r="JZ57" s="508"/>
      <c r="KA57" s="508"/>
      <c r="KB57" s="508"/>
      <c r="KC57" s="508"/>
      <c r="KD57" s="508"/>
      <c r="KE57" s="508"/>
      <c r="KF57" s="508"/>
      <c r="KG57" s="508"/>
      <c r="KH57" s="508"/>
      <c r="KI57" s="508"/>
      <c r="KJ57" s="508"/>
      <c r="KK57" s="508"/>
      <c r="KL57" s="508"/>
      <c r="KM57" s="508"/>
      <c r="KN57" s="508"/>
      <c r="KO57" s="508"/>
      <c r="KP57" s="508"/>
      <c r="KQ57" s="508"/>
      <c r="KR57" s="508"/>
      <c r="KS57" s="508"/>
      <c r="KT57" s="508"/>
      <c r="KU57" s="508"/>
      <c r="KV57" s="508"/>
      <c r="KW57" s="509"/>
      <c r="KX57" s="277"/>
      <c r="KY57" s="277"/>
    </row>
    <row r="58" spans="1:398" ht="40" customHeight="1">
      <c r="B58" s="299"/>
      <c r="C58" s="241"/>
      <c r="D58" s="378">
        <v>7</v>
      </c>
      <c r="E58" s="379">
        <v>111</v>
      </c>
      <c r="F58" s="548" t="s">
        <v>329</v>
      </c>
      <c r="G58" s="381">
        <v>250</v>
      </c>
      <c r="H58" s="549">
        <v>264</v>
      </c>
      <c r="I58" s="549">
        <v>234</v>
      </c>
      <c r="J58" s="549">
        <v>284</v>
      </c>
      <c r="K58" s="245" t="s">
        <v>330</v>
      </c>
      <c r="L58" s="549">
        <v>205</v>
      </c>
      <c r="M58" s="383">
        <v>4</v>
      </c>
      <c r="N58" s="384" t="s">
        <v>167</v>
      </c>
      <c r="O58" s="384" t="s">
        <v>168</v>
      </c>
      <c r="P58" s="383">
        <v>26</v>
      </c>
      <c r="Q58" s="384" t="s">
        <v>169</v>
      </c>
      <c r="R58" s="384" t="s">
        <v>170</v>
      </c>
      <c r="S58" s="384" t="s">
        <v>169</v>
      </c>
      <c r="T58" s="384" t="s">
        <v>319</v>
      </c>
      <c r="U58" s="385" t="s">
        <v>169</v>
      </c>
      <c r="V58" s="378" t="s">
        <v>172</v>
      </c>
      <c r="W58" s="378"/>
      <c r="X58" s="462" t="s">
        <v>292</v>
      </c>
      <c r="Y58" s="462" t="s">
        <v>292</v>
      </c>
      <c r="Z58" s="378"/>
      <c r="AA58" s="386" t="s">
        <v>331</v>
      </c>
      <c r="AB58" s="463" t="s">
        <v>332</v>
      </c>
      <c r="AC58" s="464">
        <v>313</v>
      </c>
      <c r="AD58" s="389">
        <f>SUM(AC58,AC59)</f>
        <v>313</v>
      </c>
      <c r="AE58" s="659" t="s">
        <v>295</v>
      </c>
      <c r="AF58" s="550" t="s">
        <v>296</v>
      </c>
      <c r="AG58" s="467">
        <f>FP58</f>
        <v>5114830.6000000006</v>
      </c>
      <c r="AH58" s="468">
        <f>FQ58</f>
        <v>0</v>
      </c>
      <c r="AI58" s="468">
        <f>FR58</f>
        <v>4100</v>
      </c>
      <c r="AJ58" s="469">
        <v>0.98599999999999999</v>
      </c>
      <c r="AK58" s="551">
        <f>$AK$4</f>
        <v>26106</v>
      </c>
      <c r="AL58" s="552">
        <v>0.83</v>
      </c>
      <c r="AM58" s="551">
        <f>$AM$4</f>
        <v>24690</v>
      </c>
      <c r="AN58" s="468" t="s">
        <v>308</v>
      </c>
      <c r="AO58" s="551">
        <f>$AO$4</f>
        <v>2373</v>
      </c>
      <c r="AP58" s="467">
        <f t="shared" ref="AP58:AQ58" si="2">FS58</f>
        <v>234</v>
      </c>
      <c r="AQ58" s="467">
        <f t="shared" si="2"/>
        <v>284</v>
      </c>
      <c r="AR58" s="474">
        <f>DM58/(BX58-2)</f>
        <v>290.64285714285717</v>
      </c>
      <c r="AS58" s="475">
        <f>AG58/AR58</f>
        <v>17598.335807323667</v>
      </c>
      <c r="AT58" s="476">
        <f>AG58/AP58</f>
        <v>21858.250427350431</v>
      </c>
      <c r="AU58" s="475">
        <f>AG58/AQ58</f>
        <v>18009.966901408454</v>
      </c>
      <c r="AV58" s="477">
        <v>26000</v>
      </c>
      <c r="AW58" s="477">
        <v>48000</v>
      </c>
      <c r="AX58" s="467">
        <f>GA58</f>
        <v>1311757.9200000002</v>
      </c>
      <c r="AY58" s="467">
        <f>GB58</f>
        <v>3</v>
      </c>
      <c r="AZ58" s="478">
        <f>GC58</f>
        <v>117641103</v>
      </c>
      <c r="BA58" s="478">
        <f>GD58</f>
        <v>30710818.16</v>
      </c>
      <c r="BB58" s="478">
        <f>AI58*DM58</f>
        <v>16682900</v>
      </c>
      <c r="BC58" s="478">
        <f>AH58*DM58</f>
        <v>0</v>
      </c>
      <c r="BD58" s="478">
        <f>AK58*DM58*0.6</f>
        <v>63735188.399999999</v>
      </c>
      <c r="BE58" s="478">
        <f>BD58-21000*DM58*0.6</f>
        <v>12465788.399999999</v>
      </c>
      <c r="BF58" s="478">
        <f>AM58*DM58*0.4</f>
        <v>40185444</v>
      </c>
      <c r="BG58" s="478">
        <f>BF58-0</f>
        <v>40185444</v>
      </c>
      <c r="BH58" s="478">
        <f>AO58*DM58*0.3</f>
        <v>2896721.1</v>
      </c>
      <c r="BI58" s="480">
        <f>GJ58</f>
        <v>0</v>
      </c>
      <c r="BJ58" s="480">
        <f>GK58</f>
        <v>0</v>
      </c>
      <c r="BK58" s="480">
        <f>BM58*5000*BX58</f>
        <v>240000</v>
      </c>
      <c r="BL58" s="480">
        <f>1800000*BN58*BX58</f>
        <v>288000000</v>
      </c>
      <c r="BM58" s="480">
        <f>GP58</f>
        <v>3</v>
      </c>
      <c r="BN58" s="480">
        <f>GQ58</f>
        <v>10</v>
      </c>
      <c r="BO58" s="481"/>
      <c r="BP58" s="481">
        <f>SUM(AZ58,BA58,BI58,BO58)</f>
        <v>148351921.16</v>
      </c>
      <c r="BQ58" s="481">
        <f>BP58-GR58</f>
        <v>0</v>
      </c>
      <c r="BR58" s="660"/>
      <c r="BS58" s="555" t="s">
        <v>301</v>
      </c>
      <c r="BT58" s="484">
        <f>GU58</f>
        <v>46277</v>
      </c>
      <c r="BU58" s="484">
        <f>GV58</f>
        <v>46300</v>
      </c>
      <c r="BV58" s="661">
        <f>IFERROR(INDEX($BY$9:$DH$9, MATCH("準備", BY58:DK58, 0)), "")</f>
        <v>46279</v>
      </c>
      <c r="BW58" s="662" cm="1">
        <f t="array" ref="BW58">IF(COUNTIF(BY58:DK58,"*撤去*")=0,"",INDEX(BY$9:DK$9,1,MAX(IF(CC58:DK58="撤去",COLUMN(CC58:DK58)-COLUMN(BY58)+1))))</f>
        <v>46295</v>
      </c>
      <c r="BX58" s="663">
        <f>BW58-BV58</f>
        <v>16</v>
      </c>
      <c r="BY58" s="556">
        <v>0</v>
      </c>
      <c r="BZ58" s="557">
        <v>0</v>
      </c>
      <c r="CA58" s="557">
        <v>0</v>
      </c>
      <c r="CB58" s="557">
        <v>0</v>
      </c>
      <c r="CC58" s="487">
        <v>0</v>
      </c>
      <c r="CD58" s="488">
        <v>0</v>
      </c>
      <c r="CE58" s="488">
        <v>0</v>
      </c>
      <c r="CF58" s="488">
        <v>0</v>
      </c>
      <c r="CG58" s="488">
        <v>0</v>
      </c>
      <c r="CH58" s="488">
        <v>0</v>
      </c>
      <c r="CI58" s="488">
        <v>0</v>
      </c>
      <c r="CJ58" s="488">
        <v>0</v>
      </c>
      <c r="CK58" s="488">
        <v>0</v>
      </c>
      <c r="CL58" s="488">
        <v>0</v>
      </c>
      <c r="CM58" s="400" t="s">
        <v>177</v>
      </c>
      <c r="CN58" s="400" t="s">
        <v>177</v>
      </c>
      <c r="CO58" s="488">
        <v>313</v>
      </c>
      <c r="CP58" s="488">
        <v>313</v>
      </c>
      <c r="CQ58" s="403">
        <v>313</v>
      </c>
      <c r="CR58" s="404">
        <v>313</v>
      </c>
      <c r="CS58" s="487">
        <v>313</v>
      </c>
      <c r="CT58" s="488">
        <v>313</v>
      </c>
      <c r="CU58" s="664">
        <v>313</v>
      </c>
      <c r="CV58" s="664">
        <v>313</v>
      </c>
      <c r="CW58" s="488">
        <v>313</v>
      </c>
      <c r="CX58" s="488">
        <v>313</v>
      </c>
      <c r="CY58" s="488">
        <v>313</v>
      </c>
      <c r="CZ58" s="488">
        <v>313</v>
      </c>
      <c r="DA58" s="488">
        <v>313</v>
      </c>
      <c r="DB58" s="488">
        <v>0</v>
      </c>
      <c r="DC58" s="665" t="s">
        <v>178</v>
      </c>
      <c r="DD58" s="488">
        <v>0</v>
      </c>
      <c r="DE58" s="488">
        <v>0</v>
      </c>
      <c r="DF58" s="403">
        <v>0</v>
      </c>
      <c r="DG58" s="404">
        <v>0</v>
      </c>
      <c r="DH58" s="487">
        <v>0</v>
      </c>
      <c r="DI58" s="488">
        <v>0</v>
      </c>
      <c r="DJ58" s="488">
        <v>0</v>
      </c>
      <c r="DK58" s="407">
        <v>0</v>
      </c>
      <c r="DL58" s="277"/>
      <c r="DM58" s="277" cm="1">
        <f t="array" ref="DM58">SUM(IF(ISNUMBER($BY58:$DK58),$BY58:$DK58, 0))</f>
        <v>4069</v>
      </c>
      <c r="DN58" s="559"/>
      <c r="DO58" s="277">
        <f>DM58*(BX58)/(BX58+1)</f>
        <v>3829.6470588235293</v>
      </c>
      <c r="DP58" s="277"/>
      <c r="DQ58" s="386" t="s">
        <v>333</v>
      </c>
      <c r="DR58" s="463" t="s">
        <v>273</v>
      </c>
      <c r="DS58" s="464">
        <v>204</v>
      </c>
      <c r="DT58" s="389">
        <f>SUM(DS58,DS59)</f>
        <v>409</v>
      </c>
      <c r="DU58" s="467">
        <v>5114830.6000000006</v>
      </c>
      <c r="DV58" s="467">
        <v>1311757.9200000002</v>
      </c>
      <c r="DW58" s="478">
        <v>117641103</v>
      </c>
      <c r="DX58" s="478">
        <v>30710818.16</v>
      </c>
      <c r="DY58" s="478">
        <v>18441800</v>
      </c>
      <c r="DZ58" s="478">
        <v>70454872.799999997</v>
      </c>
      <c r="EA58" s="478">
        <v>44422248</v>
      </c>
      <c r="EB58" s="478">
        <v>3202126.1999999997</v>
      </c>
      <c r="EC58" s="480">
        <v>0</v>
      </c>
      <c r="ED58" s="480">
        <v>0</v>
      </c>
      <c r="EE58" s="480">
        <v>345000</v>
      </c>
      <c r="EF58" s="480">
        <v>414000000</v>
      </c>
      <c r="EG58" s="481"/>
      <c r="EH58" s="481">
        <v>148351921.16</v>
      </c>
      <c r="EI58" s="484">
        <v>46277</v>
      </c>
      <c r="EJ58" s="484">
        <v>46300</v>
      </c>
      <c r="EK58" s="666">
        <v>46277</v>
      </c>
      <c r="EL58" s="667">
        <v>46300</v>
      </c>
      <c r="EM58" s="663">
        <v>23</v>
      </c>
      <c r="EN58" s="277"/>
      <c r="EO58" s="253" t="s">
        <v>333</v>
      </c>
      <c r="EP58" s="489" t="s">
        <v>273</v>
      </c>
      <c r="EQ58" s="490">
        <v>204</v>
      </c>
      <c r="ER58" s="410">
        <v>409</v>
      </c>
      <c r="ES58" s="245">
        <v>204</v>
      </c>
      <c r="ET58" s="245">
        <v>204</v>
      </c>
      <c r="EU58" s="245" t="s">
        <v>165</v>
      </c>
      <c r="EV58" s="411" t="s">
        <v>334</v>
      </c>
      <c r="EW58" s="412">
        <v>36.200000000000003</v>
      </c>
      <c r="EX58" s="413">
        <v>42</v>
      </c>
      <c r="EY58" s="414" t="s">
        <v>188</v>
      </c>
      <c r="EZ58" s="492">
        <v>36.200000000000003</v>
      </c>
      <c r="FA58" s="493">
        <v>42</v>
      </c>
      <c r="FB58" s="414" t="s">
        <v>189</v>
      </c>
      <c r="FC58" s="492"/>
      <c r="FD58" s="493"/>
      <c r="FE58" s="494" t="s">
        <v>189</v>
      </c>
      <c r="FF58" s="492"/>
      <c r="FG58" s="493"/>
      <c r="FH58" s="494" t="s">
        <v>189</v>
      </c>
      <c r="FI58" s="492"/>
      <c r="FJ58" s="495"/>
      <c r="FK58" s="496">
        <v>60</v>
      </c>
      <c r="FL58" s="497">
        <v>0.22727272727272727</v>
      </c>
      <c r="FM58" s="498" t="s">
        <v>335</v>
      </c>
      <c r="FN58" s="668" t="s">
        <v>336</v>
      </c>
      <c r="FO58" s="550" t="s">
        <v>296</v>
      </c>
      <c r="FP58" s="562">
        <v>5114830.6000000006</v>
      </c>
      <c r="FQ58" s="563">
        <v>0</v>
      </c>
      <c r="FR58" s="468">
        <v>4100</v>
      </c>
      <c r="FS58" s="562">
        <v>234</v>
      </c>
      <c r="FT58" s="467">
        <v>284</v>
      </c>
      <c r="FU58" s="261">
        <v>204.42857142857142</v>
      </c>
      <c r="FV58" s="394">
        <v>25020.135709294205</v>
      </c>
      <c r="FW58" s="390">
        <v>21858.250427350431</v>
      </c>
      <c r="FX58" s="394">
        <v>18009.966901408454</v>
      </c>
      <c r="FY58" s="395">
        <v>19252</v>
      </c>
      <c r="FZ58" s="395">
        <v>38504</v>
      </c>
      <c r="GA58" s="562">
        <v>1311757.9200000002</v>
      </c>
      <c r="GB58" s="562">
        <v>3</v>
      </c>
      <c r="GC58" s="565">
        <v>117641103</v>
      </c>
      <c r="GD58" s="565">
        <v>30710818.16</v>
      </c>
      <c r="GE58" s="565">
        <v>117641103</v>
      </c>
      <c r="GF58" s="565">
        <v>30710818.16</v>
      </c>
      <c r="GG58" s="478">
        <v>0</v>
      </c>
      <c r="GH58" s="478">
        <v>0</v>
      </c>
      <c r="GI58" s="478">
        <v>10560780</v>
      </c>
      <c r="GJ58" s="566"/>
      <c r="GK58" s="566"/>
      <c r="GL58" s="566"/>
      <c r="GM58" s="480">
        <v>0</v>
      </c>
      <c r="GN58" s="480">
        <v>210000</v>
      </c>
      <c r="GO58" s="480">
        <v>414000000</v>
      </c>
      <c r="GP58" s="566">
        <v>3</v>
      </c>
      <c r="GQ58" s="566">
        <v>10</v>
      </c>
      <c r="GR58" s="567">
        <v>148351921.16</v>
      </c>
      <c r="GS58" s="567">
        <v>-148351921.16</v>
      </c>
      <c r="GT58" s="555" t="s">
        <v>301</v>
      </c>
      <c r="GU58" s="669">
        <v>46277</v>
      </c>
      <c r="GV58" s="568">
        <v>46300</v>
      </c>
      <c r="GW58" s="666">
        <v>46277</v>
      </c>
      <c r="GX58" s="667">
        <v>46300</v>
      </c>
      <c r="GY58" s="663">
        <v>23</v>
      </c>
      <c r="GZ58" s="556"/>
      <c r="HA58" s="557"/>
      <c r="HB58" s="557"/>
      <c r="HC58" s="557"/>
      <c r="HD58" s="487">
        <v>0</v>
      </c>
      <c r="HE58" s="488">
        <v>0</v>
      </c>
      <c r="HF58" s="488">
        <v>0</v>
      </c>
      <c r="HG58" s="488">
        <v>0</v>
      </c>
      <c r="HH58" s="488">
        <v>0</v>
      </c>
      <c r="HI58" s="488">
        <v>0</v>
      </c>
      <c r="HJ58" s="488">
        <v>0</v>
      </c>
      <c r="HK58" s="488">
        <v>0</v>
      </c>
      <c r="HL58" s="400" t="s">
        <v>177</v>
      </c>
      <c r="HM58" s="400" t="s">
        <v>177</v>
      </c>
      <c r="HN58" s="488">
        <v>205</v>
      </c>
      <c r="HO58" s="488">
        <v>205</v>
      </c>
      <c r="HP58" s="488">
        <v>205</v>
      </c>
      <c r="HQ58" s="488">
        <v>205</v>
      </c>
      <c r="HR58" s="403">
        <v>205</v>
      </c>
      <c r="HS58" s="404">
        <v>205</v>
      </c>
      <c r="HT58" s="487">
        <v>205</v>
      </c>
      <c r="HU58" s="488">
        <v>205</v>
      </c>
      <c r="HV58" s="664">
        <v>205</v>
      </c>
      <c r="HW58" s="664">
        <v>204</v>
      </c>
      <c r="HX58" s="488">
        <v>204</v>
      </c>
      <c r="HY58" s="488">
        <v>204</v>
      </c>
      <c r="HZ58" s="488">
        <v>204</v>
      </c>
      <c r="IA58" s="488">
        <v>204</v>
      </c>
      <c r="IB58" s="488">
        <v>204</v>
      </c>
      <c r="IC58" s="488">
        <v>204</v>
      </c>
      <c r="ID58" s="488">
        <v>204</v>
      </c>
      <c r="IE58" s="558">
        <v>204</v>
      </c>
      <c r="IF58" s="488">
        <v>204</v>
      </c>
      <c r="IG58" s="403">
        <v>204</v>
      </c>
      <c r="IH58" s="670">
        <v>204</v>
      </c>
      <c r="II58" s="603" t="s">
        <v>178</v>
      </c>
      <c r="IJ58" s="488">
        <v>0</v>
      </c>
      <c r="IK58" s="488">
        <v>0</v>
      </c>
      <c r="IL58" s="407">
        <v>0</v>
      </c>
      <c r="IM58" s="277"/>
      <c r="IN58" s="277" cm="1">
        <f t="array" ref="IN58">SUM(IF(ISNUMBER($HD58:$IL58),$HD58:$IL58, 0))</f>
        <v>4293</v>
      </c>
      <c r="IO58" s="333"/>
      <c r="IP58" s="334"/>
      <c r="IQ58" s="541"/>
      <c r="IR58" s="500">
        <v>0</v>
      </c>
      <c r="IS58" s="501"/>
      <c r="IT58" s="501"/>
      <c r="IU58" s="501"/>
      <c r="IV58" s="501"/>
      <c r="IW58" s="501"/>
      <c r="IX58" s="502">
        <v>0</v>
      </c>
      <c r="IY58" s="502"/>
      <c r="IZ58" s="501">
        <v>0</v>
      </c>
      <c r="JA58" s="503">
        <v>0</v>
      </c>
      <c r="JB58" s="501"/>
      <c r="JC58" s="501"/>
      <c r="JD58" s="504"/>
      <c r="JE58" s="504"/>
      <c r="JF58" s="505"/>
      <c r="JG58" s="503">
        <v>6681406.5999999996</v>
      </c>
      <c r="JH58" s="506">
        <v>253000</v>
      </c>
      <c r="JO58" s="576"/>
      <c r="JP58" s="577"/>
      <c r="JQ58" s="577"/>
      <c r="JR58" s="577"/>
      <c r="JS58" s="577"/>
      <c r="JT58" s="577"/>
      <c r="JU58" s="577"/>
      <c r="JV58" s="577"/>
      <c r="JW58" s="577"/>
      <c r="JX58" s="577"/>
      <c r="JY58" s="577"/>
      <c r="JZ58" s="577"/>
      <c r="KA58" s="577"/>
      <c r="KB58" s="577"/>
      <c r="KC58" s="577"/>
      <c r="KD58" s="577"/>
      <c r="KE58" s="577"/>
      <c r="KF58" s="577"/>
      <c r="KG58" s="577"/>
      <c r="KH58" s="577"/>
      <c r="KI58" s="577"/>
      <c r="KJ58" s="577"/>
      <c r="KK58" s="577"/>
      <c r="KL58" s="577"/>
      <c r="KM58" s="577"/>
      <c r="KN58" s="577"/>
      <c r="KO58" s="577"/>
      <c r="KP58" s="577"/>
      <c r="KQ58" s="577"/>
      <c r="KR58" s="577"/>
      <c r="KS58" s="577"/>
      <c r="KT58" s="577"/>
      <c r="KU58" s="577"/>
      <c r="KV58" s="577"/>
      <c r="KW58" s="578"/>
      <c r="KX58" s="277"/>
      <c r="KY58" s="277" cm="1">
        <f t="array" ref="KY58">SUM(IF(ISNUMBER($JO58:$KW58),$JO58:$KW58, 0))</f>
        <v>0</v>
      </c>
    </row>
    <row r="59" spans="1:398" s="547" customFormat="1" ht="40" customHeight="1" thickBot="1">
      <c r="B59" s="299"/>
      <c r="C59" s="671"/>
      <c r="D59" s="242"/>
      <c r="E59" s="243" t="s">
        <v>165</v>
      </c>
      <c r="F59" s="244"/>
      <c r="G59" s="246">
        <v>0</v>
      </c>
      <c r="H59" s="246">
        <v>0</v>
      </c>
      <c r="I59" s="246">
        <v>0</v>
      </c>
      <c r="J59" s="246">
        <v>0</v>
      </c>
      <c r="K59" s="246"/>
      <c r="L59" s="246">
        <v>0</v>
      </c>
      <c r="M59" s="300">
        <v>0</v>
      </c>
      <c r="N59" s="251">
        <v>0</v>
      </c>
      <c r="O59" s="251"/>
      <c r="P59" s="300">
        <v>0</v>
      </c>
      <c r="Q59" s="251">
        <v>0</v>
      </c>
      <c r="R59" s="251">
        <v>0</v>
      </c>
      <c r="S59" s="251">
        <v>0</v>
      </c>
      <c r="T59" s="251">
        <v>0</v>
      </c>
      <c r="U59" s="301" t="s">
        <v>165</v>
      </c>
      <c r="V59" s="242"/>
      <c r="W59" s="242"/>
      <c r="X59" s="242"/>
      <c r="Y59" s="242"/>
      <c r="Z59" s="242"/>
      <c r="AA59" s="350"/>
      <c r="AB59" s="358"/>
      <c r="AC59" s="359"/>
      <c r="AD59" s="256"/>
      <c r="AE59" s="305"/>
      <c r="AF59" s="306"/>
      <c r="AG59" s="306"/>
      <c r="AH59" s="306"/>
      <c r="AI59" s="306"/>
      <c r="AJ59" s="306"/>
      <c r="AK59" s="306"/>
      <c r="AL59" s="306"/>
      <c r="AM59" s="306"/>
      <c r="AN59" s="306"/>
      <c r="AO59" s="306"/>
      <c r="AP59" s="306"/>
      <c r="AQ59" s="306"/>
      <c r="AR59" s="306"/>
      <c r="AS59" s="308"/>
      <c r="AT59" s="306"/>
      <c r="AU59" s="308"/>
      <c r="AV59" s="306"/>
      <c r="AW59" s="306"/>
      <c r="AX59" s="306"/>
      <c r="AY59" s="306"/>
      <c r="AZ59" s="672"/>
      <c r="BA59" s="672"/>
      <c r="BB59" s="672"/>
      <c r="BC59" s="672"/>
      <c r="BD59" s="672"/>
      <c r="BE59" s="672"/>
      <c r="BF59" s="672"/>
      <c r="BG59" s="672"/>
      <c r="BH59" s="672"/>
      <c r="BI59" s="672"/>
      <c r="BJ59" s="672"/>
      <c r="BK59" s="672"/>
      <c r="BL59" s="672"/>
      <c r="BM59" s="672"/>
      <c r="BN59" s="672"/>
      <c r="BO59" s="673"/>
      <c r="BP59" s="673"/>
      <c r="BQ59" s="673"/>
      <c r="BR59" s="674"/>
      <c r="BS59" s="675"/>
      <c r="BT59" s="676"/>
      <c r="BU59" s="676"/>
      <c r="BV59" s="677" t="str">
        <f>IFERROR(INDEX($HD$9:$II$9, MATCH("準備", CC59:DK59, 0)), "")</f>
        <v/>
      </c>
      <c r="BW59" s="677" t="str" cm="1">
        <f t="array" ref="BW59">IF(COUNTIF(CC59:DK59,"*撤去*")=0,"",INDEX(CC$9:DK$9,1,MAX(IF(CC59:DK59="撤去",COLUMN(CC59:DK59)-COLUMN(CC59)+1))))</f>
        <v/>
      </c>
      <c r="BX59" s="678"/>
      <c r="BY59" s="679" t="s">
        <v>246</v>
      </c>
      <c r="BZ59" s="680" t="s">
        <v>247</v>
      </c>
      <c r="CA59" s="681"/>
      <c r="CB59" s="681"/>
      <c r="CC59" s="315"/>
      <c r="CD59" s="316"/>
      <c r="CE59" s="316"/>
      <c r="CF59" s="316"/>
      <c r="CG59" s="316"/>
      <c r="CH59" s="316"/>
      <c r="CI59" s="316"/>
      <c r="CJ59" s="316"/>
      <c r="CK59" s="682"/>
      <c r="CL59" s="682"/>
      <c r="CM59" s="682"/>
      <c r="CN59" s="682"/>
      <c r="CO59" s="682"/>
      <c r="CP59" s="682"/>
      <c r="CQ59" s="683"/>
      <c r="CR59" s="684"/>
      <c r="CS59" s="685"/>
      <c r="CT59" s="682"/>
      <c r="CU59" s="682"/>
      <c r="CV59" s="682"/>
      <c r="CW59" s="682"/>
      <c r="CX59" s="682"/>
      <c r="CY59" s="682"/>
      <c r="CZ59" s="682"/>
      <c r="DA59" s="682"/>
      <c r="DB59" s="682"/>
      <c r="DC59" s="682"/>
      <c r="DD59" s="682"/>
      <c r="DE59" s="682"/>
      <c r="DF59" s="683"/>
      <c r="DG59" s="684"/>
      <c r="DH59" s="685"/>
      <c r="DI59" s="686"/>
      <c r="DJ59" s="686"/>
      <c r="DK59" s="687"/>
      <c r="DL59" s="277"/>
      <c r="DM59" s="277"/>
      <c r="DN59" s="277"/>
      <c r="DO59" s="277"/>
      <c r="DP59" s="277"/>
      <c r="DQ59" s="688" t="s">
        <v>337</v>
      </c>
      <c r="DR59" s="689" t="s">
        <v>271</v>
      </c>
      <c r="DS59" s="690">
        <v>205</v>
      </c>
      <c r="DT59" s="691"/>
      <c r="DU59" s="692"/>
      <c r="DV59" s="692"/>
      <c r="DW59" s="693"/>
      <c r="DX59" s="693"/>
      <c r="DY59" s="693"/>
      <c r="DZ59" s="693"/>
      <c r="EA59" s="693"/>
      <c r="EB59" s="693"/>
      <c r="EC59" s="693"/>
      <c r="ED59" s="693"/>
      <c r="EE59" s="693"/>
      <c r="EF59" s="693"/>
      <c r="EG59" s="694"/>
      <c r="EH59" s="694"/>
      <c r="EI59" s="695"/>
      <c r="EJ59" s="695"/>
      <c r="EK59" s="696" t="s">
        <v>165</v>
      </c>
      <c r="EL59" s="696" t="s">
        <v>165</v>
      </c>
      <c r="EM59" s="697"/>
      <c r="EN59" s="277"/>
      <c r="EO59" s="688" t="s">
        <v>337</v>
      </c>
      <c r="EP59" s="698" t="s">
        <v>271</v>
      </c>
      <c r="EQ59" s="699">
        <v>205</v>
      </c>
      <c r="ER59" s="700"/>
      <c r="ES59" s="700" t="e">
        <v>#N/A</v>
      </c>
      <c r="ET59" s="700"/>
      <c r="EU59" s="700"/>
      <c r="EV59" s="701" t="s">
        <v>170</v>
      </c>
      <c r="EW59" s="702"/>
      <c r="EX59" s="703"/>
      <c r="EY59" s="704" t="s">
        <v>170</v>
      </c>
      <c r="EZ59" s="705"/>
      <c r="FA59" s="706"/>
      <c r="FB59" s="704" t="s">
        <v>170</v>
      </c>
      <c r="FC59" s="705"/>
      <c r="FD59" s="706"/>
      <c r="FE59" s="707" t="s">
        <v>170</v>
      </c>
      <c r="FF59" s="705"/>
      <c r="FG59" s="706"/>
      <c r="FH59" s="707" t="s">
        <v>170</v>
      </c>
      <c r="FI59" s="705"/>
      <c r="FJ59" s="708"/>
      <c r="FK59" s="709"/>
      <c r="FL59" s="710"/>
      <c r="FM59" s="711"/>
      <c r="FN59" s="712"/>
      <c r="FO59" s="692"/>
      <c r="FP59" s="692"/>
      <c r="FQ59" s="692"/>
      <c r="FR59" s="692"/>
      <c r="FS59" s="692"/>
      <c r="FT59" s="692"/>
      <c r="FU59" s="692"/>
      <c r="FV59" s="713"/>
      <c r="FW59" s="692"/>
      <c r="FX59" s="713"/>
      <c r="FY59" s="692"/>
      <c r="FZ59" s="692"/>
      <c r="GA59" s="692"/>
      <c r="GB59" s="692"/>
      <c r="GC59" s="693"/>
      <c r="GD59" s="693"/>
      <c r="GE59" s="693"/>
      <c r="GF59" s="693"/>
      <c r="GG59" s="693"/>
      <c r="GH59" s="693"/>
      <c r="GI59" s="693"/>
      <c r="GJ59" s="693"/>
      <c r="GK59" s="693"/>
      <c r="GL59" s="693"/>
      <c r="GM59" s="693"/>
      <c r="GN59" s="693"/>
      <c r="GO59" s="693"/>
      <c r="GP59" s="693"/>
      <c r="GQ59" s="693"/>
      <c r="GR59" s="694"/>
      <c r="GS59" s="694"/>
      <c r="GT59" s="714"/>
      <c r="GU59" s="695"/>
      <c r="GV59" s="695"/>
      <c r="GW59" s="696" t="s">
        <v>165</v>
      </c>
      <c r="GX59" s="696" t="s">
        <v>165</v>
      </c>
      <c r="GY59" s="697"/>
      <c r="GZ59" s="715"/>
      <c r="HA59" s="716"/>
      <c r="HB59" s="716"/>
      <c r="HC59" s="716"/>
      <c r="HD59" s="717"/>
      <c r="HE59" s="718"/>
      <c r="HF59" s="718"/>
      <c r="HG59" s="718"/>
      <c r="HH59" s="718"/>
      <c r="HI59" s="718"/>
      <c r="HJ59" s="718"/>
      <c r="HK59" s="718"/>
      <c r="HL59" s="718"/>
      <c r="HM59" s="718"/>
      <c r="HN59" s="718"/>
      <c r="HO59" s="718"/>
      <c r="HP59" s="718"/>
      <c r="HQ59" s="718"/>
      <c r="HR59" s="719"/>
      <c r="HS59" s="720"/>
      <c r="HT59" s="717"/>
      <c r="HU59" s="718"/>
      <c r="HV59" s="718"/>
      <c r="HW59" s="718"/>
      <c r="HX59" s="718"/>
      <c r="HY59" s="718"/>
      <c r="HZ59" s="718"/>
      <c r="IA59" s="718"/>
      <c r="IB59" s="718"/>
      <c r="IC59" s="718"/>
      <c r="ID59" s="718"/>
      <c r="IE59" s="718"/>
      <c r="IF59" s="718"/>
      <c r="IG59" s="719"/>
      <c r="IH59" s="720"/>
      <c r="II59" s="717"/>
      <c r="IJ59" s="718"/>
      <c r="IK59" s="718"/>
      <c r="IL59" s="721"/>
      <c r="IM59" s="277"/>
      <c r="IN59" s="277"/>
      <c r="IO59" s="333"/>
      <c r="IP59" s="334"/>
      <c r="IQ59" s="541"/>
      <c r="IR59" s="722"/>
      <c r="IS59" s="723"/>
      <c r="IT59" s="723"/>
      <c r="IU59" s="723"/>
      <c r="IV59" s="723"/>
      <c r="IW59" s="723"/>
      <c r="IX59" s="724"/>
      <c r="IY59" s="724"/>
      <c r="IZ59" s="723"/>
      <c r="JA59" s="723"/>
      <c r="JB59" s="723"/>
      <c r="JC59" s="723"/>
      <c r="JD59" s="725"/>
      <c r="JE59" s="725"/>
      <c r="JF59" s="726"/>
      <c r="JG59" s="727"/>
      <c r="JH59" s="728"/>
      <c r="JI59" s="1"/>
      <c r="JJ59" s="1"/>
      <c r="JK59" s="1"/>
      <c r="JL59" s="1"/>
      <c r="JM59" s="1"/>
      <c r="JN59" s="1"/>
      <c r="JO59" s="507"/>
      <c r="JP59" s="508"/>
      <c r="JQ59" s="508"/>
      <c r="JR59" s="508"/>
      <c r="JS59" s="729"/>
      <c r="JT59" s="729"/>
      <c r="JU59" s="729"/>
      <c r="JV59" s="729"/>
      <c r="JW59" s="729"/>
      <c r="JX59" s="729"/>
      <c r="JY59" s="729"/>
      <c r="JZ59" s="729"/>
      <c r="KA59" s="729"/>
      <c r="KB59" s="729"/>
      <c r="KC59" s="729"/>
      <c r="KD59" s="729"/>
      <c r="KE59" s="729"/>
      <c r="KF59" s="729"/>
      <c r="KG59" s="729"/>
      <c r="KH59" s="729"/>
      <c r="KI59" s="729"/>
      <c r="KJ59" s="729"/>
      <c r="KK59" s="729"/>
      <c r="KL59" s="729"/>
      <c r="KM59" s="729"/>
      <c r="KN59" s="729"/>
      <c r="KO59" s="729"/>
      <c r="KP59" s="729"/>
      <c r="KQ59" s="729"/>
      <c r="KR59" s="729"/>
      <c r="KS59" s="729"/>
      <c r="KT59" s="729"/>
      <c r="KU59" s="729"/>
      <c r="KV59" s="729"/>
      <c r="KW59" s="730"/>
      <c r="KX59" s="277"/>
      <c r="KY59" s="277"/>
      <c r="KZ59" s="1"/>
      <c r="LA59" s="1"/>
      <c r="LB59" s="1"/>
      <c r="LC59" s="1"/>
      <c r="LD59" s="1"/>
      <c r="LE59" s="1"/>
      <c r="LF59" s="1"/>
      <c r="LG59" s="1"/>
      <c r="LH59" s="1"/>
      <c r="LI59" s="1"/>
      <c r="LJ59" s="1"/>
      <c r="LK59" s="1"/>
      <c r="LL59" s="1"/>
      <c r="LM59" s="1"/>
      <c r="LN59" s="1"/>
      <c r="LO59" s="1"/>
      <c r="LP59" s="1"/>
      <c r="LQ59" s="1"/>
      <c r="LR59" s="1"/>
      <c r="LS59" s="1"/>
      <c r="LT59" s="1"/>
      <c r="LU59" s="1"/>
      <c r="LV59" s="1"/>
      <c r="LW59" s="1"/>
      <c r="LX59" s="1"/>
      <c r="LY59" s="1"/>
      <c r="LZ59" s="1"/>
      <c r="MA59" s="1"/>
      <c r="MB59" s="1"/>
      <c r="MC59" s="1"/>
      <c r="MD59" s="1"/>
      <c r="ME59" s="1"/>
      <c r="MF59" s="1"/>
      <c r="MG59" s="1"/>
      <c r="MH59" s="1"/>
      <c r="MI59" s="1"/>
      <c r="MJ59" s="1"/>
      <c r="MK59" s="1"/>
      <c r="ML59" s="1"/>
      <c r="MM59" s="1"/>
      <c r="MN59" s="1"/>
      <c r="MO59" s="1"/>
      <c r="MP59" s="1"/>
      <c r="MQ59" s="1"/>
      <c r="MR59" s="1"/>
      <c r="MS59" s="1"/>
      <c r="MT59" s="1"/>
      <c r="MU59" s="1"/>
      <c r="MV59" s="1"/>
      <c r="MW59" s="1"/>
      <c r="MX59" s="1"/>
      <c r="MY59" s="1"/>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row>
    <row r="60" spans="1:398" ht="40" customHeight="1">
      <c r="B60" s="299"/>
      <c r="C60" s="671"/>
      <c r="D60" s="378">
        <v>8</v>
      </c>
      <c r="E60" s="379">
        <v>56</v>
      </c>
      <c r="F60" s="380" t="s">
        <v>338</v>
      </c>
      <c r="G60" s="381"/>
      <c r="H60" s="381"/>
      <c r="I60" s="381"/>
      <c r="J60" s="381"/>
      <c r="K60" s="381"/>
      <c r="L60" s="381"/>
      <c r="M60" s="383"/>
      <c r="N60" s="384"/>
      <c r="O60" s="384"/>
      <c r="P60" s="383"/>
      <c r="Q60" s="384"/>
      <c r="R60" s="384"/>
      <c r="S60" s="384"/>
      <c r="T60" s="384"/>
      <c r="U60" s="385"/>
      <c r="V60" s="378"/>
      <c r="W60" s="378"/>
      <c r="X60" s="378"/>
      <c r="Y60" s="378"/>
      <c r="Z60" s="378"/>
      <c r="AA60" s="630" t="s">
        <v>339</v>
      </c>
      <c r="AB60" s="463" t="s">
        <v>287</v>
      </c>
      <c r="AC60" s="464">
        <v>153</v>
      </c>
      <c r="AD60" s="389">
        <f>SUM(AC60,AC61)</f>
        <v>153</v>
      </c>
      <c r="AE60" s="640"/>
      <c r="AF60" s="641"/>
      <c r="AG60" s="731">
        <f>'[1]0056_ストリングス名古屋　別紙1-1'!M25</f>
        <v>10840500</v>
      </c>
      <c r="AH60" s="732"/>
      <c r="AI60" s="732"/>
      <c r="AJ60" s="732"/>
      <c r="AK60" s="551">
        <f>$AK$4</f>
        <v>26106</v>
      </c>
      <c r="AL60" s="552">
        <v>0.83</v>
      </c>
      <c r="AM60" s="551">
        <f>$AM$4</f>
        <v>24690</v>
      </c>
      <c r="AN60" s="468" t="s">
        <v>308</v>
      </c>
      <c r="AO60" s="551">
        <f>$AO$4</f>
        <v>2373</v>
      </c>
      <c r="AP60" s="732">
        <f>'[1]0056_ストリングス名古屋　別紙1-1'!K23</f>
        <v>93</v>
      </c>
      <c r="AQ60" s="732">
        <f>'[1]0056_ストリングス名古屋　別紙1-1'!AF23</f>
        <v>159</v>
      </c>
      <c r="AR60" s="733"/>
      <c r="AS60" s="394"/>
      <c r="AT60" s="390"/>
      <c r="AU60" s="394"/>
      <c r="AV60" s="390"/>
      <c r="AW60" s="390"/>
      <c r="AX60" s="390">
        <f>'[1]0056_ストリングス名古屋　別紙1-2'!N21</f>
        <v>1600225.0000000002</v>
      </c>
      <c r="AY60" s="390">
        <f>'[1]0056_ストリングス名古屋　別紙1-2'!I18</f>
        <v>1</v>
      </c>
      <c r="AZ60" s="734">
        <f>'[1]0056_ストリングス名古屋　別紙1-1'!C27</f>
        <v>214711200</v>
      </c>
      <c r="BA60" s="734">
        <f>'[1]0056_ストリングス名古屋　別紙1-2'!O19</f>
        <v>32804612.500000004</v>
      </c>
      <c r="BB60" s="734"/>
      <c r="BC60" s="734"/>
      <c r="BD60" s="478">
        <f>AK60*DM60*0.6</f>
        <v>28758369.599999998</v>
      </c>
      <c r="BE60" s="478">
        <f>BD60-21000*DM60*0.6</f>
        <v>5624769.5999999978</v>
      </c>
      <c r="BF60" s="478">
        <f>AM60*DM60*0.4</f>
        <v>18132336</v>
      </c>
      <c r="BG60" s="478">
        <f>BF60-0</f>
        <v>18132336</v>
      </c>
      <c r="BH60" s="478">
        <f>AO60*DM60*0.3</f>
        <v>1307048.3999999999</v>
      </c>
      <c r="BI60" s="734"/>
      <c r="BJ60" s="734"/>
      <c r="BK60" s="735">
        <f>BM60*5000*BX60</f>
        <v>350000</v>
      </c>
      <c r="BL60" s="735">
        <f>1800000*BN60*BX60</f>
        <v>0</v>
      </c>
      <c r="BM60" s="736">
        <v>5</v>
      </c>
      <c r="BN60" s="736">
        <f>GQ60</f>
        <v>0</v>
      </c>
      <c r="BO60" s="737"/>
      <c r="BP60" s="481">
        <f>SUM(AZ60,BA60,BI60,BO60)</f>
        <v>247515812.5</v>
      </c>
      <c r="BQ60" s="737"/>
      <c r="BR60" s="738"/>
      <c r="BS60" s="739"/>
      <c r="BT60" s="740"/>
      <c r="BU60" s="740"/>
      <c r="BV60" s="666">
        <f>IFERROR(INDEX($BY$9:$DH$9, MATCH("準備", BY60:DK60, 0)), "")</f>
        <v>46286</v>
      </c>
      <c r="BW60" s="667" cm="1">
        <f t="array" ref="BW60">IF(COUNTIF(BY60:DK60,"*撤去*")=0,"",INDEX(BY$9:DK$9,1,MAX(IF(CC60:DK60="撤去",COLUMN(CC60:DK60)-COLUMN(BY60)+1))))</f>
        <v>46300</v>
      </c>
      <c r="BX60" s="663">
        <f>BW60-BV60</f>
        <v>14</v>
      </c>
      <c r="BY60" s="741"/>
      <c r="BZ60" s="742"/>
      <c r="CA60" s="557"/>
      <c r="CB60" s="557"/>
      <c r="CC60" s="743"/>
      <c r="CD60" s="599"/>
      <c r="CE60" s="599"/>
      <c r="CF60" s="599"/>
      <c r="CG60" s="599"/>
      <c r="CH60" s="599"/>
      <c r="CI60" s="599"/>
      <c r="CJ60" s="599"/>
      <c r="CK60" s="744"/>
      <c r="CL60" s="744"/>
      <c r="CM60" s="745"/>
      <c r="CN60" s="745"/>
      <c r="CO60" s="744"/>
      <c r="CP60" s="744"/>
      <c r="CQ60" s="744"/>
      <c r="CR60" s="746"/>
      <c r="CS60" s="747"/>
      <c r="CT60" s="400" t="s">
        <v>177</v>
      </c>
      <c r="CU60" s="400" t="s">
        <v>177</v>
      </c>
      <c r="CV60" s="744">
        <v>153</v>
      </c>
      <c r="CW60" s="744">
        <v>153</v>
      </c>
      <c r="CX60" s="744">
        <v>153</v>
      </c>
      <c r="CY60" s="744">
        <v>153</v>
      </c>
      <c r="CZ60" s="744">
        <v>153</v>
      </c>
      <c r="DA60" s="744">
        <v>153</v>
      </c>
      <c r="DB60" s="744">
        <v>153</v>
      </c>
      <c r="DC60" s="744">
        <v>153</v>
      </c>
      <c r="DD60" s="745">
        <v>153</v>
      </c>
      <c r="DE60" s="744">
        <v>153</v>
      </c>
      <c r="DF60" s="744">
        <v>153</v>
      </c>
      <c r="DG60" s="748">
        <v>153</v>
      </c>
      <c r="DH60" s="603" t="s">
        <v>178</v>
      </c>
      <c r="DI60" s="599"/>
      <c r="DJ60" s="599"/>
      <c r="DK60" s="749"/>
      <c r="DL60" s="277"/>
      <c r="DM60" s="277" cm="1">
        <f t="array" ref="DM60">SUM(IF(ISNUMBER($BY60:$DK60),$BY60:$DK60, 0))</f>
        <v>1836</v>
      </c>
      <c r="DN60" s="559"/>
      <c r="DO60" s="277">
        <f>DM60*(BX60)/(BX60+1)</f>
        <v>1713.6</v>
      </c>
      <c r="DP60" s="277"/>
      <c r="DQ60" s="277"/>
      <c r="DR60" s="277"/>
      <c r="DS60" s="277"/>
      <c r="DT60" s="277"/>
      <c r="DU60" s="277"/>
      <c r="DV60" s="277"/>
      <c r="DW60" s="277"/>
      <c r="DX60" s="277"/>
      <c r="DY60" s="277"/>
      <c r="DZ60" s="277"/>
      <c r="EA60" s="277"/>
      <c r="EB60" s="277"/>
      <c r="EC60" s="277"/>
      <c r="ED60" s="277"/>
      <c r="EE60" s="277"/>
      <c r="EF60" s="277"/>
      <c r="EG60" s="277"/>
      <c r="EH60" s="277"/>
      <c r="EI60" s="277"/>
      <c r="EJ60" s="277"/>
      <c r="EK60" s="277"/>
      <c r="EL60" s="277"/>
      <c r="EM60" s="277"/>
      <c r="EN60" s="277"/>
      <c r="EO60" s="604"/>
      <c r="EP60" s="605"/>
      <c r="EQ60" s="606"/>
      <c r="ER60" s="323"/>
      <c r="ES60" s="323"/>
      <c r="ET60" s="323"/>
      <c r="EU60" s="323"/>
      <c r="EV60" s="608"/>
      <c r="EW60" s="609"/>
      <c r="EX60" s="610"/>
      <c r="EY60" s="442"/>
      <c r="EZ60" s="440"/>
      <c r="FA60" s="441"/>
      <c r="FB60" s="442"/>
      <c r="FC60" s="440"/>
      <c r="FD60" s="441"/>
      <c r="FE60" s="443"/>
      <c r="FF60" s="440"/>
      <c r="FG60" s="441"/>
      <c r="FH60" s="443"/>
      <c r="FI60" s="440"/>
      <c r="FJ60" s="444"/>
      <c r="FK60" s="289"/>
      <c r="FL60" s="290"/>
      <c r="FM60" s="349"/>
      <c r="FN60" s="336"/>
      <c r="FO60" s="337"/>
      <c r="FP60" s="337"/>
      <c r="FQ60" s="337"/>
      <c r="FR60" s="337"/>
      <c r="FS60" s="337"/>
      <c r="FT60" s="337"/>
      <c r="FU60" s="337"/>
      <c r="FV60" s="339"/>
      <c r="FW60" s="337"/>
      <c r="FX60" s="339"/>
      <c r="FY60" s="337"/>
      <c r="FZ60" s="337"/>
      <c r="GA60" s="337"/>
      <c r="GB60" s="337"/>
      <c r="GC60" s="611"/>
      <c r="GD60" s="611"/>
      <c r="GE60" s="611"/>
      <c r="GF60" s="611"/>
      <c r="GG60" s="611"/>
      <c r="GH60" s="611"/>
      <c r="GI60" s="611"/>
      <c r="GJ60" s="611"/>
      <c r="GK60" s="611"/>
      <c r="GL60" s="611"/>
      <c r="GM60" s="611"/>
      <c r="GN60" s="611"/>
      <c r="GO60" s="611"/>
      <c r="GP60" s="611"/>
      <c r="GQ60" s="611"/>
      <c r="GR60" s="612"/>
      <c r="GS60" s="612"/>
      <c r="GT60" s="613"/>
      <c r="GU60" s="614"/>
      <c r="GV60" s="614"/>
      <c r="GW60" s="615"/>
      <c r="GX60" s="615"/>
      <c r="GY60" s="616"/>
      <c r="GZ60" s="596"/>
      <c r="HA60" s="597"/>
      <c r="HB60" s="597"/>
      <c r="HC60" s="597"/>
      <c r="HD60" s="750"/>
      <c r="HE60" s="274"/>
      <c r="HF60" s="274"/>
      <c r="HG60" s="274"/>
      <c r="HH60" s="274"/>
      <c r="HI60" s="274"/>
      <c r="HJ60" s="274"/>
      <c r="HK60" s="274"/>
      <c r="HL60" s="274"/>
      <c r="HM60" s="274"/>
      <c r="HN60" s="272"/>
      <c r="HO60" s="272"/>
      <c r="HP60" s="274"/>
      <c r="HQ60" s="274"/>
      <c r="HR60" s="274"/>
      <c r="HS60" s="275"/>
      <c r="HT60" s="750"/>
      <c r="HU60" s="274"/>
      <c r="HV60" s="274"/>
      <c r="HW60" s="274"/>
      <c r="HX60" s="274"/>
      <c r="HY60" s="274"/>
      <c r="HZ60" s="274"/>
      <c r="IA60" s="274"/>
      <c r="IB60" s="274"/>
      <c r="IC60" s="274"/>
      <c r="ID60" s="274"/>
      <c r="IE60" s="274"/>
      <c r="IF60" s="272"/>
      <c r="IG60" s="274"/>
      <c r="IH60" s="275"/>
      <c r="II60" s="750"/>
      <c r="IJ60" s="274"/>
      <c r="IK60" s="274"/>
      <c r="IL60" s="276"/>
      <c r="IM60" s="277"/>
      <c r="IN60" s="277"/>
      <c r="IO60" s="333"/>
      <c r="IP60" s="334"/>
      <c r="IQ60" s="541"/>
      <c r="IR60" s="542"/>
      <c r="IS60" s="543"/>
      <c r="IT60" s="543"/>
      <c r="IU60" s="543"/>
      <c r="IV60" s="543"/>
      <c r="IW60" s="543"/>
      <c r="IX60" s="544"/>
      <c r="IY60" s="544"/>
      <c r="IZ60" s="543"/>
      <c r="JA60" s="543"/>
      <c r="JB60" s="543"/>
      <c r="JC60" s="543"/>
      <c r="JD60" s="545"/>
      <c r="JE60" s="545"/>
      <c r="JF60" s="546"/>
      <c r="JG60" s="503"/>
      <c r="JH60" s="506"/>
      <c r="JO60" s="507"/>
      <c r="JP60" s="508"/>
      <c r="JQ60" s="508"/>
      <c r="JR60" s="508"/>
      <c r="JS60" s="508"/>
      <c r="JT60" s="508"/>
      <c r="JU60" s="508"/>
      <c r="JV60" s="508"/>
      <c r="JW60" s="508"/>
      <c r="JX60" s="508"/>
      <c r="JY60" s="508"/>
      <c r="JZ60" s="508"/>
      <c r="KA60" s="508"/>
      <c r="KB60" s="508"/>
      <c r="KC60" s="508"/>
      <c r="KD60" s="508"/>
      <c r="KE60" s="508"/>
      <c r="KF60" s="508"/>
      <c r="KG60" s="508"/>
      <c r="KH60" s="508"/>
      <c r="KI60" s="508"/>
      <c r="KJ60" s="508"/>
      <c r="KK60" s="508"/>
      <c r="KL60" s="508"/>
      <c r="KM60" s="508"/>
      <c r="KN60" s="508"/>
      <c r="KO60" s="508"/>
      <c r="KP60" s="508"/>
      <c r="KQ60" s="508"/>
      <c r="KR60" s="508"/>
      <c r="KS60" s="508"/>
      <c r="KT60" s="508"/>
      <c r="KU60" s="508"/>
      <c r="KV60" s="508"/>
      <c r="KW60" s="509"/>
      <c r="KX60" s="277"/>
      <c r="KY60" s="277"/>
    </row>
    <row r="61" spans="1:398" ht="40" customHeight="1">
      <c r="B61" s="299"/>
      <c r="C61" s="241"/>
      <c r="D61" s="242"/>
      <c r="E61" s="243"/>
      <c r="F61" s="244"/>
      <c r="G61" s="246"/>
      <c r="H61" s="246"/>
      <c r="I61" s="246"/>
      <c r="J61" s="246"/>
      <c r="K61" s="246"/>
      <c r="L61" s="246"/>
      <c r="M61" s="300"/>
      <c r="N61" s="251"/>
      <c r="O61" s="251"/>
      <c r="P61" s="300"/>
      <c r="Q61" s="251"/>
      <c r="R61" s="251"/>
      <c r="S61" s="251"/>
      <c r="T61" s="251"/>
      <c r="U61" s="301"/>
      <c r="V61" s="242"/>
      <c r="W61" s="242"/>
      <c r="X61" s="242"/>
      <c r="Y61" s="242"/>
      <c r="Z61" s="242"/>
      <c r="AA61" s="604"/>
      <c r="AB61" s="617"/>
      <c r="AC61" s="618"/>
      <c r="AD61" s="256"/>
      <c r="AE61" s="336"/>
      <c r="AF61" s="337"/>
      <c r="AG61" s="337"/>
      <c r="AH61" s="337"/>
      <c r="AI61" s="337"/>
      <c r="AJ61" s="337"/>
      <c r="AK61" s="337"/>
      <c r="AL61" s="337"/>
      <c r="AM61" s="337"/>
      <c r="AN61" s="337"/>
      <c r="AO61" s="337"/>
      <c r="AP61" s="337"/>
      <c r="AQ61" s="337"/>
      <c r="AR61" s="337"/>
      <c r="AS61" s="339"/>
      <c r="AT61" s="337"/>
      <c r="AU61" s="339"/>
      <c r="AV61" s="337"/>
      <c r="AW61" s="337"/>
      <c r="AX61" s="337"/>
      <c r="AY61" s="337"/>
      <c r="AZ61" s="611"/>
      <c r="BA61" s="611"/>
      <c r="BB61" s="611"/>
      <c r="BC61" s="611"/>
      <c r="BD61" s="611"/>
      <c r="BE61" s="611"/>
      <c r="BF61" s="611"/>
      <c r="BG61" s="611"/>
      <c r="BH61" s="611"/>
      <c r="BI61" s="611"/>
      <c r="BJ61" s="611"/>
      <c r="BK61" s="611"/>
      <c r="BL61" s="611"/>
      <c r="BM61" s="611"/>
      <c r="BN61" s="611"/>
      <c r="BO61" s="612"/>
      <c r="BP61" s="612"/>
      <c r="BQ61" s="612"/>
      <c r="BR61" s="619"/>
      <c r="BS61" s="613"/>
      <c r="BT61" s="614"/>
      <c r="BU61" s="614"/>
      <c r="BV61" s="615"/>
      <c r="BW61" s="615"/>
      <c r="BX61" s="616"/>
      <c r="BY61" s="679"/>
      <c r="BZ61" s="680"/>
      <c r="CA61" s="597"/>
      <c r="CB61" s="597"/>
      <c r="CC61" s="750"/>
      <c r="CD61" s="274"/>
      <c r="CE61" s="274"/>
      <c r="CF61" s="274"/>
      <c r="CG61" s="274"/>
      <c r="CH61" s="274"/>
      <c r="CI61" s="274"/>
      <c r="CJ61" s="274"/>
      <c r="CK61" s="751"/>
      <c r="CL61" s="751"/>
      <c r="CM61" s="752"/>
      <c r="CN61" s="752"/>
      <c r="CO61" s="751"/>
      <c r="CP61" s="751"/>
      <c r="CQ61" s="751"/>
      <c r="CR61" s="753"/>
      <c r="CS61" s="754"/>
      <c r="CT61" s="755"/>
      <c r="CU61" s="755"/>
      <c r="CV61" s="755"/>
      <c r="CW61" s="755"/>
      <c r="CX61" s="755"/>
      <c r="CY61" s="755"/>
      <c r="CZ61" s="755"/>
      <c r="DA61" s="755"/>
      <c r="DB61" s="755"/>
      <c r="DC61" s="755"/>
      <c r="DD61" s="756"/>
      <c r="DE61" s="755"/>
      <c r="DF61" s="755"/>
      <c r="DG61" s="757"/>
      <c r="DH61" s="758"/>
      <c r="DI61" s="657"/>
      <c r="DJ61" s="657"/>
      <c r="DK61" s="759"/>
      <c r="DL61" s="277"/>
      <c r="DM61" s="277"/>
      <c r="DN61" s="277"/>
      <c r="DO61" s="277"/>
      <c r="DP61" s="277"/>
      <c r="DQ61" s="277"/>
      <c r="DR61" s="277"/>
      <c r="DS61" s="277"/>
      <c r="DT61" s="277"/>
      <c r="DU61" s="277"/>
      <c r="DV61" s="277"/>
      <c r="DW61" s="277"/>
      <c r="DX61" s="277"/>
      <c r="DY61" s="277"/>
      <c r="DZ61" s="277"/>
      <c r="EA61" s="277"/>
      <c r="EB61" s="277"/>
      <c r="EC61" s="277"/>
      <c r="ED61" s="277"/>
      <c r="EE61" s="277"/>
      <c r="EF61" s="277"/>
      <c r="EG61" s="277"/>
      <c r="EH61" s="277"/>
      <c r="EI61" s="277"/>
      <c r="EJ61" s="277"/>
      <c r="EK61" s="277"/>
      <c r="EL61" s="277"/>
      <c r="EM61" s="277"/>
      <c r="EN61" s="277"/>
      <c r="EO61" s="604"/>
      <c r="EP61" s="605"/>
      <c r="EQ61" s="606"/>
      <c r="ER61" s="323"/>
      <c r="ES61" s="323"/>
      <c r="ET61" s="323"/>
      <c r="EU61" s="323"/>
      <c r="EV61" s="608"/>
      <c r="EW61" s="609"/>
      <c r="EX61" s="610"/>
      <c r="EY61" s="442"/>
      <c r="EZ61" s="440"/>
      <c r="FA61" s="441"/>
      <c r="FB61" s="442"/>
      <c r="FC61" s="440"/>
      <c r="FD61" s="441"/>
      <c r="FE61" s="443"/>
      <c r="FF61" s="440"/>
      <c r="FG61" s="441"/>
      <c r="FH61" s="443"/>
      <c r="FI61" s="440"/>
      <c r="FJ61" s="444"/>
      <c r="FK61" s="289"/>
      <c r="FL61" s="290"/>
      <c r="FM61" s="349"/>
      <c r="FN61" s="336"/>
      <c r="FO61" s="337"/>
      <c r="FP61" s="337"/>
      <c r="FQ61" s="337"/>
      <c r="FR61" s="337"/>
      <c r="FS61" s="337"/>
      <c r="FT61" s="337"/>
      <c r="FU61" s="337"/>
      <c r="FV61" s="339"/>
      <c r="FW61" s="337"/>
      <c r="FX61" s="339"/>
      <c r="FY61" s="337"/>
      <c r="FZ61" s="337"/>
      <c r="GA61" s="337"/>
      <c r="GB61" s="337"/>
      <c r="GC61" s="611"/>
      <c r="GD61" s="611"/>
      <c r="GE61" s="611"/>
      <c r="GF61" s="611"/>
      <c r="GG61" s="611"/>
      <c r="GH61" s="611"/>
      <c r="GI61" s="611"/>
      <c r="GJ61" s="611"/>
      <c r="GK61" s="611"/>
      <c r="GL61" s="611"/>
      <c r="GM61" s="611"/>
      <c r="GN61" s="611"/>
      <c r="GO61" s="611"/>
      <c r="GP61" s="611"/>
      <c r="GQ61" s="611"/>
      <c r="GR61" s="612"/>
      <c r="GS61" s="612"/>
      <c r="GT61" s="613"/>
      <c r="GU61" s="614"/>
      <c r="GV61" s="614"/>
      <c r="GW61" s="615"/>
      <c r="GX61" s="615"/>
      <c r="GY61" s="616"/>
      <c r="GZ61" s="596"/>
      <c r="HA61" s="597"/>
      <c r="HB61" s="597"/>
      <c r="HC61" s="597"/>
      <c r="HD61" s="750"/>
      <c r="HE61" s="274"/>
      <c r="HF61" s="274"/>
      <c r="HG61" s="274"/>
      <c r="HH61" s="274"/>
      <c r="HI61" s="274"/>
      <c r="HJ61" s="274"/>
      <c r="HK61" s="274"/>
      <c r="HL61" s="274"/>
      <c r="HM61" s="274"/>
      <c r="HN61" s="272"/>
      <c r="HO61" s="272"/>
      <c r="HP61" s="274"/>
      <c r="HQ61" s="274"/>
      <c r="HR61" s="274"/>
      <c r="HS61" s="275"/>
      <c r="HT61" s="750"/>
      <c r="HU61" s="274"/>
      <c r="HV61" s="274"/>
      <c r="HW61" s="274"/>
      <c r="HX61" s="274"/>
      <c r="HY61" s="274"/>
      <c r="HZ61" s="274"/>
      <c r="IA61" s="274"/>
      <c r="IB61" s="274"/>
      <c r="IC61" s="274"/>
      <c r="ID61" s="274"/>
      <c r="IE61" s="274"/>
      <c r="IF61" s="272"/>
      <c r="IG61" s="274"/>
      <c r="IH61" s="275"/>
      <c r="II61" s="750"/>
      <c r="IJ61" s="274"/>
      <c r="IK61" s="274"/>
      <c r="IL61" s="276"/>
      <c r="IM61" s="277"/>
      <c r="IN61" s="277"/>
      <c r="IO61" s="333"/>
      <c r="IP61" s="334"/>
      <c r="IQ61" s="541"/>
      <c r="IR61" s="542"/>
      <c r="IS61" s="543"/>
      <c r="IT61" s="543"/>
      <c r="IU61" s="543"/>
      <c r="IV61" s="543"/>
      <c r="IW61" s="543"/>
      <c r="IX61" s="544"/>
      <c r="IY61" s="544"/>
      <c r="IZ61" s="543"/>
      <c r="JA61" s="543"/>
      <c r="JB61" s="543"/>
      <c r="JC61" s="543"/>
      <c r="JD61" s="545"/>
      <c r="JE61" s="545"/>
      <c r="JF61" s="546"/>
      <c r="JG61" s="503"/>
      <c r="JH61" s="506"/>
      <c r="JO61" s="507"/>
      <c r="JP61" s="508"/>
      <c r="JQ61" s="508"/>
      <c r="JR61" s="508"/>
      <c r="JS61" s="508"/>
      <c r="JT61" s="508"/>
      <c r="JU61" s="508"/>
      <c r="JV61" s="508"/>
      <c r="JW61" s="508"/>
      <c r="JX61" s="508"/>
      <c r="JY61" s="508"/>
      <c r="JZ61" s="508"/>
      <c r="KA61" s="508"/>
      <c r="KB61" s="508"/>
      <c r="KC61" s="508"/>
      <c r="KD61" s="508"/>
      <c r="KE61" s="508"/>
      <c r="KF61" s="508"/>
      <c r="KG61" s="508"/>
      <c r="KH61" s="508"/>
      <c r="KI61" s="508"/>
      <c r="KJ61" s="508"/>
      <c r="KK61" s="508"/>
      <c r="KL61" s="508"/>
      <c r="KM61" s="508"/>
      <c r="KN61" s="508"/>
      <c r="KO61" s="508"/>
      <c r="KP61" s="508"/>
      <c r="KQ61" s="508"/>
      <c r="KR61" s="508"/>
      <c r="KS61" s="508"/>
      <c r="KT61" s="508"/>
      <c r="KU61" s="508"/>
      <c r="KV61" s="508"/>
      <c r="KW61" s="509"/>
      <c r="KX61" s="277"/>
      <c r="KY61" s="277"/>
    </row>
    <row r="62" spans="1:398" ht="40" customHeight="1">
      <c r="B62" s="299"/>
      <c r="C62" s="241"/>
      <c r="D62" s="378">
        <v>9</v>
      </c>
      <c r="E62" s="379">
        <v>90</v>
      </c>
      <c r="F62" s="380" t="s">
        <v>340</v>
      </c>
      <c r="G62" s="381"/>
      <c r="H62" s="381"/>
      <c r="I62" s="381"/>
      <c r="J62" s="381"/>
      <c r="K62" s="381"/>
      <c r="L62" s="381"/>
      <c r="M62" s="383"/>
      <c r="N62" s="384"/>
      <c r="O62" s="384"/>
      <c r="P62" s="383"/>
      <c r="Q62" s="384"/>
      <c r="R62" s="384"/>
      <c r="S62" s="384"/>
      <c r="T62" s="384"/>
      <c r="U62" s="385"/>
      <c r="V62" s="378"/>
      <c r="W62" s="378"/>
      <c r="X62" s="378"/>
      <c r="Y62" s="378"/>
      <c r="Z62" s="378"/>
      <c r="AA62" s="630" t="s">
        <v>341</v>
      </c>
      <c r="AB62" s="463" t="s">
        <v>287</v>
      </c>
      <c r="AC62" s="464">
        <v>104</v>
      </c>
      <c r="AD62" s="760">
        <f>SUM(AC62,AC63)</f>
        <v>104</v>
      </c>
      <c r="AE62" s="641"/>
      <c r="AF62" s="641"/>
      <c r="AG62" s="731">
        <f>'[1]0090_名古屋観光ホテル　別紙1-1'!M36</f>
        <v>8879047.1000000015</v>
      </c>
      <c r="AH62" s="761"/>
      <c r="AI62" s="761"/>
      <c r="AJ62" s="761"/>
      <c r="AK62" s="551">
        <f>$AK$4</f>
        <v>26106</v>
      </c>
      <c r="AL62" s="552">
        <v>0.83</v>
      </c>
      <c r="AM62" s="551">
        <f>$AM$4</f>
        <v>24690</v>
      </c>
      <c r="AN62" s="468" t="s">
        <v>308</v>
      </c>
      <c r="AO62" s="551">
        <f>$AO$4</f>
        <v>2373</v>
      </c>
      <c r="AP62" s="732">
        <f>'[1]0090_名古屋観光ホテル　別紙1-1'!K34</f>
        <v>100</v>
      </c>
      <c r="AQ62" s="732">
        <f>'[1]0090_名古屋観光ホテル　別紙1-1'!AF34</f>
        <v>149</v>
      </c>
      <c r="AR62" s="733"/>
      <c r="AS62" s="394"/>
      <c r="AT62" s="390"/>
      <c r="AU62" s="394"/>
      <c r="AV62" s="390"/>
      <c r="AW62" s="390"/>
      <c r="AX62" s="390">
        <f>'[1]0090_名古屋観光ホテル　別紙1-2'!N37</f>
        <v>7240591.6000000006</v>
      </c>
      <c r="AY62" s="390">
        <f>'[1]0090_名古屋観光ホテル　別紙1-2'!I34</f>
        <v>3</v>
      </c>
      <c r="AZ62" s="734">
        <f>'[1]0090_名古屋観光ホテル　別紙1-1'!C38</f>
        <v>123316047</v>
      </c>
      <c r="BA62" s="734">
        <f>'[1]0090_名古屋観光ホテル　別紙1-2'!O35</f>
        <v>108608874.00000001</v>
      </c>
      <c r="BB62" s="734"/>
      <c r="BC62" s="734"/>
      <c r="BD62" s="478">
        <f>AK62*DM62*0.6</f>
        <v>19548172.800000001</v>
      </c>
      <c r="BE62" s="478">
        <f>BD62-21000*DM62*0.6</f>
        <v>3823372.8000000007</v>
      </c>
      <c r="BF62" s="478">
        <f>AM62*DM62*0.4</f>
        <v>12325248</v>
      </c>
      <c r="BG62" s="478">
        <f>BF62-0</f>
        <v>12325248</v>
      </c>
      <c r="BH62" s="478">
        <f>AO62*DM62*0.3</f>
        <v>888451.2</v>
      </c>
      <c r="BI62" s="734"/>
      <c r="BJ62" s="734"/>
      <c r="BK62" s="735">
        <f>BM62*5000*BX62</f>
        <v>350000</v>
      </c>
      <c r="BL62" s="735">
        <f>1800000*BN62*BX62</f>
        <v>0</v>
      </c>
      <c r="BM62" s="736">
        <v>5</v>
      </c>
      <c r="BN62" s="736">
        <f>GQ62</f>
        <v>0</v>
      </c>
      <c r="BO62" s="737"/>
      <c r="BP62" s="481">
        <f>SUM(AZ62,BA62,BI62,BO62)</f>
        <v>231924921</v>
      </c>
      <c r="BQ62" s="737"/>
      <c r="BR62" s="738"/>
      <c r="BS62" s="739"/>
      <c r="BT62" s="740"/>
      <c r="BU62" s="740"/>
      <c r="BV62" s="666">
        <f>IFERROR(INDEX($BY$9:$DH$9, MATCH("準備", BY62:DK62, 0)), "")</f>
        <v>46286</v>
      </c>
      <c r="BW62" s="667" cm="1">
        <f t="array" ref="BW62">IF(COUNTIF(BY62:DK62,"*撤去*")=0,"",INDEX(BY$9:DK$9,1,MAX(IF(CC62:DK62="撤去",COLUMN(CC62:DK62)-COLUMN(BY62)+1))))</f>
        <v>46300</v>
      </c>
      <c r="BX62" s="663">
        <f>BW62-BV62</f>
        <v>14</v>
      </c>
      <c r="BY62" s="741"/>
      <c r="BZ62" s="742"/>
      <c r="CA62" s="557"/>
      <c r="CB62" s="557"/>
      <c r="CC62" s="743"/>
      <c r="CD62" s="599"/>
      <c r="CE62" s="599"/>
      <c r="CF62" s="599"/>
      <c r="CG62" s="599"/>
      <c r="CH62" s="599"/>
      <c r="CI62" s="599"/>
      <c r="CJ62" s="599"/>
      <c r="CK62" s="744"/>
      <c r="CL62" s="744"/>
      <c r="CM62" s="745"/>
      <c r="CN62" s="745"/>
      <c r="CO62" s="744"/>
      <c r="CP62" s="744"/>
      <c r="CQ62" s="744"/>
      <c r="CR62" s="746"/>
      <c r="CS62" s="747"/>
      <c r="CT62" s="400" t="s">
        <v>177</v>
      </c>
      <c r="CU62" s="400" t="s">
        <v>177</v>
      </c>
      <c r="CV62" s="744">
        <v>104</v>
      </c>
      <c r="CW62" s="744">
        <v>104</v>
      </c>
      <c r="CX62" s="744">
        <v>104</v>
      </c>
      <c r="CY62" s="744">
        <v>104</v>
      </c>
      <c r="CZ62" s="744">
        <v>104</v>
      </c>
      <c r="DA62" s="744">
        <v>104</v>
      </c>
      <c r="DB62" s="744">
        <v>104</v>
      </c>
      <c r="DC62" s="744">
        <v>104</v>
      </c>
      <c r="DD62" s="745">
        <v>104</v>
      </c>
      <c r="DE62" s="744">
        <v>104</v>
      </c>
      <c r="DF62" s="744">
        <v>104</v>
      </c>
      <c r="DG62" s="748">
        <v>104</v>
      </c>
      <c r="DH62" s="603" t="s">
        <v>178</v>
      </c>
      <c r="DI62" s="762"/>
      <c r="DJ62" s="762"/>
      <c r="DK62" s="749"/>
      <c r="DL62" s="277"/>
      <c r="DM62" s="277" cm="1">
        <f t="array" ref="DM62">SUM(IF(ISNUMBER($BY62:$DK62),$BY62:$DK62, 0))</f>
        <v>1248</v>
      </c>
      <c r="DN62" s="559"/>
      <c r="DO62" s="277">
        <f>DM62*(BX62)/(BX62+1)</f>
        <v>1164.8</v>
      </c>
      <c r="DP62" s="277"/>
      <c r="DQ62" s="277"/>
      <c r="DR62" s="277"/>
      <c r="DS62" s="277"/>
      <c r="DT62" s="277"/>
      <c r="DU62" s="277"/>
      <c r="DV62" s="277"/>
      <c r="DW62" s="277"/>
      <c r="DX62" s="277"/>
      <c r="DY62" s="277"/>
      <c r="DZ62" s="277"/>
      <c r="EA62" s="277"/>
      <c r="EB62" s="277"/>
      <c r="EC62" s="277"/>
      <c r="ED62" s="277"/>
      <c r="EE62" s="277"/>
      <c r="EF62" s="277"/>
      <c r="EG62" s="277"/>
      <c r="EH62" s="277"/>
      <c r="EI62" s="277"/>
      <c r="EJ62" s="277"/>
      <c r="EK62" s="277"/>
      <c r="EL62" s="277"/>
      <c r="EM62" s="277"/>
      <c r="EN62" s="277"/>
      <c r="EO62" s="604"/>
      <c r="EP62" s="605"/>
      <c r="EQ62" s="606"/>
      <c r="ER62" s="323"/>
      <c r="ES62" s="323"/>
      <c r="ET62" s="323"/>
      <c r="EU62" s="323"/>
      <c r="EV62" s="608"/>
      <c r="EW62" s="609"/>
      <c r="EX62" s="610"/>
      <c r="EY62" s="442"/>
      <c r="EZ62" s="440"/>
      <c r="FA62" s="441"/>
      <c r="FB62" s="442"/>
      <c r="FC62" s="440"/>
      <c r="FD62" s="441"/>
      <c r="FE62" s="443"/>
      <c r="FF62" s="440"/>
      <c r="FG62" s="441"/>
      <c r="FH62" s="443"/>
      <c r="FI62" s="440"/>
      <c r="FJ62" s="444"/>
      <c r="FK62" s="289"/>
      <c r="FL62" s="290"/>
      <c r="FM62" s="349"/>
      <c r="FN62" s="336"/>
      <c r="FO62" s="337"/>
      <c r="FP62" s="337"/>
      <c r="FQ62" s="337"/>
      <c r="FR62" s="337"/>
      <c r="FS62" s="337"/>
      <c r="FT62" s="337"/>
      <c r="FU62" s="337"/>
      <c r="FV62" s="339"/>
      <c r="FW62" s="337"/>
      <c r="FX62" s="339"/>
      <c r="FY62" s="337"/>
      <c r="FZ62" s="337"/>
      <c r="GA62" s="337"/>
      <c r="GB62" s="337"/>
      <c r="GC62" s="611"/>
      <c r="GD62" s="611"/>
      <c r="GE62" s="611"/>
      <c r="GF62" s="611"/>
      <c r="GG62" s="611"/>
      <c r="GH62" s="611"/>
      <c r="GI62" s="611"/>
      <c r="GJ62" s="611"/>
      <c r="GK62" s="611"/>
      <c r="GL62" s="611"/>
      <c r="GM62" s="611"/>
      <c r="GN62" s="611"/>
      <c r="GO62" s="611"/>
      <c r="GP62" s="611"/>
      <c r="GQ62" s="611"/>
      <c r="GR62" s="612"/>
      <c r="GS62" s="612"/>
      <c r="GT62" s="613"/>
      <c r="GU62" s="614"/>
      <c r="GV62" s="614"/>
      <c r="GW62" s="615"/>
      <c r="GX62" s="615"/>
      <c r="GY62" s="616"/>
      <c r="GZ62" s="596"/>
      <c r="HA62" s="597"/>
      <c r="HB62" s="597"/>
      <c r="HC62" s="597"/>
      <c r="HD62" s="750"/>
      <c r="HE62" s="274"/>
      <c r="HF62" s="274"/>
      <c r="HG62" s="274"/>
      <c r="HH62" s="274"/>
      <c r="HI62" s="274"/>
      <c r="HJ62" s="274"/>
      <c r="HK62" s="274"/>
      <c r="HL62" s="274"/>
      <c r="HM62" s="274"/>
      <c r="HN62" s="272"/>
      <c r="HO62" s="272"/>
      <c r="HP62" s="274"/>
      <c r="HQ62" s="274"/>
      <c r="HR62" s="274"/>
      <c r="HS62" s="275"/>
      <c r="HT62" s="750"/>
      <c r="HU62" s="274"/>
      <c r="HV62" s="274"/>
      <c r="HW62" s="274"/>
      <c r="HX62" s="274"/>
      <c r="HY62" s="274"/>
      <c r="HZ62" s="274"/>
      <c r="IA62" s="274"/>
      <c r="IB62" s="274"/>
      <c r="IC62" s="274"/>
      <c r="ID62" s="274"/>
      <c r="IE62" s="274"/>
      <c r="IF62" s="272"/>
      <c r="IG62" s="274"/>
      <c r="IH62" s="275"/>
      <c r="II62" s="750"/>
      <c r="IJ62" s="274"/>
      <c r="IK62" s="274"/>
      <c r="IL62" s="276"/>
      <c r="IM62" s="277"/>
      <c r="IN62" s="277"/>
      <c r="IO62" s="333"/>
      <c r="IP62" s="334"/>
      <c r="IQ62" s="541"/>
      <c r="IR62" s="542"/>
      <c r="IS62" s="543"/>
      <c r="IT62" s="543"/>
      <c r="IU62" s="543"/>
      <c r="IV62" s="543"/>
      <c r="IW62" s="543"/>
      <c r="IX62" s="544"/>
      <c r="IY62" s="544"/>
      <c r="IZ62" s="543"/>
      <c r="JA62" s="543"/>
      <c r="JB62" s="543"/>
      <c r="JC62" s="543"/>
      <c r="JD62" s="545"/>
      <c r="JE62" s="545"/>
      <c r="JF62" s="546"/>
      <c r="JG62" s="503"/>
      <c r="JH62" s="506"/>
      <c r="JO62" s="507"/>
      <c r="JP62" s="508"/>
      <c r="JQ62" s="508"/>
      <c r="JR62" s="508"/>
      <c r="JS62" s="508"/>
      <c r="JT62" s="508"/>
      <c r="JU62" s="508"/>
      <c r="JV62" s="508"/>
      <c r="JW62" s="508"/>
      <c r="JX62" s="508"/>
      <c r="JY62" s="508"/>
      <c r="JZ62" s="508"/>
      <c r="KA62" s="508"/>
      <c r="KB62" s="508"/>
      <c r="KC62" s="508"/>
      <c r="KD62" s="508"/>
      <c r="KE62" s="508"/>
      <c r="KF62" s="508"/>
      <c r="KG62" s="508"/>
      <c r="KH62" s="508"/>
      <c r="KI62" s="508"/>
      <c r="KJ62" s="508"/>
      <c r="KK62" s="508"/>
      <c r="KL62" s="508"/>
      <c r="KM62" s="508"/>
      <c r="KN62" s="508"/>
      <c r="KO62" s="508"/>
      <c r="KP62" s="508"/>
      <c r="KQ62" s="508"/>
      <c r="KR62" s="508"/>
      <c r="KS62" s="508"/>
      <c r="KT62" s="508"/>
      <c r="KU62" s="508"/>
      <c r="KV62" s="508"/>
      <c r="KW62" s="509"/>
      <c r="KX62" s="277"/>
      <c r="KY62" s="277"/>
    </row>
    <row r="63" spans="1:398" ht="40" customHeight="1">
      <c r="B63" s="299"/>
      <c r="C63" s="241"/>
      <c r="D63" s="445"/>
      <c r="E63" s="510"/>
      <c r="F63" s="511"/>
      <c r="G63" s="512"/>
      <c r="H63" s="512"/>
      <c r="I63" s="512"/>
      <c r="J63" s="512"/>
      <c r="K63" s="512"/>
      <c r="L63" s="512"/>
      <c r="M63" s="513"/>
      <c r="N63" s="514"/>
      <c r="O63" s="514"/>
      <c r="P63" s="513"/>
      <c r="Q63" s="514"/>
      <c r="R63" s="514"/>
      <c r="S63" s="514"/>
      <c r="T63" s="514"/>
      <c r="U63" s="515"/>
      <c r="V63" s="445"/>
      <c r="W63" s="445"/>
      <c r="X63" s="445"/>
      <c r="Y63" s="445"/>
      <c r="Z63" s="445"/>
      <c r="AA63" s="763"/>
      <c r="AB63" s="764"/>
      <c r="AC63" s="765"/>
      <c r="AD63" s="766"/>
      <c r="AE63" s="656"/>
      <c r="AF63" s="656"/>
      <c r="AG63" s="656"/>
      <c r="AH63" s="656"/>
      <c r="AI63" s="656"/>
      <c r="AJ63" s="656"/>
      <c r="AK63" s="656"/>
      <c r="AL63" s="656"/>
      <c r="AM63" s="656"/>
      <c r="AN63" s="656"/>
      <c r="AO63" s="656"/>
      <c r="AP63" s="656"/>
      <c r="AQ63" s="656"/>
      <c r="AR63" s="656"/>
      <c r="AS63" s="767"/>
      <c r="AT63" s="656"/>
      <c r="AU63" s="767"/>
      <c r="AV63" s="656"/>
      <c r="AW63" s="656"/>
      <c r="AX63" s="656"/>
      <c r="AY63" s="656"/>
      <c r="AZ63" s="768"/>
      <c r="BA63" s="768"/>
      <c r="BB63" s="768"/>
      <c r="BC63" s="768"/>
      <c r="BD63" s="768"/>
      <c r="BE63" s="768"/>
      <c r="BF63" s="768"/>
      <c r="BG63" s="768"/>
      <c r="BH63" s="768"/>
      <c r="BI63" s="768"/>
      <c r="BJ63" s="768"/>
      <c r="BK63" s="768"/>
      <c r="BL63" s="768"/>
      <c r="BM63" s="768"/>
      <c r="BN63" s="768"/>
      <c r="BO63" s="769"/>
      <c r="BP63" s="769"/>
      <c r="BQ63" s="769"/>
      <c r="BR63" s="770"/>
      <c r="BS63" s="771"/>
      <c r="BT63" s="772"/>
      <c r="BU63" s="772"/>
      <c r="BV63" s="773"/>
      <c r="BW63" s="773"/>
      <c r="BX63" s="774"/>
      <c r="BY63" s="775"/>
      <c r="BZ63" s="776"/>
      <c r="CA63" s="777"/>
      <c r="CB63" s="777"/>
      <c r="CC63" s="778"/>
      <c r="CD63" s="779"/>
      <c r="CE63" s="779"/>
      <c r="CF63" s="779"/>
      <c r="CG63" s="779"/>
      <c r="CH63" s="779"/>
      <c r="CI63" s="779"/>
      <c r="CJ63" s="779"/>
      <c r="CK63" s="780"/>
      <c r="CL63" s="780"/>
      <c r="CM63" s="781"/>
      <c r="CN63" s="781"/>
      <c r="CO63" s="780"/>
      <c r="CP63" s="780"/>
      <c r="CQ63" s="780"/>
      <c r="CR63" s="782"/>
      <c r="CS63" s="783"/>
      <c r="CT63" s="784"/>
      <c r="CU63" s="784"/>
      <c r="CV63" s="784"/>
      <c r="CW63" s="784"/>
      <c r="CX63" s="784"/>
      <c r="CY63" s="784"/>
      <c r="CZ63" s="784"/>
      <c r="DA63" s="784"/>
      <c r="DB63" s="784"/>
      <c r="DC63" s="784"/>
      <c r="DD63" s="785"/>
      <c r="DE63" s="784"/>
      <c r="DF63" s="784"/>
      <c r="DG63" s="786"/>
      <c r="DH63" s="787"/>
      <c r="DI63" s="788"/>
      <c r="DJ63" s="788"/>
      <c r="DK63" s="789"/>
      <c r="DL63" s="277"/>
      <c r="DM63" s="277"/>
      <c r="DN63" s="277"/>
      <c r="DO63" s="277"/>
      <c r="DP63" s="277"/>
      <c r="DQ63" s="277"/>
      <c r="DR63" s="277"/>
      <c r="DS63" s="277"/>
      <c r="DT63" s="277"/>
      <c r="DU63" s="277"/>
      <c r="DV63" s="277"/>
      <c r="DW63" s="277"/>
      <c r="DX63" s="277"/>
      <c r="DY63" s="277"/>
      <c r="DZ63" s="277"/>
      <c r="EA63" s="277"/>
      <c r="EB63" s="277"/>
      <c r="EC63" s="277"/>
      <c r="ED63" s="277"/>
      <c r="EE63" s="277"/>
      <c r="EF63" s="277"/>
      <c r="EG63" s="277"/>
      <c r="EH63" s="277"/>
      <c r="EI63" s="277"/>
      <c r="EJ63" s="277"/>
      <c r="EK63" s="277"/>
      <c r="EL63" s="277"/>
      <c r="EM63" s="277"/>
      <c r="EN63" s="277"/>
      <c r="EO63" s="604"/>
      <c r="EP63" s="605"/>
      <c r="EQ63" s="606"/>
      <c r="ER63" s="323"/>
      <c r="ES63" s="323"/>
      <c r="ET63" s="323"/>
      <c r="EU63" s="323"/>
      <c r="EV63" s="608"/>
      <c r="EW63" s="609"/>
      <c r="EX63" s="610"/>
      <c r="EY63" s="442"/>
      <c r="EZ63" s="440"/>
      <c r="FA63" s="441"/>
      <c r="FB63" s="442"/>
      <c r="FC63" s="440"/>
      <c r="FD63" s="441"/>
      <c r="FE63" s="443"/>
      <c r="FF63" s="440"/>
      <c r="FG63" s="441"/>
      <c r="FH63" s="443"/>
      <c r="FI63" s="440"/>
      <c r="FJ63" s="444"/>
      <c r="FK63" s="289"/>
      <c r="FL63" s="290"/>
      <c r="FM63" s="349"/>
      <c r="FN63" s="336"/>
      <c r="FO63" s="337"/>
      <c r="FP63" s="337"/>
      <c r="FQ63" s="337"/>
      <c r="FR63" s="337"/>
      <c r="FS63" s="337"/>
      <c r="FT63" s="337"/>
      <c r="FU63" s="337"/>
      <c r="FV63" s="339"/>
      <c r="FW63" s="337"/>
      <c r="FX63" s="339"/>
      <c r="FY63" s="337"/>
      <c r="FZ63" s="337"/>
      <c r="GA63" s="337"/>
      <c r="GB63" s="337"/>
      <c r="GC63" s="611"/>
      <c r="GD63" s="611"/>
      <c r="GE63" s="611"/>
      <c r="GF63" s="611"/>
      <c r="GG63" s="611"/>
      <c r="GH63" s="611"/>
      <c r="GI63" s="611"/>
      <c r="GJ63" s="611"/>
      <c r="GK63" s="611"/>
      <c r="GL63" s="611"/>
      <c r="GM63" s="611"/>
      <c r="GN63" s="611"/>
      <c r="GO63" s="611"/>
      <c r="GP63" s="611"/>
      <c r="GQ63" s="611"/>
      <c r="GR63" s="612"/>
      <c r="GS63" s="612"/>
      <c r="GT63" s="613"/>
      <c r="GU63" s="614"/>
      <c r="GV63" s="614"/>
      <c r="GW63" s="615"/>
      <c r="GX63" s="615"/>
      <c r="GY63" s="616"/>
      <c r="GZ63" s="596"/>
      <c r="HA63" s="597"/>
      <c r="HB63" s="597"/>
      <c r="HC63" s="597"/>
      <c r="HD63" s="750"/>
      <c r="HE63" s="274"/>
      <c r="HF63" s="274"/>
      <c r="HG63" s="274"/>
      <c r="HH63" s="274"/>
      <c r="HI63" s="274"/>
      <c r="HJ63" s="274"/>
      <c r="HK63" s="274"/>
      <c r="HL63" s="274"/>
      <c r="HM63" s="274"/>
      <c r="HN63" s="272"/>
      <c r="HO63" s="272"/>
      <c r="HP63" s="274"/>
      <c r="HQ63" s="274"/>
      <c r="HR63" s="274"/>
      <c r="HS63" s="275"/>
      <c r="HT63" s="750"/>
      <c r="HU63" s="274"/>
      <c r="HV63" s="274"/>
      <c r="HW63" s="274"/>
      <c r="HX63" s="274"/>
      <c r="HY63" s="274"/>
      <c r="HZ63" s="274"/>
      <c r="IA63" s="274"/>
      <c r="IB63" s="274"/>
      <c r="IC63" s="274"/>
      <c r="ID63" s="274"/>
      <c r="IE63" s="274"/>
      <c r="IF63" s="272"/>
      <c r="IG63" s="274"/>
      <c r="IH63" s="275"/>
      <c r="II63" s="750"/>
      <c r="IJ63" s="274"/>
      <c r="IK63" s="274"/>
      <c r="IL63" s="276"/>
      <c r="IM63" s="277"/>
      <c r="IN63" s="277"/>
      <c r="IO63" s="333"/>
      <c r="IP63" s="334"/>
      <c r="IQ63" s="541"/>
      <c r="IR63" s="542"/>
      <c r="IS63" s="543"/>
      <c r="IT63" s="543"/>
      <c r="IU63" s="543"/>
      <c r="IV63" s="543"/>
      <c r="IW63" s="543"/>
      <c r="IX63" s="544"/>
      <c r="IY63" s="544"/>
      <c r="IZ63" s="543"/>
      <c r="JA63" s="543"/>
      <c r="JB63" s="543"/>
      <c r="JC63" s="543"/>
      <c r="JD63" s="545"/>
      <c r="JE63" s="545"/>
      <c r="JF63" s="546"/>
      <c r="JG63" s="503"/>
      <c r="JH63" s="506"/>
      <c r="JO63" s="507"/>
      <c r="JP63" s="508"/>
      <c r="JQ63" s="508"/>
      <c r="JR63" s="508"/>
      <c r="JS63" s="508"/>
      <c r="JT63" s="508"/>
      <c r="JU63" s="508"/>
      <c r="JV63" s="508"/>
      <c r="JW63" s="508"/>
      <c r="JX63" s="508"/>
      <c r="JY63" s="508"/>
      <c r="JZ63" s="508"/>
      <c r="KA63" s="508"/>
      <c r="KB63" s="508"/>
      <c r="KC63" s="508"/>
      <c r="KD63" s="508"/>
      <c r="KE63" s="508"/>
      <c r="KF63" s="508"/>
      <c r="KG63" s="508"/>
      <c r="KH63" s="508"/>
      <c r="KI63" s="508"/>
      <c r="KJ63" s="508"/>
      <c r="KK63" s="508"/>
      <c r="KL63" s="508"/>
      <c r="KM63" s="508"/>
      <c r="KN63" s="508"/>
      <c r="KO63" s="508"/>
      <c r="KP63" s="508"/>
      <c r="KQ63" s="508"/>
      <c r="KR63" s="508"/>
      <c r="KS63" s="508"/>
      <c r="KT63" s="508"/>
      <c r="KU63" s="508"/>
      <c r="KV63" s="508"/>
      <c r="KW63" s="509"/>
      <c r="KX63" s="277"/>
      <c r="KY63" s="277"/>
    </row>
    <row r="64" spans="1:398" ht="40" customHeight="1">
      <c r="B64" s="299"/>
      <c r="C64" s="241"/>
      <c r="D64" s="242">
        <v>10</v>
      </c>
      <c r="E64" s="243">
        <v>40</v>
      </c>
      <c r="F64" s="244" t="s">
        <v>342</v>
      </c>
      <c r="G64" s="246"/>
      <c r="H64" s="246"/>
      <c r="I64" s="246"/>
      <c r="J64" s="246"/>
      <c r="K64" s="246"/>
      <c r="L64" s="246"/>
      <c r="M64" s="300"/>
      <c r="N64" s="251"/>
      <c r="O64" s="251"/>
      <c r="P64" s="300"/>
      <c r="Q64" s="251"/>
      <c r="R64" s="251"/>
      <c r="S64" s="251"/>
      <c r="T64" s="251"/>
      <c r="U64" s="301"/>
      <c r="V64" s="242"/>
      <c r="W64" s="242"/>
      <c r="X64" s="242"/>
      <c r="Y64" s="242"/>
      <c r="Z64" s="242"/>
      <c r="AA64" s="604" t="s">
        <v>337</v>
      </c>
      <c r="AB64" s="617" t="s">
        <v>343</v>
      </c>
      <c r="AC64" s="618">
        <v>178</v>
      </c>
      <c r="AD64" s="790">
        <f>SUM(AC64,AC65)</f>
        <v>379</v>
      </c>
      <c r="AE64" s="337"/>
      <c r="AF64" s="337"/>
      <c r="AG64" s="731">
        <f>'[1]0040_名古屋マリオット　別紙1-1'!M25</f>
        <v>13455734.600000001</v>
      </c>
      <c r="AH64" s="761"/>
      <c r="AI64" s="761"/>
      <c r="AJ64" s="761"/>
      <c r="AK64" s="732">
        <v>42900</v>
      </c>
      <c r="AL64" s="732"/>
      <c r="AM64" s="732">
        <v>33550</v>
      </c>
      <c r="AN64" s="732"/>
      <c r="AO64" s="732">
        <v>2750</v>
      </c>
      <c r="AP64" s="732">
        <f>'[1]0040_名古屋マリオット　別紙1-1'!K23</f>
        <v>162</v>
      </c>
      <c r="AQ64" s="732">
        <f>'[1]0040_名古屋マリオット　別紙1-1'!AF23</f>
        <v>260</v>
      </c>
      <c r="AR64" s="733"/>
      <c r="AS64" s="263"/>
      <c r="AT64" s="258"/>
      <c r="AU64" s="263"/>
      <c r="AV64" s="258"/>
      <c r="AW64" s="258"/>
      <c r="AX64" s="258">
        <f>'[1]0040_名古屋マリオット　別紙1-2'!N30</f>
        <v>202400.00000000003</v>
      </c>
      <c r="AY64" s="258">
        <f>'[1]0040_名古屋マリオット　別紙1-2'!I27</f>
        <v>3</v>
      </c>
      <c r="AZ64" s="791">
        <f>'[1]0040_名古屋マリオット　別紙1-1'!C27</f>
        <v>319020523</v>
      </c>
      <c r="BA64" s="791">
        <f>'[1]0040_名古屋マリオット　別紙1-2'!O28</f>
        <v>7590000.0000000009</v>
      </c>
      <c r="BB64" s="791"/>
      <c r="BC64" s="791"/>
      <c r="BD64" s="792">
        <v>72202416</v>
      </c>
      <c r="BE64" s="792"/>
      <c r="BF64" s="792">
        <v>50962450.000000007</v>
      </c>
      <c r="BG64" s="792">
        <v>0</v>
      </c>
      <c r="BH64" s="792">
        <v>2970000.0000000005</v>
      </c>
      <c r="BI64" s="791"/>
      <c r="BJ64" s="791"/>
      <c r="BK64" s="735">
        <f>BM64*5000*BX64</f>
        <v>575000</v>
      </c>
      <c r="BL64" s="735">
        <f>1800000*BN64*BX64</f>
        <v>0</v>
      </c>
      <c r="BM64" s="736">
        <v>5</v>
      </c>
      <c r="BN64" s="736">
        <f>GQ64</f>
        <v>0</v>
      </c>
      <c r="BO64" s="793"/>
      <c r="BP64" s="481">
        <f>SUM(AZ64,BA64,BI64,BO64)</f>
        <v>326610523</v>
      </c>
      <c r="BQ64" s="793"/>
      <c r="BR64" s="794"/>
      <c r="BS64" s="795"/>
      <c r="BT64" s="796"/>
      <c r="BU64" s="796"/>
      <c r="BV64" s="666">
        <f>IFERROR(INDEX($BY$9:$DH$9, MATCH("準備", BY64:DK64, 0)), "")</f>
        <v>46277</v>
      </c>
      <c r="BW64" s="667" cm="1">
        <f t="array" ref="BW64">IF(COUNTIF(BY64:DK64,"*撤去*")=0,"",INDEX(BY$9:DK$9,1,MAX(IF(CC64:DK64="撤去",COLUMN(CC64:DK64)-COLUMN(BY64)+1))))</f>
        <v>46300</v>
      </c>
      <c r="BX64" s="663">
        <f>BW64-BV64</f>
        <v>23</v>
      </c>
      <c r="BY64" s="679"/>
      <c r="BZ64" s="680"/>
      <c r="CA64" s="597"/>
      <c r="CB64" s="597"/>
      <c r="CC64" s="750"/>
      <c r="CD64" s="274"/>
      <c r="CE64" s="274"/>
      <c r="CF64" s="274"/>
      <c r="CG64" s="274"/>
      <c r="CH64" s="599"/>
      <c r="CI64" s="599"/>
      <c r="CJ64" s="599"/>
      <c r="CK64" s="400" t="s">
        <v>177</v>
      </c>
      <c r="CL64" s="400" t="s">
        <v>177</v>
      </c>
      <c r="CM64" s="745">
        <v>178</v>
      </c>
      <c r="CN64" s="745">
        <v>178</v>
      </c>
      <c r="CO64" s="744">
        <v>178</v>
      </c>
      <c r="CP64" s="744">
        <v>178</v>
      </c>
      <c r="CQ64" s="744">
        <v>178</v>
      </c>
      <c r="CR64" s="746">
        <v>178</v>
      </c>
      <c r="CS64" s="747">
        <v>178</v>
      </c>
      <c r="CT64" s="744">
        <v>178</v>
      </c>
      <c r="CU64" s="744">
        <v>178</v>
      </c>
      <c r="CV64" s="744">
        <v>201</v>
      </c>
      <c r="CW64" s="744">
        <v>201</v>
      </c>
      <c r="CX64" s="744">
        <v>201</v>
      </c>
      <c r="CY64" s="744">
        <v>201</v>
      </c>
      <c r="CZ64" s="744">
        <v>201</v>
      </c>
      <c r="DA64" s="744">
        <v>201</v>
      </c>
      <c r="DB64" s="744">
        <v>201</v>
      </c>
      <c r="DC64" s="744">
        <v>201</v>
      </c>
      <c r="DD64" s="745">
        <v>201</v>
      </c>
      <c r="DE64" s="744">
        <v>201</v>
      </c>
      <c r="DF64" s="744">
        <v>201</v>
      </c>
      <c r="DG64" s="748">
        <v>201</v>
      </c>
      <c r="DH64" s="603" t="s">
        <v>178</v>
      </c>
      <c r="DI64" s="657"/>
      <c r="DJ64" s="657"/>
      <c r="DK64" s="759"/>
      <c r="DL64" s="277"/>
      <c r="DM64" s="277" cm="1">
        <f t="array" ref="DM64">SUM(IF(ISNUMBER($BY64:$DK64),$BY64:$DK64, 0))</f>
        <v>4014</v>
      </c>
      <c r="DN64" s="559"/>
      <c r="DO64" s="277">
        <f>DM64*(BX64)/(BX64+1)</f>
        <v>3846.75</v>
      </c>
      <c r="DP64" s="277"/>
      <c r="DQ64" s="277"/>
      <c r="DR64" s="277"/>
      <c r="DS64" s="277"/>
      <c r="DT64" s="277"/>
      <c r="DU64" s="277"/>
      <c r="DV64" s="277"/>
      <c r="DW64" s="277"/>
      <c r="DX64" s="277"/>
      <c r="DY64" s="277"/>
      <c r="DZ64" s="277"/>
      <c r="EA64" s="277"/>
      <c r="EB64" s="277"/>
      <c r="EC64" s="277"/>
      <c r="ED64" s="277"/>
      <c r="EE64" s="277"/>
      <c r="EF64" s="277"/>
      <c r="EG64" s="277"/>
      <c r="EH64" s="277"/>
      <c r="EI64" s="277"/>
      <c r="EJ64" s="277"/>
      <c r="EK64" s="277"/>
      <c r="EL64" s="277"/>
      <c r="EM64" s="277"/>
      <c r="EN64" s="277"/>
      <c r="EO64" s="604"/>
      <c r="EP64" s="605"/>
      <c r="EQ64" s="606"/>
      <c r="ER64" s="323"/>
      <c r="ES64" s="323"/>
      <c r="ET64" s="323"/>
      <c r="EU64" s="323"/>
      <c r="EV64" s="608"/>
      <c r="EW64" s="609"/>
      <c r="EX64" s="610"/>
      <c r="EY64" s="442"/>
      <c r="EZ64" s="440"/>
      <c r="FA64" s="441"/>
      <c r="FB64" s="442"/>
      <c r="FC64" s="440"/>
      <c r="FD64" s="441"/>
      <c r="FE64" s="443"/>
      <c r="FF64" s="440"/>
      <c r="FG64" s="441"/>
      <c r="FH64" s="443"/>
      <c r="FI64" s="440"/>
      <c r="FJ64" s="444"/>
      <c r="FK64" s="289"/>
      <c r="FL64" s="290"/>
      <c r="FM64" s="349"/>
      <c r="FN64" s="336"/>
      <c r="FO64" s="337"/>
      <c r="FP64" s="337"/>
      <c r="FQ64" s="337"/>
      <c r="FR64" s="337"/>
      <c r="FS64" s="337"/>
      <c r="FT64" s="337"/>
      <c r="FU64" s="337"/>
      <c r="FV64" s="339"/>
      <c r="FW64" s="337"/>
      <c r="FX64" s="339"/>
      <c r="FY64" s="337"/>
      <c r="FZ64" s="337"/>
      <c r="GA64" s="337"/>
      <c r="GB64" s="337"/>
      <c r="GC64" s="611"/>
      <c r="GD64" s="611"/>
      <c r="GE64" s="611"/>
      <c r="GF64" s="611"/>
      <c r="GG64" s="611"/>
      <c r="GH64" s="611"/>
      <c r="GI64" s="611"/>
      <c r="GJ64" s="611"/>
      <c r="GK64" s="611"/>
      <c r="GL64" s="611"/>
      <c r="GM64" s="611"/>
      <c r="GN64" s="611"/>
      <c r="GO64" s="611"/>
      <c r="GP64" s="611"/>
      <c r="GQ64" s="611"/>
      <c r="GR64" s="612"/>
      <c r="GS64" s="612"/>
      <c r="GT64" s="613"/>
      <c r="GU64" s="614"/>
      <c r="GV64" s="614"/>
      <c r="GW64" s="615"/>
      <c r="GX64" s="615"/>
      <c r="GY64" s="616"/>
      <c r="GZ64" s="596"/>
      <c r="HA64" s="597"/>
      <c r="HB64" s="597"/>
      <c r="HC64" s="597"/>
      <c r="HD64" s="750"/>
      <c r="HE64" s="274"/>
      <c r="HF64" s="274"/>
      <c r="HG64" s="274"/>
      <c r="HH64" s="274"/>
      <c r="HI64" s="274"/>
      <c r="HJ64" s="274"/>
      <c r="HK64" s="274"/>
      <c r="HL64" s="274"/>
      <c r="HM64" s="274"/>
      <c r="HN64" s="272"/>
      <c r="HO64" s="272"/>
      <c r="HP64" s="274"/>
      <c r="HQ64" s="274"/>
      <c r="HR64" s="274"/>
      <c r="HS64" s="275"/>
      <c r="HT64" s="750"/>
      <c r="HU64" s="274"/>
      <c r="HV64" s="274"/>
      <c r="HW64" s="274"/>
      <c r="HX64" s="274"/>
      <c r="HY64" s="274"/>
      <c r="HZ64" s="274"/>
      <c r="IA64" s="274"/>
      <c r="IB64" s="274"/>
      <c r="IC64" s="274"/>
      <c r="ID64" s="274"/>
      <c r="IE64" s="274"/>
      <c r="IF64" s="272"/>
      <c r="IG64" s="274"/>
      <c r="IH64" s="275"/>
      <c r="II64" s="750"/>
      <c r="IJ64" s="274"/>
      <c r="IK64" s="274"/>
      <c r="IL64" s="276"/>
      <c r="IM64" s="277"/>
      <c r="IN64" s="277"/>
      <c r="IO64" s="333"/>
      <c r="IP64" s="334"/>
      <c r="IQ64" s="541"/>
      <c r="IR64" s="542"/>
      <c r="IS64" s="543"/>
      <c r="IT64" s="543"/>
      <c r="IU64" s="543"/>
      <c r="IV64" s="543"/>
      <c r="IW64" s="543"/>
      <c r="IX64" s="544"/>
      <c r="IY64" s="544"/>
      <c r="IZ64" s="543"/>
      <c r="JA64" s="543"/>
      <c r="JB64" s="543"/>
      <c r="JC64" s="543"/>
      <c r="JD64" s="545"/>
      <c r="JE64" s="545"/>
      <c r="JF64" s="546"/>
      <c r="JG64" s="503"/>
      <c r="JH64" s="506"/>
      <c r="JO64" s="507"/>
      <c r="JP64" s="508"/>
      <c r="JQ64" s="508"/>
      <c r="JR64" s="508"/>
      <c r="JS64" s="508"/>
      <c r="JT64" s="508"/>
      <c r="JU64" s="508"/>
      <c r="JV64" s="508"/>
      <c r="JW64" s="508"/>
      <c r="JX64" s="508"/>
      <c r="JY64" s="508"/>
      <c r="JZ64" s="508"/>
      <c r="KA64" s="508"/>
      <c r="KB64" s="508"/>
      <c r="KC64" s="508"/>
      <c r="KD64" s="508"/>
      <c r="KE64" s="508"/>
      <c r="KF64" s="508"/>
      <c r="KG64" s="508"/>
      <c r="KH64" s="508"/>
      <c r="KI64" s="508"/>
      <c r="KJ64" s="508"/>
      <c r="KK64" s="508"/>
      <c r="KL64" s="508"/>
      <c r="KM64" s="508"/>
      <c r="KN64" s="508"/>
      <c r="KO64" s="508"/>
      <c r="KP64" s="508"/>
      <c r="KQ64" s="508"/>
      <c r="KR64" s="508"/>
      <c r="KS64" s="508"/>
      <c r="KT64" s="508"/>
      <c r="KU64" s="508"/>
      <c r="KV64" s="508"/>
      <c r="KW64" s="509"/>
      <c r="KX64" s="277"/>
      <c r="KY64" s="277"/>
    </row>
    <row r="65" spans="1:398" ht="40" customHeight="1">
      <c r="B65" s="299"/>
      <c r="C65" s="241"/>
      <c r="D65" s="242"/>
      <c r="E65" s="243"/>
      <c r="F65" s="244"/>
      <c r="G65" s="246"/>
      <c r="H65" s="246"/>
      <c r="I65" s="246"/>
      <c r="J65" s="246"/>
      <c r="K65" s="246"/>
      <c r="L65" s="246"/>
      <c r="M65" s="300"/>
      <c r="N65" s="251"/>
      <c r="O65" s="251"/>
      <c r="P65" s="300"/>
      <c r="Q65" s="251"/>
      <c r="R65" s="251"/>
      <c r="S65" s="251"/>
      <c r="T65" s="251"/>
      <c r="U65" s="301"/>
      <c r="V65" s="242"/>
      <c r="W65" s="242"/>
      <c r="X65" s="242"/>
      <c r="Y65" s="242"/>
      <c r="Z65" s="242"/>
      <c r="AA65" s="604" t="s">
        <v>333</v>
      </c>
      <c r="AB65" s="617" t="s">
        <v>344</v>
      </c>
      <c r="AC65" s="618">
        <v>201</v>
      </c>
      <c r="AD65" s="766"/>
      <c r="AE65" s="337"/>
      <c r="AF65" s="337"/>
      <c r="AG65" s="337"/>
      <c r="AH65" s="337"/>
      <c r="AI65" s="337"/>
      <c r="AJ65" s="337"/>
      <c r="AK65" s="337"/>
      <c r="AL65" s="337"/>
      <c r="AM65" s="337"/>
      <c r="AN65" s="337"/>
      <c r="AO65" s="337"/>
      <c r="AP65" s="337"/>
      <c r="AQ65" s="337"/>
      <c r="AR65" s="337"/>
      <c r="AS65" s="339"/>
      <c r="AT65" s="337"/>
      <c r="AU65" s="339"/>
      <c r="AV65" s="337"/>
      <c r="AW65" s="337"/>
      <c r="AX65" s="337"/>
      <c r="AY65" s="337"/>
      <c r="AZ65" s="611"/>
      <c r="BA65" s="611"/>
      <c r="BB65" s="611"/>
      <c r="BC65" s="611"/>
      <c r="BD65" s="611"/>
      <c r="BE65" s="611"/>
      <c r="BF65" s="611"/>
      <c r="BG65" s="611"/>
      <c r="BH65" s="611"/>
      <c r="BI65" s="611"/>
      <c r="BJ65" s="611"/>
      <c r="BK65" s="611"/>
      <c r="BL65" s="611"/>
      <c r="BM65" s="611"/>
      <c r="BN65" s="611"/>
      <c r="BO65" s="612"/>
      <c r="BP65" s="612"/>
      <c r="BQ65" s="612"/>
      <c r="BR65" s="619"/>
      <c r="BS65" s="613"/>
      <c r="BT65" s="614"/>
      <c r="BU65" s="614"/>
      <c r="BV65" s="615"/>
      <c r="BW65" s="615"/>
      <c r="BX65" s="616"/>
      <c r="BY65" s="679"/>
      <c r="BZ65" s="680"/>
      <c r="CA65" s="597"/>
      <c r="CB65" s="597"/>
      <c r="CC65" s="750"/>
      <c r="CD65" s="274"/>
      <c r="CE65" s="274"/>
      <c r="CF65" s="274"/>
      <c r="CG65" s="274"/>
      <c r="CH65" s="274"/>
      <c r="CI65" s="274"/>
      <c r="CJ65" s="274"/>
      <c r="CK65" s="751"/>
      <c r="CL65" s="751"/>
      <c r="CM65" s="756"/>
      <c r="CN65" s="756"/>
      <c r="CO65" s="755"/>
      <c r="CP65" s="755"/>
      <c r="CQ65" s="755"/>
      <c r="CR65" s="757"/>
      <c r="CS65" s="758"/>
      <c r="CT65" s="755"/>
      <c r="CU65" s="755"/>
      <c r="CV65" s="755"/>
      <c r="CW65" s="755"/>
      <c r="CX65" s="755"/>
      <c r="CY65" s="755"/>
      <c r="CZ65" s="755"/>
      <c r="DA65" s="755"/>
      <c r="DB65" s="755"/>
      <c r="DC65" s="755"/>
      <c r="DD65" s="756"/>
      <c r="DE65" s="755"/>
      <c r="DF65" s="755"/>
      <c r="DG65" s="757"/>
      <c r="DH65" s="758"/>
      <c r="DI65" s="657"/>
      <c r="DJ65" s="657"/>
      <c r="DK65" s="759"/>
      <c r="DL65" s="277"/>
      <c r="DM65" s="277"/>
      <c r="DN65" s="277"/>
      <c r="DO65" s="277"/>
      <c r="DP65" s="277"/>
      <c r="DQ65" s="277"/>
      <c r="DR65" s="277"/>
      <c r="DS65" s="277"/>
      <c r="DT65" s="277"/>
      <c r="DU65" s="277"/>
      <c r="DV65" s="277"/>
      <c r="DW65" s="277"/>
      <c r="DX65" s="277"/>
      <c r="DY65" s="277"/>
      <c r="DZ65" s="277"/>
      <c r="EA65" s="277"/>
      <c r="EB65" s="277"/>
      <c r="EC65" s="277"/>
      <c r="ED65" s="277"/>
      <c r="EE65" s="277"/>
      <c r="EF65" s="277"/>
      <c r="EG65" s="277"/>
      <c r="EH65" s="277"/>
      <c r="EI65" s="277"/>
      <c r="EJ65" s="277"/>
      <c r="EK65" s="277"/>
      <c r="EL65" s="277"/>
      <c r="EM65" s="277"/>
      <c r="EN65" s="277"/>
      <c r="EO65" s="604"/>
      <c r="EP65" s="605"/>
      <c r="EQ65" s="606"/>
      <c r="ER65" s="323"/>
      <c r="ES65" s="323"/>
      <c r="ET65" s="323"/>
      <c r="EU65" s="323"/>
      <c r="EV65" s="608"/>
      <c r="EW65" s="609"/>
      <c r="EX65" s="610"/>
      <c r="EY65" s="442"/>
      <c r="EZ65" s="440"/>
      <c r="FA65" s="441"/>
      <c r="FB65" s="442"/>
      <c r="FC65" s="440"/>
      <c r="FD65" s="441"/>
      <c r="FE65" s="443"/>
      <c r="FF65" s="440"/>
      <c r="FG65" s="441"/>
      <c r="FH65" s="443"/>
      <c r="FI65" s="440"/>
      <c r="FJ65" s="444"/>
      <c r="FK65" s="289"/>
      <c r="FL65" s="290"/>
      <c r="FM65" s="349"/>
      <c r="FN65" s="336"/>
      <c r="FO65" s="337"/>
      <c r="FP65" s="337"/>
      <c r="FQ65" s="337"/>
      <c r="FR65" s="337"/>
      <c r="FS65" s="337"/>
      <c r="FT65" s="337"/>
      <c r="FU65" s="337"/>
      <c r="FV65" s="339"/>
      <c r="FW65" s="337"/>
      <c r="FX65" s="339"/>
      <c r="FY65" s="337"/>
      <c r="FZ65" s="337"/>
      <c r="GA65" s="337"/>
      <c r="GB65" s="337"/>
      <c r="GC65" s="611"/>
      <c r="GD65" s="611"/>
      <c r="GE65" s="611"/>
      <c r="GF65" s="611"/>
      <c r="GG65" s="611"/>
      <c r="GH65" s="611"/>
      <c r="GI65" s="611"/>
      <c r="GJ65" s="611"/>
      <c r="GK65" s="611"/>
      <c r="GL65" s="611"/>
      <c r="GM65" s="611"/>
      <c r="GN65" s="611"/>
      <c r="GO65" s="611"/>
      <c r="GP65" s="611"/>
      <c r="GQ65" s="611"/>
      <c r="GR65" s="612"/>
      <c r="GS65" s="612"/>
      <c r="GT65" s="613"/>
      <c r="GU65" s="614"/>
      <c r="GV65" s="614"/>
      <c r="GW65" s="615"/>
      <c r="GX65" s="615"/>
      <c r="GY65" s="616"/>
      <c r="GZ65" s="596"/>
      <c r="HA65" s="597"/>
      <c r="HB65" s="597"/>
      <c r="HC65" s="597"/>
      <c r="HD65" s="750"/>
      <c r="HE65" s="274"/>
      <c r="HF65" s="274"/>
      <c r="HG65" s="274"/>
      <c r="HH65" s="274"/>
      <c r="HI65" s="274"/>
      <c r="HJ65" s="274"/>
      <c r="HK65" s="274"/>
      <c r="HL65" s="274"/>
      <c r="HM65" s="274"/>
      <c r="HN65" s="272"/>
      <c r="HO65" s="272"/>
      <c r="HP65" s="274"/>
      <c r="HQ65" s="274"/>
      <c r="HR65" s="274"/>
      <c r="HS65" s="275"/>
      <c r="HT65" s="750"/>
      <c r="HU65" s="274"/>
      <c r="HV65" s="274"/>
      <c r="HW65" s="274"/>
      <c r="HX65" s="274"/>
      <c r="HY65" s="274"/>
      <c r="HZ65" s="274"/>
      <c r="IA65" s="274"/>
      <c r="IB65" s="274"/>
      <c r="IC65" s="274"/>
      <c r="ID65" s="274"/>
      <c r="IE65" s="274"/>
      <c r="IF65" s="272"/>
      <c r="IG65" s="274"/>
      <c r="IH65" s="275"/>
      <c r="II65" s="750"/>
      <c r="IJ65" s="274"/>
      <c r="IK65" s="274"/>
      <c r="IL65" s="276"/>
      <c r="IM65" s="277"/>
      <c r="IN65" s="277"/>
      <c r="IO65" s="333"/>
      <c r="IP65" s="334"/>
      <c r="IQ65" s="541"/>
      <c r="IR65" s="542"/>
      <c r="IS65" s="543"/>
      <c r="IT65" s="543"/>
      <c r="IU65" s="543"/>
      <c r="IV65" s="543"/>
      <c r="IW65" s="543"/>
      <c r="IX65" s="544"/>
      <c r="IY65" s="544"/>
      <c r="IZ65" s="543"/>
      <c r="JA65" s="543"/>
      <c r="JB65" s="543"/>
      <c r="JC65" s="543"/>
      <c r="JD65" s="545"/>
      <c r="JE65" s="545"/>
      <c r="JF65" s="546"/>
      <c r="JG65" s="503"/>
      <c r="JH65" s="506"/>
      <c r="JO65" s="507"/>
      <c r="JP65" s="508"/>
      <c r="JQ65" s="508"/>
      <c r="JR65" s="508"/>
      <c r="JS65" s="508"/>
      <c r="JT65" s="508"/>
      <c r="JU65" s="508"/>
      <c r="JV65" s="508"/>
      <c r="JW65" s="508"/>
      <c r="JX65" s="508"/>
      <c r="JY65" s="508"/>
      <c r="JZ65" s="508"/>
      <c r="KA65" s="508"/>
      <c r="KB65" s="508"/>
      <c r="KC65" s="508"/>
      <c r="KD65" s="508"/>
      <c r="KE65" s="508"/>
      <c r="KF65" s="508"/>
      <c r="KG65" s="508"/>
      <c r="KH65" s="508"/>
      <c r="KI65" s="508"/>
      <c r="KJ65" s="508"/>
      <c r="KK65" s="508"/>
      <c r="KL65" s="508"/>
      <c r="KM65" s="508"/>
      <c r="KN65" s="508"/>
      <c r="KO65" s="508"/>
      <c r="KP65" s="508"/>
      <c r="KQ65" s="508"/>
      <c r="KR65" s="508"/>
      <c r="KS65" s="508"/>
      <c r="KT65" s="508"/>
      <c r="KU65" s="508"/>
      <c r="KV65" s="508"/>
      <c r="KW65" s="509"/>
      <c r="KX65" s="277"/>
      <c r="KY65" s="277"/>
    </row>
    <row r="66" spans="1:398" ht="40" customHeight="1">
      <c r="B66" s="299"/>
      <c r="C66" s="241"/>
      <c r="D66" s="378">
        <v>11</v>
      </c>
      <c r="E66" s="379">
        <v>49</v>
      </c>
      <c r="F66" s="380" t="s">
        <v>345</v>
      </c>
      <c r="G66" s="381"/>
      <c r="H66" s="381"/>
      <c r="I66" s="381"/>
      <c r="J66" s="381"/>
      <c r="K66" s="381"/>
      <c r="L66" s="381"/>
      <c r="M66" s="383"/>
      <c r="N66" s="384"/>
      <c r="O66" s="384"/>
      <c r="P66" s="383"/>
      <c r="Q66" s="384"/>
      <c r="R66" s="384"/>
      <c r="S66" s="384"/>
      <c r="T66" s="384"/>
      <c r="U66" s="385"/>
      <c r="V66" s="378"/>
      <c r="W66" s="378"/>
      <c r="X66" s="378"/>
      <c r="Y66" s="378"/>
      <c r="Z66" s="378"/>
      <c r="AA66" s="630" t="s">
        <v>277</v>
      </c>
      <c r="AB66" s="463" t="s">
        <v>346</v>
      </c>
      <c r="AC66" s="464">
        <v>288</v>
      </c>
      <c r="AD66" s="256">
        <f>SUM(AC66,AC67)</f>
        <v>558</v>
      </c>
      <c r="AE66" s="640"/>
      <c r="AF66" s="641"/>
      <c r="AG66" s="731">
        <f>'[1]0049_名鉄グランドホテル　別紙1-1'!M26</f>
        <v>8595400</v>
      </c>
      <c r="AH66" s="732"/>
      <c r="AI66" s="732"/>
      <c r="AJ66" s="732"/>
      <c r="AK66" s="797">
        <f>$AK$4</f>
        <v>26106</v>
      </c>
      <c r="AL66" s="797"/>
      <c r="AM66" s="797">
        <f>$AM$4</f>
        <v>24690</v>
      </c>
      <c r="AN66" s="797"/>
      <c r="AO66" s="797">
        <f>$AO$4</f>
        <v>2373</v>
      </c>
      <c r="AP66" s="732">
        <f>'[1]0049_名鉄グランドホテル　別紙1-1'!K24</f>
        <v>193</v>
      </c>
      <c r="AQ66" s="732">
        <f>'[1]0049_名鉄グランドホテル　別紙1-1'!AF24</f>
        <v>230</v>
      </c>
      <c r="AR66" s="733"/>
      <c r="AS66" s="394"/>
      <c r="AT66" s="390"/>
      <c r="AU66" s="394"/>
      <c r="AV66" s="390"/>
      <c r="AW66" s="390"/>
      <c r="AX66" s="390">
        <f>'[1]0049_名鉄グランドホテル　別紙1-2'!N37</f>
        <v>6744100.0000000009</v>
      </c>
      <c r="AY66" s="390">
        <f>'[1]0049_名鉄グランドホテル　別紙1-2'!I34</f>
        <v>7</v>
      </c>
      <c r="AZ66" s="734">
        <f>'[1]0049_名鉄グランドホテル　別紙1-1'!C28</f>
        <v>204164400</v>
      </c>
      <c r="BA66" s="734">
        <f>'[1]0049_名鉄グランドホテル　別紙1-2'!O35</f>
        <v>165920700</v>
      </c>
      <c r="BB66" s="734"/>
      <c r="BC66" s="734"/>
      <c r="BD66" s="480">
        <f>AK66*DM66*0.6</f>
        <v>91914004.799999997</v>
      </c>
      <c r="BE66" s="480">
        <f>BD66-21000*DM66*0.6</f>
        <v>17977204.799999997</v>
      </c>
      <c r="BF66" s="480">
        <f>AM66*DM66*0.4</f>
        <v>57952368</v>
      </c>
      <c r="BG66" s="480">
        <f>BF66-0</f>
        <v>57952368</v>
      </c>
      <c r="BH66" s="480">
        <f>AO66*DM66*0.3</f>
        <v>4177429.1999999997</v>
      </c>
      <c r="BI66" s="734"/>
      <c r="BJ66" s="734"/>
      <c r="BK66" s="735">
        <f>BM66*5000*BX66</f>
        <v>600000</v>
      </c>
      <c r="BL66" s="735">
        <f>1800000*BN66*BX66</f>
        <v>0</v>
      </c>
      <c r="BM66" s="736">
        <v>5</v>
      </c>
      <c r="BN66" s="736">
        <f>GQ66</f>
        <v>0</v>
      </c>
      <c r="BO66" s="737"/>
      <c r="BP66" s="481">
        <f>SUM(AZ66,BA66,BI66,BO66)</f>
        <v>370085100</v>
      </c>
      <c r="BQ66" s="737"/>
      <c r="BR66" s="738"/>
      <c r="BS66" s="739"/>
      <c r="BT66" s="740"/>
      <c r="BU66" s="740"/>
      <c r="BV66" s="666">
        <f>IFERROR(INDEX($BY$9:$DH$9, MATCH("準備", BY66:DK66, 0)), "")</f>
        <v>46276</v>
      </c>
      <c r="BW66" s="667" cm="1">
        <f t="array" ref="BW66">IF(COUNTIF(BY66:DK66,"*撤去*")=0,"",INDEX(BY$9:DK$9,1,MAX(IF(CC66:DK66="撤去",COLUMN(CC66:DK66)-COLUMN(BY66)+1))))</f>
        <v>46300</v>
      </c>
      <c r="BX66" s="663">
        <f>BW66-BV66</f>
        <v>24</v>
      </c>
      <c r="BY66" s="741"/>
      <c r="BZ66" s="742"/>
      <c r="CA66" s="557"/>
      <c r="CB66" s="557"/>
      <c r="CC66" s="743"/>
      <c r="CD66" s="599"/>
      <c r="CE66" s="599"/>
      <c r="CF66" s="599"/>
      <c r="CG66" s="599"/>
      <c r="CH66" s="599"/>
      <c r="CI66" s="599"/>
      <c r="CJ66" s="400" t="s">
        <v>177</v>
      </c>
      <c r="CK66" s="400" t="s">
        <v>177</v>
      </c>
      <c r="CL66" s="744">
        <v>270</v>
      </c>
      <c r="CM66" s="745">
        <v>270</v>
      </c>
      <c r="CN66" s="745">
        <v>270</v>
      </c>
      <c r="CO66" s="744">
        <v>270</v>
      </c>
      <c r="CP66" s="744">
        <v>270</v>
      </c>
      <c r="CQ66" s="744">
        <v>270</v>
      </c>
      <c r="CR66" s="746">
        <v>270</v>
      </c>
      <c r="CS66" s="747">
        <v>270</v>
      </c>
      <c r="CT66" s="744">
        <v>270</v>
      </c>
      <c r="CU66" s="744">
        <v>270</v>
      </c>
      <c r="CV66" s="598">
        <v>0</v>
      </c>
      <c r="CW66" s="744">
        <v>288</v>
      </c>
      <c r="CX66" s="744">
        <v>288</v>
      </c>
      <c r="CY66" s="744">
        <v>288</v>
      </c>
      <c r="CZ66" s="744">
        <v>288</v>
      </c>
      <c r="DA66" s="744">
        <v>288</v>
      </c>
      <c r="DB66" s="744">
        <v>288</v>
      </c>
      <c r="DC66" s="744">
        <v>288</v>
      </c>
      <c r="DD66" s="745">
        <v>288</v>
      </c>
      <c r="DE66" s="744">
        <v>288</v>
      </c>
      <c r="DF66" s="744">
        <v>288</v>
      </c>
      <c r="DG66" s="748">
        <v>288</v>
      </c>
      <c r="DH66" s="603" t="s">
        <v>178</v>
      </c>
      <c r="DI66" s="762"/>
      <c r="DJ66" s="762"/>
      <c r="DK66" s="749"/>
      <c r="DL66" s="277"/>
      <c r="DM66" s="277" cm="1">
        <f t="array" ref="DM66">SUM(IF(ISNUMBER($BY66:$DK66),$BY66:$DK66, 0))</f>
        <v>5868</v>
      </c>
      <c r="DN66" s="559"/>
      <c r="DO66" s="277">
        <f>DM66*(BX66)/(BX66+1)</f>
        <v>5633.28</v>
      </c>
      <c r="DP66" s="277"/>
      <c r="DQ66" s="277"/>
      <c r="DR66" s="277"/>
      <c r="DS66" s="277"/>
      <c r="DT66" s="277"/>
      <c r="DU66" s="277"/>
      <c r="DV66" s="277"/>
      <c r="DW66" s="277"/>
      <c r="DX66" s="277"/>
      <c r="DY66" s="277"/>
      <c r="DZ66" s="277"/>
      <c r="EA66" s="277"/>
      <c r="EB66" s="277"/>
      <c r="EC66" s="277"/>
      <c r="ED66" s="277"/>
      <c r="EE66" s="277"/>
      <c r="EF66" s="277"/>
      <c r="EG66" s="277"/>
      <c r="EH66" s="277"/>
      <c r="EI66" s="277"/>
      <c r="EJ66" s="277"/>
      <c r="EK66" s="277"/>
      <c r="EL66" s="277"/>
      <c r="EM66" s="277"/>
      <c r="EN66" s="277"/>
      <c r="EO66" s="604"/>
      <c r="EP66" s="605"/>
      <c r="EQ66" s="606"/>
      <c r="ER66" s="323"/>
      <c r="ES66" s="323"/>
      <c r="ET66" s="323"/>
      <c r="EU66" s="323"/>
      <c r="EV66" s="608"/>
      <c r="EW66" s="609"/>
      <c r="EX66" s="610"/>
      <c r="EY66" s="442"/>
      <c r="EZ66" s="440"/>
      <c r="FA66" s="441"/>
      <c r="FB66" s="442"/>
      <c r="FC66" s="440"/>
      <c r="FD66" s="441"/>
      <c r="FE66" s="443"/>
      <c r="FF66" s="440"/>
      <c r="FG66" s="441"/>
      <c r="FH66" s="443"/>
      <c r="FI66" s="440"/>
      <c r="FJ66" s="444"/>
      <c r="FK66" s="289"/>
      <c r="FL66" s="290"/>
      <c r="FM66" s="349"/>
      <c r="FN66" s="336"/>
      <c r="FO66" s="337"/>
      <c r="FP66" s="337"/>
      <c r="FQ66" s="337"/>
      <c r="FR66" s="337"/>
      <c r="FS66" s="337"/>
      <c r="FT66" s="337"/>
      <c r="FU66" s="337"/>
      <c r="FV66" s="339"/>
      <c r="FW66" s="337"/>
      <c r="FX66" s="339"/>
      <c r="FY66" s="337"/>
      <c r="FZ66" s="337"/>
      <c r="GA66" s="337"/>
      <c r="GB66" s="337"/>
      <c r="GC66" s="611"/>
      <c r="GD66" s="611"/>
      <c r="GE66" s="611"/>
      <c r="GF66" s="611"/>
      <c r="GG66" s="611"/>
      <c r="GH66" s="611"/>
      <c r="GI66" s="611"/>
      <c r="GJ66" s="611"/>
      <c r="GK66" s="611"/>
      <c r="GL66" s="611"/>
      <c r="GM66" s="611"/>
      <c r="GN66" s="611"/>
      <c r="GO66" s="611"/>
      <c r="GP66" s="611"/>
      <c r="GQ66" s="611"/>
      <c r="GR66" s="612"/>
      <c r="GS66" s="612"/>
      <c r="GT66" s="613"/>
      <c r="GU66" s="614"/>
      <c r="GV66" s="614"/>
      <c r="GW66" s="615"/>
      <c r="GX66" s="615"/>
      <c r="GY66" s="616"/>
      <c r="GZ66" s="596"/>
      <c r="HA66" s="597"/>
      <c r="HB66" s="597"/>
      <c r="HC66" s="597"/>
      <c r="HD66" s="750"/>
      <c r="HE66" s="274"/>
      <c r="HF66" s="274"/>
      <c r="HG66" s="274"/>
      <c r="HH66" s="274"/>
      <c r="HI66" s="274"/>
      <c r="HJ66" s="274"/>
      <c r="HK66" s="274"/>
      <c r="HL66" s="274"/>
      <c r="HM66" s="274"/>
      <c r="HN66" s="272"/>
      <c r="HO66" s="272"/>
      <c r="HP66" s="274"/>
      <c r="HQ66" s="274"/>
      <c r="HR66" s="274"/>
      <c r="HS66" s="275"/>
      <c r="HT66" s="750"/>
      <c r="HU66" s="274"/>
      <c r="HV66" s="274"/>
      <c r="HW66" s="274"/>
      <c r="HX66" s="274"/>
      <c r="HY66" s="274"/>
      <c r="HZ66" s="274"/>
      <c r="IA66" s="274"/>
      <c r="IB66" s="274"/>
      <c r="IC66" s="274"/>
      <c r="ID66" s="274"/>
      <c r="IE66" s="274"/>
      <c r="IF66" s="272"/>
      <c r="IG66" s="274"/>
      <c r="IH66" s="275"/>
      <c r="II66" s="750"/>
      <c r="IJ66" s="274"/>
      <c r="IK66" s="274"/>
      <c r="IL66" s="276"/>
      <c r="IM66" s="277"/>
      <c r="IN66" s="277"/>
      <c r="IO66" s="333"/>
      <c r="IP66" s="334"/>
      <c r="IQ66" s="541"/>
      <c r="IR66" s="542"/>
      <c r="IS66" s="543"/>
      <c r="IT66" s="543"/>
      <c r="IU66" s="543"/>
      <c r="IV66" s="543"/>
      <c r="IW66" s="543"/>
      <c r="IX66" s="544"/>
      <c r="IY66" s="544"/>
      <c r="IZ66" s="543"/>
      <c r="JA66" s="543"/>
      <c r="JB66" s="543"/>
      <c r="JC66" s="543"/>
      <c r="JD66" s="545"/>
      <c r="JE66" s="545"/>
      <c r="JF66" s="546"/>
      <c r="JG66" s="503"/>
      <c r="JH66" s="506"/>
      <c r="JO66" s="507"/>
      <c r="JP66" s="508"/>
      <c r="JQ66" s="508"/>
      <c r="JR66" s="508"/>
      <c r="JS66" s="508"/>
      <c r="JT66" s="508"/>
      <c r="JU66" s="508"/>
      <c r="JV66" s="508"/>
      <c r="JW66" s="508"/>
      <c r="JX66" s="508"/>
      <c r="JY66" s="508"/>
      <c r="JZ66" s="508"/>
      <c r="KA66" s="508"/>
      <c r="KB66" s="508"/>
      <c r="KC66" s="508"/>
      <c r="KD66" s="508"/>
      <c r="KE66" s="508"/>
      <c r="KF66" s="508"/>
      <c r="KG66" s="508"/>
      <c r="KH66" s="508"/>
      <c r="KI66" s="508"/>
      <c r="KJ66" s="508"/>
      <c r="KK66" s="508"/>
      <c r="KL66" s="508"/>
      <c r="KM66" s="508"/>
      <c r="KN66" s="508"/>
      <c r="KO66" s="508"/>
      <c r="KP66" s="508"/>
      <c r="KQ66" s="508"/>
      <c r="KR66" s="508"/>
      <c r="KS66" s="508"/>
      <c r="KT66" s="508"/>
      <c r="KU66" s="508"/>
      <c r="KV66" s="508"/>
      <c r="KW66" s="509"/>
      <c r="KX66" s="277"/>
      <c r="KY66" s="277"/>
    </row>
    <row r="67" spans="1:398" ht="40" customHeight="1">
      <c r="B67" s="299"/>
      <c r="C67" s="241"/>
      <c r="D67" s="242"/>
      <c r="E67" s="243"/>
      <c r="F67" s="244"/>
      <c r="G67" s="246"/>
      <c r="H67" s="246"/>
      <c r="I67" s="246"/>
      <c r="J67" s="246"/>
      <c r="K67" s="246"/>
      <c r="L67" s="246"/>
      <c r="M67" s="300"/>
      <c r="N67" s="251"/>
      <c r="O67" s="251"/>
      <c r="P67" s="300"/>
      <c r="Q67" s="251"/>
      <c r="R67" s="251"/>
      <c r="S67" s="251"/>
      <c r="T67" s="251"/>
      <c r="U67" s="301"/>
      <c r="V67" s="242"/>
      <c r="W67" s="242"/>
      <c r="X67" s="242"/>
      <c r="Y67" s="242"/>
      <c r="Z67" s="242"/>
      <c r="AA67" s="604" t="s">
        <v>282</v>
      </c>
      <c r="AB67" s="617" t="s">
        <v>347</v>
      </c>
      <c r="AC67" s="618">
        <v>270</v>
      </c>
      <c r="AD67" s="256"/>
      <c r="AE67" s="336"/>
      <c r="AF67" s="337"/>
      <c r="AG67" s="337"/>
      <c r="AH67" s="337"/>
      <c r="AI67" s="337"/>
      <c r="AJ67" s="337"/>
      <c r="AK67" s="337"/>
      <c r="AL67" s="337"/>
      <c r="AM67" s="337"/>
      <c r="AN67" s="337"/>
      <c r="AO67" s="337"/>
      <c r="AP67" s="337"/>
      <c r="AQ67" s="337"/>
      <c r="AR67" s="337"/>
      <c r="AS67" s="339"/>
      <c r="AT67" s="337"/>
      <c r="AU67" s="339"/>
      <c r="AV67" s="337"/>
      <c r="AW67" s="337"/>
      <c r="AX67" s="337"/>
      <c r="AY67" s="337"/>
      <c r="AZ67" s="611"/>
      <c r="BA67" s="611"/>
      <c r="BB67" s="611"/>
      <c r="BC67" s="611"/>
      <c r="BD67" s="611"/>
      <c r="BE67" s="611"/>
      <c r="BF67" s="611"/>
      <c r="BG67" s="611"/>
      <c r="BH67" s="611"/>
      <c r="BI67" s="611"/>
      <c r="BJ67" s="611"/>
      <c r="BK67" s="611"/>
      <c r="BL67" s="611"/>
      <c r="BM67" s="611"/>
      <c r="BN67" s="611"/>
      <c r="BO67" s="612"/>
      <c r="BP67" s="612"/>
      <c r="BQ67" s="612"/>
      <c r="BR67" s="619"/>
      <c r="BS67" s="613"/>
      <c r="BT67" s="614"/>
      <c r="BU67" s="614"/>
      <c r="BV67" s="615"/>
      <c r="BW67" s="615"/>
      <c r="BX67" s="616"/>
      <c r="BY67" s="679"/>
      <c r="BZ67" s="680"/>
      <c r="CA67" s="597"/>
      <c r="CB67" s="597"/>
      <c r="CC67" s="750"/>
      <c r="CD67" s="274"/>
      <c r="CE67" s="274"/>
      <c r="CF67" s="274"/>
      <c r="CG67" s="274"/>
      <c r="CH67" s="274"/>
      <c r="CI67" s="274"/>
      <c r="CJ67" s="274"/>
      <c r="CK67" s="751"/>
      <c r="CL67" s="755"/>
      <c r="CM67" s="756"/>
      <c r="CN67" s="756"/>
      <c r="CO67" s="755"/>
      <c r="CP67" s="755"/>
      <c r="CQ67" s="755"/>
      <c r="CR67" s="757"/>
      <c r="CS67" s="758"/>
      <c r="CT67" s="755"/>
      <c r="CU67" s="755"/>
      <c r="CV67" s="755"/>
      <c r="CW67" s="755"/>
      <c r="CX67" s="755"/>
      <c r="CY67" s="755"/>
      <c r="CZ67" s="755"/>
      <c r="DA67" s="755"/>
      <c r="DB67" s="755"/>
      <c r="DC67" s="755"/>
      <c r="DD67" s="756"/>
      <c r="DE67" s="755"/>
      <c r="DF67" s="755"/>
      <c r="DG67" s="757"/>
      <c r="DH67" s="758"/>
      <c r="DI67" s="657"/>
      <c r="DJ67" s="657"/>
      <c r="DK67" s="759"/>
      <c r="DL67" s="277"/>
      <c r="DM67" s="277"/>
      <c r="DN67" s="277"/>
      <c r="DO67" s="277"/>
      <c r="DP67" s="277"/>
      <c r="DQ67" s="277"/>
      <c r="DR67" s="277"/>
      <c r="DS67" s="277"/>
      <c r="DT67" s="277"/>
      <c r="DU67" s="277"/>
      <c r="DV67" s="277"/>
      <c r="DW67" s="277"/>
      <c r="DX67" s="277"/>
      <c r="DY67" s="277"/>
      <c r="DZ67" s="277"/>
      <c r="EA67" s="277"/>
      <c r="EB67" s="277"/>
      <c r="EC67" s="277"/>
      <c r="ED67" s="277"/>
      <c r="EE67" s="277"/>
      <c r="EF67" s="277"/>
      <c r="EG67" s="277"/>
      <c r="EH67" s="277"/>
      <c r="EI67" s="277"/>
      <c r="EJ67" s="277"/>
      <c r="EK67" s="277"/>
      <c r="EL67" s="277"/>
      <c r="EM67" s="277"/>
      <c r="EN67" s="277"/>
      <c r="EO67" s="604"/>
      <c r="EP67" s="605"/>
      <c r="EQ67" s="606"/>
      <c r="ER67" s="323"/>
      <c r="ES67" s="323"/>
      <c r="ET67" s="323"/>
      <c r="EU67" s="323"/>
      <c r="EV67" s="608"/>
      <c r="EW67" s="609"/>
      <c r="EX67" s="610"/>
      <c r="EY67" s="442"/>
      <c r="EZ67" s="440"/>
      <c r="FA67" s="441"/>
      <c r="FB67" s="442"/>
      <c r="FC67" s="440"/>
      <c r="FD67" s="441"/>
      <c r="FE67" s="443"/>
      <c r="FF67" s="440"/>
      <c r="FG67" s="441"/>
      <c r="FH67" s="443"/>
      <c r="FI67" s="440"/>
      <c r="FJ67" s="444"/>
      <c r="FK67" s="289"/>
      <c r="FL67" s="290"/>
      <c r="FM67" s="349"/>
      <c r="FN67" s="336"/>
      <c r="FO67" s="337"/>
      <c r="FP67" s="337"/>
      <c r="FQ67" s="337"/>
      <c r="FR67" s="337"/>
      <c r="FS67" s="337"/>
      <c r="FT67" s="337"/>
      <c r="FU67" s="337"/>
      <c r="FV67" s="339"/>
      <c r="FW67" s="337"/>
      <c r="FX67" s="339"/>
      <c r="FY67" s="337"/>
      <c r="FZ67" s="337"/>
      <c r="GA67" s="337"/>
      <c r="GB67" s="337"/>
      <c r="GC67" s="611"/>
      <c r="GD67" s="611"/>
      <c r="GE67" s="611"/>
      <c r="GF67" s="611"/>
      <c r="GG67" s="611"/>
      <c r="GH67" s="611"/>
      <c r="GI67" s="611"/>
      <c r="GJ67" s="611"/>
      <c r="GK67" s="611"/>
      <c r="GL67" s="611"/>
      <c r="GM67" s="611"/>
      <c r="GN67" s="611"/>
      <c r="GO67" s="611"/>
      <c r="GP67" s="611"/>
      <c r="GQ67" s="611"/>
      <c r="GR67" s="612"/>
      <c r="GS67" s="612"/>
      <c r="GT67" s="613"/>
      <c r="GU67" s="614"/>
      <c r="GV67" s="614"/>
      <c r="GW67" s="615"/>
      <c r="GX67" s="615"/>
      <c r="GY67" s="616"/>
      <c r="GZ67" s="596"/>
      <c r="HA67" s="597"/>
      <c r="HB67" s="597"/>
      <c r="HC67" s="597"/>
      <c r="HD67" s="750"/>
      <c r="HE67" s="274"/>
      <c r="HF67" s="274"/>
      <c r="HG67" s="274"/>
      <c r="HH67" s="274"/>
      <c r="HI67" s="274"/>
      <c r="HJ67" s="274"/>
      <c r="HK67" s="274"/>
      <c r="HL67" s="274"/>
      <c r="HM67" s="274"/>
      <c r="HN67" s="272"/>
      <c r="HO67" s="272"/>
      <c r="HP67" s="274"/>
      <c r="HQ67" s="274"/>
      <c r="HR67" s="274"/>
      <c r="HS67" s="275"/>
      <c r="HT67" s="750"/>
      <c r="HU67" s="274"/>
      <c r="HV67" s="274"/>
      <c r="HW67" s="274"/>
      <c r="HX67" s="274"/>
      <c r="HY67" s="274"/>
      <c r="HZ67" s="274"/>
      <c r="IA67" s="274"/>
      <c r="IB67" s="274"/>
      <c r="IC67" s="274"/>
      <c r="ID67" s="274"/>
      <c r="IE67" s="274"/>
      <c r="IF67" s="272"/>
      <c r="IG67" s="274"/>
      <c r="IH67" s="275"/>
      <c r="II67" s="750"/>
      <c r="IJ67" s="274"/>
      <c r="IK67" s="274"/>
      <c r="IL67" s="276"/>
      <c r="IM67" s="277"/>
      <c r="IN67" s="277"/>
      <c r="IO67" s="333"/>
      <c r="IP67" s="334"/>
      <c r="IQ67" s="541"/>
      <c r="IR67" s="542"/>
      <c r="IS67" s="543"/>
      <c r="IT67" s="543"/>
      <c r="IU67" s="543"/>
      <c r="IV67" s="543"/>
      <c r="IW67" s="543"/>
      <c r="IX67" s="544"/>
      <c r="IY67" s="544"/>
      <c r="IZ67" s="543"/>
      <c r="JA67" s="543"/>
      <c r="JB67" s="543"/>
      <c r="JC67" s="543"/>
      <c r="JD67" s="545"/>
      <c r="JE67" s="545"/>
      <c r="JF67" s="546"/>
      <c r="JG67" s="503"/>
      <c r="JH67" s="506"/>
      <c r="JO67" s="507"/>
      <c r="JP67" s="508"/>
      <c r="JQ67" s="508"/>
      <c r="JR67" s="508"/>
      <c r="JS67" s="508"/>
      <c r="JT67" s="508"/>
      <c r="JU67" s="508"/>
      <c r="JV67" s="508"/>
      <c r="JW67" s="508"/>
      <c r="JX67" s="508"/>
      <c r="JY67" s="508"/>
      <c r="JZ67" s="508"/>
      <c r="KA67" s="508"/>
      <c r="KB67" s="508"/>
      <c r="KC67" s="508"/>
      <c r="KD67" s="508"/>
      <c r="KE67" s="508"/>
      <c r="KF67" s="508"/>
      <c r="KG67" s="508"/>
      <c r="KH67" s="508"/>
      <c r="KI67" s="508"/>
      <c r="KJ67" s="508"/>
      <c r="KK67" s="508"/>
      <c r="KL67" s="508"/>
      <c r="KM67" s="508"/>
      <c r="KN67" s="508"/>
      <c r="KO67" s="508"/>
      <c r="KP67" s="508"/>
      <c r="KQ67" s="508"/>
      <c r="KR67" s="508"/>
      <c r="KS67" s="508"/>
      <c r="KT67" s="508"/>
      <c r="KU67" s="508"/>
      <c r="KV67" s="508"/>
      <c r="KW67" s="509"/>
      <c r="KX67" s="277"/>
      <c r="KY67" s="277"/>
    </row>
    <row r="68" spans="1:398" ht="40" customHeight="1">
      <c r="B68" s="299"/>
      <c r="C68" s="241"/>
      <c r="D68" s="378">
        <v>12</v>
      </c>
      <c r="E68" s="379">
        <v>96</v>
      </c>
      <c r="F68" s="380" t="s">
        <v>348</v>
      </c>
      <c r="G68" s="381"/>
      <c r="H68" s="381"/>
      <c r="I68" s="381"/>
      <c r="J68" s="381"/>
      <c r="K68" s="381"/>
      <c r="L68" s="381"/>
      <c r="M68" s="383"/>
      <c r="N68" s="384"/>
      <c r="O68" s="384"/>
      <c r="P68" s="383"/>
      <c r="Q68" s="384"/>
      <c r="R68" s="384"/>
      <c r="S68" s="384"/>
      <c r="T68" s="384"/>
      <c r="U68" s="385"/>
      <c r="V68" s="378"/>
      <c r="W68" s="378"/>
      <c r="X68" s="378"/>
      <c r="Y68" s="378"/>
      <c r="Z68" s="378"/>
      <c r="AA68" s="630" t="s">
        <v>349</v>
      </c>
      <c r="AB68" s="463"/>
      <c r="AC68" s="464">
        <v>89</v>
      </c>
      <c r="AD68" s="798">
        <f>SUM(AC68,AC69)</f>
        <v>89</v>
      </c>
      <c r="AE68" s="640"/>
      <c r="AF68" s="641"/>
      <c r="AG68" s="390">
        <f>'[1]0096_アイリス愛知　別紙1-1'!I20</f>
        <v>1360040</v>
      </c>
      <c r="AH68" s="390"/>
      <c r="AI68" s="390"/>
      <c r="AJ68" s="390"/>
      <c r="AK68" s="551">
        <f>$AK$4</f>
        <v>26106</v>
      </c>
      <c r="AL68" s="552">
        <v>0.83</v>
      </c>
      <c r="AM68" s="551">
        <f>$AM$4</f>
        <v>24690</v>
      </c>
      <c r="AN68" s="468" t="s">
        <v>308</v>
      </c>
      <c r="AO68" s="551">
        <f>$AO$4</f>
        <v>2373</v>
      </c>
      <c r="AP68" s="390"/>
      <c r="AQ68" s="390"/>
      <c r="AR68" s="390"/>
      <c r="AS68" s="394"/>
      <c r="AT68" s="390"/>
      <c r="AU68" s="394"/>
      <c r="AV68" s="390"/>
      <c r="AW68" s="390"/>
      <c r="AX68" s="390">
        <f>'[1]0096_アイリス愛知　別紙1-2'!O40</f>
        <v>73267920</v>
      </c>
      <c r="AY68" s="390">
        <v>1</v>
      </c>
      <c r="AZ68" s="734">
        <f>'[1]0096_アイリス愛知　別紙1-1'!D22</f>
        <v>28560840</v>
      </c>
      <c r="BA68" s="734">
        <f>'[1]0096_アイリス愛知　別紙1-2'!O40</f>
        <v>73267920</v>
      </c>
      <c r="BB68" s="734"/>
      <c r="BC68" s="734"/>
      <c r="BD68" s="478">
        <f>AK68*DM68*0.6</f>
        <v>26487147.599999998</v>
      </c>
      <c r="BE68" s="478">
        <f>BD68-21000*DM68*0.6</f>
        <v>5180547.5999999978</v>
      </c>
      <c r="BF68" s="478">
        <f>AM68*DM68*0.4</f>
        <v>16700316</v>
      </c>
      <c r="BG68" s="478">
        <f>BF68-0</f>
        <v>16700316</v>
      </c>
      <c r="BH68" s="478">
        <f>AO68*DM68*0.3</f>
        <v>1203822.8999999999</v>
      </c>
      <c r="BI68" s="734"/>
      <c r="BJ68" s="734"/>
      <c r="BK68" s="735">
        <f>BM68*5000*BX68</f>
        <v>525000</v>
      </c>
      <c r="BL68" s="735">
        <f>1800000*BN68*BX68</f>
        <v>0</v>
      </c>
      <c r="BM68" s="736">
        <v>5</v>
      </c>
      <c r="BN68" s="736">
        <f>GQ68</f>
        <v>0</v>
      </c>
      <c r="BO68" s="737"/>
      <c r="BP68" s="481">
        <f>SUM(AZ68,BA68,BI68,BO68)</f>
        <v>101828760</v>
      </c>
      <c r="BQ68" s="737"/>
      <c r="BR68" s="738"/>
      <c r="BS68" s="739"/>
      <c r="BT68" s="740"/>
      <c r="BU68" s="740"/>
      <c r="BV68" s="666">
        <f>IFERROR(INDEX($BY$9:$DH$9, MATCH("準備", BY68:DK68, 0)), "")</f>
        <v>46274</v>
      </c>
      <c r="BW68" s="667" cm="1">
        <f t="array" ref="BW68">IF(COUNTIF(BY68:DK68,"*撤去*")=0,"",INDEX(BY$9:DK$9,1,MAX(IF(CC68:DK68="撤去",COLUMN(CC68:DK68)-COLUMN(BY68)+1))))</f>
        <v>46295</v>
      </c>
      <c r="BX68" s="663">
        <f>BW68-BV68</f>
        <v>21</v>
      </c>
      <c r="BY68" s="741"/>
      <c r="BZ68" s="742"/>
      <c r="CA68" s="557"/>
      <c r="CB68" s="557"/>
      <c r="CC68" s="743"/>
      <c r="CD68" s="599"/>
      <c r="CE68" s="599"/>
      <c r="CF68" s="599"/>
      <c r="CG68" s="599"/>
      <c r="CH68" s="400" t="s">
        <v>177</v>
      </c>
      <c r="CI68" s="400" t="s">
        <v>177</v>
      </c>
      <c r="CJ68" s="799">
        <v>89</v>
      </c>
      <c r="CK68" s="744">
        <v>89</v>
      </c>
      <c r="CL68" s="744">
        <v>89</v>
      </c>
      <c r="CM68" s="744">
        <v>89</v>
      </c>
      <c r="CN68" s="745">
        <v>89</v>
      </c>
      <c r="CO68" s="744">
        <v>89</v>
      </c>
      <c r="CP68" s="744">
        <v>89</v>
      </c>
      <c r="CQ68" s="744">
        <v>89</v>
      </c>
      <c r="CR68" s="746">
        <v>89</v>
      </c>
      <c r="CS68" s="747">
        <v>89</v>
      </c>
      <c r="CT68" s="744">
        <v>89</v>
      </c>
      <c r="CU68" s="744">
        <v>89</v>
      </c>
      <c r="CV68" s="744">
        <v>89</v>
      </c>
      <c r="CW68" s="744">
        <v>89</v>
      </c>
      <c r="CX68" s="744">
        <v>89</v>
      </c>
      <c r="CY68" s="744">
        <v>89</v>
      </c>
      <c r="CZ68" s="744">
        <v>89</v>
      </c>
      <c r="DA68" s="744">
        <v>89</v>
      </c>
      <c r="DB68" s="744">
        <v>89</v>
      </c>
      <c r="DC68" s="665" t="s">
        <v>178</v>
      </c>
      <c r="DD68" s="744"/>
      <c r="DE68" s="744"/>
      <c r="DF68" s="744"/>
      <c r="DG68" s="746"/>
      <c r="DH68" s="747"/>
      <c r="DI68" s="762"/>
      <c r="DJ68" s="762"/>
      <c r="DK68" s="749"/>
      <c r="DL68" s="277"/>
      <c r="DM68" s="277" cm="1">
        <f t="array" ref="DM68">SUM(IF(ISNUMBER($BY68:$DK68),$BY68:$DK68, 0))</f>
        <v>1691</v>
      </c>
      <c r="DN68" s="559"/>
      <c r="DO68" s="277">
        <f>DM68*(BX68)/(BX68+1)</f>
        <v>1614.1363636363637</v>
      </c>
      <c r="DP68" s="277"/>
      <c r="DQ68" s="277"/>
      <c r="DR68" s="277"/>
      <c r="DS68" s="277"/>
      <c r="DT68" s="277"/>
      <c r="DU68" s="277"/>
      <c r="DV68" s="277"/>
      <c r="DW68" s="277"/>
      <c r="DX68" s="277"/>
      <c r="DY68" s="277"/>
      <c r="DZ68" s="277"/>
      <c r="EA68" s="277"/>
      <c r="EB68" s="277"/>
      <c r="EC68" s="277"/>
      <c r="ED68" s="277"/>
      <c r="EE68" s="277"/>
      <c r="EF68" s="277"/>
      <c r="EG68" s="277"/>
      <c r="EH68" s="277"/>
      <c r="EI68" s="277"/>
      <c r="EJ68" s="277"/>
      <c r="EK68" s="277"/>
      <c r="EL68" s="277"/>
      <c r="EM68" s="277"/>
      <c r="EN68" s="277"/>
      <c r="EO68" s="604"/>
      <c r="EP68" s="605"/>
      <c r="EQ68" s="606"/>
      <c r="ER68" s="323"/>
      <c r="ES68" s="323"/>
      <c r="ET68" s="323"/>
      <c r="EU68" s="323"/>
      <c r="EV68" s="608"/>
      <c r="EW68" s="609"/>
      <c r="EX68" s="610"/>
      <c r="EY68" s="442"/>
      <c r="EZ68" s="440"/>
      <c r="FA68" s="441"/>
      <c r="FB68" s="442"/>
      <c r="FC68" s="440"/>
      <c r="FD68" s="441"/>
      <c r="FE68" s="443"/>
      <c r="FF68" s="440"/>
      <c r="FG68" s="441"/>
      <c r="FH68" s="443"/>
      <c r="FI68" s="440"/>
      <c r="FJ68" s="444"/>
      <c r="FK68" s="289"/>
      <c r="FL68" s="290"/>
      <c r="FM68" s="349"/>
      <c r="FN68" s="336"/>
      <c r="FO68" s="337"/>
      <c r="FP68" s="337"/>
      <c r="FQ68" s="337"/>
      <c r="FR68" s="337"/>
      <c r="FS68" s="337"/>
      <c r="FT68" s="337"/>
      <c r="FU68" s="337"/>
      <c r="FV68" s="339"/>
      <c r="FW68" s="337"/>
      <c r="FX68" s="339"/>
      <c r="FY68" s="337"/>
      <c r="FZ68" s="337"/>
      <c r="GA68" s="337"/>
      <c r="GB68" s="337"/>
      <c r="GC68" s="611"/>
      <c r="GD68" s="611"/>
      <c r="GE68" s="611"/>
      <c r="GF68" s="611"/>
      <c r="GG68" s="611"/>
      <c r="GH68" s="611"/>
      <c r="GI68" s="611"/>
      <c r="GJ68" s="611"/>
      <c r="GK68" s="611"/>
      <c r="GL68" s="611"/>
      <c r="GM68" s="611"/>
      <c r="GN68" s="611"/>
      <c r="GO68" s="611"/>
      <c r="GP68" s="611"/>
      <c r="GQ68" s="611"/>
      <c r="GR68" s="612"/>
      <c r="GS68" s="612"/>
      <c r="GT68" s="613"/>
      <c r="GU68" s="614"/>
      <c r="GV68" s="614"/>
      <c r="GW68" s="615"/>
      <c r="GX68" s="615"/>
      <c r="GY68" s="616"/>
      <c r="GZ68" s="596"/>
      <c r="HA68" s="597"/>
      <c r="HB68" s="597"/>
      <c r="HC68" s="597"/>
      <c r="HD68" s="750"/>
      <c r="HE68" s="274"/>
      <c r="HF68" s="274"/>
      <c r="HG68" s="274"/>
      <c r="HH68" s="274"/>
      <c r="HI68" s="274"/>
      <c r="HJ68" s="274"/>
      <c r="HK68" s="274"/>
      <c r="HL68" s="274"/>
      <c r="HM68" s="274"/>
      <c r="HN68" s="272"/>
      <c r="HO68" s="272"/>
      <c r="HP68" s="274"/>
      <c r="HQ68" s="274"/>
      <c r="HR68" s="274"/>
      <c r="HS68" s="275"/>
      <c r="HT68" s="750"/>
      <c r="HU68" s="274"/>
      <c r="HV68" s="274"/>
      <c r="HW68" s="274"/>
      <c r="HX68" s="274"/>
      <c r="HY68" s="274"/>
      <c r="HZ68" s="274"/>
      <c r="IA68" s="274"/>
      <c r="IB68" s="274"/>
      <c r="IC68" s="274"/>
      <c r="ID68" s="274"/>
      <c r="IE68" s="274"/>
      <c r="IF68" s="272"/>
      <c r="IG68" s="274"/>
      <c r="IH68" s="275"/>
      <c r="II68" s="750"/>
      <c r="IJ68" s="274"/>
      <c r="IK68" s="274"/>
      <c r="IL68" s="276"/>
      <c r="IM68" s="277"/>
      <c r="IN68" s="277"/>
      <c r="IO68" s="333"/>
      <c r="IP68" s="334"/>
      <c r="IQ68" s="541"/>
      <c r="IR68" s="542"/>
      <c r="IS68" s="543"/>
      <c r="IT68" s="543"/>
      <c r="IU68" s="543"/>
      <c r="IV68" s="543"/>
      <c r="IW68" s="543"/>
      <c r="IX68" s="544"/>
      <c r="IY68" s="544"/>
      <c r="IZ68" s="543"/>
      <c r="JA68" s="543"/>
      <c r="JB68" s="543"/>
      <c r="JC68" s="543"/>
      <c r="JD68" s="545"/>
      <c r="JE68" s="545"/>
      <c r="JF68" s="546"/>
      <c r="JG68" s="503"/>
      <c r="JH68" s="506"/>
      <c r="JO68" s="507"/>
      <c r="JP68" s="508"/>
      <c r="JQ68" s="508"/>
      <c r="JR68" s="508"/>
      <c r="JS68" s="508"/>
      <c r="JT68" s="508"/>
      <c r="JU68" s="508"/>
      <c r="JV68" s="508"/>
      <c r="JW68" s="508"/>
      <c r="JX68" s="508"/>
      <c r="JY68" s="508"/>
      <c r="JZ68" s="508"/>
      <c r="KA68" s="508"/>
      <c r="KB68" s="508"/>
      <c r="KC68" s="508"/>
      <c r="KD68" s="508"/>
      <c r="KE68" s="508"/>
      <c r="KF68" s="508"/>
      <c r="KG68" s="508"/>
      <c r="KH68" s="508"/>
      <c r="KI68" s="508"/>
      <c r="KJ68" s="508"/>
      <c r="KK68" s="508"/>
      <c r="KL68" s="508"/>
      <c r="KM68" s="508"/>
      <c r="KN68" s="508"/>
      <c r="KO68" s="508"/>
      <c r="KP68" s="508"/>
      <c r="KQ68" s="508"/>
      <c r="KR68" s="508"/>
      <c r="KS68" s="508"/>
      <c r="KT68" s="508"/>
      <c r="KU68" s="508"/>
      <c r="KV68" s="508"/>
      <c r="KW68" s="509"/>
      <c r="KX68" s="277"/>
      <c r="KY68" s="277"/>
    </row>
    <row r="69" spans="1:398" ht="40" customHeight="1" thickBot="1">
      <c r="B69" s="299"/>
      <c r="C69" s="241"/>
      <c r="D69" s="800"/>
      <c r="E69" s="801"/>
      <c r="F69" s="802"/>
      <c r="G69" s="803"/>
      <c r="H69" s="803"/>
      <c r="I69" s="803"/>
      <c r="J69" s="803"/>
      <c r="K69" s="803"/>
      <c r="L69" s="803"/>
      <c r="M69" s="804"/>
      <c r="N69" s="805"/>
      <c r="O69" s="805"/>
      <c r="P69" s="804"/>
      <c r="Q69" s="805"/>
      <c r="R69" s="805"/>
      <c r="S69" s="805"/>
      <c r="T69" s="805"/>
      <c r="U69" s="806"/>
      <c r="V69" s="800"/>
      <c r="W69" s="800"/>
      <c r="X69" s="800"/>
      <c r="Y69" s="800"/>
      <c r="Z69" s="800"/>
      <c r="AA69" s="807"/>
      <c r="AB69" s="808"/>
      <c r="AC69" s="809"/>
      <c r="AD69" s="691"/>
      <c r="AE69" s="810"/>
      <c r="AF69" s="811"/>
      <c r="AG69" s="811"/>
      <c r="AH69" s="811"/>
      <c r="AI69" s="811"/>
      <c r="AJ69" s="811"/>
      <c r="AK69" s="811"/>
      <c r="AL69" s="811"/>
      <c r="AM69" s="811"/>
      <c r="AN69" s="811"/>
      <c r="AO69" s="811"/>
      <c r="AP69" s="811"/>
      <c r="AQ69" s="811"/>
      <c r="AR69" s="811"/>
      <c r="AS69" s="812"/>
      <c r="AT69" s="811"/>
      <c r="AU69" s="812"/>
      <c r="AV69" s="811"/>
      <c r="AW69" s="811"/>
      <c r="AX69" s="811"/>
      <c r="AY69" s="811"/>
      <c r="AZ69" s="813"/>
      <c r="BA69" s="813"/>
      <c r="BB69" s="813"/>
      <c r="BC69" s="813"/>
      <c r="BD69" s="813"/>
      <c r="BE69" s="813"/>
      <c r="BF69" s="813"/>
      <c r="BG69" s="813"/>
      <c r="BH69" s="813"/>
      <c r="BI69" s="813"/>
      <c r="BJ69" s="813"/>
      <c r="BK69" s="813"/>
      <c r="BL69" s="813"/>
      <c r="BM69" s="813"/>
      <c r="BN69" s="813"/>
      <c r="BO69" s="814"/>
      <c r="BP69" s="814"/>
      <c r="BQ69" s="814"/>
      <c r="BR69" s="815"/>
      <c r="BS69" s="816"/>
      <c r="BT69" s="817"/>
      <c r="BU69" s="817"/>
      <c r="BV69" s="818"/>
      <c r="BW69" s="818"/>
      <c r="BX69" s="819"/>
      <c r="BY69" s="820"/>
      <c r="BZ69" s="821"/>
      <c r="CA69" s="822"/>
      <c r="CB69" s="822"/>
      <c r="CC69" s="823"/>
      <c r="CD69" s="824"/>
      <c r="CE69" s="824"/>
      <c r="CF69" s="824"/>
      <c r="CG69" s="824"/>
      <c r="CH69" s="824"/>
      <c r="CI69" s="824"/>
      <c r="CJ69" s="824"/>
      <c r="CK69" s="825"/>
      <c r="CL69" s="826"/>
      <c r="CM69" s="826"/>
      <c r="CN69" s="827"/>
      <c r="CO69" s="826"/>
      <c r="CP69" s="826"/>
      <c r="CQ69" s="826"/>
      <c r="CR69" s="828"/>
      <c r="CS69" s="829"/>
      <c r="CT69" s="826"/>
      <c r="CU69" s="826"/>
      <c r="CV69" s="826"/>
      <c r="CW69" s="826"/>
      <c r="CX69" s="826"/>
      <c r="CY69" s="826"/>
      <c r="CZ69" s="826"/>
      <c r="DA69" s="826"/>
      <c r="DB69" s="826"/>
      <c r="DC69" s="826"/>
      <c r="DD69" s="826"/>
      <c r="DE69" s="826"/>
      <c r="DF69" s="826"/>
      <c r="DG69" s="828"/>
      <c r="DH69" s="829"/>
      <c r="DI69" s="830"/>
      <c r="DJ69" s="830"/>
      <c r="DK69" s="831"/>
      <c r="DL69" s="277"/>
      <c r="DM69" s="277"/>
      <c r="DN69" s="277"/>
      <c r="DO69" s="277"/>
      <c r="DP69" s="277"/>
      <c r="DQ69" s="277"/>
      <c r="DR69" s="277"/>
      <c r="DS69" s="277"/>
      <c r="DT69" s="277"/>
      <c r="DU69" s="277"/>
      <c r="DV69" s="277"/>
      <c r="DW69" s="277"/>
      <c r="DX69" s="277"/>
      <c r="DY69" s="277"/>
      <c r="DZ69" s="277"/>
      <c r="EA69" s="277"/>
      <c r="EB69" s="277"/>
      <c r="EC69" s="277"/>
      <c r="ED69" s="277"/>
      <c r="EE69" s="277"/>
      <c r="EF69" s="277"/>
      <c r="EG69" s="277"/>
      <c r="EH69" s="277"/>
      <c r="EI69" s="277"/>
      <c r="EJ69" s="277"/>
      <c r="EK69" s="277"/>
      <c r="EL69" s="277"/>
      <c r="EM69" s="277"/>
      <c r="EN69" s="277"/>
      <c r="EO69" s="604"/>
      <c r="EP69" s="605"/>
      <c r="EQ69" s="606"/>
      <c r="ER69" s="323"/>
      <c r="ES69" s="323"/>
      <c r="ET69" s="323"/>
      <c r="EU69" s="323"/>
      <c r="EV69" s="608"/>
      <c r="EW69" s="609"/>
      <c r="EX69" s="610"/>
      <c r="EY69" s="442"/>
      <c r="EZ69" s="440"/>
      <c r="FA69" s="441"/>
      <c r="FB69" s="442"/>
      <c r="FC69" s="440"/>
      <c r="FD69" s="441"/>
      <c r="FE69" s="443"/>
      <c r="FF69" s="440"/>
      <c r="FG69" s="441"/>
      <c r="FH69" s="443"/>
      <c r="FI69" s="440"/>
      <c r="FJ69" s="444"/>
      <c r="FK69" s="289"/>
      <c r="FL69" s="290"/>
      <c r="FM69" s="349"/>
      <c r="FN69" s="336"/>
      <c r="FO69" s="337"/>
      <c r="FP69" s="337"/>
      <c r="FQ69" s="337"/>
      <c r="FR69" s="337"/>
      <c r="FS69" s="337"/>
      <c r="FT69" s="337"/>
      <c r="FU69" s="337"/>
      <c r="FV69" s="339"/>
      <c r="FW69" s="337"/>
      <c r="FX69" s="339"/>
      <c r="FY69" s="337"/>
      <c r="FZ69" s="337"/>
      <c r="GA69" s="337"/>
      <c r="GB69" s="337"/>
      <c r="GC69" s="611"/>
      <c r="GD69" s="611"/>
      <c r="GE69" s="611"/>
      <c r="GF69" s="611"/>
      <c r="GG69" s="611"/>
      <c r="GH69" s="611"/>
      <c r="GI69" s="611"/>
      <c r="GJ69" s="611"/>
      <c r="GK69" s="611"/>
      <c r="GL69" s="611"/>
      <c r="GM69" s="611"/>
      <c r="GN69" s="611"/>
      <c r="GO69" s="611"/>
      <c r="GP69" s="611"/>
      <c r="GQ69" s="611"/>
      <c r="GR69" s="612"/>
      <c r="GS69" s="612"/>
      <c r="GT69" s="613"/>
      <c r="GU69" s="614"/>
      <c r="GV69" s="614"/>
      <c r="GW69" s="615"/>
      <c r="GX69" s="615"/>
      <c r="GY69" s="616"/>
      <c r="GZ69" s="596"/>
      <c r="HA69" s="597"/>
      <c r="HB69" s="597"/>
      <c r="HC69" s="597"/>
      <c r="HD69" s="750"/>
      <c r="HE69" s="274"/>
      <c r="HF69" s="274"/>
      <c r="HG69" s="274"/>
      <c r="HH69" s="274"/>
      <c r="HI69" s="274"/>
      <c r="HJ69" s="274"/>
      <c r="HK69" s="274"/>
      <c r="HL69" s="274"/>
      <c r="HM69" s="274"/>
      <c r="HN69" s="272"/>
      <c r="HO69" s="272"/>
      <c r="HP69" s="274"/>
      <c r="HQ69" s="274"/>
      <c r="HR69" s="274"/>
      <c r="HS69" s="275"/>
      <c r="HT69" s="750"/>
      <c r="HU69" s="274"/>
      <c r="HV69" s="274"/>
      <c r="HW69" s="274"/>
      <c r="HX69" s="274"/>
      <c r="HY69" s="274"/>
      <c r="HZ69" s="274"/>
      <c r="IA69" s="274"/>
      <c r="IB69" s="274"/>
      <c r="IC69" s="274"/>
      <c r="ID69" s="274"/>
      <c r="IE69" s="274"/>
      <c r="IF69" s="272"/>
      <c r="IG69" s="274"/>
      <c r="IH69" s="275"/>
      <c r="II69" s="750"/>
      <c r="IJ69" s="274"/>
      <c r="IK69" s="274"/>
      <c r="IL69" s="276"/>
      <c r="IM69" s="277"/>
      <c r="IN69" s="277"/>
      <c r="IO69" s="333"/>
      <c r="IP69" s="334"/>
      <c r="IQ69" s="541"/>
      <c r="IR69" s="542"/>
      <c r="IS69" s="543"/>
      <c r="IT69" s="543"/>
      <c r="IU69" s="543"/>
      <c r="IV69" s="543"/>
      <c r="IW69" s="543"/>
      <c r="IX69" s="544"/>
      <c r="IY69" s="544"/>
      <c r="IZ69" s="543"/>
      <c r="JA69" s="543"/>
      <c r="JB69" s="543"/>
      <c r="JC69" s="543"/>
      <c r="JD69" s="545"/>
      <c r="JE69" s="545"/>
      <c r="JF69" s="546"/>
      <c r="JG69" s="503"/>
      <c r="JH69" s="506"/>
      <c r="JO69" s="507"/>
      <c r="JP69" s="508"/>
      <c r="JQ69" s="508"/>
      <c r="JR69" s="508"/>
      <c r="JS69" s="508"/>
      <c r="JT69" s="508"/>
      <c r="JU69" s="508"/>
      <c r="JV69" s="508"/>
      <c r="JW69" s="508"/>
      <c r="JX69" s="508"/>
      <c r="JY69" s="508"/>
      <c r="JZ69" s="508"/>
      <c r="KA69" s="508"/>
      <c r="KB69" s="508"/>
      <c r="KC69" s="508"/>
      <c r="KD69" s="508"/>
      <c r="KE69" s="508"/>
      <c r="KF69" s="508"/>
      <c r="KG69" s="508"/>
      <c r="KH69" s="508"/>
      <c r="KI69" s="508"/>
      <c r="KJ69" s="508"/>
      <c r="KK69" s="508"/>
      <c r="KL69" s="508"/>
      <c r="KM69" s="508"/>
      <c r="KN69" s="508"/>
      <c r="KO69" s="508"/>
      <c r="KP69" s="508"/>
      <c r="KQ69" s="508"/>
      <c r="KR69" s="508"/>
      <c r="KS69" s="508"/>
      <c r="KT69" s="508"/>
      <c r="KU69" s="508"/>
      <c r="KV69" s="508"/>
      <c r="KW69" s="509"/>
      <c r="KX69" s="277"/>
      <c r="KY69" s="277"/>
    </row>
    <row r="70" spans="1:398" ht="40" customHeight="1">
      <c r="B70" s="832" t="s">
        <v>350</v>
      </c>
      <c r="C70" s="833" t="s">
        <v>351</v>
      </c>
      <c r="D70" s="834">
        <v>13</v>
      </c>
      <c r="E70" s="835">
        <v>12</v>
      </c>
      <c r="F70" s="836" t="s">
        <v>352</v>
      </c>
      <c r="G70" s="837">
        <v>224</v>
      </c>
      <c r="H70" s="837">
        <v>241</v>
      </c>
      <c r="I70" s="837">
        <v>147</v>
      </c>
      <c r="J70" s="837">
        <v>215</v>
      </c>
      <c r="K70" s="838" t="s">
        <v>353</v>
      </c>
      <c r="L70" s="837">
        <v>192</v>
      </c>
      <c r="M70" s="839">
        <v>11</v>
      </c>
      <c r="N70" s="840" t="s">
        <v>354</v>
      </c>
      <c r="O70" s="840" t="s">
        <v>168</v>
      </c>
      <c r="P70" s="839">
        <v>82</v>
      </c>
      <c r="Q70" s="840" t="s">
        <v>169</v>
      </c>
      <c r="R70" s="840" t="s">
        <v>290</v>
      </c>
      <c r="S70" s="840" t="s">
        <v>169</v>
      </c>
      <c r="T70" s="840" t="s">
        <v>355</v>
      </c>
      <c r="U70" s="841" t="s">
        <v>169</v>
      </c>
      <c r="V70" s="834" t="s">
        <v>172</v>
      </c>
      <c r="W70" s="834"/>
      <c r="X70" s="842" t="s">
        <v>292</v>
      </c>
      <c r="Y70" s="842" t="s">
        <v>292</v>
      </c>
      <c r="Z70" s="834"/>
      <c r="AA70" s="843" t="s">
        <v>356</v>
      </c>
      <c r="AB70" s="844" t="s">
        <v>322</v>
      </c>
      <c r="AC70" s="845">
        <v>192</v>
      </c>
      <c r="AD70" s="846">
        <f>SUM(AC70,AC71)</f>
        <v>192</v>
      </c>
      <c r="AE70" s="847" t="s">
        <v>295</v>
      </c>
      <c r="AF70" s="848" t="s">
        <v>296</v>
      </c>
      <c r="AG70" s="473">
        <f>FP70</f>
        <v>3010000</v>
      </c>
      <c r="AH70" s="470">
        <f>FQ70</f>
        <v>0</v>
      </c>
      <c r="AI70" s="470">
        <f>FR70</f>
        <v>4100</v>
      </c>
      <c r="AJ70" s="849">
        <v>0.98599999999999999</v>
      </c>
      <c r="AK70" s="850">
        <f>$AK$4</f>
        <v>26106</v>
      </c>
      <c r="AL70" s="471">
        <v>0.83</v>
      </c>
      <c r="AM70" s="850">
        <f>$AM$4</f>
        <v>24690</v>
      </c>
      <c r="AN70" s="470" t="s">
        <v>308</v>
      </c>
      <c r="AO70" s="850">
        <f>$AO$4</f>
        <v>2373</v>
      </c>
      <c r="AP70" s="473">
        <f t="shared" ref="AP70:AQ70" si="3">FS70</f>
        <v>147</v>
      </c>
      <c r="AQ70" s="473">
        <f t="shared" si="3"/>
        <v>215</v>
      </c>
      <c r="AR70" s="851">
        <f>DM70/(BX70-2)</f>
        <v>176</v>
      </c>
      <c r="AS70" s="852">
        <f>AG70/AR70</f>
        <v>17102.272727272728</v>
      </c>
      <c r="AT70" s="853">
        <f>AG70/AP70</f>
        <v>20476.190476190477</v>
      </c>
      <c r="AU70" s="852">
        <f>AG70/AQ70</f>
        <v>14000</v>
      </c>
      <c r="AV70" s="854">
        <v>26000</v>
      </c>
      <c r="AW70" s="854">
        <v>48000</v>
      </c>
      <c r="AX70" s="473">
        <f>GA70</f>
        <v>904000</v>
      </c>
      <c r="AY70" s="473">
        <f>GB70</f>
        <v>5</v>
      </c>
      <c r="AZ70" s="855">
        <f>GC70</f>
        <v>54180000</v>
      </c>
      <c r="BA70" s="855">
        <f>GD70</f>
        <v>17176000</v>
      </c>
      <c r="BB70" s="855">
        <f>AI70*DM70</f>
        <v>8659200</v>
      </c>
      <c r="BC70" s="855">
        <f>AH70*DM70</f>
        <v>0</v>
      </c>
      <c r="BD70" s="855">
        <f>AK70*DM70*0.6</f>
        <v>33081523.199999999</v>
      </c>
      <c r="BE70" s="855">
        <f>BD70-21000*DM70*0.6</f>
        <v>6470323.1999999993</v>
      </c>
      <c r="BF70" s="855">
        <f>AM70*DM70*0.4</f>
        <v>20858112</v>
      </c>
      <c r="BG70" s="855">
        <f>BF70-0</f>
        <v>20858112</v>
      </c>
      <c r="BH70" s="855">
        <f>AO70*DM70*0.3</f>
        <v>1503532.8</v>
      </c>
      <c r="BI70" s="856">
        <f>GJ70</f>
        <v>0</v>
      </c>
      <c r="BJ70" s="856">
        <f>GK70</f>
        <v>0</v>
      </c>
      <c r="BK70" s="856">
        <f>BM70*5000*BX70</f>
        <v>350000</v>
      </c>
      <c r="BL70" s="856">
        <f>1800000*BN70*BX70</f>
        <v>25200000</v>
      </c>
      <c r="BM70" s="856">
        <f>GP70</f>
        <v>5</v>
      </c>
      <c r="BN70" s="856">
        <f>GQ70</f>
        <v>1</v>
      </c>
      <c r="BO70" s="857"/>
      <c r="BP70" s="857">
        <f>SUM(AZ70,BA70,BI70,BO70)</f>
        <v>71356000</v>
      </c>
      <c r="BQ70" s="857">
        <f>BP70-GR70</f>
        <v>0</v>
      </c>
      <c r="BR70" s="858"/>
      <c r="BS70" s="859" t="s">
        <v>175</v>
      </c>
      <c r="BT70" s="860">
        <f>'[1]0012_ルートイン小牧　別紙1-1'!B8</f>
        <v>46279</v>
      </c>
      <c r="BU70" s="860">
        <f>'[1]0012_ルートイン小牧　別紙1-1'!G8</f>
        <v>46297</v>
      </c>
      <c r="BV70" s="861">
        <f>IFERROR(INDEX($BY$9:$DH$9, MATCH("準備", BY70:DK70, 0)), "")</f>
        <v>46280</v>
      </c>
      <c r="BW70" s="862" cm="1">
        <f t="array" ref="BW70">IF(COUNTIF(BY70:DK70,"*撤去*")=0,"",INDEX(BY$9:DK$9,1,MAX(IF(CC70:DK70="撤去",COLUMN(CC70:DK70)-COLUMN(BY70)+1))))</f>
        <v>46294</v>
      </c>
      <c r="BX70" s="863">
        <f>BW70-BV70</f>
        <v>14</v>
      </c>
      <c r="BY70" s="864">
        <v>0</v>
      </c>
      <c r="BZ70" s="865">
        <v>0</v>
      </c>
      <c r="CA70" s="865">
        <v>0</v>
      </c>
      <c r="CB70" s="865">
        <v>0</v>
      </c>
      <c r="CC70" s="866">
        <v>0</v>
      </c>
      <c r="CD70" s="867">
        <v>0</v>
      </c>
      <c r="CE70" s="867">
        <v>0</v>
      </c>
      <c r="CF70" s="867">
        <v>0</v>
      </c>
      <c r="CG70" s="867">
        <v>0</v>
      </c>
      <c r="CH70" s="867">
        <v>0</v>
      </c>
      <c r="CI70" s="867">
        <v>0</v>
      </c>
      <c r="CJ70" s="867">
        <v>0</v>
      </c>
      <c r="CK70" s="867">
        <v>0</v>
      </c>
      <c r="CL70" s="867">
        <v>0</v>
      </c>
      <c r="CM70" s="867">
        <v>0</v>
      </c>
      <c r="CN70" s="868" t="s">
        <v>177</v>
      </c>
      <c r="CO70" s="868" t="s">
        <v>177</v>
      </c>
      <c r="CP70" s="867">
        <v>192</v>
      </c>
      <c r="CQ70" s="867">
        <v>192</v>
      </c>
      <c r="CR70" s="869">
        <v>192</v>
      </c>
      <c r="CS70" s="866">
        <v>192</v>
      </c>
      <c r="CT70" s="867">
        <v>192</v>
      </c>
      <c r="CU70" s="867">
        <v>192</v>
      </c>
      <c r="CV70" s="867">
        <v>192</v>
      </c>
      <c r="CW70" s="867">
        <v>192</v>
      </c>
      <c r="CX70" s="867">
        <v>192</v>
      </c>
      <c r="CY70" s="867">
        <v>192</v>
      </c>
      <c r="CZ70" s="867">
        <v>192</v>
      </c>
      <c r="DA70" s="867">
        <v>0</v>
      </c>
      <c r="DB70" s="870" t="s">
        <v>178</v>
      </c>
      <c r="DC70" s="867">
        <v>0</v>
      </c>
      <c r="DD70" s="867">
        <v>0</v>
      </c>
      <c r="DE70" s="867">
        <v>0</v>
      </c>
      <c r="DF70" s="867">
        <v>0</v>
      </c>
      <c r="DG70" s="869">
        <v>0</v>
      </c>
      <c r="DH70" s="866">
        <v>0</v>
      </c>
      <c r="DI70" s="867">
        <v>0</v>
      </c>
      <c r="DJ70" s="867">
        <v>0</v>
      </c>
      <c r="DK70" s="871">
        <v>0</v>
      </c>
      <c r="DL70" s="277"/>
      <c r="DM70" s="277" cm="1">
        <f t="array" ref="DM70">SUM(IF(ISNUMBER($BY70:$DK70),$BY70:$DK70, 0))</f>
        <v>2112</v>
      </c>
      <c r="DN70" s="277">
        <v>2688</v>
      </c>
      <c r="DO70" s="277">
        <f>DM70*(BX70)/(BX70+1)</f>
        <v>1971.2</v>
      </c>
      <c r="DP70" s="277"/>
      <c r="DQ70" s="253" t="s">
        <v>356</v>
      </c>
      <c r="DR70" s="254" t="s">
        <v>322</v>
      </c>
      <c r="DS70" s="255">
        <v>192</v>
      </c>
      <c r="DT70" s="256">
        <f>SUM(DS70,DS71)</f>
        <v>192</v>
      </c>
      <c r="DU70" s="467">
        <v>3010000</v>
      </c>
      <c r="DV70" s="467">
        <v>904000</v>
      </c>
      <c r="DW70" s="478">
        <v>54180000</v>
      </c>
      <c r="DX70" s="478">
        <v>17176000</v>
      </c>
      <c r="DY70" s="478">
        <v>11808000</v>
      </c>
      <c r="DZ70" s="478">
        <v>45111168</v>
      </c>
      <c r="EA70" s="478">
        <v>28442880</v>
      </c>
      <c r="EB70" s="478">
        <v>2050272</v>
      </c>
      <c r="EC70" s="480">
        <v>0</v>
      </c>
      <c r="ED70" s="480">
        <v>0</v>
      </c>
      <c r="EE70" s="480">
        <v>425000</v>
      </c>
      <c r="EF70" s="480">
        <v>30600000</v>
      </c>
      <c r="EG70" s="481"/>
      <c r="EH70" s="481">
        <v>71356000</v>
      </c>
      <c r="EI70" s="484">
        <v>46279</v>
      </c>
      <c r="EJ70" s="484">
        <v>46297</v>
      </c>
      <c r="EK70" s="666">
        <v>46279</v>
      </c>
      <c r="EL70" s="667">
        <v>46296</v>
      </c>
      <c r="EM70" s="663">
        <v>17</v>
      </c>
      <c r="EN70" s="277"/>
      <c r="EO70" s="253" t="s">
        <v>356</v>
      </c>
      <c r="EP70" s="278" t="s">
        <v>322</v>
      </c>
      <c r="EQ70" s="279">
        <v>192</v>
      </c>
      <c r="ER70" s="323">
        <v>192</v>
      </c>
      <c r="ES70" s="245">
        <v>192</v>
      </c>
      <c r="ET70" s="245">
        <v>192</v>
      </c>
      <c r="EU70" s="245">
        <v>187</v>
      </c>
      <c r="EV70" s="281" t="s">
        <v>357</v>
      </c>
      <c r="EW70" s="282">
        <v>6.7</v>
      </c>
      <c r="EX70" s="283">
        <v>17</v>
      </c>
      <c r="EY70" s="284" t="s">
        <v>180</v>
      </c>
      <c r="EZ70" s="285">
        <v>21.7</v>
      </c>
      <c r="FA70" s="286">
        <v>26</v>
      </c>
      <c r="FB70" s="284" t="s">
        <v>181</v>
      </c>
      <c r="FC70" s="285">
        <v>20.7</v>
      </c>
      <c r="FD70" s="286">
        <v>28</v>
      </c>
      <c r="FE70" s="287" t="s">
        <v>182</v>
      </c>
      <c r="FF70" s="285">
        <v>22.8</v>
      </c>
      <c r="FG70" s="286">
        <v>27</v>
      </c>
      <c r="FH70" s="287" t="s">
        <v>183</v>
      </c>
      <c r="FI70" s="285">
        <v>14.7</v>
      </c>
      <c r="FJ70" s="288">
        <v>17</v>
      </c>
      <c r="FK70" s="289">
        <v>49</v>
      </c>
      <c r="FL70" s="290">
        <v>0.2033195020746888</v>
      </c>
      <c r="FM70" s="291" t="s">
        <v>358</v>
      </c>
      <c r="FN70" s="561" t="s">
        <v>300</v>
      </c>
      <c r="FO70" s="550" t="s">
        <v>296</v>
      </c>
      <c r="FP70" s="562">
        <v>3010000</v>
      </c>
      <c r="FQ70" s="563">
        <v>0</v>
      </c>
      <c r="FR70" s="468">
        <v>4100</v>
      </c>
      <c r="FS70" s="562">
        <v>147</v>
      </c>
      <c r="FT70" s="872">
        <v>215</v>
      </c>
      <c r="FU70" s="261">
        <v>192</v>
      </c>
      <c r="FV70" s="394">
        <v>15677.083333333334</v>
      </c>
      <c r="FW70" s="390">
        <v>20476.190476190477</v>
      </c>
      <c r="FX70" s="394">
        <v>14000</v>
      </c>
      <c r="FY70" s="395">
        <v>8353</v>
      </c>
      <c r="FZ70" s="395">
        <v>20706</v>
      </c>
      <c r="GA70" s="562">
        <v>904000</v>
      </c>
      <c r="GB70" s="562">
        <v>5</v>
      </c>
      <c r="GC70" s="565">
        <v>54180000</v>
      </c>
      <c r="GD70" s="565">
        <v>17176000</v>
      </c>
      <c r="GE70" s="565">
        <v>54180000</v>
      </c>
      <c r="GF70" s="565">
        <v>17176000</v>
      </c>
      <c r="GG70" s="478">
        <v>0</v>
      </c>
      <c r="GH70" s="478">
        <v>0</v>
      </c>
      <c r="GI70" s="478">
        <v>7557120</v>
      </c>
      <c r="GJ70" s="566"/>
      <c r="GK70" s="566"/>
      <c r="GL70" s="566"/>
      <c r="GM70" s="480">
        <v>0</v>
      </c>
      <c r="GN70" s="480">
        <v>350000</v>
      </c>
      <c r="GO70" s="480">
        <v>32400000</v>
      </c>
      <c r="GP70" s="566">
        <v>5</v>
      </c>
      <c r="GQ70" s="566">
        <v>1</v>
      </c>
      <c r="GR70" s="567">
        <v>71356000</v>
      </c>
      <c r="GS70" s="567">
        <v>-1247009</v>
      </c>
      <c r="GT70" s="555" t="s">
        <v>175</v>
      </c>
      <c r="GU70" s="568">
        <v>46279</v>
      </c>
      <c r="GV70" s="568">
        <v>46297</v>
      </c>
      <c r="GW70" s="666">
        <v>46279</v>
      </c>
      <c r="GX70" s="667">
        <v>46297</v>
      </c>
      <c r="GY70" s="663">
        <v>18</v>
      </c>
      <c r="GZ70" s="556"/>
      <c r="HA70" s="557"/>
      <c r="HB70" s="557"/>
      <c r="HC70" s="557"/>
      <c r="HD70" s="405">
        <v>0</v>
      </c>
      <c r="HE70" s="403">
        <v>0</v>
      </c>
      <c r="HF70" s="403">
        <v>0</v>
      </c>
      <c r="HG70" s="403">
        <v>0</v>
      </c>
      <c r="HH70" s="403">
        <v>0</v>
      </c>
      <c r="HI70" s="403">
        <v>0</v>
      </c>
      <c r="HJ70" s="403">
        <v>0</v>
      </c>
      <c r="HK70" s="403">
        <v>0</v>
      </c>
      <c r="HL70" s="403">
        <v>0</v>
      </c>
      <c r="HM70" s="403">
        <v>0</v>
      </c>
      <c r="HN70" s="400" t="s">
        <v>177</v>
      </c>
      <c r="HO70" s="400" t="s">
        <v>177</v>
      </c>
      <c r="HP70" s="403">
        <v>192</v>
      </c>
      <c r="HQ70" s="403">
        <v>192</v>
      </c>
      <c r="HR70" s="403">
        <v>192</v>
      </c>
      <c r="HS70" s="404">
        <v>192</v>
      </c>
      <c r="HT70" s="405">
        <v>192</v>
      </c>
      <c r="HU70" s="403">
        <v>192</v>
      </c>
      <c r="HV70" s="403">
        <v>192</v>
      </c>
      <c r="HW70" s="403">
        <v>192</v>
      </c>
      <c r="HX70" s="403">
        <v>192</v>
      </c>
      <c r="HY70" s="403">
        <v>192</v>
      </c>
      <c r="HZ70" s="403">
        <v>192</v>
      </c>
      <c r="IA70" s="403">
        <v>192</v>
      </c>
      <c r="IB70" s="403">
        <v>192</v>
      </c>
      <c r="IC70" s="403">
        <v>192</v>
      </c>
      <c r="ID70" s="403">
        <v>192</v>
      </c>
      <c r="IE70" s="403">
        <v>192</v>
      </c>
      <c r="IF70" s="406" t="s">
        <v>178</v>
      </c>
      <c r="IG70" s="403">
        <v>0</v>
      </c>
      <c r="IH70" s="404">
        <v>0</v>
      </c>
      <c r="II70" s="405">
        <v>0</v>
      </c>
      <c r="IJ70" s="403">
        <v>0</v>
      </c>
      <c r="IK70" s="403">
        <v>0</v>
      </c>
      <c r="IL70" s="407">
        <v>0</v>
      </c>
      <c r="IM70" s="277"/>
      <c r="IN70" s="277" cm="1">
        <f t="array" ref="IN70">SUM(IF(ISNUMBER($HD70:$IL70),$HD70:$IL70, 0))</f>
        <v>3072</v>
      </c>
      <c r="IO70" s="333"/>
      <c r="IP70" s="334"/>
      <c r="IQ70" s="541"/>
      <c r="IR70" s="569">
        <f>VLOOKUP($E70,[1]アジアResults1031!$A$1:$CH$259,23,FALSE)</f>
        <v>1909391</v>
      </c>
      <c r="IS70" s="570">
        <f>VLOOKUP($E70,[1]アジアResults1031!$A$1:$CH$259,32,FALSE)</f>
        <v>146</v>
      </c>
      <c r="IT70" s="570">
        <f>KY70/(GY70-2)</f>
        <v>245.4375</v>
      </c>
      <c r="IU70" s="570">
        <f>IR70/IT70</f>
        <v>7779.5406162464988</v>
      </c>
      <c r="IV70" s="570">
        <f>VLOOKUP(E70,[1]アジアResults1031!$A$1:$CH$264,26,FALSE)</f>
        <v>8353</v>
      </c>
      <c r="IW70" s="570">
        <f>VLOOKUP(E70,[1]アジアResults1031!$A$1:$CH$264,27,FALSE)</f>
        <v>20706</v>
      </c>
      <c r="IX70" s="571">
        <f>VLOOKUP($E70,[1]アジアResults1031!$A$1:$CH$259,18,FALSE)</f>
        <v>1138826</v>
      </c>
      <c r="IY70" s="571">
        <f>VLOOKUP($E70,[1]アジアResults1031!$A$1:$CH$259,9,FALSE)</f>
        <v>4</v>
      </c>
      <c r="IZ70" s="570">
        <f>IR70*JF70</f>
        <v>43915993</v>
      </c>
      <c r="JA70" s="570">
        <f>IX70*JF70</f>
        <v>26192998</v>
      </c>
      <c r="JB70" s="570"/>
      <c r="JC70" s="570"/>
      <c r="JD70" s="572">
        <f>IFERROR(INDEX($JO$9:$KW$9, MATCH("準備", JO70:KW70, 0)), "")</f>
        <v>46277</v>
      </c>
      <c r="JE70" s="572" cm="1">
        <f t="array" ref="JE70">IF(COUNTIF(JO70:KW70,"*撤去*")=0,"",INDEX(JO$9:KW$9,1,MAX(IF(JO70:KW70="撤去",COLUMN(JO70:KW70)-COLUMN(JO70)+1))))</f>
        <v>46300</v>
      </c>
      <c r="JF70" s="573">
        <f>JE70-JD70</f>
        <v>23</v>
      </c>
      <c r="JG70" s="503">
        <v>2650925</v>
      </c>
      <c r="JH70" s="506">
        <v>1138826</v>
      </c>
      <c r="JO70" s="507"/>
      <c r="JP70" s="508"/>
      <c r="JQ70" s="508"/>
      <c r="JR70" s="508"/>
      <c r="JS70" s="508"/>
      <c r="JT70" s="508"/>
      <c r="JU70" s="508"/>
      <c r="JV70" s="508"/>
      <c r="JW70" s="400" t="s">
        <v>177</v>
      </c>
      <c r="JX70" s="400" t="s">
        <v>177</v>
      </c>
      <c r="JY70" s="508">
        <v>187</v>
      </c>
      <c r="JZ70" s="508">
        <v>187</v>
      </c>
      <c r="KA70" s="508">
        <v>187</v>
      </c>
      <c r="KB70" s="508">
        <v>187</v>
      </c>
      <c r="KC70" s="508">
        <v>187</v>
      </c>
      <c r="KD70" s="508">
        <v>187</v>
      </c>
      <c r="KE70" s="508">
        <v>187</v>
      </c>
      <c r="KF70" s="508">
        <v>187</v>
      </c>
      <c r="KG70" s="508">
        <v>187</v>
      </c>
      <c r="KH70" s="508">
        <v>187</v>
      </c>
      <c r="KI70" s="508">
        <v>187</v>
      </c>
      <c r="KJ70" s="508">
        <v>187</v>
      </c>
      <c r="KK70" s="508">
        <v>187</v>
      </c>
      <c r="KL70" s="508">
        <v>187</v>
      </c>
      <c r="KM70" s="508">
        <v>187</v>
      </c>
      <c r="KN70" s="508">
        <v>187</v>
      </c>
      <c r="KO70" s="508">
        <v>187</v>
      </c>
      <c r="KP70" s="508">
        <v>187</v>
      </c>
      <c r="KQ70" s="508">
        <v>187</v>
      </c>
      <c r="KR70" s="508">
        <v>187</v>
      </c>
      <c r="KS70" s="508">
        <v>187</v>
      </c>
      <c r="KT70" s="406" t="s">
        <v>178</v>
      </c>
      <c r="KU70" s="508"/>
      <c r="KV70" s="508"/>
      <c r="KW70" s="509"/>
      <c r="KX70" s="277"/>
      <c r="KY70" s="277" cm="1">
        <f t="array" ref="KY70">SUM(IF(ISNUMBER($JO70:$KW70),$JO70:$KW70, 0))</f>
        <v>3927</v>
      </c>
    </row>
    <row r="71" spans="1:398" s="547" customFormat="1" ht="40" customHeight="1" thickBot="1">
      <c r="A71" s="1"/>
      <c r="B71" s="299"/>
      <c r="C71" s="241"/>
      <c r="D71" s="242"/>
      <c r="E71" s="243" t="s">
        <v>165</v>
      </c>
      <c r="F71" s="244"/>
      <c r="G71" s="246">
        <v>0</v>
      </c>
      <c r="H71" s="246">
        <v>0</v>
      </c>
      <c r="I71" s="246">
        <v>0</v>
      </c>
      <c r="J71" s="873">
        <v>0</v>
      </c>
      <c r="K71" s="873"/>
      <c r="L71" s="246">
        <v>0</v>
      </c>
      <c r="M71" s="300">
        <v>0</v>
      </c>
      <c r="N71" s="251">
        <v>0</v>
      </c>
      <c r="O71" s="251">
        <v>0</v>
      </c>
      <c r="P71" s="300">
        <v>0</v>
      </c>
      <c r="Q71" s="251">
        <v>0</v>
      </c>
      <c r="R71" s="251">
        <v>0</v>
      </c>
      <c r="S71" s="251">
        <v>0</v>
      </c>
      <c r="T71" s="251">
        <v>0</v>
      </c>
      <c r="U71" s="301" t="s">
        <v>165</v>
      </c>
      <c r="V71" s="242"/>
      <c r="W71" s="242"/>
      <c r="X71" s="242"/>
      <c r="Y71" s="242"/>
      <c r="Z71" s="242"/>
      <c r="AA71" s="763"/>
      <c r="AB71" s="617" t="s">
        <v>170</v>
      </c>
      <c r="AC71" s="618">
        <v>0</v>
      </c>
      <c r="AD71" s="256"/>
      <c r="AE71" s="336"/>
      <c r="AF71" s="337"/>
      <c r="AG71" s="337"/>
      <c r="AH71" s="337"/>
      <c r="AI71" s="337"/>
      <c r="AJ71" s="337"/>
      <c r="AK71" s="337"/>
      <c r="AL71" s="337"/>
      <c r="AM71" s="337"/>
      <c r="AN71" s="337"/>
      <c r="AO71" s="337"/>
      <c r="AP71" s="337"/>
      <c r="AQ71" s="337"/>
      <c r="AR71" s="337"/>
      <c r="AS71" s="339"/>
      <c r="AT71" s="337"/>
      <c r="AU71" s="339"/>
      <c r="AV71" s="337"/>
      <c r="AW71" s="337"/>
      <c r="AX71" s="337"/>
      <c r="AY71" s="337"/>
      <c r="AZ71" s="611"/>
      <c r="BA71" s="611"/>
      <c r="BB71" s="611"/>
      <c r="BC71" s="611"/>
      <c r="BD71" s="611"/>
      <c r="BE71" s="611"/>
      <c r="BF71" s="611"/>
      <c r="BG71" s="611"/>
      <c r="BH71" s="611"/>
      <c r="BI71" s="611"/>
      <c r="BJ71" s="611"/>
      <c r="BK71" s="611"/>
      <c r="BL71" s="611"/>
      <c r="BM71" s="611"/>
      <c r="BN71" s="611"/>
      <c r="BO71" s="612"/>
      <c r="BP71" s="612"/>
      <c r="BQ71" s="612"/>
      <c r="BR71" s="619"/>
      <c r="BS71" s="613"/>
      <c r="BT71" s="614"/>
      <c r="BU71" s="614"/>
      <c r="BV71" s="615" t="str">
        <f>IFERROR(INDEX($HD$9:$II$9, MATCH("準備", CC71:DK71, 0)), "")</f>
        <v/>
      </c>
      <c r="BW71" s="615" t="str" cm="1">
        <f t="array" ref="BW71">IF(COUNTIF(CC71:DK71,"*撤去*")=0,"",INDEX(CC$9:DK$9,1,MAX(IF(CC71:DK71="撤去",COLUMN(CC71:DK71)-COLUMN(CC71)+1))))</f>
        <v/>
      </c>
      <c r="BX71" s="616"/>
      <c r="BY71" s="360" t="s">
        <v>246</v>
      </c>
      <c r="BZ71" s="361" t="s">
        <v>247</v>
      </c>
      <c r="CA71" s="597"/>
      <c r="CB71" s="597"/>
      <c r="CC71" s="874"/>
      <c r="CD71" s="875"/>
      <c r="CE71" s="875"/>
      <c r="CF71" s="875"/>
      <c r="CG71" s="875"/>
      <c r="CH71" s="875"/>
      <c r="CI71" s="875"/>
      <c r="CJ71" s="875"/>
      <c r="CK71" s="272"/>
      <c r="CL71" s="272"/>
      <c r="CM71" s="363"/>
      <c r="CN71" s="363"/>
      <c r="CO71" s="363"/>
      <c r="CP71" s="363"/>
      <c r="CQ71" s="364"/>
      <c r="CR71" s="365"/>
      <c r="CS71" s="366"/>
      <c r="CT71" s="363"/>
      <c r="CU71" s="363"/>
      <c r="CV71" s="363"/>
      <c r="CW71" s="363"/>
      <c r="CX71" s="363"/>
      <c r="CY71" s="363"/>
      <c r="CZ71" s="363"/>
      <c r="DA71" s="363"/>
      <c r="DB71" s="363"/>
      <c r="DC71" s="363"/>
      <c r="DD71" s="363"/>
      <c r="DE71" s="876"/>
      <c r="DF71" s="788"/>
      <c r="DG71" s="877"/>
      <c r="DH71" s="528"/>
      <c r="DI71" s="876"/>
      <c r="DJ71" s="876"/>
      <c r="DK71" s="789"/>
      <c r="DL71" s="277"/>
      <c r="DM71" s="277"/>
      <c r="DN71" s="277"/>
      <c r="DO71" s="277"/>
      <c r="DP71" s="277"/>
      <c r="DQ71" s="763"/>
      <c r="DR71" s="617" t="s">
        <v>170</v>
      </c>
      <c r="DS71" s="618">
        <v>0</v>
      </c>
      <c r="DT71" s="256"/>
      <c r="DU71" s="337"/>
      <c r="DV71" s="337"/>
      <c r="DW71" s="611"/>
      <c r="DX71" s="611"/>
      <c r="DY71" s="611"/>
      <c r="DZ71" s="611"/>
      <c r="EA71" s="611"/>
      <c r="EB71" s="611"/>
      <c r="EC71" s="611"/>
      <c r="ED71" s="611"/>
      <c r="EE71" s="611"/>
      <c r="EF71" s="611"/>
      <c r="EG71" s="612"/>
      <c r="EH71" s="612"/>
      <c r="EI71" s="614"/>
      <c r="EJ71" s="614"/>
      <c r="EK71" s="615" t="s">
        <v>165</v>
      </c>
      <c r="EL71" s="615" t="s">
        <v>165</v>
      </c>
      <c r="EM71" s="616"/>
      <c r="EN71" s="277"/>
      <c r="EO71" s="763"/>
      <c r="EP71" s="605" t="s">
        <v>170</v>
      </c>
      <c r="EQ71" s="878">
        <v>0</v>
      </c>
      <c r="ER71" s="323"/>
      <c r="ES71" s="323" t="e">
        <v>#N/A</v>
      </c>
      <c r="ET71" s="323"/>
      <c r="EU71" s="323"/>
      <c r="EV71" s="608" t="s">
        <v>170</v>
      </c>
      <c r="EW71" s="370"/>
      <c r="EX71" s="371"/>
      <c r="EY71" s="442" t="s">
        <v>170</v>
      </c>
      <c r="EZ71" s="373"/>
      <c r="FA71" s="457"/>
      <c r="FB71" s="879" t="s">
        <v>170</v>
      </c>
      <c r="FC71" s="880"/>
      <c r="FD71" s="881"/>
      <c r="FE71" s="882" t="s">
        <v>170</v>
      </c>
      <c r="FF71" s="880"/>
      <c r="FG71" s="881"/>
      <c r="FH71" s="882" t="s">
        <v>170</v>
      </c>
      <c r="FI71" s="880"/>
      <c r="FJ71" s="883"/>
      <c r="FK71" s="375"/>
      <c r="FL71" s="290"/>
      <c r="FM71" s="332"/>
      <c r="FN71" s="336"/>
      <c r="FO71" s="337"/>
      <c r="FP71" s="337"/>
      <c r="FQ71" s="337"/>
      <c r="FR71" s="337"/>
      <c r="FS71" s="337"/>
      <c r="FT71" s="337"/>
      <c r="FU71" s="337"/>
      <c r="FV71" s="339"/>
      <c r="FW71" s="337"/>
      <c r="FX71" s="339"/>
      <c r="FY71" s="337"/>
      <c r="FZ71" s="337"/>
      <c r="GA71" s="337"/>
      <c r="GB71" s="337"/>
      <c r="GC71" s="611"/>
      <c r="GD71" s="611"/>
      <c r="GE71" s="611"/>
      <c r="GF71" s="611"/>
      <c r="GG71" s="611"/>
      <c r="GH71" s="611"/>
      <c r="GI71" s="611"/>
      <c r="GJ71" s="611"/>
      <c r="GK71" s="611"/>
      <c r="GL71" s="611"/>
      <c r="GM71" s="611"/>
      <c r="GN71" s="611"/>
      <c r="GO71" s="611"/>
      <c r="GP71" s="611"/>
      <c r="GQ71" s="611"/>
      <c r="GR71" s="612"/>
      <c r="GS71" s="612"/>
      <c r="GT71" s="613"/>
      <c r="GU71" s="614"/>
      <c r="GV71" s="614"/>
      <c r="GW71" s="615" t="s">
        <v>165</v>
      </c>
      <c r="GX71" s="615" t="s">
        <v>165</v>
      </c>
      <c r="GY71" s="616"/>
      <c r="GZ71" s="596"/>
      <c r="HA71" s="597"/>
      <c r="HB71" s="597"/>
      <c r="HC71" s="597"/>
      <c r="HD71" s="874"/>
      <c r="HE71" s="875"/>
      <c r="HF71" s="875"/>
      <c r="HG71" s="875"/>
      <c r="HH71" s="875"/>
      <c r="HI71" s="875"/>
      <c r="HJ71" s="875"/>
      <c r="HK71" s="875"/>
      <c r="HL71" s="272"/>
      <c r="HM71" s="272"/>
      <c r="HN71" s="875"/>
      <c r="HO71" s="875"/>
      <c r="HP71" s="875"/>
      <c r="HQ71" s="875"/>
      <c r="HR71" s="779"/>
      <c r="HS71" s="884"/>
      <c r="HT71" s="874"/>
      <c r="HU71" s="875"/>
      <c r="HV71" s="875"/>
      <c r="HW71" s="875"/>
      <c r="HX71" s="875"/>
      <c r="HY71" s="875"/>
      <c r="HZ71" s="875"/>
      <c r="IA71" s="875"/>
      <c r="IB71" s="875"/>
      <c r="IC71" s="875"/>
      <c r="ID71" s="875"/>
      <c r="IE71" s="875"/>
      <c r="IF71" s="875"/>
      <c r="IG71" s="779"/>
      <c r="IH71" s="884"/>
      <c r="II71" s="885"/>
      <c r="IJ71" s="875"/>
      <c r="IK71" s="875"/>
      <c r="IL71" s="886"/>
      <c r="IM71" s="277"/>
      <c r="IN71" s="277"/>
      <c r="IO71" s="333"/>
      <c r="IP71" s="334"/>
      <c r="IQ71" s="541"/>
      <c r="IR71" s="542"/>
      <c r="IS71" s="543"/>
      <c r="IT71" s="543"/>
      <c r="IU71" s="543"/>
      <c r="IV71" s="543"/>
      <c r="IW71" s="543"/>
      <c r="IX71" s="544"/>
      <c r="IY71" s="544"/>
      <c r="IZ71" s="543"/>
      <c r="JA71" s="543"/>
      <c r="JB71" s="543"/>
      <c r="JC71" s="543"/>
      <c r="JD71" s="545"/>
      <c r="JE71" s="545"/>
      <c r="JF71" s="546"/>
      <c r="JG71" s="503"/>
      <c r="JH71" s="506"/>
      <c r="JI71" s="1"/>
      <c r="JJ71" s="1"/>
      <c r="JK71" s="1"/>
      <c r="JL71" s="1"/>
      <c r="JM71" s="1"/>
      <c r="JN71" s="1"/>
      <c r="JO71" s="507"/>
      <c r="JP71" s="508"/>
      <c r="JQ71" s="508"/>
      <c r="JR71" s="508"/>
      <c r="JS71" s="729"/>
      <c r="JT71" s="729"/>
      <c r="JU71" s="729"/>
      <c r="JV71" s="729"/>
      <c r="JW71" s="729"/>
      <c r="JX71" s="729"/>
      <c r="JY71" s="729"/>
      <c r="JZ71" s="729"/>
      <c r="KA71" s="729"/>
      <c r="KB71" s="729"/>
      <c r="KC71" s="729"/>
      <c r="KD71" s="729"/>
      <c r="KE71" s="729"/>
      <c r="KF71" s="729"/>
      <c r="KG71" s="729"/>
      <c r="KH71" s="729"/>
      <c r="KI71" s="729"/>
      <c r="KJ71" s="729"/>
      <c r="KK71" s="729"/>
      <c r="KL71" s="729"/>
      <c r="KM71" s="729"/>
      <c r="KN71" s="729"/>
      <c r="KO71" s="729"/>
      <c r="KP71" s="729"/>
      <c r="KQ71" s="729"/>
      <c r="KR71" s="729"/>
      <c r="KS71" s="729"/>
      <c r="KT71" s="729"/>
      <c r="KU71" s="729"/>
      <c r="KV71" s="729"/>
      <c r="KW71" s="730"/>
      <c r="KX71" s="277"/>
      <c r="KY71" s="277"/>
      <c r="KZ71" s="1"/>
      <c r="LA71" s="1"/>
      <c r="LB71" s="1"/>
      <c r="LC71" s="1"/>
      <c r="LD71" s="1"/>
      <c r="LE71" s="1"/>
      <c r="LF71" s="1"/>
      <c r="LG71" s="1"/>
      <c r="LH71" s="1"/>
      <c r="LI71" s="1"/>
      <c r="LJ71" s="1"/>
      <c r="LK71" s="1"/>
      <c r="LL71" s="1"/>
      <c r="LM71" s="1"/>
      <c r="LN71" s="1"/>
      <c r="LO71" s="1"/>
      <c r="LP71" s="1"/>
      <c r="LQ71" s="1"/>
      <c r="LR71" s="1"/>
      <c r="LS71" s="1"/>
      <c r="LT71" s="1"/>
      <c r="LU71" s="1"/>
      <c r="LV71" s="1"/>
      <c r="LW71" s="1"/>
      <c r="LX71" s="1"/>
      <c r="LY71" s="1"/>
      <c r="LZ71" s="1"/>
      <c r="MA71" s="1"/>
      <c r="MB71" s="1"/>
      <c r="MC71" s="1"/>
      <c r="MD71" s="1"/>
      <c r="ME71" s="1"/>
      <c r="MF71" s="1"/>
      <c r="MG71" s="1"/>
      <c r="MH71" s="1"/>
      <c r="MI71" s="1"/>
      <c r="MJ71" s="1"/>
      <c r="MK71" s="1"/>
      <c r="ML71" s="1"/>
      <c r="MM71" s="1"/>
      <c r="MN71" s="1"/>
      <c r="MO71" s="1"/>
      <c r="MP71" s="1"/>
      <c r="MQ71" s="1"/>
      <c r="MR71" s="1"/>
      <c r="MS71" s="1"/>
      <c r="MT71" s="1"/>
      <c r="MU71" s="1"/>
      <c r="MV71" s="1"/>
      <c r="MW71" s="1"/>
      <c r="MX71" s="1"/>
      <c r="MY71" s="1"/>
      <c r="MZ71" s="1"/>
      <c r="NA71" s="1"/>
      <c r="NB71" s="1"/>
      <c r="NC71" s="1"/>
      <c r="ND71" s="1"/>
      <c r="NE71" s="1"/>
      <c r="NF71" s="1"/>
      <c r="NG71" s="1"/>
      <c r="NH71" s="1"/>
      <c r="NI71" s="1"/>
      <c r="NJ71" s="1"/>
      <c r="NK71" s="1"/>
      <c r="NL71" s="1"/>
      <c r="NM71" s="1"/>
      <c r="NN71" s="1"/>
      <c r="NO71" s="1"/>
      <c r="NP71" s="1"/>
      <c r="NQ71" s="1"/>
      <c r="NR71" s="1"/>
      <c r="NS71" s="1"/>
      <c r="NT71" s="1"/>
      <c r="NU71" s="1"/>
      <c r="NV71" s="1"/>
      <c r="NW71" s="1"/>
      <c r="NX71" s="1"/>
      <c r="NY71" s="1"/>
      <c r="NZ71" s="1"/>
      <c r="OA71" s="1"/>
      <c r="OB71" s="1"/>
      <c r="OC71" s="1"/>
      <c r="OD71" s="1"/>
      <c r="OE71" s="1"/>
      <c r="OF71" s="1"/>
      <c r="OG71" s="1"/>
      <c r="OH71" s="1"/>
    </row>
    <row r="72" spans="1:398" ht="40" customHeight="1">
      <c r="B72" s="299"/>
      <c r="C72" s="378" t="s">
        <v>359</v>
      </c>
      <c r="D72" s="378"/>
      <c r="E72" s="379">
        <v>1007</v>
      </c>
      <c r="F72" s="460" t="s">
        <v>360</v>
      </c>
      <c r="G72" s="381">
        <v>118</v>
      </c>
      <c r="H72" s="549">
        <v>192</v>
      </c>
      <c r="I72" s="549">
        <v>118</v>
      </c>
      <c r="J72" s="549">
        <v>189</v>
      </c>
      <c r="K72" s="245" t="s">
        <v>361</v>
      </c>
      <c r="L72" s="549">
        <v>170</v>
      </c>
      <c r="M72" s="383">
        <v>1</v>
      </c>
      <c r="N72" s="384" t="s">
        <v>318</v>
      </c>
      <c r="O72" s="384" t="s">
        <v>168</v>
      </c>
      <c r="P72" s="383">
        <v>72</v>
      </c>
      <c r="Q72" s="384" t="s">
        <v>170</v>
      </c>
      <c r="R72" s="384" t="s">
        <v>169</v>
      </c>
      <c r="S72" s="384" t="s">
        <v>169</v>
      </c>
      <c r="T72" s="384" t="s">
        <v>355</v>
      </c>
      <c r="U72" s="385" t="s">
        <v>169</v>
      </c>
      <c r="V72" s="378" t="s">
        <v>172</v>
      </c>
      <c r="W72" s="378"/>
      <c r="X72" s="378" t="s">
        <v>292</v>
      </c>
      <c r="Y72" s="378" t="s">
        <v>292</v>
      </c>
      <c r="Z72" s="378"/>
      <c r="AA72" s="887" t="s">
        <v>275</v>
      </c>
      <c r="AB72" s="463"/>
      <c r="AC72" s="464"/>
      <c r="AD72" s="389">
        <f>SUM(AC72,AC73)</f>
        <v>0</v>
      </c>
      <c r="AE72" s="624" t="s">
        <v>175</v>
      </c>
      <c r="AF72" s="564" t="s">
        <v>296</v>
      </c>
      <c r="AG72" s="888"/>
      <c r="AH72" s="889"/>
      <c r="AI72" s="889"/>
      <c r="AJ72" s="889"/>
      <c r="AK72" s="889"/>
      <c r="AL72" s="889"/>
      <c r="AM72" s="889"/>
      <c r="AN72" s="889"/>
      <c r="AO72" s="889"/>
      <c r="AP72" s="889"/>
      <c r="AQ72" s="889"/>
      <c r="AR72" s="890"/>
      <c r="AS72" s="891"/>
      <c r="AT72" s="892"/>
      <c r="AU72" s="891"/>
      <c r="AV72" s="892">
        <v>26000</v>
      </c>
      <c r="AW72" s="892">
        <v>48000</v>
      </c>
      <c r="AX72" s="888"/>
      <c r="AY72" s="889"/>
      <c r="AZ72" s="893"/>
      <c r="BA72" s="893"/>
      <c r="BB72" s="893">
        <f>AI72*DM72*0.6</f>
        <v>0</v>
      </c>
      <c r="BC72" s="893"/>
      <c r="BD72" s="893"/>
      <c r="BE72" s="893"/>
      <c r="BF72" s="893"/>
      <c r="BG72" s="893"/>
      <c r="BH72" s="893"/>
      <c r="BI72" s="893">
        <f>GJ72</f>
        <v>0</v>
      </c>
      <c r="BJ72" s="893">
        <f>GK72</f>
        <v>0</v>
      </c>
      <c r="BK72" s="893"/>
      <c r="BL72" s="893"/>
      <c r="BM72" s="893">
        <f>GP72</f>
        <v>2</v>
      </c>
      <c r="BN72" s="894">
        <f>GQ72</f>
        <v>1</v>
      </c>
      <c r="BO72" s="481"/>
      <c r="BP72" s="481">
        <f>SUM(AZ72,BA72,BI72,BO72)</f>
        <v>0</v>
      </c>
      <c r="BQ72" s="481">
        <f>BP72-GR72</f>
        <v>-47383325</v>
      </c>
      <c r="BR72" s="554"/>
      <c r="BS72" s="555" t="s">
        <v>175</v>
      </c>
      <c r="BT72" s="484">
        <f>GU72</f>
        <v>46284</v>
      </c>
      <c r="BU72" s="484">
        <f>GV72</f>
        <v>46294</v>
      </c>
      <c r="BV72" s="268" t="str">
        <f>IFERROR(INDEX($BY$9:$DH$9, MATCH("準備", BY72:DK72, 0)), "")</f>
        <v/>
      </c>
      <c r="BW72" s="269" t="str" cm="1">
        <f t="array" ref="BW72">IF(COUNTIF(BY72:DK72,"*撤去*")=0,"",INDEX(BY$9:DK$9,1,MAX(IF(CC72:DK72="撤去",COLUMN(CC72:DK72)-COLUMN(BY72)+1))))</f>
        <v/>
      </c>
      <c r="BX72" s="270" t="e">
        <f>BW72-BV72</f>
        <v>#VALUE!</v>
      </c>
      <c r="BY72" s="556"/>
      <c r="BZ72" s="557"/>
      <c r="CA72" s="557"/>
      <c r="CB72" s="557"/>
      <c r="CC72" s="487"/>
      <c r="CD72" s="488"/>
      <c r="CE72" s="488"/>
      <c r="CF72" s="488"/>
      <c r="CG72" s="488"/>
      <c r="CH72" s="488"/>
      <c r="CI72" s="488"/>
      <c r="CJ72" s="488"/>
      <c r="CK72" s="488"/>
      <c r="CL72" s="488"/>
      <c r="CM72" s="488"/>
      <c r="CN72" s="488"/>
      <c r="CO72" s="488"/>
      <c r="CP72" s="488"/>
      <c r="CQ72" s="403"/>
      <c r="CR72" s="404"/>
      <c r="CS72" s="487"/>
      <c r="CT72" s="488"/>
      <c r="CU72" s="488"/>
      <c r="CV72" s="488"/>
      <c r="CW72" s="488"/>
      <c r="CX72" s="488"/>
      <c r="CY72" s="488"/>
      <c r="CZ72" s="488"/>
      <c r="DA72" s="488"/>
      <c r="DB72" s="488"/>
      <c r="DC72" s="488"/>
      <c r="DD72" s="488"/>
      <c r="DE72" s="488"/>
      <c r="DF72" s="403"/>
      <c r="DG72" s="404"/>
      <c r="DH72" s="895"/>
      <c r="DI72" s="488"/>
      <c r="DJ72" s="488"/>
      <c r="DK72" s="407"/>
      <c r="DL72" s="277"/>
      <c r="DM72" s="277" cm="1">
        <f t="array" ref="DM72">SUM(IF(ISNUMBER($BY72:$DK72),$BY72:$DK72, 0))</f>
        <v>0</v>
      </c>
      <c r="DN72" s="277"/>
      <c r="DO72" s="277"/>
      <c r="DP72" s="277"/>
      <c r="DQ72" s="887" t="s">
        <v>275</v>
      </c>
      <c r="DR72" s="463"/>
      <c r="DS72" s="464"/>
      <c r="DT72" s="389">
        <f>SUM(DS72,DS73)</f>
        <v>0</v>
      </c>
      <c r="DU72" s="888"/>
      <c r="DV72" s="888"/>
      <c r="DW72" s="893"/>
      <c r="DX72" s="893"/>
      <c r="DY72" s="893">
        <v>0</v>
      </c>
      <c r="DZ72" s="893"/>
      <c r="EA72" s="893"/>
      <c r="EB72" s="893"/>
      <c r="EC72" s="893">
        <v>0</v>
      </c>
      <c r="ED72" s="893">
        <v>0</v>
      </c>
      <c r="EE72" s="893"/>
      <c r="EF72" s="893"/>
      <c r="EG72" s="481"/>
      <c r="EH72" s="481">
        <v>0</v>
      </c>
      <c r="EI72" s="484">
        <v>46284</v>
      </c>
      <c r="EJ72" s="484">
        <v>46294</v>
      </c>
      <c r="EK72" s="268" t="s">
        <v>165</v>
      </c>
      <c r="EL72" s="269" t="s">
        <v>165</v>
      </c>
      <c r="EM72" s="270" t="e">
        <v>#VALUE!</v>
      </c>
      <c r="EN72" s="277"/>
      <c r="EO72" s="386" t="s">
        <v>362</v>
      </c>
      <c r="EP72" s="489" t="s">
        <v>322</v>
      </c>
      <c r="EQ72" s="490">
        <v>170</v>
      </c>
      <c r="ER72" s="491">
        <v>170</v>
      </c>
      <c r="ES72" s="245" t="s">
        <v>165</v>
      </c>
      <c r="ET72" s="245">
        <v>162</v>
      </c>
      <c r="EU72" s="245">
        <v>168</v>
      </c>
      <c r="EV72" s="411" t="s">
        <v>363</v>
      </c>
      <c r="EW72" s="412">
        <v>14.9</v>
      </c>
      <c r="EX72" s="413">
        <v>24</v>
      </c>
      <c r="EY72" s="414" t="s">
        <v>188</v>
      </c>
      <c r="EZ72" s="492">
        <v>14.9</v>
      </c>
      <c r="FA72" s="286">
        <v>24</v>
      </c>
      <c r="FB72" s="414" t="s">
        <v>189</v>
      </c>
      <c r="FC72" s="492"/>
      <c r="FD72" s="493"/>
      <c r="FE72" s="494" t="s">
        <v>189</v>
      </c>
      <c r="FF72" s="492"/>
      <c r="FG72" s="493"/>
      <c r="FH72" s="494" t="s">
        <v>189</v>
      </c>
      <c r="FI72" s="492"/>
      <c r="FJ72" s="495"/>
      <c r="FK72" s="496">
        <v>22</v>
      </c>
      <c r="FL72" s="497">
        <v>0.11458333333333333</v>
      </c>
      <c r="FM72" s="498" t="s">
        <v>364</v>
      </c>
      <c r="FN72" s="668" t="s">
        <v>336</v>
      </c>
      <c r="FO72" s="550" t="s">
        <v>296</v>
      </c>
      <c r="FP72" s="562">
        <v>4347200</v>
      </c>
      <c r="FQ72" s="563">
        <v>1760</v>
      </c>
      <c r="FR72" s="468">
        <v>2340</v>
      </c>
      <c r="FS72" s="562">
        <v>118</v>
      </c>
      <c r="FT72" s="896">
        <v>189</v>
      </c>
      <c r="FU72" s="261">
        <v>170</v>
      </c>
      <c r="FV72" s="394">
        <v>25571.764705882353</v>
      </c>
      <c r="FW72" s="390">
        <v>36840.677966101692</v>
      </c>
      <c r="FX72" s="394">
        <v>23001.0582010582</v>
      </c>
      <c r="FY72" s="564">
        <v>26600</v>
      </c>
      <c r="FZ72" s="564">
        <v>56700</v>
      </c>
      <c r="GA72" s="562">
        <v>468050.00000000006</v>
      </c>
      <c r="GB72" s="562">
        <v>2</v>
      </c>
      <c r="GC72" s="565">
        <v>42468800</v>
      </c>
      <c r="GD72" s="565">
        <v>4914525</v>
      </c>
      <c r="GE72" s="565">
        <v>42468800</v>
      </c>
      <c r="GF72" s="565">
        <v>4914525</v>
      </c>
      <c r="GG72" s="478">
        <v>0</v>
      </c>
      <c r="GH72" s="478">
        <v>0</v>
      </c>
      <c r="GI72" s="478">
        <v>1909440</v>
      </c>
      <c r="GJ72" s="566"/>
      <c r="GK72" s="566"/>
      <c r="GL72" s="566"/>
      <c r="GM72" s="480">
        <v>0</v>
      </c>
      <c r="GN72" s="480">
        <v>140000</v>
      </c>
      <c r="GO72" s="480">
        <v>18000000</v>
      </c>
      <c r="GP72" s="566">
        <v>2</v>
      </c>
      <c r="GQ72" s="566">
        <v>1</v>
      </c>
      <c r="GR72" s="567">
        <v>47383325</v>
      </c>
      <c r="GS72" s="567">
        <v>70397559</v>
      </c>
      <c r="GT72" s="555" t="s">
        <v>175</v>
      </c>
      <c r="GU72" s="568">
        <v>46284</v>
      </c>
      <c r="GV72" s="568">
        <v>46294</v>
      </c>
      <c r="GW72" s="666">
        <v>46284</v>
      </c>
      <c r="GX72" s="667">
        <v>46294</v>
      </c>
      <c r="GY72" s="663">
        <v>10</v>
      </c>
      <c r="GZ72" s="556"/>
      <c r="HA72" s="557"/>
      <c r="HB72" s="557"/>
      <c r="HC72" s="557"/>
      <c r="HD72" s="487">
        <v>0</v>
      </c>
      <c r="HE72" s="488">
        <v>0</v>
      </c>
      <c r="HF72" s="488">
        <v>0</v>
      </c>
      <c r="HG72" s="488">
        <v>0</v>
      </c>
      <c r="HH72" s="488">
        <v>0</v>
      </c>
      <c r="HI72" s="488">
        <v>0</v>
      </c>
      <c r="HJ72" s="488">
        <v>0</v>
      </c>
      <c r="HK72" s="488">
        <v>0</v>
      </c>
      <c r="HL72" s="488">
        <v>0</v>
      </c>
      <c r="HM72" s="488">
        <v>0</v>
      </c>
      <c r="HN72" s="488">
        <v>0</v>
      </c>
      <c r="HO72" s="488">
        <v>0</v>
      </c>
      <c r="HP72" s="488">
        <v>0</v>
      </c>
      <c r="HQ72" s="488">
        <v>0</v>
      </c>
      <c r="HR72" s="403">
        <v>0</v>
      </c>
      <c r="HS72" s="897" t="s">
        <v>177</v>
      </c>
      <c r="HT72" s="898" t="s">
        <v>177</v>
      </c>
      <c r="HU72" s="488">
        <v>170</v>
      </c>
      <c r="HV72" s="488">
        <v>170</v>
      </c>
      <c r="HW72" s="488">
        <v>170</v>
      </c>
      <c r="HX72" s="488">
        <v>170</v>
      </c>
      <c r="HY72" s="488">
        <v>170</v>
      </c>
      <c r="HZ72" s="488">
        <v>170</v>
      </c>
      <c r="IA72" s="488">
        <v>170</v>
      </c>
      <c r="IB72" s="488">
        <v>170</v>
      </c>
      <c r="IC72" s="406" t="s">
        <v>178</v>
      </c>
      <c r="ID72" s="488">
        <v>0</v>
      </c>
      <c r="IE72" s="488">
        <v>0</v>
      </c>
      <c r="IF72" s="488">
        <v>0</v>
      </c>
      <c r="IG72" s="403">
        <v>0</v>
      </c>
      <c r="IH72" s="404">
        <v>0</v>
      </c>
      <c r="II72" s="895">
        <v>0</v>
      </c>
      <c r="IJ72" s="488">
        <v>0</v>
      </c>
      <c r="IK72" s="488">
        <v>0</v>
      </c>
      <c r="IL72" s="407">
        <v>0</v>
      </c>
      <c r="IM72" s="277"/>
      <c r="IN72" s="277" cm="1">
        <f t="array" ref="IN72">SUM(IF(ISNUMBER($HD72:$IL72),$HD72:$IL72, 0))</f>
        <v>1360</v>
      </c>
      <c r="IO72" s="333"/>
      <c r="IP72" s="334"/>
      <c r="IQ72" s="541"/>
      <c r="IR72" s="569">
        <f>VLOOKUP($E72,[1]アジアResults1031!$A$1:$CH$259,23,FALSE)</f>
        <v>4189144</v>
      </c>
      <c r="IS72" s="570">
        <f>VLOOKUP($E72,[1]アジアResults1031!$A$1:$CH$259,32,FALSE)</f>
        <v>118</v>
      </c>
      <c r="IT72" s="570">
        <f>KY72/(GY72-2)</f>
        <v>441</v>
      </c>
      <c r="IU72" s="570">
        <f>IR72/IT72</f>
        <v>9499.1927437641716</v>
      </c>
      <c r="IV72" s="570">
        <f>VLOOKUP(E72,[1]アジアResults1031!$A$1:$CH$264,26,FALSE)</f>
        <v>28824</v>
      </c>
      <c r="IW72" s="570">
        <f>VLOOKUP(E72,[1]アジアResults1031!$A$1:$CH$264,27,FALSE)</f>
        <v>51765</v>
      </c>
      <c r="IX72" s="571">
        <f>VLOOKUP($E72,[1]アジアResults1031!$A$1:$CH$259,18,FALSE)</f>
        <v>931764</v>
      </c>
      <c r="IY72" s="571">
        <f>VLOOKUP($E72,[1]アジアResults1031!$A$1:$CH$259,9,FALSE)</f>
        <v>1</v>
      </c>
      <c r="IZ72" s="570">
        <f>IR72*JF72</f>
        <v>96350312</v>
      </c>
      <c r="JA72" s="570">
        <f>IX72*JF72</f>
        <v>21430572</v>
      </c>
      <c r="JB72" s="570"/>
      <c r="JC72" s="570"/>
      <c r="JD72" s="572">
        <f>IFERROR(INDEX($JO$9:$KW$9, MATCH("準備", JO72:KW72, 0)), "")</f>
        <v>46277</v>
      </c>
      <c r="JE72" s="572" cm="1">
        <f t="array" ref="JE72">IF(COUNTIF(JO72:KW72,"*撤去*")=0,"",INDEX(JO$9:KW$9,1,MAX(IF(JO72:KW72="撤去",COLUMN(JO72:KW72)-COLUMN(JO72)+1))))</f>
        <v>46300</v>
      </c>
      <c r="JF72" s="573">
        <f>JE72-JD72</f>
        <v>23</v>
      </c>
      <c r="JG72" s="574">
        <v>4189144</v>
      </c>
      <c r="JH72" s="575">
        <v>931764</v>
      </c>
      <c r="JO72" s="507"/>
      <c r="JP72" s="508"/>
      <c r="JQ72" s="508"/>
      <c r="JR72" s="508"/>
      <c r="JS72" s="508"/>
      <c r="JT72" s="508"/>
      <c r="JU72" s="508"/>
      <c r="JV72" s="508"/>
      <c r="JW72" s="400" t="s">
        <v>177</v>
      </c>
      <c r="JX72" s="400" t="s">
        <v>177</v>
      </c>
      <c r="JY72" s="508">
        <v>168</v>
      </c>
      <c r="JZ72" s="508">
        <v>168</v>
      </c>
      <c r="KA72" s="508">
        <v>168</v>
      </c>
      <c r="KB72" s="508">
        <v>168</v>
      </c>
      <c r="KC72" s="508">
        <v>168</v>
      </c>
      <c r="KD72" s="508">
        <v>168</v>
      </c>
      <c r="KE72" s="508">
        <v>168</v>
      </c>
      <c r="KF72" s="508">
        <v>168</v>
      </c>
      <c r="KG72" s="508">
        <v>168</v>
      </c>
      <c r="KH72" s="508">
        <v>168</v>
      </c>
      <c r="KI72" s="508">
        <v>168</v>
      </c>
      <c r="KJ72" s="508">
        <v>168</v>
      </c>
      <c r="KK72" s="508">
        <v>168</v>
      </c>
      <c r="KL72" s="508">
        <v>168</v>
      </c>
      <c r="KM72" s="508">
        <v>168</v>
      </c>
      <c r="KN72" s="508">
        <v>168</v>
      </c>
      <c r="KO72" s="508">
        <v>168</v>
      </c>
      <c r="KP72" s="508">
        <v>168</v>
      </c>
      <c r="KQ72" s="508">
        <v>168</v>
      </c>
      <c r="KR72" s="508">
        <v>168</v>
      </c>
      <c r="KS72" s="508">
        <v>168</v>
      </c>
      <c r="KT72" s="406" t="s">
        <v>178</v>
      </c>
      <c r="KU72" s="508"/>
      <c r="KV72" s="508"/>
      <c r="KW72" s="509"/>
      <c r="KX72" s="277"/>
      <c r="KY72" s="277" cm="1">
        <f t="array" ref="KY72">SUM(IF(ISNUMBER($JO72:$KW72),$JO72:$KW72, 0))</f>
        <v>3528</v>
      </c>
    </row>
    <row r="73" spans="1:398" s="547" customFormat="1" ht="40" customHeight="1" thickBot="1">
      <c r="B73" s="899"/>
      <c r="C73" s="900"/>
      <c r="D73" s="800"/>
      <c r="E73" s="801" t="s">
        <v>165</v>
      </c>
      <c r="F73" s="802"/>
      <c r="G73" s="803">
        <v>0</v>
      </c>
      <c r="H73" s="803">
        <v>0</v>
      </c>
      <c r="I73" s="803">
        <v>0</v>
      </c>
      <c r="J73" s="803">
        <v>0</v>
      </c>
      <c r="K73" s="803"/>
      <c r="L73" s="803">
        <v>0</v>
      </c>
      <c r="M73" s="804">
        <v>0</v>
      </c>
      <c r="N73" s="805">
        <v>0</v>
      </c>
      <c r="O73" s="805"/>
      <c r="P73" s="804">
        <v>0</v>
      </c>
      <c r="Q73" s="805">
        <v>0</v>
      </c>
      <c r="R73" s="805">
        <v>0</v>
      </c>
      <c r="S73" s="805">
        <v>0</v>
      </c>
      <c r="T73" s="805">
        <v>0</v>
      </c>
      <c r="U73" s="806" t="s">
        <v>165</v>
      </c>
      <c r="V73" s="800"/>
      <c r="W73" s="800"/>
      <c r="X73" s="800"/>
      <c r="Y73" s="800"/>
      <c r="Z73" s="800"/>
      <c r="AA73" s="688"/>
      <c r="AB73" s="689" t="s">
        <v>170</v>
      </c>
      <c r="AC73" s="690">
        <v>0</v>
      </c>
      <c r="AD73" s="691"/>
      <c r="AE73" s="712"/>
      <c r="AF73" s="692"/>
      <c r="AG73" s="692"/>
      <c r="AH73" s="692"/>
      <c r="AI73" s="692"/>
      <c r="AJ73" s="692"/>
      <c r="AK73" s="692"/>
      <c r="AL73" s="692"/>
      <c r="AM73" s="692"/>
      <c r="AN73" s="692"/>
      <c r="AO73" s="692"/>
      <c r="AP73" s="692"/>
      <c r="AQ73" s="692"/>
      <c r="AR73" s="692"/>
      <c r="AS73" s="713"/>
      <c r="AT73" s="692"/>
      <c r="AU73" s="713"/>
      <c r="AV73" s="692"/>
      <c r="AW73" s="692"/>
      <c r="AX73" s="692"/>
      <c r="AY73" s="692"/>
      <c r="AZ73" s="693"/>
      <c r="BA73" s="693"/>
      <c r="BB73" s="693"/>
      <c r="BC73" s="693"/>
      <c r="BD73" s="693"/>
      <c r="BE73" s="693"/>
      <c r="BF73" s="693"/>
      <c r="BG73" s="693"/>
      <c r="BH73" s="693"/>
      <c r="BI73" s="693"/>
      <c r="BJ73" s="693"/>
      <c r="BK73" s="693"/>
      <c r="BL73" s="693"/>
      <c r="BM73" s="693"/>
      <c r="BN73" s="693"/>
      <c r="BO73" s="694"/>
      <c r="BP73" s="694"/>
      <c r="BQ73" s="694"/>
      <c r="BR73" s="901"/>
      <c r="BS73" s="714"/>
      <c r="BT73" s="695"/>
      <c r="BU73" s="695"/>
      <c r="BV73" s="696" t="str">
        <f>IFERROR(INDEX($HD$9:$II$9, MATCH("準備", CC73:DK73, 0)), "")</f>
        <v/>
      </c>
      <c r="BW73" s="696" t="str" cm="1">
        <f t="array" ref="BW73">IF(COUNTIF(CC73:DK73,"*撤去*")=0,"",INDEX(CC$9:DK$9,1,MAX(IF(CC73:DK73="撤去",COLUMN(CC73:DK73)-COLUMN(CC73)+1))))</f>
        <v/>
      </c>
      <c r="BX73" s="697"/>
      <c r="BY73" s="820" t="s">
        <v>246</v>
      </c>
      <c r="BZ73" s="821" t="s">
        <v>247</v>
      </c>
      <c r="CA73" s="716"/>
      <c r="CB73" s="716"/>
      <c r="CC73" s="717"/>
      <c r="CD73" s="718"/>
      <c r="CE73" s="718"/>
      <c r="CF73" s="718"/>
      <c r="CG73" s="718"/>
      <c r="CH73" s="718"/>
      <c r="CI73" s="718"/>
      <c r="CJ73" s="718"/>
      <c r="CK73" s="718"/>
      <c r="CL73" s="718"/>
      <c r="CM73" s="718"/>
      <c r="CN73" s="718"/>
      <c r="CO73" s="718"/>
      <c r="CP73" s="718"/>
      <c r="CQ73" s="719"/>
      <c r="CR73" s="902"/>
      <c r="CS73" s="903"/>
      <c r="CT73" s="904"/>
      <c r="CU73" s="904"/>
      <c r="CV73" s="363"/>
      <c r="CW73" s="363"/>
      <c r="CX73" s="363"/>
      <c r="CY73" s="363"/>
      <c r="CZ73" s="363"/>
      <c r="DA73" s="363"/>
      <c r="DB73" s="363"/>
      <c r="DC73" s="905"/>
      <c r="DD73" s="905"/>
      <c r="DE73" s="905"/>
      <c r="DF73" s="906"/>
      <c r="DG73" s="907"/>
      <c r="DH73" s="908"/>
      <c r="DI73" s="905"/>
      <c r="DJ73" s="905"/>
      <c r="DK73" s="909"/>
      <c r="DL73" s="277"/>
      <c r="DM73" s="277"/>
      <c r="DN73" s="277"/>
      <c r="DO73" s="277"/>
      <c r="DP73" s="277"/>
      <c r="DQ73" s="688"/>
      <c r="DR73" s="689" t="s">
        <v>170</v>
      </c>
      <c r="DS73" s="690">
        <v>0</v>
      </c>
      <c r="DT73" s="691"/>
      <c r="DU73" s="692"/>
      <c r="DV73" s="692"/>
      <c r="DW73" s="693"/>
      <c r="DX73" s="693"/>
      <c r="DY73" s="693"/>
      <c r="DZ73" s="693"/>
      <c r="EA73" s="693"/>
      <c r="EB73" s="693"/>
      <c r="EC73" s="693"/>
      <c r="ED73" s="693"/>
      <c r="EE73" s="693"/>
      <c r="EF73" s="693"/>
      <c r="EG73" s="694"/>
      <c r="EH73" s="694"/>
      <c r="EI73" s="695"/>
      <c r="EJ73" s="695"/>
      <c r="EK73" s="696" t="s">
        <v>165</v>
      </c>
      <c r="EL73" s="696" t="s">
        <v>165</v>
      </c>
      <c r="EM73" s="697"/>
      <c r="EN73" s="277"/>
      <c r="EO73" s="688"/>
      <c r="EP73" s="698" t="s">
        <v>170</v>
      </c>
      <c r="EQ73" s="910">
        <v>0</v>
      </c>
      <c r="ER73" s="700"/>
      <c r="ES73" s="700" t="e">
        <v>#N/A</v>
      </c>
      <c r="ET73" s="700"/>
      <c r="EU73" s="700"/>
      <c r="EV73" s="701" t="s">
        <v>170</v>
      </c>
      <c r="EW73" s="702"/>
      <c r="EX73" s="703"/>
      <c r="EY73" s="704" t="s">
        <v>170</v>
      </c>
      <c r="EZ73" s="705"/>
      <c r="FA73" s="706"/>
      <c r="FB73" s="704" t="s">
        <v>170</v>
      </c>
      <c r="FC73" s="705"/>
      <c r="FD73" s="706"/>
      <c r="FE73" s="707" t="s">
        <v>170</v>
      </c>
      <c r="FF73" s="705"/>
      <c r="FG73" s="706"/>
      <c r="FH73" s="707" t="s">
        <v>170</v>
      </c>
      <c r="FI73" s="705"/>
      <c r="FJ73" s="708"/>
      <c r="FK73" s="709"/>
      <c r="FL73" s="710"/>
      <c r="FM73" s="711"/>
      <c r="FN73" s="712"/>
      <c r="FO73" s="692"/>
      <c r="FP73" s="692"/>
      <c r="FQ73" s="692"/>
      <c r="FR73" s="692"/>
      <c r="FS73" s="692"/>
      <c r="FT73" s="692"/>
      <c r="FU73" s="692"/>
      <c r="FV73" s="713"/>
      <c r="FW73" s="692"/>
      <c r="FX73" s="713"/>
      <c r="FY73" s="692"/>
      <c r="FZ73" s="692"/>
      <c r="GA73" s="692"/>
      <c r="GB73" s="692"/>
      <c r="GC73" s="693"/>
      <c r="GD73" s="693"/>
      <c r="GE73" s="693"/>
      <c r="GF73" s="693"/>
      <c r="GG73" s="693"/>
      <c r="GH73" s="693"/>
      <c r="GI73" s="693"/>
      <c r="GJ73" s="693"/>
      <c r="GK73" s="693"/>
      <c r="GL73" s="693"/>
      <c r="GM73" s="693"/>
      <c r="GN73" s="693"/>
      <c r="GO73" s="693"/>
      <c r="GP73" s="693"/>
      <c r="GQ73" s="693"/>
      <c r="GR73" s="694"/>
      <c r="GS73" s="694"/>
      <c r="GT73" s="714"/>
      <c r="GU73" s="695"/>
      <c r="GV73" s="695"/>
      <c r="GW73" s="696" t="s">
        <v>165</v>
      </c>
      <c r="GX73" s="696" t="s">
        <v>165</v>
      </c>
      <c r="GY73" s="697"/>
      <c r="GZ73" s="715"/>
      <c r="HA73" s="716"/>
      <c r="HB73" s="716"/>
      <c r="HC73" s="716"/>
      <c r="HD73" s="717"/>
      <c r="HE73" s="718"/>
      <c r="HF73" s="718"/>
      <c r="HG73" s="718"/>
      <c r="HH73" s="718"/>
      <c r="HI73" s="718"/>
      <c r="HJ73" s="718"/>
      <c r="HK73" s="718"/>
      <c r="HL73" s="718"/>
      <c r="HM73" s="718"/>
      <c r="HN73" s="718"/>
      <c r="HO73" s="718"/>
      <c r="HP73" s="718"/>
      <c r="HQ73" s="718"/>
      <c r="HR73" s="719"/>
      <c r="HS73" s="720"/>
      <c r="HT73" s="717"/>
      <c r="HU73" s="718"/>
      <c r="HV73" s="718"/>
      <c r="HW73" s="718"/>
      <c r="HX73" s="718"/>
      <c r="HY73" s="718"/>
      <c r="HZ73" s="718"/>
      <c r="IA73" s="718"/>
      <c r="IB73" s="718"/>
      <c r="IC73" s="718"/>
      <c r="ID73" s="718"/>
      <c r="IE73" s="718"/>
      <c r="IF73" s="718"/>
      <c r="IG73" s="719"/>
      <c r="IH73" s="720"/>
      <c r="II73" s="717"/>
      <c r="IJ73" s="718"/>
      <c r="IK73" s="718"/>
      <c r="IL73" s="721"/>
      <c r="IM73" s="277"/>
      <c r="IN73" s="277"/>
      <c r="IO73" s="333"/>
      <c r="IP73" s="334"/>
      <c r="IQ73" s="541"/>
      <c r="IR73" s="542"/>
      <c r="IS73" s="543"/>
      <c r="IT73" s="543"/>
      <c r="IU73" s="543"/>
      <c r="IV73" s="543"/>
      <c r="IW73" s="543"/>
      <c r="IX73" s="544"/>
      <c r="IY73" s="544"/>
      <c r="IZ73" s="543"/>
      <c r="JA73" s="543"/>
      <c r="JB73" s="543"/>
      <c r="JC73" s="543"/>
      <c r="JD73" s="545"/>
      <c r="JE73" s="545"/>
      <c r="JF73" s="546"/>
      <c r="JG73" s="503"/>
      <c r="JH73" s="506"/>
      <c r="JI73" s="1"/>
      <c r="JJ73" s="1"/>
      <c r="JK73" s="1"/>
      <c r="JL73" s="1"/>
      <c r="JM73" s="1"/>
      <c r="JN73" s="1"/>
      <c r="JO73" s="507"/>
      <c r="JP73" s="508"/>
      <c r="JQ73" s="508"/>
      <c r="JR73" s="508"/>
      <c r="JS73" s="729"/>
      <c r="JT73" s="729"/>
      <c r="JU73" s="729"/>
      <c r="JV73" s="729"/>
      <c r="JW73" s="729"/>
      <c r="JX73" s="729"/>
      <c r="JY73" s="729"/>
      <c r="JZ73" s="729"/>
      <c r="KA73" s="729"/>
      <c r="KB73" s="729"/>
      <c r="KC73" s="729"/>
      <c r="KD73" s="729"/>
      <c r="KE73" s="729"/>
      <c r="KF73" s="729"/>
      <c r="KG73" s="729"/>
      <c r="KH73" s="729"/>
      <c r="KI73" s="729"/>
      <c r="KJ73" s="729"/>
      <c r="KK73" s="729"/>
      <c r="KL73" s="729"/>
      <c r="KM73" s="729"/>
      <c r="KN73" s="729"/>
      <c r="KO73" s="729"/>
      <c r="KP73" s="729"/>
      <c r="KQ73" s="729"/>
      <c r="KR73" s="729"/>
      <c r="KS73" s="729"/>
      <c r="KT73" s="729"/>
      <c r="KU73" s="729"/>
      <c r="KV73" s="729"/>
      <c r="KW73" s="730"/>
      <c r="KX73" s="277"/>
      <c r="KY73" s="277"/>
      <c r="KZ73" s="1"/>
      <c r="LA73" s="1"/>
      <c r="LB73" s="1"/>
      <c r="LC73" s="1"/>
      <c r="LD73" s="1"/>
      <c r="LE73" s="1"/>
      <c r="LF73" s="1"/>
      <c r="LG73" s="1"/>
      <c r="LH73" s="1"/>
      <c r="LI73" s="1"/>
      <c r="LJ73" s="1"/>
      <c r="LK73" s="1"/>
      <c r="LL73" s="1"/>
      <c r="LM73" s="1"/>
      <c r="LN73" s="1"/>
      <c r="LO73" s="1"/>
      <c r="LP73" s="1"/>
      <c r="LQ73" s="1"/>
      <c r="LR73" s="1"/>
      <c r="LS73" s="1"/>
      <c r="LT73" s="1"/>
      <c r="LU73" s="1"/>
      <c r="LV73" s="1"/>
      <c r="LW73" s="1"/>
      <c r="LX73" s="1"/>
      <c r="LY73" s="1"/>
      <c r="LZ73" s="1"/>
      <c r="MA73" s="1"/>
      <c r="MB73" s="1"/>
      <c r="MC73" s="1"/>
      <c r="MD73" s="1"/>
      <c r="ME73" s="1"/>
      <c r="MF73" s="1"/>
      <c r="MG73" s="1"/>
      <c r="MH73" s="1"/>
      <c r="MI73" s="1"/>
      <c r="MJ73" s="1"/>
      <c r="MK73" s="1"/>
      <c r="ML73" s="1"/>
      <c r="MM73" s="1"/>
      <c r="MN73" s="1"/>
      <c r="MO73" s="1"/>
      <c r="MP73" s="1"/>
      <c r="MQ73" s="1"/>
      <c r="MR73" s="1"/>
      <c r="MS73" s="1"/>
      <c r="MT73" s="1"/>
      <c r="MU73" s="1"/>
      <c r="MV73" s="1"/>
      <c r="MW73" s="1"/>
      <c r="MX73" s="1"/>
      <c r="MY73" s="1"/>
      <c r="MZ73" s="1"/>
      <c r="NA73" s="1"/>
      <c r="NB73" s="1"/>
      <c r="NC73" s="1"/>
      <c r="ND73" s="1"/>
      <c r="NE73" s="1"/>
      <c r="NF73" s="1"/>
      <c r="NG73" s="1"/>
      <c r="NH73" s="1"/>
      <c r="NI73" s="1"/>
      <c r="NJ73" s="1"/>
      <c r="NK73" s="1"/>
      <c r="NL73" s="1"/>
      <c r="NM73" s="1"/>
      <c r="NN73" s="1"/>
      <c r="NO73" s="1"/>
      <c r="NP73" s="1"/>
      <c r="NQ73" s="1"/>
      <c r="NR73" s="1"/>
      <c r="NS73" s="1"/>
      <c r="NT73" s="1"/>
      <c r="NU73" s="1"/>
      <c r="NV73" s="1"/>
      <c r="NW73" s="1"/>
      <c r="NX73" s="1"/>
      <c r="NY73" s="1"/>
      <c r="NZ73" s="1"/>
      <c r="OA73" s="1"/>
      <c r="OB73" s="1"/>
      <c r="OC73" s="1"/>
      <c r="OD73" s="1"/>
      <c r="OE73" s="1"/>
      <c r="OF73" s="1"/>
      <c r="OG73" s="1"/>
      <c r="OH73" s="1"/>
    </row>
    <row r="74" spans="1:398" ht="40" customHeight="1">
      <c r="B74" s="832" t="s">
        <v>365</v>
      </c>
      <c r="C74" s="833" t="s">
        <v>366</v>
      </c>
      <c r="D74" s="834">
        <v>14</v>
      </c>
      <c r="E74" s="835">
        <v>299</v>
      </c>
      <c r="F74" s="836" t="s">
        <v>367</v>
      </c>
      <c r="G74" s="838">
        <v>1286</v>
      </c>
      <c r="H74" s="838">
        <v>1287</v>
      </c>
      <c r="I74" s="838">
        <v>1386</v>
      </c>
      <c r="J74" s="838">
        <v>1286</v>
      </c>
      <c r="K74" s="245" t="s">
        <v>368</v>
      </c>
      <c r="L74" s="838">
        <v>1209</v>
      </c>
      <c r="M74" s="839">
        <v>0</v>
      </c>
      <c r="N74" s="840" t="s">
        <v>354</v>
      </c>
      <c r="O74" s="840" t="s">
        <v>369</v>
      </c>
      <c r="P74" s="839">
        <v>380</v>
      </c>
      <c r="Q74" s="840" t="s">
        <v>170</v>
      </c>
      <c r="R74" s="840" t="s">
        <v>170</v>
      </c>
      <c r="S74" s="840" t="s">
        <v>169</v>
      </c>
      <c r="T74" s="840" t="s">
        <v>370</v>
      </c>
      <c r="U74" s="841" t="s">
        <v>169</v>
      </c>
      <c r="V74" s="834" t="s">
        <v>172</v>
      </c>
      <c r="W74" s="834"/>
      <c r="X74" s="842" t="s">
        <v>292</v>
      </c>
      <c r="Y74" s="834"/>
      <c r="Z74" s="842" t="s">
        <v>292</v>
      </c>
      <c r="AA74" s="843" t="s">
        <v>371</v>
      </c>
      <c r="AB74" s="844" t="s">
        <v>191</v>
      </c>
      <c r="AC74" s="845">
        <v>1107</v>
      </c>
      <c r="AD74" s="846">
        <f>SUM(AC74:AC80)</f>
        <v>1582</v>
      </c>
      <c r="AE74" s="465" t="s">
        <v>295</v>
      </c>
      <c r="AF74" s="550" t="s">
        <v>296</v>
      </c>
      <c r="AG74" s="467">
        <f>FP74</f>
        <v>19675800</v>
      </c>
      <c r="AH74" s="468">
        <f>FQ74</f>
        <v>0</v>
      </c>
      <c r="AI74" s="468">
        <f>FR74</f>
        <v>4100</v>
      </c>
      <c r="AJ74" s="469"/>
      <c r="AK74" s="468">
        <v>0</v>
      </c>
      <c r="AL74" s="468"/>
      <c r="AM74" s="468">
        <v>0</v>
      </c>
      <c r="AN74" s="468"/>
      <c r="AO74" s="468">
        <v>0</v>
      </c>
      <c r="AP74" s="467">
        <f>FS74</f>
        <v>1286</v>
      </c>
      <c r="AQ74" s="467">
        <f t="shared" ref="AQ74" si="4">FT74</f>
        <v>1286</v>
      </c>
      <c r="AR74" s="474">
        <f>DM74/(BX74-2)</f>
        <v>994.5333333333333</v>
      </c>
      <c r="AS74" s="475">
        <f>AG74/AR74</f>
        <v>19783.952272422579</v>
      </c>
      <c r="AT74" s="476">
        <f>AG74/AP74</f>
        <v>15300</v>
      </c>
      <c r="AU74" s="475">
        <f>AG74/AQ74</f>
        <v>15300</v>
      </c>
      <c r="AV74" s="477">
        <v>26000</v>
      </c>
      <c r="AW74" s="477">
        <v>48000</v>
      </c>
      <c r="AX74" s="467"/>
      <c r="AY74" s="467">
        <f>GB74</f>
        <v>0</v>
      </c>
      <c r="AZ74" s="478">
        <f>GC74</f>
        <v>342138600</v>
      </c>
      <c r="BA74" s="478">
        <f>GD74</f>
        <v>0</v>
      </c>
      <c r="BB74" s="478">
        <v>0</v>
      </c>
      <c r="BC74" s="478">
        <f>AH74*DM74</f>
        <v>0</v>
      </c>
      <c r="BD74" s="478"/>
      <c r="BE74" s="478"/>
      <c r="BF74" s="478"/>
      <c r="BG74" s="478"/>
      <c r="BH74" s="478">
        <f>AO74*DM74*0.3</f>
        <v>0</v>
      </c>
      <c r="BI74" s="480">
        <f>200*DM74</f>
        <v>2983600</v>
      </c>
      <c r="BJ74" s="480">
        <f>'[1]0299_東横中部国際Ⅱ　別紙1-3'!C22</f>
        <v>80121470</v>
      </c>
      <c r="BK74" s="480">
        <f>BM74*5000*BX74</f>
        <v>680000</v>
      </c>
      <c r="BL74" s="480">
        <f>1800000*BN74*BX74</f>
        <v>30600000</v>
      </c>
      <c r="BM74" s="480">
        <f>GP74</f>
        <v>8</v>
      </c>
      <c r="BN74" s="480">
        <f>GQ74</f>
        <v>1</v>
      </c>
      <c r="BO74" s="481"/>
      <c r="BP74" s="481">
        <f>SUM(AZ74,BA74,BI74,BO74)</f>
        <v>345122200</v>
      </c>
      <c r="BQ74" s="481">
        <f>BP74-GR74</f>
        <v>270800</v>
      </c>
      <c r="BR74" s="554"/>
      <c r="BS74" s="555" t="s">
        <v>175</v>
      </c>
      <c r="BT74" s="484">
        <f>GU74</f>
        <v>46283</v>
      </c>
      <c r="BU74" s="484">
        <f>GV74</f>
        <v>46300</v>
      </c>
      <c r="BV74" s="666">
        <f>IFERROR(INDEX($BY$9:$DH$9, MATCH("準備", BY74:DK74, 0)), "")</f>
        <v>46283</v>
      </c>
      <c r="BW74" s="662" cm="1">
        <f t="array" ref="BW74">IF(COUNTIF(BY74:DK74,"*撤去*")=0,"",INDEX(BY$9:DK$9,1,MAX(IF(CC74:DK74="撤去",COLUMN(CC74:DK74)-COLUMN(BY74)+1))))</f>
        <v>46300</v>
      </c>
      <c r="BX74" s="663">
        <f>BW74-BV74</f>
        <v>17</v>
      </c>
      <c r="BY74" s="596">
        <v>0</v>
      </c>
      <c r="BZ74" s="597">
        <v>0</v>
      </c>
      <c r="CA74" s="597">
        <v>0</v>
      </c>
      <c r="CB74" s="597">
        <v>0</v>
      </c>
      <c r="CC74" s="911">
        <v>0</v>
      </c>
      <c r="CD74" s="912">
        <v>0</v>
      </c>
      <c r="CE74" s="912">
        <v>0</v>
      </c>
      <c r="CF74" s="912">
        <v>0</v>
      </c>
      <c r="CG74" s="912">
        <v>0</v>
      </c>
      <c r="CH74" s="912">
        <v>0</v>
      </c>
      <c r="CI74" s="912">
        <v>0</v>
      </c>
      <c r="CJ74" s="912">
        <v>0</v>
      </c>
      <c r="CK74" s="912">
        <v>0</v>
      </c>
      <c r="CL74" s="912">
        <v>0</v>
      </c>
      <c r="CM74" s="913">
        <v>0</v>
      </c>
      <c r="CN74" s="913">
        <v>0</v>
      </c>
      <c r="CO74" s="913">
        <v>0</v>
      </c>
      <c r="CP74" s="913">
        <v>0</v>
      </c>
      <c r="CQ74" s="914" t="s">
        <v>177</v>
      </c>
      <c r="CR74" s="915" t="s">
        <v>177</v>
      </c>
      <c r="CS74" s="895">
        <v>1336</v>
      </c>
      <c r="CT74" s="913">
        <v>1437</v>
      </c>
      <c r="CU74" s="913">
        <v>1437</v>
      </c>
      <c r="CV74" s="912">
        <v>1490</v>
      </c>
      <c r="CW74" s="912">
        <v>1490</v>
      </c>
      <c r="CX74" s="912">
        <v>1490</v>
      </c>
      <c r="CY74" s="912">
        <v>1490</v>
      </c>
      <c r="CZ74" s="912">
        <v>1423</v>
      </c>
      <c r="DA74" s="912">
        <v>1318</v>
      </c>
      <c r="DB74" s="912">
        <v>1309</v>
      </c>
      <c r="DC74" s="912">
        <v>202</v>
      </c>
      <c r="DD74" s="912">
        <v>202</v>
      </c>
      <c r="DE74" s="912">
        <v>202</v>
      </c>
      <c r="DF74" s="867">
        <v>92</v>
      </c>
      <c r="DG74" s="869">
        <v>0</v>
      </c>
      <c r="DH74" s="603" t="s">
        <v>178</v>
      </c>
      <c r="DI74" s="912">
        <v>0</v>
      </c>
      <c r="DJ74" s="912">
        <v>0</v>
      </c>
      <c r="DK74" s="871">
        <v>0</v>
      </c>
      <c r="DL74" s="277"/>
      <c r="DM74" s="277" cm="1">
        <f t="array" ref="DM74">SUM(IF(ISNUMBER($BY74:$DK74),$BY74:$DK74, 0))</f>
        <v>14918</v>
      </c>
      <c r="DN74" s="559"/>
      <c r="DO74" s="277">
        <f>DM74*(BX74)/(BX74+1)</f>
        <v>14089.222222222223</v>
      </c>
      <c r="DP74" s="277"/>
      <c r="DQ74" s="843" t="s">
        <v>371</v>
      </c>
      <c r="DR74" s="844" t="s">
        <v>191</v>
      </c>
      <c r="DS74" s="845">
        <v>930</v>
      </c>
      <c r="DT74" s="846">
        <f>SUM(DS74:DS80)</f>
        <v>1278</v>
      </c>
      <c r="DU74" s="467">
        <v>19675800</v>
      </c>
      <c r="DV74" s="467"/>
      <c r="DW74" s="478">
        <v>342138600</v>
      </c>
      <c r="DX74" s="478">
        <v>0</v>
      </c>
      <c r="DY74" s="478">
        <v>0</v>
      </c>
      <c r="DZ74" s="478"/>
      <c r="EA74" s="478"/>
      <c r="EB74" s="478">
        <v>0</v>
      </c>
      <c r="EC74" s="480">
        <v>2712800</v>
      </c>
      <c r="ED74" s="480">
        <v>56263900.000000007</v>
      </c>
      <c r="EE74" s="480">
        <v>680000</v>
      </c>
      <c r="EF74" s="480">
        <v>30600000</v>
      </c>
      <c r="EG74" s="481"/>
      <c r="EH74" s="481">
        <v>344851400</v>
      </c>
      <c r="EI74" s="484">
        <v>46283</v>
      </c>
      <c r="EJ74" s="484">
        <v>46300</v>
      </c>
      <c r="EK74" s="666">
        <v>46283</v>
      </c>
      <c r="EL74" s="667">
        <v>46300</v>
      </c>
      <c r="EM74" s="663">
        <v>17</v>
      </c>
      <c r="EN74" s="277"/>
      <c r="EO74" s="843" t="s">
        <v>371</v>
      </c>
      <c r="EP74" s="916" t="s">
        <v>191</v>
      </c>
      <c r="EQ74" s="917">
        <v>930</v>
      </c>
      <c r="ER74" s="918">
        <v>1278</v>
      </c>
      <c r="ES74" s="245">
        <v>1279</v>
      </c>
      <c r="ET74" s="245">
        <v>1279</v>
      </c>
      <c r="EU74" s="245">
        <v>1176</v>
      </c>
      <c r="EV74" s="919" t="s">
        <v>372</v>
      </c>
      <c r="EW74" s="920">
        <v>39.4</v>
      </c>
      <c r="EX74" s="921">
        <v>37</v>
      </c>
      <c r="EY74" s="922" t="s">
        <v>373</v>
      </c>
      <c r="EZ74" s="923">
        <v>27.4</v>
      </c>
      <c r="FA74" s="924">
        <v>25</v>
      </c>
      <c r="FB74" s="922" t="s">
        <v>189</v>
      </c>
      <c r="FC74" s="923"/>
      <c r="FD74" s="924"/>
      <c r="FE74" s="925" t="s">
        <v>189</v>
      </c>
      <c r="FF74" s="923"/>
      <c r="FG74" s="924"/>
      <c r="FH74" s="925" t="s">
        <v>189</v>
      </c>
      <c r="FI74" s="923"/>
      <c r="FJ74" s="926"/>
      <c r="FK74" s="289">
        <v>77</v>
      </c>
      <c r="FL74" s="927">
        <v>5.9829059829059832E-2</v>
      </c>
      <c r="FM74" s="928" t="s">
        <v>374</v>
      </c>
      <c r="FN74" s="561" t="s">
        <v>300</v>
      </c>
      <c r="FO74" s="550" t="s">
        <v>296</v>
      </c>
      <c r="FP74" s="562">
        <v>19675800</v>
      </c>
      <c r="FQ74" s="563">
        <v>0</v>
      </c>
      <c r="FR74" s="468">
        <v>4100</v>
      </c>
      <c r="FS74" s="562">
        <v>1286</v>
      </c>
      <c r="FT74" s="473">
        <v>1286</v>
      </c>
      <c r="FU74" s="261">
        <v>904.26666666666665</v>
      </c>
      <c r="FV74" s="394">
        <v>21758.846947803009</v>
      </c>
      <c r="FW74" s="390">
        <v>15300</v>
      </c>
      <c r="FX74" s="394">
        <v>15300</v>
      </c>
      <c r="FY74" s="395">
        <v>9765</v>
      </c>
      <c r="FZ74" s="395">
        <v>13883</v>
      </c>
      <c r="GA74" s="562">
        <v>0</v>
      </c>
      <c r="GB74" s="562">
        <v>0</v>
      </c>
      <c r="GC74" s="565">
        <v>342138600</v>
      </c>
      <c r="GD74" s="565">
        <v>0</v>
      </c>
      <c r="GE74" s="565">
        <v>339843600</v>
      </c>
      <c r="GF74" s="565">
        <v>0</v>
      </c>
      <c r="GG74" s="478">
        <v>-2295000</v>
      </c>
      <c r="GH74" s="478">
        <v>0</v>
      </c>
      <c r="GI74" s="478">
        <v>0</v>
      </c>
      <c r="GJ74" s="565">
        <v>2712800</v>
      </c>
      <c r="GK74" s="565">
        <v>56263900.000000007</v>
      </c>
      <c r="GL74" s="565">
        <v>54825100.000000007</v>
      </c>
      <c r="GM74" s="480">
        <v>-1438800</v>
      </c>
      <c r="GN74" s="480">
        <v>560000</v>
      </c>
      <c r="GO74" s="480">
        <v>30600000</v>
      </c>
      <c r="GP74" s="565">
        <v>8</v>
      </c>
      <c r="GQ74" s="565">
        <v>1</v>
      </c>
      <c r="GR74" s="567">
        <v>344851400</v>
      </c>
      <c r="GS74" s="567">
        <v>116515366</v>
      </c>
      <c r="GT74" s="555" t="s">
        <v>175</v>
      </c>
      <c r="GU74" s="568">
        <v>46283</v>
      </c>
      <c r="GV74" s="568">
        <v>46300</v>
      </c>
      <c r="GW74" s="666">
        <v>46283</v>
      </c>
      <c r="GX74" s="667">
        <v>46300</v>
      </c>
      <c r="GY74" s="663">
        <v>17</v>
      </c>
      <c r="GZ74" s="596"/>
      <c r="HA74" s="597"/>
      <c r="HB74" s="597"/>
      <c r="HC74" s="597"/>
      <c r="HD74" s="911">
        <v>0</v>
      </c>
      <c r="HE74" s="912">
        <v>0</v>
      </c>
      <c r="HF74" s="912">
        <v>0</v>
      </c>
      <c r="HG74" s="912">
        <v>0</v>
      </c>
      <c r="HH74" s="912">
        <v>0</v>
      </c>
      <c r="HI74" s="912">
        <v>0</v>
      </c>
      <c r="HJ74" s="912">
        <v>0</v>
      </c>
      <c r="HK74" s="912">
        <v>0</v>
      </c>
      <c r="HL74" s="912">
        <v>0</v>
      </c>
      <c r="HM74" s="912">
        <v>0</v>
      </c>
      <c r="HN74" s="912">
        <v>0</v>
      </c>
      <c r="HO74" s="912">
        <v>0</v>
      </c>
      <c r="HP74" s="912">
        <v>0</v>
      </c>
      <c r="HQ74" s="912">
        <v>0</v>
      </c>
      <c r="HR74" s="929" t="s">
        <v>177</v>
      </c>
      <c r="HS74" s="897" t="s">
        <v>177</v>
      </c>
      <c r="HT74" s="911">
        <v>1134</v>
      </c>
      <c r="HU74" s="912">
        <v>1191</v>
      </c>
      <c r="HV74" s="912">
        <v>1191</v>
      </c>
      <c r="HW74" s="912">
        <v>1209</v>
      </c>
      <c r="HX74" s="912">
        <v>1209</v>
      </c>
      <c r="HY74" s="912">
        <v>1209</v>
      </c>
      <c r="HZ74" s="912">
        <v>1209</v>
      </c>
      <c r="IA74" s="912">
        <v>1209</v>
      </c>
      <c r="IB74" s="912">
        <v>1159</v>
      </c>
      <c r="IC74" s="912">
        <v>1113</v>
      </c>
      <c r="ID74" s="912">
        <v>1113</v>
      </c>
      <c r="IE74" s="912">
        <v>183</v>
      </c>
      <c r="IF74" s="912">
        <v>183</v>
      </c>
      <c r="IG74" s="867">
        <v>183</v>
      </c>
      <c r="IH74" s="869">
        <v>69</v>
      </c>
      <c r="II74" s="603" t="s">
        <v>178</v>
      </c>
      <c r="IJ74" s="912">
        <v>0</v>
      </c>
      <c r="IK74" s="912">
        <v>0</v>
      </c>
      <c r="IL74" s="871">
        <v>0</v>
      </c>
      <c r="IM74" s="277"/>
      <c r="IN74" s="277" cm="1">
        <f t="array" ref="IN74">SUM(IF(ISNUMBER($HD74:$IL74),$HD74:$IL74, 0))</f>
        <v>13564</v>
      </c>
      <c r="IO74" s="293"/>
      <c r="IP74" s="294"/>
      <c r="IQ74" s="541"/>
      <c r="IR74" s="930">
        <f>VLOOKUP($E74,[1]アジアResults1031!$A$1:$CH$259,23,FALSE)</f>
        <v>15815654</v>
      </c>
      <c r="IS74" s="931">
        <f>VLOOKUP($E74,[1]アジアResults1031!$A$1:$CH$259,32,FALSE)</f>
        <v>1286</v>
      </c>
      <c r="IT74" s="931">
        <f>KY74/(GY74-2)</f>
        <v>1567</v>
      </c>
      <c r="IU74" s="931">
        <f>IR74/IT74</f>
        <v>10092.950861518826</v>
      </c>
      <c r="IV74" s="931">
        <f>VLOOKUP(E74,[1]アジアResults1031!$A$1:$CH$264,26,FALSE)</f>
        <v>9765</v>
      </c>
      <c r="IW74" s="931">
        <f>VLOOKUP(E74,[1]アジアResults1031!$A$1:$CH$264,27,FALSE)</f>
        <v>13883</v>
      </c>
      <c r="IX74" s="932">
        <f>VLOOKUP($E74,[1]アジアResults1031!$A$1:$CH$259,18,FALSE)</f>
        <v>0</v>
      </c>
      <c r="IY74" s="932">
        <f>VLOOKUP($E74,[1]アジアResults1031!$A$1:$CH$259,9,FALSE)</f>
        <v>0</v>
      </c>
      <c r="IZ74" s="931">
        <f>IR74*JF74</f>
        <v>458653966</v>
      </c>
      <c r="JA74" s="931">
        <f>IX74*JF74</f>
        <v>0</v>
      </c>
      <c r="JB74" s="931"/>
      <c r="JC74" s="931"/>
      <c r="JD74" s="933">
        <f>IFERROR(INDEX($JO$9:$KW$9, MATCH("準備", JO74:KW74, 0)), "")</f>
        <v>46272</v>
      </c>
      <c r="JE74" s="933" cm="1">
        <f t="array" ref="JE74">IF(COUNTIF(JO74:KW74,"*撤去*")=0,"",INDEX(JO$9:KW$9,1,MAX(IF(JO74:KW74="撤去",COLUMN(JO74:KW74)-COLUMN(JO74)+1))))</f>
        <v>46301</v>
      </c>
      <c r="JF74" s="934">
        <f>JE74-JD74</f>
        <v>29</v>
      </c>
      <c r="JG74" s="935">
        <v>15815654</v>
      </c>
      <c r="JH74" s="936">
        <v>0</v>
      </c>
      <c r="JO74" s="507"/>
      <c r="JP74" s="508"/>
      <c r="JQ74" s="508"/>
      <c r="JR74" s="400" t="s">
        <v>177</v>
      </c>
      <c r="JS74" s="400" t="s">
        <v>177</v>
      </c>
      <c r="JT74" s="508">
        <v>374</v>
      </c>
      <c r="JU74" s="508">
        <v>374</v>
      </c>
      <c r="JV74" s="508">
        <v>374</v>
      </c>
      <c r="JW74" s="508">
        <v>374</v>
      </c>
      <c r="JX74" s="508">
        <v>374</v>
      </c>
      <c r="JY74" s="508">
        <v>374</v>
      </c>
      <c r="JZ74" s="508">
        <v>724</v>
      </c>
      <c r="KA74" s="508">
        <v>1029</v>
      </c>
      <c r="KB74" s="508">
        <v>1029</v>
      </c>
      <c r="KC74" s="508">
        <v>1029</v>
      </c>
      <c r="KD74" s="508">
        <v>1029</v>
      </c>
      <c r="KE74" s="508">
        <v>1029</v>
      </c>
      <c r="KF74" s="508">
        <v>1163</v>
      </c>
      <c r="KG74" s="508">
        <v>1163</v>
      </c>
      <c r="KH74" s="508">
        <v>1127</v>
      </c>
      <c r="KI74" s="508">
        <v>1127</v>
      </c>
      <c r="KJ74" s="508">
        <v>1127</v>
      </c>
      <c r="KK74" s="508">
        <v>1127</v>
      </c>
      <c r="KL74" s="508">
        <v>1127</v>
      </c>
      <c r="KM74" s="508">
        <v>1127</v>
      </c>
      <c r="KN74" s="508">
        <v>1127</v>
      </c>
      <c r="KO74" s="508">
        <v>1140</v>
      </c>
      <c r="KP74" s="508">
        <v>1006</v>
      </c>
      <c r="KQ74" s="508">
        <v>1006</v>
      </c>
      <c r="KR74" s="508">
        <v>1006</v>
      </c>
      <c r="KS74" s="508">
        <v>1006</v>
      </c>
      <c r="KT74" s="508">
        <v>13</v>
      </c>
      <c r="KU74" s="406" t="s">
        <v>178</v>
      </c>
      <c r="KV74" s="508"/>
      <c r="KW74" s="509"/>
      <c r="KX74" s="277"/>
      <c r="KY74" s="277" cm="1">
        <f t="array" ref="KY74">SUM(IF(ISNUMBER($JO74:$KW74),$JO74:$KW74, 0))</f>
        <v>23505</v>
      </c>
    </row>
    <row r="75" spans="1:398" ht="40" customHeight="1">
      <c r="B75" s="299"/>
      <c r="C75" s="241"/>
      <c r="D75" s="242"/>
      <c r="E75" s="243" t="s">
        <v>165</v>
      </c>
      <c r="F75" s="244"/>
      <c r="G75" s="246">
        <v>0</v>
      </c>
      <c r="H75" s="246">
        <v>0</v>
      </c>
      <c r="I75" s="246">
        <v>0</v>
      </c>
      <c r="J75" s="246">
        <v>0</v>
      </c>
      <c r="K75" s="246"/>
      <c r="L75" s="246">
        <v>0</v>
      </c>
      <c r="M75" s="300">
        <v>0</v>
      </c>
      <c r="N75" s="251">
        <v>0</v>
      </c>
      <c r="O75" s="251"/>
      <c r="P75" s="300">
        <v>0</v>
      </c>
      <c r="Q75" s="251">
        <v>0</v>
      </c>
      <c r="R75" s="251">
        <v>0</v>
      </c>
      <c r="S75" s="251">
        <v>0</v>
      </c>
      <c r="T75" s="251">
        <v>0</v>
      </c>
      <c r="U75" s="301" t="s">
        <v>165</v>
      </c>
      <c r="V75" s="242"/>
      <c r="W75" s="242"/>
      <c r="X75" s="242"/>
      <c r="Y75" s="242"/>
      <c r="Z75" s="242"/>
      <c r="AA75" s="302" t="s">
        <v>375</v>
      </c>
      <c r="AB75" s="303" t="s">
        <v>191</v>
      </c>
      <c r="AC75" s="304">
        <v>67</v>
      </c>
      <c r="AD75" s="256"/>
      <c r="AE75" s="305"/>
      <c r="AF75" s="306"/>
      <c r="AG75" s="306"/>
      <c r="AH75" s="306"/>
      <c r="AI75" s="306"/>
      <c r="AJ75" s="306"/>
      <c r="AK75" s="306"/>
      <c r="AL75" s="306"/>
      <c r="AM75" s="306"/>
      <c r="AN75" s="306"/>
      <c r="AO75" s="306"/>
      <c r="AP75" s="306"/>
      <c r="AQ75" s="306"/>
      <c r="AR75" s="306"/>
      <c r="AS75" s="308"/>
      <c r="AT75" s="306"/>
      <c r="AU75" s="308"/>
      <c r="AV75" s="306"/>
      <c r="AW75" s="306"/>
      <c r="AX75" s="306"/>
      <c r="AY75" s="306"/>
      <c r="AZ75" s="672"/>
      <c r="BA75" s="672"/>
      <c r="BB75" s="672"/>
      <c r="BC75" s="672"/>
      <c r="BD75" s="672"/>
      <c r="BE75" s="672"/>
      <c r="BF75" s="672"/>
      <c r="BG75" s="672"/>
      <c r="BH75" s="672"/>
      <c r="BI75" s="672"/>
      <c r="BJ75" s="672"/>
      <c r="BK75" s="672"/>
      <c r="BL75" s="672"/>
      <c r="BM75" s="672"/>
      <c r="BN75" s="672"/>
      <c r="BO75" s="673"/>
      <c r="BP75" s="673"/>
      <c r="BQ75" s="673"/>
      <c r="BR75" s="674"/>
      <c r="BS75" s="675"/>
      <c r="BT75" s="676"/>
      <c r="BU75" s="676"/>
      <c r="BV75" s="677"/>
      <c r="BW75" s="677"/>
      <c r="BX75" s="678"/>
      <c r="BY75" s="937"/>
      <c r="BZ75" s="681"/>
      <c r="CA75" s="681"/>
      <c r="CB75" s="681"/>
      <c r="CC75" s="315"/>
      <c r="CD75" s="316"/>
      <c r="CE75" s="316"/>
      <c r="CF75" s="316"/>
      <c r="CG75" s="316"/>
      <c r="CH75" s="316"/>
      <c r="CI75" s="316"/>
      <c r="CJ75" s="316"/>
      <c r="CK75" s="316"/>
      <c r="CL75" s="316"/>
      <c r="CM75" s="316"/>
      <c r="CN75" s="316"/>
      <c r="CO75" s="316"/>
      <c r="CP75" s="316"/>
      <c r="CQ75" s="318"/>
      <c r="CR75" s="319"/>
      <c r="CS75" s="315"/>
      <c r="CT75" s="316"/>
      <c r="CU75" s="316"/>
      <c r="CV75" s="316"/>
      <c r="CW75" s="316"/>
      <c r="CX75" s="316"/>
      <c r="CY75" s="316"/>
      <c r="CZ75" s="316"/>
      <c r="DA75" s="316"/>
      <c r="DB75" s="316"/>
      <c r="DC75" s="316"/>
      <c r="DD75" s="316"/>
      <c r="DE75" s="316"/>
      <c r="DF75" s="318"/>
      <c r="DG75" s="319"/>
      <c r="DH75" s="315"/>
      <c r="DI75" s="316"/>
      <c r="DJ75" s="316"/>
      <c r="DK75" s="320"/>
      <c r="DL75" s="277"/>
      <c r="DM75" s="277"/>
      <c r="DN75" s="277"/>
      <c r="DO75" s="277"/>
      <c r="DP75" s="277"/>
      <c r="DQ75" s="302" t="s">
        <v>375</v>
      </c>
      <c r="DR75" s="303" t="s">
        <v>191</v>
      </c>
      <c r="DS75" s="304">
        <v>50</v>
      </c>
      <c r="DT75" s="256"/>
      <c r="DU75" s="306"/>
      <c r="DV75" s="306"/>
      <c r="DW75" s="672"/>
      <c r="DX75" s="672"/>
      <c r="DY75" s="672"/>
      <c r="DZ75" s="672"/>
      <c r="EA75" s="672"/>
      <c r="EB75" s="672"/>
      <c r="EC75" s="672"/>
      <c r="ED75" s="672"/>
      <c r="EE75" s="672"/>
      <c r="EF75" s="672"/>
      <c r="EG75" s="673"/>
      <c r="EH75" s="673"/>
      <c r="EI75" s="676"/>
      <c r="EJ75" s="676"/>
      <c r="EK75" s="677"/>
      <c r="EL75" s="677"/>
      <c r="EM75" s="678"/>
      <c r="EN75" s="277"/>
      <c r="EO75" s="302" t="s">
        <v>375</v>
      </c>
      <c r="EP75" s="321" t="s">
        <v>191</v>
      </c>
      <c r="EQ75" s="347">
        <v>50</v>
      </c>
      <c r="ER75" s="323"/>
      <c r="ES75" s="323" t="e">
        <v>#N/A</v>
      </c>
      <c r="ET75" s="323"/>
      <c r="EU75" s="323"/>
      <c r="EV75" s="324" t="s">
        <v>376</v>
      </c>
      <c r="EW75" s="325">
        <v>39.4</v>
      </c>
      <c r="EX75" s="326">
        <v>37</v>
      </c>
      <c r="EY75" s="327" t="s">
        <v>377</v>
      </c>
      <c r="EZ75" s="328">
        <v>17.8</v>
      </c>
      <c r="FA75" s="329">
        <v>28</v>
      </c>
      <c r="FB75" s="327" t="s">
        <v>189</v>
      </c>
      <c r="FC75" s="328"/>
      <c r="FD75" s="329"/>
      <c r="FE75" s="330" t="s">
        <v>189</v>
      </c>
      <c r="FF75" s="328"/>
      <c r="FG75" s="329"/>
      <c r="FH75" s="330" t="s">
        <v>189</v>
      </c>
      <c r="FI75" s="328"/>
      <c r="FJ75" s="331"/>
      <c r="FK75" s="289"/>
      <c r="FL75" s="290"/>
      <c r="FM75" s="332"/>
      <c r="FN75" s="305"/>
      <c r="FO75" s="306"/>
      <c r="FP75" s="306"/>
      <c r="FQ75" s="306"/>
      <c r="FR75" s="306"/>
      <c r="FS75" s="306"/>
      <c r="FT75" s="306"/>
      <c r="FU75" s="306"/>
      <c r="FV75" s="308"/>
      <c r="FW75" s="306"/>
      <c r="FX75" s="308"/>
      <c r="FY75" s="306"/>
      <c r="FZ75" s="306"/>
      <c r="GA75" s="306"/>
      <c r="GB75" s="306"/>
      <c r="GC75" s="672"/>
      <c r="GD75" s="672"/>
      <c r="GE75" s="672"/>
      <c r="GF75" s="672"/>
      <c r="GG75" s="672"/>
      <c r="GH75" s="672"/>
      <c r="GI75" s="672"/>
      <c r="GJ75" s="672"/>
      <c r="GK75" s="672"/>
      <c r="GL75" s="672"/>
      <c r="GM75" s="672"/>
      <c r="GN75" s="672"/>
      <c r="GO75" s="672"/>
      <c r="GP75" s="672"/>
      <c r="GQ75" s="672"/>
      <c r="GR75" s="673"/>
      <c r="GS75" s="673"/>
      <c r="GT75" s="675"/>
      <c r="GU75" s="676"/>
      <c r="GV75" s="676"/>
      <c r="GW75" s="677"/>
      <c r="GX75" s="677"/>
      <c r="GY75" s="678"/>
      <c r="GZ75" s="937"/>
      <c r="HA75" s="681"/>
      <c r="HB75" s="681"/>
      <c r="HC75" s="681"/>
      <c r="HD75" s="315"/>
      <c r="HE75" s="316"/>
      <c r="HF75" s="316"/>
      <c r="HG75" s="316"/>
      <c r="HH75" s="316"/>
      <c r="HI75" s="316"/>
      <c r="HJ75" s="316"/>
      <c r="HK75" s="316"/>
      <c r="HL75" s="316"/>
      <c r="HM75" s="316"/>
      <c r="HN75" s="316"/>
      <c r="HO75" s="316"/>
      <c r="HP75" s="316"/>
      <c r="HQ75" s="316"/>
      <c r="HR75" s="318"/>
      <c r="HS75" s="319"/>
      <c r="HT75" s="315"/>
      <c r="HU75" s="316"/>
      <c r="HV75" s="316"/>
      <c r="HW75" s="316"/>
      <c r="HX75" s="316"/>
      <c r="HY75" s="316"/>
      <c r="HZ75" s="316"/>
      <c r="IA75" s="316"/>
      <c r="IB75" s="316"/>
      <c r="IC75" s="316"/>
      <c r="ID75" s="316"/>
      <c r="IE75" s="316"/>
      <c r="IF75" s="316"/>
      <c r="IG75" s="318"/>
      <c r="IH75" s="319"/>
      <c r="II75" s="315"/>
      <c r="IJ75" s="316"/>
      <c r="IK75" s="316"/>
      <c r="IL75" s="320"/>
      <c r="IM75" s="277"/>
      <c r="IN75" s="277"/>
      <c r="IO75" s="333"/>
      <c r="IP75" s="334"/>
      <c r="IQ75" s="541"/>
      <c r="IR75" s="542"/>
      <c r="IS75" s="543"/>
      <c r="IT75" s="543"/>
      <c r="IU75" s="543"/>
      <c r="IV75" s="543"/>
      <c r="IW75" s="543"/>
      <c r="IX75" s="544"/>
      <c r="IY75" s="544"/>
      <c r="IZ75" s="543"/>
      <c r="JA75" s="543"/>
      <c r="JB75" s="543"/>
      <c r="JC75" s="543"/>
      <c r="JD75" s="545"/>
      <c r="JE75" s="545"/>
      <c r="JF75" s="546"/>
      <c r="JG75" s="503"/>
      <c r="JH75" s="506"/>
      <c r="JO75" s="507"/>
      <c r="JP75" s="508"/>
      <c r="JQ75" s="508"/>
      <c r="JR75" s="508"/>
      <c r="JS75" s="508"/>
      <c r="JT75" s="508"/>
      <c r="JU75" s="508"/>
      <c r="JV75" s="508"/>
      <c r="JW75" s="508"/>
      <c r="JX75" s="508"/>
      <c r="JY75" s="508"/>
      <c r="JZ75" s="508"/>
      <c r="KA75" s="508"/>
      <c r="KB75" s="508"/>
      <c r="KC75" s="508"/>
      <c r="KD75" s="508"/>
      <c r="KE75" s="508"/>
      <c r="KF75" s="508"/>
      <c r="KG75" s="508"/>
      <c r="KH75" s="508"/>
      <c r="KI75" s="508"/>
      <c r="KJ75" s="508"/>
      <c r="KK75" s="508"/>
      <c r="KL75" s="508"/>
      <c r="KM75" s="508"/>
      <c r="KN75" s="508"/>
      <c r="KO75" s="508"/>
      <c r="KP75" s="508"/>
      <c r="KQ75" s="508"/>
      <c r="KR75" s="508"/>
      <c r="KS75" s="508"/>
      <c r="KT75" s="508"/>
      <c r="KU75" s="508"/>
      <c r="KV75" s="508"/>
      <c r="KW75" s="509"/>
      <c r="KX75" s="277"/>
      <c r="KY75" s="277"/>
    </row>
    <row r="76" spans="1:398" ht="40" customHeight="1">
      <c r="B76" s="299"/>
      <c r="C76" s="241"/>
      <c r="D76" s="242"/>
      <c r="E76" s="243"/>
      <c r="F76" s="244"/>
      <c r="G76" s="246"/>
      <c r="H76" s="246"/>
      <c r="I76" s="246">
        <v>0</v>
      </c>
      <c r="J76" s="246">
        <v>0</v>
      </c>
      <c r="K76" s="246"/>
      <c r="L76" s="246">
        <v>0</v>
      </c>
      <c r="M76" s="300"/>
      <c r="N76" s="251"/>
      <c r="O76" s="251"/>
      <c r="P76" s="300"/>
      <c r="Q76" s="251"/>
      <c r="R76" s="251"/>
      <c r="S76" s="251"/>
      <c r="T76" s="251"/>
      <c r="U76" s="301" t="s">
        <v>165</v>
      </c>
      <c r="V76" s="242"/>
      <c r="W76" s="242"/>
      <c r="X76" s="242"/>
      <c r="Y76" s="242"/>
      <c r="Z76" s="242"/>
      <c r="AA76" s="302" t="s">
        <v>378</v>
      </c>
      <c r="AB76" s="303" t="s">
        <v>191</v>
      </c>
      <c r="AC76" s="304">
        <v>52</v>
      </c>
      <c r="AD76" s="256"/>
      <c r="AE76" s="336"/>
      <c r="AF76" s="337"/>
      <c r="AG76" s="337"/>
      <c r="AH76" s="337"/>
      <c r="AI76" s="337"/>
      <c r="AJ76" s="337"/>
      <c r="AK76" s="337"/>
      <c r="AL76" s="337"/>
      <c r="AM76" s="337"/>
      <c r="AN76" s="337"/>
      <c r="AO76" s="337"/>
      <c r="AP76" s="337"/>
      <c r="AQ76" s="337"/>
      <c r="AR76" s="337"/>
      <c r="AS76" s="339"/>
      <c r="AT76" s="337"/>
      <c r="AU76" s="339"/>
      <c r="AV76" s="337"/>
      <c r="AW76" s="337"/>
      <c r="AX76" s="337"/>
      <c r="AY76" s="337"/>
      <c r="AZ76" s="611"/>
      <c r="BA76" s="611"/>
      <c r="BB76" s="611"/>
      <c r="BC76" s="611"/>
      <c r="BD76" s="611"/>
      <c r="BE76" s="611"/>
      <c r="BF76" s="611"/>
      <c r="BG76" s="611"/>
      <c r="BH76" s="611"/>
      <c r="BI76" s="611"/>
      <c r="BJ76" s="611"/>
      <c r="BK76" s="611"/>
      <c r="BL76" s="611"/>
      <c r="BM76" s="611"/>
      <c r="BN76" s="611"/>
      <c r="BO76" s="337"/>
      <c r="BP76" s="337"/>
      <c r="BQ76" s="337"/>
      <c r="BR76" s="340"/>
      <c r="BS76" s="342"/>
      <c r="BT76" s="938"/>
      <c r="BU76" s="938"/>
      <c r="BV76" s="615"/>
      <c r="BW76" s="615"/>
      <c r="BX76" s="616"/>
      <c r="BY76" s="596"/>
      <c r="BZ76" s="597"/>
      <c r="CA76" s="597"/>
      <c r="CB76" s="597"/>
      <c r="CC76" s="271"/>
      <c r="CD76" s="272"/>
      <c r="CE76" s="272"/>
      <c r="CF76" s="272"/>
      <c r="CG76" s="272"/>
      <c r="CH76" s="272"/>
      <c r="CI76" s="272"/>
      <c r="CJ76" s="272"/>
      <c r="CK76" s="272"/>
      <c r="CL76" s="272"/>
      <c r="CM76" s="272"/>
      <c r="CN76" s="272"/>
      <c r="CO76" s="272"/>
      <c r="CP76" s="272"/>
      <c r="CQ76" s="274"/>
      <c r="CR76" s="275"/>
      <c r="CS76" s="271"/>
      <c r="CT76" s="272"/>
      <c r="CU76" s="272"/>
      <c r="CV76" s="272"/>
      <c r="CW76" s="272"/>
      <c r="CX76" s="272"/>
      <c r="CY76" s="272"/>
      <c r="CZ76" s="272"/>
      <c r="DA76" s="272"/>
      <c r="DB76" s="272"/>
      <c r="DC76" s="272"/>
      <c r="DD76" s="272"/>
      <c r="DE76" s="272"/>
      <c r="DF76" s="274"/>
      <c r="DG76" s="275"/>
      <c r="DH76" s="271"/>
      <c r="DI76" s="272"/>
      <c r="DJ76" s="272"/>
      <c r="DK76" s="276"/>
      <c r="DL76" s="277"/>
      <c r="DM76" s="277"/>
      <c r="DN76" s="277"/>
      <c r="DO76" s="277"/>
      <c r="DP76" s="277"/>
      <c r="DQ76" s="302" t="s">
        <v>378</v>
      </c>
      <c r="DR76" s="303" t="s">
        <v>191</v>
      </c>
      <c r="DS76" s="304">
        <v>40</v>
      </c>
      <c r="DT76" s="256"/>
      <c r="DU76" s="337"/>
      <c r="DV76" s="337"/>
      <c r="DW76" s="611"/>
      <c r="DX76" s="611"/>
      <c r="DY76" s="611"/>
      <c r="DZ76" s="611"/>
      <c r="EA76" s="611"/>
      <c r="EB76" s="611"/>
      <c r="EC76" s="611"/>
      <c r="ED76" s="611"/>
      <c r="EE76" s="611"/>
      <c r="EF76" s="611"/>
      <c r="EG76" s="337"/>
      <c r="EH76" s="337"/>
      <c r="EI76" s="938"/>
      <c r="EJ76" s="938"/>
      <c r="EK76" s="615"/>
      <c r="EL76" s="615"/>
      <c r="EM76" s="616"/>
      <c r="EN76" s="277"/>
      <c r="EO76" s="302" t="s">
        <v>378</v>
      </c>
      <c r="EP76" s="321" t="s">
        <v>191</v>
      </c>
      <c r="EQ76" s="322">
        <v>40</v>
      </c>
      <c r="ER76" s="323"/>
      <c r="ES76" s="323" t="e">
        <v>#N/A</v>
      </c>
      <c r="ET76" s="323"/>
      <c r="EU76" s="323"/>
      <c r="EV76" s="324" t="s">
        <v>379</v>
      </c>
      <c r="EW76" s="325">
        <v>47.4</v>
      </c>
      <c r="EX76" s="326">
        <v>41</v>
      </c>
      <c r="EY76" s="327" t="s">
        <v>377</v>
      </c>
      <c r="EZ76" s="328">
        <v>17.8</v>
      </c>
      <c r="FA76" s="329">
        <v>28</v>
      </c>
      <c r="FB76" s="327" t="s">
        <v>189</v>
      </c>
      <c r="FC76" s="328"/>
      <c r="FD76" s="329"/>
      <c r="FE76" s="330" t="s">
        <v>189</v>
      </c>
      <c r="FF76" s="328"/>
      <c r="FG76" s="329"/>
      <c r="FH76" s="330" t="s">
        <v>189</v>
      </c>
      <c r="FI76" s="328"/>
      <c r="FJ76" s="331"/>
      <c r="FK76" s="289"/>
      <c r="FL76" s="290"/>
      <c r="FM76" s="349"/>
      <c r="FN76" s="336"/>
      <c r="FO76" s="337"/>
      <c r="FP76" s="337"/>
      <c r="FQ76" s="337"/>
      <c r="FR76" s="337"/>
      <c r="FS76" s="337"/>
      <c r="FT76" s="337"/>
      <c r="FU76" s="337"/>
      <c r="FV76" s="339"/>
      <c r="FW76" s="337"/>
      <c r="FX76" s="339"/>
      <c r="FY76" s="337"/>
      <c r="FZ76" s="337"/>
      <c r="GA76" s="337"/>
      <c r="GB76" s="337"/>
      <c r="GC76" s="611"/>
      <c r="GD76" s="611"/>
      <c r="GE76" s="611"/>
      <c r="GF76" s="611"/>
      <c r="GG76" s="611"/>
      <c r="GH76" s="611"/>
      <c r="GI76" s="611"/>
      <c r="GJ76" s="611"/>
      <c r="GK76" s="611"/>
      <c r="GL76" s="611"/>
      <c r="GM76" s="611"/>
      <c r="GN76" s="611"/>
      <c r="GO76" s="611"/>
      <c r="GP76" s="611"/>
      <c r="GQ76" s="611"/>
      <c r="GR76" s="337"/>
      <c r="GS76" s="337"/>
      <c r="GT76" s="342"/>
      <c r="GU76" s="938"/>
      <c r="GV76" s="938"/>
      <c r="GW76" s="615"/>
      <c r="GX76" s="615"/>
      <c r="GY76" s="616"/>
      <c r="GZ76" s="596"/>
      <c r="HA76" s="597"/>
      <c r="HB76" s="597"/>
      <c r="HC76" s="597"/>
      <c r="HD76" s="271"/>
      <c r="HE76" s="272"/>
      <c r="HF76" s="272"/>
      <c r="HG76" s="272"/>
      <c r="HH76" s="272"/>
      <c r="HI76" s="272"/>
      <c r="HJ76" s="272"/>
      <c r="HK76" s="272"/>
      <c r="HL76" s="272"/>
      <c r="HM76" s="272"/>
      <c r="HN76" s="272"/>
      <c r="HO76" s="272"/>
      <c r="HP76" s="272"/>
      <c r="HQ76" s="272"/>
      <c r="HR76" s="274"/>
      <c r="HS76" s="275"/>
      <c r="HT76" s="271"/>
      <c r="HU76" s="272"/>
      <c r="HV76" s="272"/>
      <c r="HW76" s="272"/>
      <c r="HX76" s="272"/>
      <c r="HY76" s="272"/>
      <c r="HZ76" s="272"/>
      <c r="IA76" s="272"/>
      <c r="IB76" s="272"/>
      <c r="IC76" s="272"/>
      <c r="ID76" s="272"/>
      <c r="IE76" s="272"/>
      <c r="IF76" s="272"/>
      <c r="IG76" s="274"/>
      <c r="IH76" s="275"/>
      <c r="II76" s="271"/>
      <c r="IJ76" s="272"/>
      <c r="IK76" s="272"/>
      <c r="IL76" s="276"/>
      <c r="IM76" s="277"/>
      <c r="IN76" s="277"/>
      <c r="IO76" s="333"/>
      <c r="IP76" s="334"/>
      <c r="IQ76" s="541"/>
      <c r="IR76" s="542"/>
      <c r="IS76" s="543"/>
      <c r="IT76" s="543"/>
      <c r="IU76" s="543"/>
      <c r="IV76" s="543"/>
      <c r="IW76" s="543"/>
      <c r="IX76" s="544"/>
      <c r="IY76" s="544"/>
      <c r="IZ76" s="543"/>
      <c r="JA76" s="543"/>
      <c r="JB76" s="543"/>
      <c r="JC76" s="543"/>
      <c r="JD76" s="545"/>
      <c r="JE76" s="545"/>
      <c r="JF76" s="546"/>
      <c r="JG76" s="503"/>
      <c r="JH76" s="506"/>
      <c r="JO76" s="507"/>
      <c r="JP76" s="508"/>
      <c r="JQ76" s="508"/>
      <c r="JR76" s="508"/>
      <c r="JS76" s="508"/>
      <c r="JT76" s="508"/>
      <c r="JU76" s="508"/>
      <c r="JV76" s="508"/>
      <c r="JW76" s="508"/>
      <c r="JX76" s="508"/>
      <c r="JY76" s="508"/>
      <c r="JZ76" s="508"/>
      <c r="KA76" s="508"/>
      <c r="KB76" s="508"/>
      <c r="KC76" s="508"/>
      <c r="KD76" s="508"/>
      <c r="KE76" s="508"/>
      <c r="KF76" s="508"/>
      <c r="KG76" s="508"/>
      <c r="KH76" s="508"/>
      <c r="KI76" s="508"/>
      <c r="KJ76" s="508"/>
      <c r="KK76" s="508"/>
      <c r="KL76" s="508"/>
      <c r="KM76" s="508"/>
      <c r="KN76" s="508"/>
      <c r="KO76" s="508"/>
      <c r="KP76" s="508"/>
      <c r="KQ76" s="508"/>
      <c r="KR76" s="508"/>
      <c r="KS76" s="508"/>
      <c r="KT76" s="508"/>
      <c r="KU76" s="508"/>
      <c r="KV76" s="508"/>
      <c r="KW76" s="509"/>
      <c r="KX76" s="277"/>
      <c r="KY76" s="277"/>
    </row>
    <row r="77" spans="1:398" ht="40" customHeight="1">
      <c r="B77" s="299"/>
      <c r="C77" s="241"/>
      <c r="D77" s="242"/>
      <c r="E77" s="243"/>
      <c r="F77" s="244"/>
      <c r="G77" s="246"/>
      <c r="H77" s="246"/>
      <c r="I77" s="246">
        <v>0</v>
      </c>
      <c r="J77" s="246">
        <v>0</v>
      </c>
      <c r="K77" s="246"/>
      <c r="L77" s="246">
        <v>0</v>
      </c>
      <c r="M77" s="300"/>
      <c r="N77" s="251"/>
      <c r="O77" s="251"/>
      <c r="P77" s="300"/>
      <c r="Q77" s="251"/>
      <c r="R77" s="251"/>
      <c r="S77" s="251"/>
      <c r="T77" s="251"/>
      <c r="U77" s="301" t="s">
        <v>165</v>
      </c>
      <c r="V77" s="242"/>
      <c r="W77" s="242"/>
      <c r="X77" s="242"/>
      <c r="Y77" s="242"/>
      <c r="Z77" s="242"/>
      <c r="AA77" s="302" t="s">
        <v>380</v>
      </c>
      <c r="AB77" s="303" t="s">
        <v>366</v>
      </c>
      <c r="AC77" s="304">
        <v>110</v>
      </c>
      <c r="AD77" s="790"/>
      <c r="AE77" s="336"/>
      <c r="AF77" s="337"/>
      <c r="AG77" s="337"/>
      <c r="AH77" s="337"/>
      <c r="AI77" s="337"/>
      <c r="AJ77" s="337"/>
      <c r="AK77" s="337"/>
      <c r="AL77" s="337"/>
      <c r="AM77" s="337"/>
      <c r="AN77" s="337"/>
      <c r="AO77" s="337"/>
      <c r="AP77" s="337"/>
      <c r="AQ77" s="337"/>
      <c r="AR77" s="337"/>
      <c r="AS77" s="339"/>
      <c r="AT77" s="337"/>
      <c r="AU77" s="339"/>
      <c r="AV77" s="337"/>
      <c r="AW77" s="337"/>
      <c r="AX77" s="337"/>
      <c r="AY77" s="337"/>
      <c r="AZ77" s="611"/>
      <c r="BA77" s="611"/>
      <c r="BB77" s="611"/>
      <c r="BC77" s="611"/>
      <c r="BD77" s="611"/>
      <c r="BE77" s="611"/>
      <c r="BF77" s="611"/>
      <c r="BG77" s="611"/>
      <c r="BH77" s="611"/>
      <c r="BI77" s="611"/>
      <c r="BJ77" s="611"/>
      <c r="BK77" s="611"/>
      <c r="BL77" s="611"/>
      <c r="BM77" s="611"/>
      <c r="BN77" s="611"/>
      <c r="BO77" s="337"/>
      <c r="BP77" s="337"/>
      <c r="BQ77" s="337"/>
      <c r="BR77" s="340"/>
      <c r="BS77" s="342"/>
      <c r="BT77" s="938"/>
      <c r="BU77" s="938"/>
      <c r="BV77" s="615"/>
      <c r="BW77" s="615"/>
      <c r="BX77" s="616"/>
      <c r="BY77" s="596"/>
      <c r="BZ77" s="597"/>
      <c r="CA77" s="597"/>
      <c r="CB77" s="597"/>
      <c r="CC77" s="271"/>
      <c r="CD77" s="272"/>
      <c r="CE77" s="272"/>
      <c r="CF77" s="272"/>
      <c r="CG77" s="272"/>
      <c r="CH77" s="272"/>
      <c r="CI77" s="272"/>
      <c r="CJ77" s="272"/>
      <c r="CK77" s="272"/>
      <c r="CL77" s="272"/>
      <c r="CM77" s="272"/>
      <c r="CN77" s="272"/>
      <c r="CO77" s="272"/>
      <c r="CP77" s="272"/>
      <c r="CQ77" s="274"/>
      <c r="CR77" s="275"/>
      <c r="CS77" s="271"/>
      <c r="CT77" s="272"/>
      <c r="CU77" s="272"/>
      <c r="CV77" s="272"/>
      <c r="CW77" s="272"/>
      <c r="CX77" s="272"/>
      <c r="CY77" s="272"/>
      <c r="CZ77" s="272"/>
      <c r="DA77" s="272"/>
      <c r="DB77" s="272"/>
      <c r="DC77" s="272"/>
      <c r="DD77" s="272"/>
      <c r="DE77" s="272"/>
      <c r="DF77" s="274"/>
      <c r="DG77" s="275"/>
      <c r="DH77" s="271"/>
      <c r="DI77" s="272"/>
      <c r="DJ77" s="272"/>
      <c r="DK77" s="276"/>
      <c r="DL77" s="277"/>
      <c r="DM77" s="277"/>
      <c r="DN77" s="277"/>
      <c r="DO77" s="277"/>
      <c r="DP77" s="277"/>
      <c r="DQ77" s="302" t="s">
        <v>381</v>
      </c>
      <c r="DR77" s="303" t="s">
        <v>366</v>
      </c>
      <c r="DS77" s="304">
        <v>114</v>
      </c>
      <c r="DT77" s="790"/>
      <c r="DU77" s="337"/>
      <c r="DV77" s="337"/>
      <c r="DW77" s="611"/>
      <c r="DX77" s="611"/>
      <c r="DY77" s="611"/>
      <c r="DZ77" s="611"/>
      <c r="EA77" s="611"/>
      <c r="EB77" s="611"/>
      <c r="EC77" s="611"/>
      <c r="ED77" s="611"/>
      <c r="EE77" s="611"/>
      <c r="EF77" s="611"/>
      <c r="EG77" s="337"/>
      <c r="EH77" s="337"/>
      <c r="EI77" s="938"/>
      <c r="EJ77" s="938"/>
      <c r="EK77" s="615"/>
      <c r="EL77" s="615"/>
      <c r="EM77" s="616"/>
      <c r="EN77" s="277"/>
      <c r="EO77" s="302" t="s">
        <v>381</v>
      </c>
      <c r="EP77" s="321" t="s">
        <v>366</v>
      </c>
      <c r="EQ77" s="347">
        <v>114</v>
      </c>
      <c r="ER77" s="939"/>
      <c r="ES77" s="939" t="e">
        <v>#N/A</v>
      </c>
      <c r="ET77" s="939"/>
      <c r="EU77" s="939"/>
      <c r="EV77" s="324" t="s">
        <v>382</v>
      </c>
      <c r="EW77" s="370">
        <v>0.9</v>
      </c>
      <c r="EX77" s="371">
        <v>2</v>
      </c>
      <c r="EY77" s="372" t="s">
        <v>188</v>
      </c>
      <c r="EZ77" s="373">
        <v>0.9</v>
      </c>
      <c r="FA77" s="374">
        <v>2</v>
      </c>
      <c r="FB77" s="327" t="s">
        <v>189</v>
      </c>
      <c r="FC77" s="328"/>
      <c r="FD77" s="329"/>
      <c r="FE77" s="330" t="s">
        <v>189</v>
      </c>
      <c r="FF77" s="328"/>
      <c r="FG77" s="329"/>
      <c r="FH77" s="330" t="s">
        <v>189</v>
      </c>
      <c r="FI77" s="328"/>
      <c r="FJ77" s="331"/>
      <c r="FK77" s="289"/>
      <c r="FL77" s="290"/>
      <c r="FM77" s="349"/>
      <c r="FN77" s="336"/>
      <c r="FO77" s="337"/>
      <c r="FP77" s="337"/>
      <c r="FQ77" s="337"/>
      <c r="FR77" s="337"/>
      <c r="FS77" s="337"/>
      <c r="FT77" s="337"/>
      <c r="FU77" s="337"/>
      <c r="FV77" s="339"/>
      <c r="FW77" s="337"/>
      <c r="FX77" s="339"/>
      <c r="FY77" s="337"/>
      <c r="FZ77" s="337"/>
      <c r="GA77" s="337"/>
      <c r="GB77" s="337"/>
      <c r="GC77" s="611"/>
      <c r="GD77" s="611"/>
      <c r="GE77" s="611"/>
      <c r="GF77" s="611"/>
      <c r="GG77" s="611"/>
      <c r="GH77" s="611"/>
      <c r="GI77" s="611"/>
      <c r="GJ77" s="611"/>
      <c r="GK77" s="611"/>
      <c r="GL77" s="611"/>
      <c r="GM77" s="611"/>
      <c r="GN77" s="611"/>
      <c r="GO77" s="611"/>
      <c r="GP77" s="611"/>
      <c r="GQ77" s="611"/>
      <c r="GR77" s="337"/>
      <c r="GS77" s="337"/>
      <c r="GT77" s="342"/>
      <c r="GU77" s="938"/>
      <c r="GV77" s="938"/>
      <c r="GW77" s="615"/>
      <c r="GX77" s="615"/>
      <c r="GY77" s="616"/>
      <c r="GZ77" s="596"/>
      <c r="HA77" s="597"/>
      <c r="HB77" s="597"/>
      <c r="HC77" s="597"/>
      <c r="HD77" s="271"/>
      <c r="HE77" s="272"/>
      <c r="HF77" s="272"/>
      <c r="HG77" s="272"/>
      <c r="HH77" s="272"/>
      <c r="HI77" s="272"/>
      <c r="HJ77" s="272"/>
      <c r="HK77" s="272"/>
      <c r="HL77" s="272"/>
      <c r="HM77" s="272"/>
      <c r="HN77" s="272"/>
      <c r="HO77" s="272"/>
      <c r="HP77" s="272"/>
      <c r="HQ77" s="272"/>
      <c r="HR77" s="274"/>
      <c r="HS77" s="275"/>
      <c r="HT77" s="271"/>
      <c r="HU77" s="272"/>
      <c r="HV77" s="272"/>
      <c r="HW77" s="272"/>
      <c r="HX77" s="272"/>
      <c r="HY77" s="272"/>
      <c r="HZ77" s="272"/>
      <c r="IA77" s="272"/>
      <c r="IB77" s="272"/>
      <c r="IC77" s="272"/>
      <c r="ID77" s="272"/>
      <c r="IE77" s="272"/>
      <c r="IF77" s="272"/>
      <c r="IG77" s="274"/>
      <c r="IH77" s="275"/>
      <c r="II77" s="271"/>
      <c r="IJ77" s="272"/>
      <c r="IK77" s="272"/>
      <c r="IL77" s="276"/>
      <c r="IM77" s="277"/>
      <c r="IN77" s="277"/>
      <c r="IO77" s="333"/>
      <c r="IP77" s="334"/>
      <c r="IQ77" s="541"/>
      <c r="IR77" s="542"/>
      <c r="IS77" s="543"/>
      <c r="IT77" s="543"/>
      <c r="IU77" s="543"/>
      <c r="IV77" s="543"/>
      <c r="IW77" s="543"/>
      <c r="IX77" s="544"/>
      <c r="IY77" s="544"/>
      <c r="IZ77" s="543"/>
      <c r="JA77" s="543"/>
      <c r="JB77" s="543"/>
      <c r="JC77" s="543"/>
      <c r="JD77" s="545"/>
      <c r="JE77" s="545"/>
      <c r="JF77" s="546"/>
      <c r="JG77" s="503"/>
      <c r="JH77" s="506"/>
      <c r="JO77" s="507"/>
      <c r="JP77" s="508"/>
      <c r="JQ77" s="508"/>
      <c r="JR77" s="508"/>
      <c r="JS77" s="508"/>
      <c r="JT77" s="508"/>
      <c r="JU77" s="508"/>
      <c r="JV77" s="508"/>
      <c r="JW77" s="508"/>
      <c r="JX77" s="508"/>
      <c r="JY77" s="508"/>
      <c r="JZ77" s="508"/>
      <c r="KA77" s="508"/>
      <c r="KB77" s="508"/>
      <c r="KC77" s="508"/>
      <c r="KD77" s="508"/>
      <c r="KE77" s="508"/>
      <c r="KF77" s="508"/>
      <c r="KG77" s="508"/>
      <c r="KH77" s="508"/>
      <c r="KI77" s="508"/>
      <c r="KJ77" s="508"/>
      <c r="KK77" s="508"/>
      <c r="KL77" s="508"/>
      <c r="KM77" s="508"/>
      <c r="KN77" s="508"/>
      <c r="KO77" s="508"/>
      <c r="KP77" s="508"/>
      <c r="KQ77" s="508"/>
      <c r="KR77" s="508"/>
      <c r="KS77" s="508"/>
      <c r="KT77" s="508"/>
      <c r="KU77" s="508"/>
      <c r="KV77" s="508"/>
      <c r="KW77" s="509"/>
      <c r="KX77" s="277"/>
      <c r="KY77" s="277"/>
    </row>
    <row r="78" spans="1:398" ht="40" customHeight="1">
      <c r="B78" s="299"/>
      <c r="C78" s="241"/>
      <c r="D78" s="242"/>
      <c r="E78" s="243"/>
      <c r="F78" s="244"/>
      <c r="G78" s="246"/>
      <c r="H78" s="246"/>
      <c r="I78" s="246">
        <v>0</v>
      </c>
      <c r="J78" s="246">
        <v>0</v>
      </c>
      <c r="K78" s="246"/>
      <c r="L78" s="246">
        <v>0</v>
      </c>
      <c r="M78" s="300"/>
      <c r="N78" s="251"/>
      <c r="O78" s="251"/>
      <c r="P78" s="300"/>
      <c r="Q78" s="251"/>
      <c r="R78" s="251"/>
      <c r="S78" s="251"/>
      <c r="T78" s="251"/>
      <c r="U78" s="301" t="s">
        <v>165</v>
      </c>
      <c r="V78" s="242"/>
      <c r="W78" s="242"/>
      <c r="X78" s="242"/>
      <c r="Y78" s="242"/>
      <c r="Z78" s="242"/>
      <c r="AA78" s="253" t="s">
        <v>383</v>
      </c>
      <c r="AB78" s="254" t="s">
        <v>366</v>
      </c>
      <c r="AC78" s="255">
        <v>101</v>
      </c>
      <c r="AD78" s="790"/>
      <c r="AE78" s="336"/>
      <c r="AF78" s="337"/>
      <c r="AG78" s="337"/>
      <c r="AH78" s="337"/>
      <c r="AI78" s="337"/>
      <c r="AJ78" s="337"/>
      <c r="AK78" s="337"/>
      <c r="AL78" s="337"/>
      <c r="AM78" s="337"/>
      <c r="AN78" s="337"/>
      <c r="AO78" s="337"/>
      <c r="AP78" s="337"/>
      <c r="AQ78" s="337"/>
      <c r="AR78" s="337"/>
      <c r="AS78" s="339"/>
      <c r="AT78" s="337"/>
      <c r="AU78" s="339"/>
      <c r="AV78" s="337"/>
      <c r="AW78" s="337"/>
      <c r="AX78" s="337"/>
      <c r="AY78" s="337"/>
      <c r="AZ78" s="611"/>
      <c r="BA78" s="611"/>
      <c r="BB78" s="611"/>
      <c r="BC78" s="611"/>
      <c r="BD78" s="611"/>
      <c r="BE78" s="611"/>
      <c r="BF78" s="611"/>
      <c r="BG78" s="611"/>
      <c r="BH78" s="611"/>
      <c r="BI78" s="611"/>
      <c r="BJ78" s="611"/>
      <c r="BK78" s="611"/>
      <c r="BL78" s="611"/>
      <c r="BM78" s="611"/>
      <c r="BN78" s="611"/>
      <c r="BO78" s="337"/>
      <c r="BP78" s="337"/>
      <c r="BQ78" s="337"/>
      <c r="BR78" s="340"/>
      <c r="BS78" s="342"/>
      <c r="BT78" s="938"/>
      <c r="BU78" s="938"/>
      <c r="BV78" s="615"/>
      <c r="BW78" s="615"/>
      <c r="BX78" s="616"/>
      <c r="BY78" s="596"/>
      <c r="BZ78" s="597"/>
      <c r="CA78" s="597"/>
      <c r="CB78" s="597"/>
      <c r="CC78" s="271"/>
      <c r="CD78" s="272"/>
      <c r="CE78" s="272"/>
      <c r="CF78" s="272"/>
      <c r="CG78" s="272"/>
      <c r="CH78" s="272"/>
      <c r="CI78" s="272"/>
      <c r="CJ78" s="272"/>
      <c r="CK78" s="272"/>
      <c r="CL78" s="272"/>
      <c r="CM78" s="272"/>
      <c r="CN78" s="272"/>
      <c r="CO78" s="272"/>
      <c r="CP78" s="272"/>
      <c r="CQ78" s="274"/>
      <c r="CR78" s="275"/>
      <c r="CS78" s="271"/>
      <c r="CT78" s="272"/>
      <c r="CU78" s="272"/>
      <c r="CV78" s="272"/>
      <c r="CW78" s="272"/>
      <c r="CX78" s="272"/>
      <c r="CY78" s="272"/>
      <c r="CZ78" s="272"/>
      <c r="DA78" s="272"/>
      <c r="DB78" s="272"/>
      <c r="DC78" s="272"/>
      <c r="DD78" s="272"/>
      <c r="DE78" s="272"/>
      <c r="DF78" s="274"/>
      <c r="DG78" s="275"/>
      <c r="DH78" s="271"/>
      <c r="DI78" s="272"/>
      <c r="DJ78" s="272"/>
      <c r="DK78" s="276"/>
      <c r="DL78" s="277"/>
      <c r="DM78" s="277"/>
      <c r="DN78" s="277"/>
      <c r="DO78" s="277"/>
      <c r="DP78" s="277"/>
      <c r="DQ78" s="253" t="s">
        <v>384</v>
      </c>
      <c r="DR78" s="254" t="s">
        <v>366</v>
      </c>
      <c r="DS78" s="255">
        <v>57</v>
      </c>
      <c r="DT78" s="790"/>
      <c r="DU78" s="337"/>
      <c r="DV78" s="337"/>
      <c r="DW78" s="611"/>
      <c r="DX78" s="611"/>
      <c r="DY78" s="611"/>
      <c r="DZ78" s="611"/>
      <c r="EA78" s="611"/>
      <c r="EB78" s="611"/>
      <c r="EC78" s="611"/>
      <c r="ED78" s="611"/>
      <c r="EE78" s="611"/>
      <c r="EF78" s="611"/>
      <c r="EG78" s="337"/>
      <c r="EH78" s="337"/>
      <c r="EI78" s="938"/>
      <c r="EJ78" s="938"/>
      <c r="EK78" s="615"/>
      <c r="EL78" s="615"/>
      <c r="EM78" s="616"/>
      <c r="EN78" s="277"/>
      <c r="EO78" s="253" t="s">
        <v>384</v>
      </c>
      <c r="EP78" s="278" t="s">
        <v>366</v>
      </c>
      <c r="EQ78" s="279">
        <v>57</v>
      </c>
      <c r="ER78" s="939"/>
      <c r="ES78" s="939" t="e">
        <v>#N/A</v>
      </c>
      <c r="ET78" s="939"/>
      <c r="EU78" s="939"/>
      <c r="EV78" s="281" t="s">
        <v>382</v>
      </c>
      <c r="EW78" s="325">
        <v>1</v>
      </c>
      <c r="EX78" s="326">
        <v>2</v>
      </c>
      <c r="EY78" s="327" t="s">
        <v>188</v>
      </c>
      <c r="EZ78" s="328">
        <v>1</v>
      </c>
      <c r="FA78" s="329">
        <v>2</v>
      </c>
      <c r="FB78" s="327" t="s">
        <v>189</v>
      </c>
      <c r="FC78" s="328"/>
      <c r="FD78" s="329"/>
      <c r="FE78" s="330" t="s">
        <v>189</v>
      </c>
      <c r="FF78" s="328"/>
      <c r="FG78" s="329"/>
      <c r="FH78" s="330" t="s">
        <v>189</v>
      </c>
      <c r="FI78" s="328"/>
      <c r="FJ78" s="331"/>
      <c r="FK78" s="289"/>
      <c r="FL78" s="290"/>
      <c r="FM78" s="349"/>
      <c r="FN78" s="336"/>
      <c r="FO78" s="337"/>
      <c r="FP78" s="337"/>
      <c r="FQ78" s="337"/>
      <c r="FR78" s="337"/>
      <c r="FS78" s="337"/>
      <c r="FT78" s="337"/>
      <c r="FU78" s="337"/>
      <c r="FV78" s="339"/>
      <c r="FW78" s="337"/>
      <c r="FX78" s="339"/>
      <c r="FY78" s="337"/>
      <c r="FZ78" s="337"/>
      <c r="GA78" s="337"/>
      <c r="GB78" s="337"/>
      <c r="GC78" s="611"/>
      <c r="GD78" s="611"/>
      <c r="GE78" s="611"/>
      <c r="GF78" s="611"/>
      <c r="GG78" s="611"/>
      <c r="GH78" s="611"/>
      <c r="GI78" s="611"/>
      <c r="GJ78" s="611"/>
      <c r="GK78" s="611"/>
      <c r="GL78" s="611"/>
      <c r="GM78" s="611"/>
      <c r="GN78" s="611"/>
      <c r="GO78" s="611"/>
      <c r="GP78" s="611"/>
      <c r="GQ78" s="611"/>
      <c r="GR78" s="337"/>
      <c r="GS78" s="337"/>
      <c r="GT78" s="342"/>
      <c r="GU78" s="938"/>
      <c r="GV78" s="938"/>
      <c r="GW78" s="615"/>
      <c r="GX78" s="615"/>
      <c r="GY78" s="616"/>
      <c r="GZ78" s="596"/>
      <c r="HA78" s="597"/>
      <c r="HB78" s="597"/>
      <c r="HC78" s="597"/>
      <c r="HD78" s="271"/>
      <c r="HE78" s="272"/>
      <c r="HF78" s="272"/>
      <c r="HG78" s="272"/>
      <c r="HH78" s="272"/>
      <c r="HI78" s="272"/>
      <c r="HJ78" s="272"/>
      <c r="HK78" s="272"/>
      <c r="HL78" s="272"/>
      <c r="HM78" s="272"/>
      <c r="HN78" s="272"/>
      <c r="HO78" s="272"/>
      <c r="HP78" s="272"/>
      <c r="HQ78" s="272"/>
      <c r="HR78" s="274"/>
      <c r="HS78" s="275"/>
      <c r="HT78" s="271"/>
      <c r="HU78" s="272"/>
      <c r="HV78" s="272"/>
      <c r="HW78" s="272"/>
      <c r="HX78" s="272"/>
      <c r="HY78" s="272"/>
      <c r="HZ78" s="272"/>
      <c r="IA78" s="272"/>
      <c r="IB78" s="272"/>
      <c r="IC78" s="272"/>
      <c r="ID78" s="272"/>
      <c r="IE78" s="272"/>
      <c r="IF78" s="272"/>
      <c r="IG78" s="274"/>
      <c r="IH78" s="275"/>
      <c r="II78" s="271"/>
      <c r="IJ78" s="272"/>
      <c r="IK78" s="272"/>
      <c r="IL78" s="276"/>
      <c r="IM78" s="277"/>
      <c r="IN78" s="277"/>
      <c r="IO78" s="333"/>
      <c r="IP78" s="334"/>
      <c r="IQ78" s="541"/>
      <c r="IR78" s="542"/>
      <c r="IS78" s="543"/>
      <c r="IT78" s="543"/>
      <c r="IU78" s="543"/>
      <c r="IV78" s="543"/>
      <c r="IW78" s="543"/>
      <c r="IX78" s="544"/>
      <c r="IY78" s="544"/>
      <c r="IZ78" s="543"/>
      <c r="JA78" s="543"/>
      <c r="JB78" s="543"/>
      <c r="JC78" s="543"/>
      <c r="JD78" s="545"/>
      <c r="JE78" s="545"/>
      <c r="JF78" s="546"/>
      <c r="JG78" s="503"/>
      <c r="JH78" s="506"/>
      <c r="JO78" s="507"/>
      <c r="JP78" s="508"/>
      <c r="JQ78" s="508"/>
      <c r="JR78" s="508"/>
      <c r="JS78" s="508"/>
      <c r="JT78" s="508"/>
      <c r="JU78" s="508"/>
      <c r="JV78" s="508"/>
      <c r="JW78" s="508"/>
      <c r="JX78" s="508"/>
      <c r="JY78" s="508"/>
      <c r="JZ78" s="508"/>
      <c r="KA78" s="508"/>
      <c r="KB78" s="508"/>
      <c r="KC78" s="508"/>
      <c r="KD78" s="508"/>
      <c r="KE78" s="508"/>
      <c r="KF78" s="508"/>
      <c r="KG78" s="508"/>
      <c r="KH78" s="508"/>
      <c r="KI78" s="508"/>
      <c r="KJ78" s="508"/>
      <c r="KK78" s="508"/>
      <c r="KL78" s="508"/>
      <c r="KM78" s="508"/>
      <c r="KN78" s="508"/>
      <c r="KO78" s="508"/>
      <c r="KP78" s="508"/>
      <c r="KQ78" s="508"/>
      <c r="KR78" s="508"/>
      <c r="KS78" s="508"/>
      <c r="KT78" s="508"/>
      <c r="KU78" s="508"/>
      <c r="KV78" s="508"/>
      <c r="KW78" s="509"/>
      <c r="KX78" s="277"/>
      <c r="KY78" s="277"/>
    </row>
    <row r="79" spans="1:398" ht="40" customHeight="1">
      <c r="B79" s="299"/>
      <c r="C79" s="241"/>
      <c r="D79" s="242"/>
      <c r="E79" s="243"/>
      <c r="F79" s="244"/>
      <c r="G79" s="246"/>
      <c r="H79" s="246"/>
      <c r="I79" s="246">
        <v>0</v>
      </c>
      <c r="J79" s="246">
        <v>0</v>
      </c>
      <c r="K79" s="246"/>
      <c r="L79" s="246">
        <v>0</v>
      </c>
      <c r="M79" s="300"/>
      <c r="N79" s="251"/>
      <c r="O79" s="251"/>
      <c r="P79" s="300"/>
      <c r="Q79" s="251"/>
      <c r="R79" s="251"/>
      <c r="S79" s="251"/>
      <c r="T79" s="251"/>
      <c r="U79" s="301" t="s">
        <v>165</v>
      </c>
      <c r="V79" s="242"/>
      <c r="W79" s="242"/>
      <c r="X79" s="242"/>
      <c r="Y79" s="242"/>
      <c r="Z79" s="242"/>
      <c r="AA79" s="604" t="s">
        <v>385</v>
      </c>
      <c r="AB79" s="254" t="s">
        <v>366</v>
      </c>
      <c r="AC79" s="255">
        <v>53</v>
      </c>
      <c r="AD79" s="256"/>
      <c r="AE79" s="336"/>
      <c r="AF79" s="337"/>
      <c r="AG79" s="337"/>
      <c r="AH79" s="337"/>
      <c r="AI79" s="337"/>
      <c r="AJ79" s="337"/>
      <c r="AK79" s="337"/>
      <c r="AL79" s="337"/>
      <c r="AM79" s="337"/>
      <c r="AN79" s="337"/>
      <c r="AO79" s="337"/>
      <c r="AP79" s="337"/>
      <c r="AQ79" s="337"/>
      <c r="AR79" s="337"/>
      <c r="AS79" s="339"/>
      <c r="AT79" s="337"/>
      <c r="AU79" s="339"/>
      <c r="AV79" s="337"/>
      <c r="AW79" s="337"/>
      <c r="AX79" s="337"/>
      <c r="AY79" s="337"/>
      <c r="AZ79" s="611"/>
      <c r="BA79" s="611"/>
      <c r="BB79" s="611"/>
      <c r="BC79" s="611"/>
      <c r="BD79" s="611"/>
      <c r="BE79" s="611"/>
      <c r="BF79" s="611"/>
      <c r="BG79" s="611"/>
      <c r="BH79" s="611"/>
      <c r="BI79" s="611"/>
      <c r="BJ79" s="611"/>
      <c r="BK79" s="611"/>
      <c r="BL79" s="611"/>
      <c r="BM79" s="611"/>
      <c r="BN79" s="611"/>
      <c r="BO79" s="337"/>
      <c r="BP79" s="337"/>
      <c r="BQ79" s="337"/>
      <c r="BR79" s="340"/>
      <c r="BS79" s="342"/>
      <c r="BT79" s="938"/>
      <c r="BU79" s="938"/>
      <c r="BV79" s="615"/>
      <c r="BW79" s="615"/>
      <c r="BX79" s="616"/>
      <c r="BY79" s="596"/>
      <c r="BZ79" s="597"/>
      <c r="CA79" s="597"/>
      <c r="CB79" s="597"/>
      <c r="CC79" s="271"/>
      <c r="CD79" s="272"/>
      <c r="CE79" s="272"/>
      <c r="CF79" s="272"/>
      <c r="CG79" s="272"/>
      <c r="CH79" s="272"/>
      <c r="CI79" s="272"/>
      <c r="CJ79" s="272"/>
      <c r="CK79" s="272"/>
      <c r="CL79" s="272"/>
      <c r="CM79" s="272"/>
      <c r="CN79" s="272"/>
      <c r="CO79" s="272"/>
      <c r="CP79" s="272"/>
      <c r="CQ79" s="274"/>
      <c r="CR79" s="275"/>
      <c r="CS79" s="271"/>
      <c r="CT79" s="272"/>
      <c r="CU79" s="272"/>
      <c r="CV79" s="272"/>
      <c r="CW79" s="272"/>
      <c r="CX79" s="272"/>
      <c r="CY79" s="272"/>
      <c r="CZ79" s="272"/>
      <c r="DA79" s="272"/>
      <c r="DB79" s="272"/>
      <c r="DC79" s="272"/>
      <c r="DD79" s="272"/>
      <c r="DE79" s="272"/>
      <c r="DF79" s="274"/>
      <c r="DG79" s="275"/>
      <c r="DH79" s="271"/>
      <c r="DI79" s="272"/>
      <c r="DJ79" s="272"/>
      <c r="DK79" s="276"/>
      <c r="DL79" s="277"/>
      <c r="DM79" s="277"/>
      <c r="DN79" s="277"/>
      <c r="DO79" s="277"/>
      <c r="DP79" s="277"/>
      <c r="DQ79" s="604" t="s">
        <v>385</v>
      </c>
      <c r="DR79" s="254" t="s">
        <v>366</v>
      </c>
      <c r="DS79" s="255">
        <v>18</v>
      </c>
      <c r="DT79" s="256"/>
      <c r="DU79" s="337"/>
      <c r="DV79" s="337"/>
      <c r="DW79" s="611"/>
      <c r="DX79" s="611"/>
      <c r="DY79" s="611"/>
      <c r="DZ79" s="611"/>
      <c r="EA79" s="611"/>
      <c r="EB79" s="611"/>
      <c r="EC79" s="611"/>
      <c r="ED79" s="611"/>
      <c r="EE79" s="611"/>
      <c r="EF79" s="611"/>
      <c r="EG79" s="337"/>
      <c r="EH79" s="337"/>
      <c r="EI79" s="938"/>
      <c r="EJ79" s="938"/>
      <c r="EK79" s="615"/>
      <c r="EL79" s="615"/>
      <c r="EM79" s="616"/>
      <c r="EN79" s="277"/>
      <c r="EO79" s="604" t="s">
        <v>385</v>
      </c>
      <c r="EP79" s="278" t="s">
        <v>366</v>
      </c>
      <c r="EQ79" s="279">
        <v>18</v>
      </c>
      <c r="ER79" s="323"/>
      <c r="ES79" s="323" t="e">
        <v>#N/A</v>
      </c>
      <c r="ET79" s="323"/>
      <c r="EU79" s="323"/>
      <c r="EV79" s="281" t="s">
        <v>382</v>
      </c>
      <c r="EW79" s="282">
        <v>0.9</v>
      </c>
      <c r="EX79" s="283">
        <v>2</v>
      </c>
      <c r="EY79" s="284" t="s">
        <v>188</v>
      </c>
      <c r="EZ79" s="285">
        <v>0.9</v>
      </c>
      <c r="FA79" s="286">
        <v>2</v>
      </c>
      <c r="FB79" s="327" t="s">
        <v>189</v>
      </c>
      <c r="FC79" s="328"/>
      <c r="FD79" s="329"/>
      <c r="FE79" s="330" t="s">
        <v>189</v>
      </c>
      <c r="FF79" s="328"/>
      <c r="FG79" s="329"/>
      <c r="FH79" s="330" t="s">
        <v>189</v>
      </c>
      <c r="FI79" s="328"/>
      <c r="FJ79" s="331"/>
      <c r="FK79" s="289"/>
      <c r="FL79" s="290"/>
      <c r="FM79" s="349"/>
      <c r="FN79" s="336"/>
      <c r="FO79" s="337"/>
      <c r="FP79" s="337"/>
      <c r="FQ79" s="337"/>
      <c r="FR79" s="337"/>
      <c r="FS79" s="337"/>
      <c r="FT79" s="337"/>
      <c r="FU79" s="337"/>
      <c r="FV79" s="339"/>
      <c r="FW79" s="337"/>
      <c r="FX79" s="339"/>
      <c r="FY79" s="337"/>
      <c r="FZ79" s="337"/>
      <c r="GA79" s="337"/>
      <c r="GB79" s="337"/>
      <c r="GC79" s="611"/>
      <c r="GD79" s="611"/>
      <c r="GE79" s="611"/>
      <c r="GF79" s="611"/>
      <c r="GG79" s="611"/>
      <c r="GH79" s="611"/>
      <c r="GI79" s="611"/>
      <c r="GJ79" s="611"/>
      <c r="GK79" s="611"/>
      <c r="GL79" s="611"/>
      <c r="GM79" s="611"/>
      <c r="GN79" s="611"/>
      <c r="GO79" s="611"/>
      <c r="GP79" s="611"/>
      <c r="GQ79" s="611"/>
      <c r="GR79" s="337"/>
      <c r="GS79" s="337"/>
      <c r="GT79" s="342"/>
      <c r="GU79" s="938"/>
      <c r="GV79" s="938"/>
      <c r="GW79" s="615"/>
      <c r="GX79" s="615"/>
      <c r="GY79" s="616"/>
      <c r="GZ79" s="596"/>
      <c r="HA79" s="597"/>
      <c r="HB79" s="597"/>
      <c r="HC79" s="597"/>
      <c r="HD79" s="271"/>
      <c r="HE79" s="272"/>
      <c r="HF79" s="272"/>
      <c r="HG79" s="272"/>
      <c r="HH79" s="272"/>
      <c r="HI79" s="272"/>
      <c r="HJ79" s="272"/>
      <c r="HK79" s="272"/>
      <c r="HL79" s="272"/>
      <c r="HM79" s="272"/>
      <c r="HN79" s="272"/>
      <c r="HO79" s="272"/>
      <c r="HP79" s="272"/>
      <c r="HQ79" s="272"/>
      <c r="HR79" s="274"/>
      <c r="HS79" s="275"/>
      <c r="HT79" s="271"/>
      <c r="HU79" s="272"/>
      <c r="HV79" s="272"/>
      <c r="HW79" s="272"/>
      <c r="HX79" s="272"/>
      <c r="HY79" s="272"/>
      <c r="HZ79" s="272"/>
      <c r="IA79" s="272"/>
      <c r="IB79" s="272"/>
      <c r="IC79" s="272"/>
      <c r="ID79" s="272"/>
      <c r="IE79" s="272"/>
      <c r="IF79" s="272"/>
      <c r="IG79" s="274"/>
      <c r="IH79" s="275"/>
      <c r="II79" s="271"/>
      <c r="IJ79" s="272"/>
      <c r="IK79" s="272"/>
      <c r="IL79" s="276"/>
      <c r="IM79" s="277"/>
      <c r="IN79" s="277"/>
      <c r="IO79" s="333"/>
      <c r="IP79" s="334"/>
      <c r="IQ79" s="541"/>
      <c r="IR79" s="542"/>
      <c r="IS79" s="543"/>
      <c r="IT79" s="543"/>
      <c r="IU79" s="543"/>
      <c r="IV79" s="543"/>
      <c r="IW79" s="543"/>
      <c r="IX79" s="544"/>
      <c r="IY79" s="544"/>
      <c r="IZ79" s="543"/>
      <c r="JA79" s="543"/>
      <c r="JB79" s="543"/>
      <c r="JC79" s="543"/>
      <c r="JD79" s="545"/>
      <c r="JE79" s="545"/>
      <c r="JF79" s="546"/>
      <c r="JG79" s="503"/>
      <c r="JH79" s="506"/>
      <c r="JO79" s="507"/>
      <c r="JP79" s="508"/>
      <c r="JQ79" s="508"/>
      <c r="JR79" s="508"/>
      <c r="JS79" s="508"/>
      <c r="JT79" s="508"/>
      <c r="JU79" s="508"/>
      <c r="JV79" s="508"/>
      <c r="JW79" s="508"/>
      <c r="JX79" s="508"/>
      <c r="JY79" s="508"/>
      <c r="JZ79" s="508"/>
      <c r="KA79" s="508"/>
      <c r="KB79" s="508"/>
      <c r="KC79" s="508"/>
      <c r="KD79" s="508"/>
      <c r="KE79" s="508"/>
      <c r="KF79" s="508"/>
      <c r="KG79" s="508"/>
      <c r="KH79" s="508"/>
      <c r="KI79" s="508"/>
      <c r="KJ79" s="508"/>
      <c r="KK79" s="508"/>
      <c r="KL79" s="508"/>
      <c r="KM79" s="508"/>
      <c r="KN79" s="508"/>
      <c r="KO79" s="508"/>
      <c r="KP79" s="508"/>
      <c r="KQ79" s="508"/>
      <c r="KR79" s="508"/>
      <c r="KS79" s="508"/>
      <c r="KT79" s="508"/>
      <c r="KU79" s="508"/>
      <c r="KV79" s="508"/>
      <c r="KW79" s="509"/>
      <c r="KX79" s="277"/>
      <c r="KY79" s="277"/>
    </row>
    <row r="80" spans="1:398" ht="40" customHeight="1">
      <c r="B80" s="299"/>
      <c r="C80" s="241"/>
      <c r="D80" s="445"/>
      <c r="E80" s="510" t="s">
        <v>165</v>
      </c>
      <c r="F80" s="511"/>
      <c r="G80" s="512">
        <v>0</v>
      </c>
      <c r="H80" s="512">
        <v>0</v>
      </c>
      <c r="I80" s="512">
        <v>0</v>
      </c>
      <c r="J80" s="512">
        <v>0</v>
      </c>
      <c r="K80" s="512"/>
      <c r="L80" s="512">
        <v>0</v>
      </c>
      <c r="M80" s="513">
        <v>0</v>
      </c>
      <c r="N80" s="514">
        <v>0</v>
      </c>
      <c r="O80" s="514">
        <v>0</v>
      </c>
      <c r="P80" s="513">
        <v>0</v>
      </c>
      <c r="Q80" s="514">
        <v>0</v>
      </c>
      <c r="R80" s="514">
        <v>0</v>
      </c>
      <c r="S80" s="514">
        <v>0</v>
      </c>
      <c r="T80" s="514">
        <v>0</v>
      </c>
      <c r="U80" s="515" t="s">
        <v>165</v>
      </c>
      <c r="V80" s="445"/>
      <c r="W80" s="445"/>
      <c r="X80" s="445"/>
      <c r="Y80" s="445"/>
      <c r="Z80" s="445"/>
      <c r="AA80" s="446" t="s">
        <v>386</v>
      </c>
      <c r="AB80" s="447" t="s">
        <v>366</v>
      </c>
      <c r="AC80" s="448">
        <v>92</v>
      </c>
      <c r="AD80" s="516"/>
      <c r="AE80" s="655"/>
      <c r="AF80" s="656"/>
      <c r="AG80" s="656"/>
      <c r="AH80" s="656"/>
      <c r="AI80" s="656"/>
      <c r="AJ80" s="656"/>
      <c r="AK80" s="656"/>
      <c r="AL80" s="656"/>
      <c r="AM80" s="656"/>
      <c r="AN80" s="656"/>
      <c r="AO80" s="656"/>
      <c r="AP80" s="656"/>
      <c r="AQ80" s="656"/>
      <c r="AR80" s="656"/>
      <c r="AS80" s="767"/>
      <c r="AT80" s="656"/>
      <c r="AU80" s="767"/>
      <c r="AV80" s="656"/>
      <c r="AW80" s="656"/>
      <c r="AX80" s="656"/>
      <c r="AY80" s="656"/>
      <c r="AZ80" s="768"/>
      <c r="BA80" s="768"/>
      <c r="BB80" s="768"/>
      <c r="BC80" s="768"/>
      <c r="BD80" s="768"/>
      <c r="BE80" s="768"/>
      <c r="BF80" s="768"/>
      <c r="BG80" s="768"/>
      <c r="BH80" s="768"/>
      <c r="BI80" s="768"/>
      <c r="BJ80" s="768"/>
      <c r="BK80" s="768"/>
      <c r="BL80" s="768"/>
      <c r="BM80" s="768"/>
      <c r="BN80" s="768"/>
      <c r="BO80" s="656"/>
      <c r="BP80" s="656"/>
      <c r="BQ80" s="656"/>
      <c r="BR80" s="940"/>
      <c r="BS80" s="941"/>
      <c r="BT80" s="942"/>
      <c r="BU80" s="942"/>
      <c r="BV80" s="773"/>
      <c r="BW80" s="773"/>
      <c r="BX80" s="774"/>
      <c r="BY80" s="360" t="s">
        <v>246</v>
      </c>
      <c r="BZ80" s="361" t="s">
        <v>247</v>
      </c>
      <c r="CA80" s="777"/>
      <c r="CB80" s="777"/>
      <c r="CC80" s="874"/>
      <c r="CD80" s="875"/>
      <c r="CE80" s="875"/>
      <c r="CF80" s="875"/>
      <c r="CG80" s="875"/>
      <c r="CH80" s="875"/>
      <c r="CI80" s="875"/>
      <c r="CJ80" s="875"/>
      <c r="CK80" s="875"/>
      <c r="CL80" s="875"/>
      <c r="CM80" s="272"/>
      <c r="CN80" s="272"/>
      <c r="CO80" s="272"/>
      <c r="CP80" s="272"/>
      <c r="CQ80" s="364"/>
      <c r="CR80" s="365"/>
      <c r="CS80" s="366"/>
      <c r="CT80" s="363"/>
      <c r="CU80" s="363"/>
      <c r="CV80" s="363"/>
      <c r="CW80" s="363"/>
      <c r="CX80" s="363"/>
      <c r="CY80" s="363"/>
      <c r="CZ80" s="363"/>
      <c r="DA80" s="363"/>
      <c r="DB80" s="363"/>
      <c r="DC80" s="363"/>
      <c r="DD80" s="363"/>
      <c r="DE80" s="363"/>
      <c r="DF80" s="364"/>
      <c r="DG80" s="365"/>
      <c r="DH80" s="366"/>
      <c r="DI80" s="537"/>
      <c r="DJ80" s="876"/>
      <c r="DK80" s="789"/>
      <c r="DL80" s="277"/>
      <c r="DM80" s="277"/>
      <c r="DN80" s="277"/>
      <c r="DO80" s="277"/>
      <c r="DP80" s="277"/>
      <c r="DQ80" s="446" t="s">
        <v>387</v>
      </c>
      <c r="DR80" s="447" t="s">
        <v>366</v>
      </c>
      <c r="DS80" s="448">
        <v>69</v>
      </c>
      <c r="DT80" s="516"/>
      <c r="DU80" s="656"/>
      <c r="DV80" s="656"/>
      <c r="DW80" s="768"/>
      <c r="DX80" s="768"/>
      <c r="DY80" s="768"/>
      <c r="DZ80" s="768"/>
      <c r="EA80" s="768"/>
      <c r="EB80" s="768"/>
      <c r="EC80" s="768"/>
      <c r="ED80" s="768"/>
      <c r="EE80" s="768"/>
      <c r="EF80" s="768"/>
      <c r="EG80" s="656"/>
      <c r="EH80" s="656"/>
      <c r="EI80" s="942"/>
      <c r="EJ80" s="942"/>
      <c r="EK80" s="773"/>
      <c r="EL80" s="773"/>
      <c r="EM80" s="774"/>
      <c r="EN80" s="277"/>
      <c r="EO80" s="446" t="s">
        <v>387</v>
      </c>
      <c r="EP80" s="450" t="s">
        <v>366</v>
      </c>
      <c r="EQ80" s="451">
        <v>69</v>
      </c>
      <c r="ER80" s="533"/>
      <c r="ES80" s="533" t="e">
        <v>#N/A</v>
      </c>
      <c r="ET80" s="533"/>
      <c r="EU80" s="533"/>
      <c r="EV80" s="452" t="s">
        <v>382</v>
      </c>
      <c r="EW80" s="453">
        <v>0.9</v>
      </c>
      <c r="EX80" s="454">
        <v>2</v>
      </c>
      <c r="EY80" s="455" t="s">
        <v>188</v>
      </c>
      <c r="EZ80" s="456">
        <v>0.9</v>
      </c>
      <c r="FA80" s="457">
        <v>2</v>
      </c>
      <c r="FB80" s="455" t="s">
        <v>189</v>
      </c>
      <c r="FC80" s="456"/>
      <c r="FD80" s="457"/>
      <c r="FE80" s="458" t="s">
        <v>189</v>
      </c>
      <c r="FF80" s="456"/>
      <c r="FG80" s="457"/>
      <c r="FH80" s="458" t="s">
        <v>189</v>
      </c>
      <c r="FI80" s="456"/>
      <c r="FJ80" s="534"/>
      <c r="FK80" s="375"/>
      <c r="FL80" s="376"/>
      <c r="FM80" s="377"/>
      <c r="FN80" s="655"/>
      <c r="FO80" s="656"/>
      <c r="FP80" s="656"/>
      <c r="FQ80" s="656"/>
      <c r="FR80" s="656"/>
      <c r="FS80" s="656"/>
      <c r="FT80" s="656"/>
      <c r="FU80" s="656"/>
      <c r="FV80" s="767"/>
      <c r="FW80" s="656"/>
      <c r="FX80" s="767"/>
      <c r="FY80" s="656"/>
      <c r="FZ80" s="656"/>
      <c r="GA80" s="656"/>
      <c r="GB80" s="656"/>
      <c r="GC80" s="768"/>
      <c r="GD80" s="768"/>
      <c r="GE80" s="768"/>
      <c r="GF80" s="768"/>
      <c r="GG80" s="768"/>
      <c r="GH80" s="768"/>
      <c r="GI80" s="768"/>
      <c r="GJ80" s="768"/>
      <c r="GK80" s="768"/>
      <c r="GL80" s="768"/>
      <c r="GM80" s="768"/>
      <c r="GN80" s="768"/>
      <c r="GO80" s="768"/>
      <c r="GP80" s="768"/>
      <c r="GQ80" s="768"/>
      <c r="GR80" s="656"/>
      <c r="GS80" s="656"/>
      <c r="GT80" s="941"/>
      <c r="GU80" s="942"/>
      <c r="GV80" s="942"/>
      <c r="GW80" s="773"/>
      <c r="GX80" s="773"/>
      <c r="GY80" s="774"/>
      <c r="GZ80" s="943"/>
      <c r="HA80" s="777"/>
      <c r="HB80" s="777"/>
      <c r="HC80" s="777"/>
      <c r="HD80" s="874"/>
      <c r="HE80" s="875"/>
      <c r="HF80" s="875"/>
      <c r="HG80" s="875"/>
      <c r="HH80" s="875"/>
      <c r="HI80" s="875"/>
      <c r="HJ80" s="875"/>
      <c r="HK80" s="875"/>
      <c r="HL80" s="875"/>
      <c r="HM80" s="875"/>
      <c r="HN80" s="272"/>
      <c r="HO80" s="272"/>
      <c r="HP80" s="272"/>
      <c r="HQ80" s="272"/>
      <c r="HR80" s="779"/>
      <c r="HS80" s="884"/>
      <c r="HT80" s="874"/>
      <c r="HU80" s="875"/>
      <c r="HV80" s="875"/>
      <c r="HW80" s="875"/>
      <c r="HX80" s="875"/>
      <c r="HY80" s="875"/>
      <c r="HZ80" s="875"/>
      <c r="IA80" s="875"/>
      <c r="IB80" s="875"/>
      <c r="IC80" s="875"/>
      <c r="ID80" s="875"/>
      <c r="IE80" s="875"/>
      <c r="IF80" s="875"/>
      <c r="IG80" s="779"/>
      <c r="IH80" s="884"/>
      <c r="II80" s="874"/>
      <c r="IJ80" s="875"/>
      <c r="IK80" s="875"/>
      <c r="IL80" s="886"/>
      <c r="IM80" s="277"/>
      <c r="IN80" s="277"/>
      <c r="IO80" s="944"/>
      <c r="IP80" s="945"/>
      <c r="IQ80" s="541"/>
      <c r="IR80" s="542"/>
      <c r="IS80" s="543"/>
      <c r="IT80" s="543"/>
      <c r="IU80" s="543"/>
      <c r="IV80" s="543"/>
      <c r="IW80" s="543"/>
      <c r="IX80" s="544"/>
      <c r="IY80" s="544"/>
      <c r="IZ80" s="543"/>
      <c r="JA80" s="543"/>
      <c r="JB80" s="543"/>
      <c r="JC80" s="543"/>
      <c r="JD80" s="545"/>
      <c r="JE80" s="545"/>
      <c r="JF80" s="546"/>
      <c r="JG80" s="503"/>
      <c r="JH80" s="506"/>
      <c r="JO80" s="507"/>
      <c r="JP80" s="508"/>
      <c r="JQ80" s="508"/>
      <c r="JR80" s="508"/>
      <c r="JS80" s="508"/>
      <c r="JT80" s="508"/>
      <c r="JU80" s="508"/>
      <c r="JV80" s="508"/>
      <c r="JW80" s="508"/>
      <c r="JX80" s="508"/>
      <c r="JY80" s="508"/>
      <c r="JZ80" s="508"/>
      <c r="KA80" s="508"/>
      <c r="KB80" s="508"/>
      <c r="KC80" s="508"/>
      <c r="KD80" s="508"/>
      <c r="KE80" s="508"/>
      <c r="KF80" s="508"/>
      <c r="KG80" s="508"/>
      <c r="KH80" s="508"/>
      <c r="KI80" s="508"/>
      <c r="KJ80" s="508"/>
      <c r="KK80" s="508"/>
      <c r="KL80" s="508"/>
      <c r="KM80" s="508"/>
      <c r="KN80" s="508"/>
      <c r="KO80" s="508"/>
      <c r="KP80" s="508"/>
      <c r="KQ80" s="508"/>
      <c r="KR80" s="508"/>
      <c r="KS80" s="508"/>
      <c r="KT80" s="508"/>
      <c r="KU80" s="508"/>
      <c r="KV80" s="508"/>
      <c r="KW80" s="509"/>
      <c r="KX80" s="277"/>
      <c r="KY80" s="277"/>
    </row>
    <row r="81" spans="1:398" ht="40" customHeight="1">
      <c r="B81" s="299"/>
      <c r="C81" s="241"/>
      <c r="D81" s="242">
        <v>15</v>
      </c>
      <c r="E81" s="243">
        <v>300</v>
      </c>
      <c r="F81" s="946" t="s">
        <v>388</v>
      </c>
      <c r="G81" s="249">
        <v>988</v>
      </c>
      <c r="H81" s="563">
        <v>1014</v>
      </c>
      <c r="I81" s="563">
        <v>608</v>
      </c>
      <c r="J81" s="563">
        <v>621</v>
      </c>
      <c r="K81" s="245" t="s">
        <v>389</v>
      </c>
      <c r="L81" s="563">
        <v>600</v>
      </c>
      <c r="M81" s="300">
        <v>1</v>
      </c>
      <c r="N81" s="251" t="s">
        <v>354</v>
      </c>
      <c r="O81" s="251" t="s">
        <v>369</v>
      </c>
      <c r="P81" s="300">
        <v>180</v>
      </c>
      <c r="Q81" s="251" t="s">
        <v>170</v>
      </c>
      <c r="R81" s="251" t="s">
        <v>170</v>
      </c>
      <c r="S81" s="251" t="s">
        <v>169</v>
      </c>
      <c r="T81" s="251" t="s">
        <v>355</v>
      </c>
      <c r="U81" s="301" t="s">
        <v>169</v>
      </c>
      <c r="V81" s="242" t="s">
        <v>172</v>
      </c>
      <c r="W81" s="242"/>
      <c r="X81" s="592" t="s">
        <v>292</v>
      </c>
      <c r="Y81" s="592" t="s">
        <v>292</v>
      </c>
      <c r="Z81" s="242"/>
      <c r="AA81" s="253" t="s">
        <v>390</v>
      </c>
      <c r="AB81" s="254" t="s">
        <v>366</v>
      </c>
      <c r="AC81" s="255">
        <v>835</v>
      </c>
      <c r="AD81" s="947">
        <f>SUM(AC81,AC82)</f>
        <v>835</v>
      </c>
      <c r="AE81" s="465" t="s">
        <v>295</v>
      </c>
      <c r="AF81" s="477" t="s">
        <v>296</v>
      </c>
      <c r="AG81" s="467">
        <f>FP81</f>
        <v>9351400</v>
      </c>
      <c r="AH81" s="468">
        <f>FQ81</f>
        <v>0</v>
      </c>
      <c r="AI81" s="468">
        <f>FR81</f>
        <v>4100</v>
      </c>
      <c r="AJ81" s="469"/>
      <c r="AK81" s="468">
        <v>0</v>
      </c>
      <c r="AL81" s="468"/>
      <c r="AM81" s="468">
        <v>0</v>
      </c>
      <c r="AN81" s="468"/>
      <c r="AO81" s="468">
        <v>0</v>
      </c>
      <c r="AP81" s="467">
        <f t="shared" ref="AP81:AQ81" si="5">FS81</f>
        <v>608</v>
      </c>
      <c r="AQ81" s="467">
        <f t="shared" si="5"/>
        <v>621</v>
      </c>
      <c r="AR81" s="474">
        <f>DM81/(BX81-2)</f>
        <v>775.35714285714289</v>
      </c>
      <c r="AS81" s="475">
        <f>AG81/AR81</f>
        <v>12060.764624596959</v>
      </c>
      <c r="AT81" s="476">
        <f>AG81/AP81</f>
        <v>15380.592105263158</v>
      </c>
      <c r="AU81" s="475">
        <f>AG81/AQ81</f>
        <v>15058.615136876006</v>
      </c>
      <c r="AV81" s="477">
        <v>26000</v>
      </c>
      <c r="AW81" s="477">
        <v>48000</v>
      </c>
      <c r="AX81" s="467">
        <f>GA81</f>
        <v>264000</v>
      </c>
      <c r="AY81" s="467">
        <f>GB81</f>
        <v>1</v>
      </c>
      <c r="AZ81" s="478">
        <f>GC81</f>
        <v>149622400</v>
      </c>
      <c r="BA81" s="478">
        <f>GD81</f>
        <v>4356000</v>
      </c>
      <c r="BB81" s="478">
        <v>0</v>
      </c>
      <c r="BC81" s="478">
        <f>AH81*DM81</f>
        <v>0</v>
      </c>
      <c r="BD81" s="478"/>
      <c r="BE81" s="478"/>
      <c r="BF81" s="478"/>
      <c r="BG81" s="478"/>
      <c r="BH81" s="478"/>
      <c r="BI81" s="480">
        <f>'[1]0300_東横中部国際Ⅰ　別紙1-1'!AH23</f>
        <v>1987200</v>
      </c>
      <c r="BJ81" s="480">
        <f>GK81</f>
        <v>0</v>
      </c>
      <c r="BK81" s="480">
        <f>BM81*5000*BX81</f>
        <v>400000</v>
      </c>
      <c r="BL81" s="480">
        <f>1800000*BN81*BX81</f>
        <v>28800000</v>
      </c>
      <c r="BM81" s="480">
        <f>GP81</f>
        <v>5</v>
      </c>
      <c r="BN81" s="480">
        <f>GQ81</f>
        <v>1</v>
      </c>
      <c r="BO81" s="481"/>
      <c r="BP81" s="481">
        <f>SUM(AZ81,BA81,BI81,BO81)</f>
        <v>155965600</v>
      </c>
      <c r="BQ81" s="481">
        <f>BP81-GR81</f>
        <v>307200</v>
      </c>
      <c r="BR81" s="482"/>
      <c r="BS81" s="483" t="s">
        <v>175</v>
      </c>
      <c r="BT81" s="484">
        <f>GU81</f>
        <v>46283</v>
      </c>
      <c r="BU81" s="484">
        <f>GV81</f>
        <v>46299</v>
      </c>
      <c r="BV81" s="948">
        <f>IFERROR(INDEX($BY$9:$DH$9, MATCH("準備", BY81:DK81, 0)), "")</f>
        <v>46283</v>
      </c>
      <c r="BW81" s="949" cm="1">
        <f t="array" ref="BW81">IF(COUNTIF(BY81:DK81,"*撤去*")=0,"",INDEX(BY$9:DK$9,1,MAX(IF(CC81:DK81="撤去",COLUMN(CC81:DK81)-COLUMN(BY81)+1))))</f>
        <v>46299</v>
      </c>
      <c r="BX81" s="950">
        <f>BW81-BV81</f>
        <v>16</v>
      </c>
      <c r="BY81" s="485">
        <v>0</v>
      </c>
      <c r="BZ81" s="486">
        <v>0</v>
      </c>
      <c r="CA81" s="486">
        <v>0</v>
      </c>
      <c r="CB81" s="486">
        <v>0</v>
      </c>
      <c r="CC81" s="405">
        <v>0</v>
      </c>
      <c r="CD81" s="403">
        <v>0</v>
      </c>
      <c r="CE81" s="403">
        <v>0</v>
      </c>
      <c r="CF81" s="403">
        <v>0</v>
      </c>
      <c r="CG81" s="403">
        <v>0</v>
      </c>
      <c r="CH81" s="403">
        <v>0</v>
      </c>
      <c r="CI81" s="403">
        <v>0</v>
      </c>
      <c r="CJ81" s="403">
        <v>0</v>
      </c>
      <c r="CK81" s="403">
        <v>0</v>
      </c>
      <c r="CL81" s="403">
        <v>0</v>
      </c>
      <c r="CM81" s="403">
        <v>0</v>
      </c>
      <c r="CN81" s="488">
        <v>0</v>
      </c>
      <c r="CO81" s="488">
        <v>0</v>
      </c>
      <c r="CP81" s="488">
        <v>0</v>
      </c>
      <c r="CQ81" s="929" t="s">
        <v>177</v>
      </c>
      <c r="CR81" s="897" t="s">
        <v>177</v>
      </c>
      <c r="CS81" s="405">
        <v>835</v>
      </c>
      <c r="CT81" s="403">
        <v>835</v>
      </c>
      <c r="CU81" s="403">
        <v>835</v>
      </c>
      <c r="CV81" s="403">
        <v>835</v>
      </c>
      <c r="CW81" s="403">
        <v>835</v>
      </c>
      <c r="CX81" s="403">
        <v>835</v>
      </c>
      <c r="CY81" s="403">
        <v>835</v>
      </c>
      <c r="CZ81" s="403">
        <v>835</v>
      </c>
      <c r="DA81" s="403">
        <v>835</v>
      </c>
      <c r="DB81" s="403">
        <v>835</v>
      </c>
      <c r="DC81" s="403">
        <v>835</v>
      </c>
      <c r="DD81" s="403">
        <v>835</v>
      </c>
      <c r="DE81" s="558">
        <v>835</v>
      </c>
      <c r="DF81" s="403">
        <v>0</v>
      </c>
      <c r="DG81" s="951" t="s">
        <v>178</v>
      </c>
      <c r="DH81" s="405">
        <v>0</v>
      </c>
      <c r="DI81" s="403">
        <v>0</v>
      </c>
      <c r="DJ81" s="403">
        <v>0</v>
      </c>
      <c r="DK81" s="407">
        <v>0</v>
      </c>
      <c r="DL81" s="277"/>
      <c r="DM81" s="277" cm="1">
        <f t="array" ref="DM81">SUM(IF(ISNUMBER($BY81:$DK81),$BY81:$DK81, 0))</f>
        <v>10855</v>
      </c>
      <c r="DN81" s="277">
        <v>7800</v>
      </c>
      <c r="DO81" s="277">
        <f>DM81*(BX81)/(BX81+1)</f>
        <v>10216.470588235294</v>
      </c>
      <c r="DP81" s="277"/>
      <c r="DQ81" s="253" t="s">
        <v>391</v>
      </c>
      <c r="DR81" s="254" t="s">
        <v>366</v>
      </c>
      <c r="DS81" s="255">
        <v>600</v>
      </c>
      <c r="DT81" s="947">
        <f>SUM(DS81,DS82)</f>
        <v>600</v>
      </c>
      <c r="DU81" s="467">
        <v>9351400</v>
      </c>
      <c r="DV81" s="467">
        <v>264000</v>
      </c>
      <c r="DW81" s="478">
        <v>149622400</v>
      </c>
      <c r="DX81" s="478">
        <v>4356000</v>
      </c>
      <c r="DY81" s="478">
        <v>0</v>
      </c>
      <c r="DZ81" s="478"/>
      <c r="EA81" s="478"/>
      <c r="EB81" s="478"/>
      <c r="EC81" s="480">
        <v>1680000</v>
      </c>
      <c r="ED81" s="480">
        <v>0</v>
      </c>
      <c r="EE81" s="480">
        <v>400000</v>
      </c>
      <c r="EF81" s="480">
        <v>28800000</v>
      </c>
      <c r="EG81" s="481"/>
      <c r="EH81" s="481">
        <v>155658400</v>
      </c>
      <c r="EI81" s="484">
        <v>46283</v>
      </c>
      <c r="EJ81" s="484">
        <v>46299</v>
      </c>
      <c r="EK81" s="948">
        <v>46283</v>
      </c>
      <c r="EL81" s="949">
        <v>46299</v>
      </c>
      <c r="EM81" s="950">
        <v>16</v>
      </c>
      <c r="EN81" s="277"/>
      <c r="EO81" s="253" t="s">
        <v>391</v>
      </c>
      <c r="EP81" s="278" t="s">
        <v>366</v>
      </c>
      <c r="EQ81" s="279">
        <v>600</v>
      </c>
      <c r="ER81" s="952">
        <v>600</v>
      </c>
      <c r="ES81" s="245">
        <v>600</v>
      </c>
      <c r="ET81" s="245">
        <v>600</v>
      </c>
      <c r="EU81" s="245">
        <v>951</v>
      </c>
      <c r="EV81" s="281" t="s">
        <v>382</v>
      </c>
      <c r="EW81" s="282">
        <v>0.9</v>
      </c>
      <c r="EX81" s="283">
        <v>2</v>
      </c>
      <c r="EY81" s="284" t="s">
        <v>188</v>
      </c>
      <c r="EZ81" s="440">
        <v>0.9</v>
      </c>
      <c r="FA81" s="441">
        <v>2</v>
      </c>
      <c r="FB81" s="284" t="s">
        <v>189</v>
      </c>
      <c r="FC81" s="285"/>
      <c r="FD81" s="286"/>
      <c r="FE81" s="287" t="s">
        <v>189</v>
      </c>
      <c r="FF81" s="285"/>
      <c r="FG81" s="286"/>
      <c r="FH81" s="287" t="s">
        <v>189</v>
      </c>
      <c r="FI81" s="285"/>
      <c r="FJ81" s="288"/>
      <c r="FK81" s="496">
        <v>414</v>
      </c>
      <c r="FL81" s="497">
        <v>0.40828402366863903</v>
      </c>
      <c r="FM81" s="498" t="s">
        <v>392</v>
      </c>
      <c r="FN81" s="499" t="s">
        <v>300</v>
      </c>
      <c r="FO81" s="477" t="s">
        <v>296</v>
      </c>
      <c r="FP81" s="467">
        <v>9351400</v>
      </c>
      <c r="FQ81" s="468">
        <v>0</v>
      </c>
      <c r="FR81" s="468">
        <v>4100</v>
      </c>
      <c r="FS81" s="467">
        <v>608</v>
      </c>
      <c r="FT81" s="467">
        <v>621</v>
      </c>
      <c r="FU81" s="474">
        <v>600</v>
      </c>
      <c r="FV81" s="475">
        <v>15585.666666666666</v>
      </c>
      <c r="FW81" s="390">
        <v>15380.592105263158</v>
      </c>
      <c r="FX81" s="394">
        <v>15058.615136876006</v>
      </c>
      <c r="FY81" s="477">
        <v>9765</v>
      </c>
      <c r="FZ81" s="477">
        <v>15648</v>
      </c>
      <c r="GA81" s="467">
        <v>264000</v>
      </c>
      <c r="GB81" s="467">
        <v>1</v>
      </c>
      <c r="GC81" s="478">
        <v>149622400</v>
      </c>
      <c r="GD81" s="478">
        <v>4356000</v>
      </c>
      <c r="GE81" s="478">
        <v>149622400</v>
      </c>
      <c r="GF81" s="478">
        <v>4356000</v>
      </c>
      <c r="GG81" s="478">
        <v>0</v>
      </c>
      <c r="GH81" s="478">
        <v>0</v>
      </c>
      <c r="GI81" s="478">
        <v>0</v>
      </c>
      <c r="GJ81" s="478">
        <v>1680000</v>
      </c>
      <c r="GK81" s="480"/>
      <c r="GL81" s="480"/>
      <c r="GM81" s="480">
        <v>0</v>
      </c>
      <c r="GN81" s="480">
        <v>350000</v>
      </c>
      <c r="GO81" s="480">
        <v>28800000</v>
      </c>
      <c r="GP81" s="480">
        <v>5</v>
      </c>
      <c r="GQ81" s="480">
        <v>1</v>
      </c>
      <c r="GR81" s="481">
        <v>155658400</v>
      </c>
      <c r="GS81" s="481">
        <v>90692840</v>
      </c>
      <c r="GT81" s="483" t="s">
        <v>175</v>
      </c>
      <c r="GU81" s="484">
        <v>46283</v>
      </c>
      <c r="GV81" s="484">
        <v>46299</v>
      </c>
      <c r="GW81" s="948">
        <v>46283</v>
      </c>
      <c r="GX81" s="949">
        <v>46299</v>
      </c>
      <c r="GY81" s="950">
        <v>16</v>
      </c>
      <c r="GZ81" s="485"/>
      <c r="HA81" s="486"/>
      <c r="HB81" s="486"/>
      <c r="HC81" s="486"/>
      <c r="HD81" s="405">
        <v>0</v>
      </c>
      <c r="HE81" s="403">
        <v>0</v>
      </c>
      <c r="HF81" s="403">
        <v>0</v>
      </c>
      <c r="HG81" s="403">
        <v>0</v>
      </c>
      <c r="HH81" s="403">
        <v>0</v>
      </c>
      <c r="HI81" s="403">
        <v>0</v>
      </c>
      <c r="HJ81" s="403">
        <v>0</v>
      </c>
      <c r="HK81" s="403">
        <v>0</v>
      </c>
      <c r="HL81" s="403">
        <v>0</v>
      </c>
      <c r="HM81" s="403">
        <v>0</v>
      </c>
      <c r="HN81" s="403">
        <v>0</v>
      </c>
      <c r="HO81" s="488">
        <v>0</v>
      </c>
      <c r="HP81" s="488">
        <v>0</v>
      </c>
      <c r="HQ81" s="488">
        <v>0</v>
      </c>
      <c r="HR81" s="929" t="s">
        <v>177</v>
      </c>
      <c r="HS81" s="897" t="s">
        <v>177</v>
      </c>
      <c r="HT81" s="405">
        <v>600</v>
      </c>
      <c r="HU81" s="403">
        <v>600</v>
      </c>
      <c r="HV81" s="403">
        <v>600</v>
      </c>
      <c r="HW81" s="403">
        <v>600</v>
      </c>
      <c r="HX81" s="403">
        <v>600</v>
      </c>
      <c r="HY81" s="403">
        <v>600</v>
      </c>
      <c r="HZ81" s="403">
        <v>600</v>
      </c>
      <c r="IA81" s="403">
        <v>600</v>
      </c>
      <c r="IB81" s="403">
        <v>600</v>
      </c>
      <c r="IC81" s="403">
        <v>600</v>
      </c>
      <c r="ID81" s="403">
        <v>600</v>
      </c>
      <c r="IE81" s="403">
        <v>600</v>
      </c>
      <c r="IF81" s="558">
        <v>600</v>
      </c>
      <c r="IG81" s="403">
        <v>600</v>
      </c>
      <c r="IH81" s="951" t="s">
        <v>178</v>
      </c>
      <c r="II81" s="405">
        <v>0</v>
      </c>
      <c r="IJ81" s="403">
        <v>0</v>
      </c>
      <c r="IK81" s="403">
        <v>0</v>
      </c>
      <c r="IL81" s="407">
        <v>0</v>
      </c>
      <c r="IM81" s="277"/>
      <c r="IN81" s="277" cm="1">
        <f t="array" ref="IN81">SUM(IF(ISNUMBER($HD81:$IL81),$HD81:$IL81, 0))</f>
        <v>8400</v>
      </c>
      <c r="IO81" s="333"/>
      <c r="IP81" s="334"/>
      <c r="IQ81" s="541"/>
      <c r="IR81" s="569">
        <f>VLOOKUP($E81,[1]アジアResults1031!$A$1:$CH$259,23,FALSE)</f>
        <v>12168856</v>
      </c>
      <c r="IS81" s="570">
        <f>VLOOKUP($E81,[1]アジアResults1031!$A$1:$CH$259,32,FALSE)</f>
        <v>988</v>
      </c>
      <c r="IT81" s="570">
        <f>KY81/(GY81-2)</f>
        <v>1040.5714285714287</v>
      </c>
      <c r="IU81" s="570">
        <f>IR81/IT81</f>
        <v>11694.397583745194</v>
      </c>
      <c r="IV81" s="570">
        <f>VLOOKUP(E81,[1]アジアResults1031!$A$1:$CH$264,26,FALSE)</f>
        <v>9765</v>
      </c>
      <c r="IW81" s="570">
        <f>VLOOKUP(E81,[1]アジアResults1031!$A$1:$CH$264,27,FALSE)</f>
        <v>15648</v>
      </c>
      <c r="IX81" s="571">
        <f>VLOOKUP($E81,[1]アジアResults1031!$A$1:$CH$259,18,FALSE)</f>
        <v>64706</v>
      </c>
      <c r="IY81" s="571">
        <f>VLOOKUP($E81,[1]アジアResults1031!$A$1:$CH$259,9,FALSE)</f>
        <v>1</v>
      </c>
      <c r="IZ81" s="570">
        <f>IR81*JF81</f>
        <v>243377120</v>
      </c>
      <c r="JA81" s="570">
        <f>IX81*JF81</f>
        <v>1294120</v>
      </c>
      <c r="JB81" s="570"/>
      <c r="JC81" s="570"/>
      <c r="JD81" s="572">
        <f>IFERROR(INDEX($JO$9:$KW$9, MATCH("準備", JO81:KW81, 0)), "")</f>
        <v>46277</v>
      </c>
      <c r="JE81" s="572" cm="1">
        <f t="array" ref="JE81">IF(COUNTIF(JO81:KW81,"*撤去*")=0,"",INDEX(JO$9:KW$9,1,MAX(IF(JO81:KW81="撤去",COLUMN(JO81:KW81)-COLUMN(JO81)+1))))</f>
        <v>46297</v>
      </c>
      <c r="JF81" s="573">
        <f>JE81-JD81</f>
        <v>20</v>
      </c>
      <c r="JG81" s="574">
        <v>8001154</v>
      </c>
      <c r="JH81" s="575">
        <v>64706</v>
      </c>
      <c r="JO81" s="507"/>
      <c r="JP81" s="508"/>
      <c r="JQ81" s="508"/>
      <c r="JR81" s="508"/>
      <c r="JS81" s="508"/>
      <c r="JT81" s="508"/>
      <c r="JU81" s="508"/>
      <c r="JV81" s="508"/>
      <c r="JW81" s="400" t="s">
        <v>177</v>
      </c>
      <c r="JX81" s="400" t="s">
        <v>177</v>
      </c>
      <c r="JY81" s="508">
        <v>619</v>
      </c>
      <c r="JZ81" s="508">
        <v>619</v>
      </c>
      <c r="KA81" s="508">
        <v>951</v>
      </c>
      <c r="KB81" s="508">
        <v>951</v>
      </c>
      <c r="KC81" s="508">
        <v>951</v>
      </c>
      <c r="KD81" s="508">
        <v>951</v>
      </c>
      <c r="KE81" s="508">
        <v>951</v>
      </c>
      <c r="KF81" s="508">
        <v>951</v>
      </c>
      <c r="KG81" s="508">
        <v>951</v>
      </c>
      <c r="KH81" s="508">
        <v>951</v>
      </c>
      <c r="KI81" s="508">
        <v>951</v>
      </c>
      <c r="KJ81" s="508">
        <v>838</v>
      </c>
      <c r="KK81" s="508">
        <v>838</v>
      </c>
      <c r="KL81" s="508">
        <v>619</v>
      </c>
      <c r="KM81" s="508">
        <v>619</v>
      </c>
      <c r="KN81" s="508">
        <v>619</v>
      </c>
      <c r="KO81" s="508">
        <v>619</v>
      </c>
      <c r="KP81" s="508">
        <v>619</v>
      </c>
      <c r="KQ81" s="406" t="s">
        <v>178</v>
      </c>
      <c r="KR81" s="508"/>
      <c r="KS81" s="508"/>
      <c r="KT81" s="508"/>
      <c r="KU81" s="508"/>
      <c r="KV81" s="508"/>
      <c r="KW81" s="509"/>
      <c r="KX81" s="277"/>
      <c r="KY81" s="277" cm="1">
        <f t="array" ref="KY81">SUM(IF(ISNUMBER($JO81:$KW81),$JO81:$KW81, 0))</f>
        <v>14568</v>
      </c>
    </row>
    <row r="82" spans="1:398" ht="40" customHeight="1">
      <c r="B82" s="299"/>
      <c r="C82" s="241"/>
      <c r="D82" s="242"/>
      <c r="E82" s="243"/>
      <c r="F82" s="244"/>
      <c r="G82" s="246"/>
      <c r="H82" s="245"/>
      <c r="I82" s="245"/>
      <c r="J82" s="953"/>
      <c r="K82" s="953"/>
      <c r="L82" s="245"/>
      <c r="M82" s="300"/>
      <c r="N82" s="251"/>
      <c r="O82" s="251"/>
      <c r="P82" s="300"/>
      <c r="Q82" s="251"/>
      <c r="R82" s="251"/>
      <c r="S82" s="251"/>
      <c r="T82" s="251"/>
      <c r="U82" s="301" t="s">
        <v>165</v>
      </c>
      <c r="V82" s="242"/>
      <c r="W82" s="242"/>
      <c r="X82" s="242"/>
      <c r="Y82" s="242"/>
      <c r="Z82" s="242"/>
      <c r="AA82" s="604"/>
      <c r="AB82" s="617" t="s">
        <v>170</v>
      </c>
      <c r="AC82" s="618">
        <v>0</v>
      </c>
      <c r="AD82" s="947"/>
      <c r="AE82" s="336"/>
      <c r="AF82" s="337"/>
      <c r="AG82" s="337"/>
      <c r="AH82" s="337"/>
      <c r="AI82" s="337"/>
      <c r="AJ82" s="337"/>
      <c r="AK82" s="337"/>
      <c r="AL82" s="337"/>
      <c r="AM82" s="337"/>
      <c r="AN82" s="337"/>
      <c r="AO82" s="337"/>
      <c r="AP82" s="337"/>
      <c r="AQ82" s="337"/>
      <c r="AR82" s="337"/>
      <c r="AS82" s="339"/>
      <c r="AT82" s="337"/>
      <c r="AU82" s="339"/>
      <c r="AV82" s="337"/>
      <c r="AW82" s="337"/>
      <c r="AX82" s="337"/>
      <c r="AY82" s="337"/>
      <c r="AZ82" s="611"/>
      <c r="BA82" s="611"/>
      <c r="BB82" s="611"/>
      <c r="BC82" s="611"/>
      <c r="BD82" s="611"/>
      <c r="BE82" s="611"/>
      <c r="BF82" s="611"/>
      <c r="BG82" s="611"/>
      <c r="BH82" s="611"/>
      <c r="BI82" s="611"/>
      <c r="BJ82" s="611"/>
      <c r="BK82" s="611"/>
      <c r="BL82" s="611"/>
      <c r="BM82" s="611"/>
      <c r="BN82" s="611"/>
      <c r="BO82" s="337"/>
      <c r="BP82" s="337"/>
      <c r="BQ82" s="337"/>
      <c r="BR82" s="340"/>
      <c r="BS82" s="342"/>
      <c r="BT82" s="938"/>
      <c r="BU82" s="938"/>
      <c r="BV82" s="615" t="str">
        <f>IFERROR(INDEX($HD$9:$II$9, MATCH("準備", CC82:DK82, 0)), "")</f>
        <v/>
      </c>
      <c r="BW82" s="615" t="str" cm="1">
        <f t="array" ref="BW82">IF(COUNTIF(CC82:DK82,"*撤去*")=0,"",INDEX(CC$9:DK$9,1,MAX(IF(CC82:DK82="撤去",COLUMN(CC82:DK82)-COLUMN(CC82)+1))))</f>
        <v/>
      </c>
      <c r="BX82" s="616"/>
      <c r="BY82" s="360" t="s">
        <v>246</v>
      </c>
      <c r="BZ82" s="361" t="s">
        <v>247</v>
      </c>
      <c r="CA82" s="597"/>
      <c r="CB82" s="597"/>
      <c r="CC82" s="271"/>
      <c r="CD82" s="272"/>
      <c r="CE82" s="272"/>
      <c r="CF82" s="272"/>
      <c r="CG82" s="272"/>
      <c r="CH82" s="272"/>
      <c r="CI82" s="272"/>
      <c r="CJ82" s="272"/>
      <c r="CK82" s="272"/>
      <c r="CL82" s="272"/>
      <c r="CM82" s="272"/>
      <c r="CN82" s="272"/>
      <c r="CO82" s="272"/>
      <c r="CP82" s="272"/>
      <c r="CQ82" s="364"/>
      <c r="CR82" s="365"/>
      <c r="CS82" s="366"/>
      <c r="CT82" s="363"/>
      <c r="CU82" s="363"/>
      <c r="CV82" s="363"/>
      <c r="CW82" s="363"/>
      <c r="CX82" s="363"/>
      <c r="CY82" s="363"/>
      <c r="CZ82" s="363"/>
      <c r="DA82" s="363"/>
      <c r="DB82" s="363"/>
      <c r="DC82" s="363"/>
      <c r="DD82" s="363"/>
      <c r="DE82" s="363"/>
      <c r="DF82" s="364"/>
      <c r="DG82" s="365"/>
      <c r="DH82" s="621"/>
      <c r="DI82" s="622"/>
      <c r="DJ82" s="622"/>
      <c r="DK82" s="759"/>
      <c r="DL82" s="277"/>
      <c r="DM82" s="277"/>
      <c r="DN82" s="277"/>
      <c r="DO82" s="277"/>
      <c r="DP82" s="277"/>
      <c r="DQ82" s="604"/>
      <c r="DR82" s="617" t="s">
        <v>170</v>
      </c>
      <c r="DS82" s="618">
        <v>0</v>
      </c>
      <c r="DT82" s="947"/>
      <c r="DU82" s="337"/>
      <c r="DV82" s="337"/>
      <c r="DW82" s="611"/>
      <c r="DX82" s="611"/>
      <c r="DY82" s="611"/>
      <c r="DZ82" s="611"/>
      <c r="EA82" s="611"/>
      <c r="EB82" s="611"/>
      <c r="EC82" s="611"/>
      <c r="ED82" s="611"/>
      <c r="EE82" s="611"/>
      <c r="EF82" s="611"/>
      <c r="EG82" s="337"/>
      <c r="EH82" s="337"/>
      <c r="EI82" s="938"/>
      <c r="EJ82" s="938"/>
      <c r="EK82" s="615" t="s">
        <v>165</v>
      </c>
      <c r="EL82" s="615" t="s">
        <v>165</v>
      </c>
      <c r="EM82" s="616"/>
      <c r="EN82" s="277"/>
      <c r="EO82" s="604"/>
      <c r="EP82" s="605" t="s">
        <v>170</v>
      </c>
      <c r="EQ82" s="878">
        <v>0</v>
      </c>
      <c r="ER82" s="952"/>
      <c r="ES82" s="952" t="e">
        <v>#N/A</v>
      </c>
      <c r="ET82" s="952"/>
      <c r="EU82" s="952"/>
      <c r="EV82" s="608" t="s">
        <v>170</v>
      </c>
      <c r="EW82" s="609"/>
      <c r="EX82" s="610"/>
      <c r="EY82" s="954" t="s">
        <v>170</v>
      </c>
      <c r="EZ82" s="373"/>
      <c r="FA82" s="374"/>
      <c r="FB82" s="443" t="s">
        <v>170</v>
      </c>
      <c r="FC82" s="440"/>
      <c r="FD82" s="441"/>
      <c r="FE82" s="443" t="s">
        <v>170</v>
      </c>
      <c r="FF82" s="440"/>
      <c r="FG82" s="441"/>
      <c r="FH82" s="443" t="s">
        <v>170</v>
      </c>
      <c r="FI82" s="440"/>
      <c r="FJ82" s="444"/>
      <c r="FK82" s="289"/>
      <c r="FL82" s="290"/>
      <c r="FM82" s="349"/>
      <c r="FN82" s="336"/>
      <c r="FO82" s="337"/>
      <c r="FP82" s="337"/>
      <c r="FQ82" s="337"/>
      <c r="FR82" s="337"/>
      <c r="FS82" s="337"/>
      <c r="FT82" s="337"/>
      <c r="FU82" s="337"/>
      <c r="FV82" s="339"/>
      <c r="FW82" s="337"/>
      <c r="FX82" s="339"/>
      <c r="FY82" s="337"/>
      <c r="FZ82" s="337"/>
      <c r="GA82" s="337"/>
      <c r="GB82" s="337"/>
      <c r="GC82" s="611"/>
      <c r="GD82" s="611"/>
      <c r="GE82" s="611"/>
      <c r="GF82" s="611"/>
      <c r="GG82" s="611"/>
      <c r="GH82" s="611"/>
      <c r="GI82" s="611"/>
      <c r="GJ82" s="611"/>
      <c r="GK82" s="611"/>
      <c r="GL82" s="611"/>
      <c r="GM82" s="611"/>
      <c r="GN82" s="611"/>
      <c r="GO82" s="611"/>
      <c r="GP82" s="611"/>
      <c r="GQ82" s="611"/>
      <c r="GR82" s="337"/>
      <c r="GS82" s="337"/>
      <c r="GT82" s="342"/>
      <c r="GU82" s="938"/>
      <c r="GV82" s="938"/>
      <c r="GW82" s="615" t="s">
        <v>165</v>
      </c>
      <c r="GX82" s="615" t="s">
        <v>165</v>
      </c>
      <c r="GY82" s="616"/>
      <c r="GZ82" s="596"/>
      <c r="HA82" s="597"/>
      <c r="HB82" s="597"/>
      <c r="HC82" s="597"/>
      <c r="HD82" s="271"/>
      <c r="HE82" s="272"/>
      <c r="HF82" s="272"/>
      <c r="HG82" s="272"/>
      <c r="HH82" s="272"/>
      <c r="HI82" s="272"/>
      <c r="HJ82" s="272"/>
      <c r="HK82" s="272"/>
      <c r="HL82" s="272"/>
      <c r="HM82" s="272"/>
      <c r="HN82" s="272"/>
      <c r="HO82" s="272"/>
      <c r="HP82" s="272"/>
      <c r="HQ82" s="272"/>
      <c r="HR82" s="274"/>
      <c r="HS82" s="275"/>
      <c r="HT82" s="271"/>
      <c r="HU82" s="272"/>
      <c r="HV82" s="272"/>
      <c r="HW82" s="272"/>
      <c r="HX82" s="272"/>
      <c r="HY82" s="272"/>
      <c r="HZ82" s="272"/>
      <c r="IA82" s="272"/>
      <c r="IB82" s="272"/>
      <c r="IC82" s="272"/>
      <c r="ID82" s="272"/>
      <c r="IE82" s="272"/>
      <c r="IF82" s="272"/>
      <c r="IG82" s="274"/>
      <c r="IH82" s="275"/>
      <c r="II82" s="271"/>
      <c r="IJ82" s="272"/>
      <c r="IK82" s="272"/>
      <c r="IL82" s="276"/>
      <c r="IM82" s="277"/>
      <c r="IN82" s="277"/>
      <c r="IO82" s="333"/>
      <c r="IP82" s="334"/>
      <c r="IQ82" s="541"/>
      <c r="IR82" s="581"/>
      <c r="IS82" s="582"/>
      <c r="IT82" s="582"/>
      <c r="IU82" s="582"/>
      <c r="IV82" s="582"/>
      <c r="IW82" s="582"/>
      <c r="IX82" s="583"/>
      <c r="IY82" s="583"/>
      <c r="IZ82" s="582"/>
      <c r="JA82" s="582"/>
      <c r="JB82" s="582"/>
      <c r="JC82" s="582"/>
      <c r="JD82" s="584"/>
      <c r="JE82" s="584"/>
      <c r="JF82" s="585"/>
      <c r="JG82" s="586"/>
      <c r="JH82" s="587"/>
      <c r="JO82" s="507"/>
      <c r="JP82" s="508"/>
      <c r="JQ82" s="508"/>
      <c r="JR82" s="508"/>
      <c r="JS82" s="508"/>
      <c r="JT82" s="508"/>
      <c r="JU82" s="508"/>
      <c r="JV82" s="508"/>
      <c r="JW82" s="508"/>
      <c r="JX82" s="508"/>
      <c r="JY82" s="508"/>
      <c r="JZ82" s="508"/>
      <c r="KA82" s="508"/>
      <c r="KB82" s="508"/>
      <c r="KC82" s="508"/>
      <c r="KD82" s="508"/>
      <c r="KE82" s="508"/>
      <c r="KF82" s="508"/>
      <c r="KG82" s="508"/>
      <c r="KH82" s="508"/>
      <c r="KI82" s="508"/>
      <c r="KJ82" s="508"/>
      <c r="KK82" s="508"/>
      <c r="KL82" s="508"/>
      <c r="KM82" s="508"/>
      <c r="KN82" s="508"/>
      <c r="KO82" s="508"/>
      <c r="KP82" s="508"/>
      <c r="KQ82" s="508"/>
      <c r="KR82" s="508"/>
      <c r="KS82" s="508"/>
      <c r="KT82" s="508"/>
      <c r="KU82" s="508"/>
      <c r="KV82" s="508"/>
      <c r="KW82" s="509"/>
      <c r="KX82" s="277"/>
      <c r="KY82" s="277"/>
    </row>
    <row r="83" spans="1:398" ht="40" customHeight="1">
      <c r="B83" s="299"/>
      <c r="C83" s="241"/>
      <c r="D83" s="378">
        <v>16</v>
      </c>
      <c r="E83" s="379">
        <v>302</v>
      </c>
      <c r="F83" s="623" t="s">
        <v>393</v>
      </c>
      <c r="G83" s="382">
        <v>160</v>
      </c>
      <c r="H83" s="461">
        <v>260</v>
      </c>
      <c r="I83" s="461">
        <v>157</v>
      </c>
      <c r="J83" s="461">
        <v>314</v>
      </c>
      <c r="K83" s="461"/>
      <c r="L83" s="461">
        <v>180</v>
      </c>
      <c r="M83" s="383">
        <v>0</v>
      </c>
      <c r="N83" s="384" t="s">
        <v>394</v>
      </c>
      <c r="O83" s="384" t="s">
        <v>395</v>
      </c>
      <c r="P83" s="383">
        <v>100</v>
      </c>
      <c r="Q83" s="384" t="s">
        <v>170</v>
      </c>
      <c r="R83" s="384" t="s">
        <v>170</v>
      </c>
      <c r="S83" s="384" t="s">
        <v>169</v>
      </c>
      <c r="T83" s="384" t="s">
        <v>396</v>
      </c>
      <c r="U83" s="385" t="s">
        <v>169</v>
      </c>
      <c r="V83" s="378" t="s">
        <v>172</v>
      </c>
      <c r="W83" s="378"/>
      <c r="X83" s="462" t="s">
        <v>292</v>
      </c>
      <c r="Y83" s="378"/>
      <c r="Z83" s="378"/>
      <c r="AA83" s="386" t="s">
        <v>397</v>
      </c>
      <c r="AB83" s="387" t="s">
        <v>398</v>
      </c>
      <c r="AC83" s="388">
        <v>94</v>
      </c>
      <c r="AD83" s="955">
        <f>SUM(AC83,AC84)</f>
        <v>188</v>
      </c>
      <c r="AE83" s="624" t="s">
        <v>175</v>
      </c>
      <c r="AF83" s="477" t="s">
        <v>296</v>
      </c>
      <c r="AG83" s="467">
        <f>'[1]0302_セントレアホテル　別紙1-1'!M26</f>
        <v>7621152.0000000009</v>
      </c>
      <c r="AH83" s="468">
        <f>FQ83</f>
        <v>4000</v>
      </c>
      <c r="AI83" s="468">
        <f>FR83</f>
        <v>100</v>
      </c>
      <c r="AJ83" s="469">
        <v>0.98599999999999999</v>
      </c>
      <c r="AK83" s="551">
        <f>$AK$4</f>
        <v>26106</v>
      </c>
      <c r="AL83" s="552">
        <v>0.83</v>
      </c>
      <c r="AM83" s="551">
        <f>$AM$4</f>
        <v>24690</v>
      </c>
      <c r="AN83" s="468" t="s">
        <v>308</v>
      </c>
      <c r="AO83" s="551">
        <f>$AO$4</f>
        <v>2373</v>
      </c>
      <c r="AP83" s="467">
        <f>'[1]0302_セントレアホテル　別紙1-1'!K24</f>
        <v>160</v>
      </c>
      <c r="AQ83" s="467">
        <f>'[1]0302_セントレアホテル　別紙1-1'!AF24</f>
        <v>320</v>
      </c>
      <c r="AR83" s="474">
        <f>DM83/(BX83-2)</f>
        <v>178.6</v>
      </c>
      <c r="AS83" s="475">
        <f>AG83/AR83</f>
        <v>42671.623740201576</v>
      </c>
      <c r="AT83" s="476">
        <f>AG83/AP83</f>
        <v>47632.200000000004</v>
      </c>
      <c r="AU83" s="475">
        <f>AG83/AQ83</f>
        <v>23816.100000000002</v>
      </c>
      <c r="AV83" s="477">
        <v>26000</v>
      </c>
      <c r="AW83" s="477">
        <v>48000</v>
      </c>
      <c r="AX83" s="467">
        <v>0</v>
      </c>
      <c r="AY83" s="467">
        <f>GB83</f>
        <v>0</v>
      </c>
      <c r="AZ83" s="478">
        <f>'[1]0302_セントレアホテル　別紙1-1'!C28</f>
        <v>164557140</v>
      </c>
      <c r="BA83" s="478">
        <f>AX83*(BX83+0.5)</f>
        <v>0</v>
      </c>
      <c r="BB83" s="478">
        <f>AI83*DM83</f>
        <v>357200</v>
      </c>
      <c r="BC83" s="478">
        <f>AH83*DM83</f>
        <v>14288000</v>
      </c>
      <c r="BD83" s="478">
        <f>AK83*DM83*0.6</f>
        <v>55950379.199999996</v>
      </c>
      <c r="BE83" s="478">
        <f>BD83-21000*DM83*0.6</f>
        <v>10943179.199999996</v>
      </c>
      <c r="BF83" s="478">
        <f>AM83*DM83*0.4</f>
        <v>35277072</v>
      </c>
      <c r="BG83" s="478"/>
      <c r="BH83" s="478">
        <f>AO83*DM83*0.3</f>
        <v>2542906.7999999998</v>
      </c>
      <c r="BI83" s="480">
        <f>200*DM83</f>
        <v>714400</v>
      </c>
      <c r="BJ83" s="480">
        <f>GK83</f>
        <v>0</v>
      </c>
      <c r="BK83" s="480">
        <f>BM83*5000*BX83</f>
        <v>440000</v>
      </c>
      <c r="BL83" s="480">
        <f>1800000*BN83*BX83</f>
        <v>39600000</v>
      </c>
      <c r="BM83" s="480">
        <f>GP83</f>
        <v>4</v>
      </c>
      <c r="BN83" s="480">
        <f>GQ83</f>
        <v>1</v>
      </c>
      <c r="BO83" s="481"/>
      <c r="BP83" s="481">
        <f>SUM(AZ83,BA83,BI83,BO83)</f>
        <v>165271540</v>
      </c>
      <c r="BQ83" s="481">
        <f>BP83-GR83</f>
        <v>56033131</v>
      </c>
      <c r="BR83" s="594"/>
      <c r="BS83" s="595" t="s">
        <v>301</v>
      </c>
      <c r="BT83" s="484">
        <f>'[1]0302_セントレアホテル　別紙1-1'!B9</f>
        <v>45913</v>
      </c>
      <c r="BU83" s="484">
        <f>'[1]0302_セントレアホテル　別紙1-1'!G9</f>
        <v>45935</v>
      </c>
      <c r="BV83" s="948">
        <f>IFERROR(INDEX($BY$9:$DH$9, MATCH("準備", BY83:DK83, 0)), "")</f>
        <v>46278</v>
      </c>
      <c r="BW83" s="949" cm="1">
        <f t="array" ref="BW83">IF(COUNTIF(BY83:DK83,"*撤去*")=0,"",INDEX(BY$9:DK$9,1,MAX(IF(CC83:DK83="撤去",COLUMN(CC83:DK83)-COLUMN(BY83)+1))))</f>
        <v>46300</v>
      </c>
      <c r="BX83" s="956">
        <f>BW83-BV83</f>
        <v>22</v>
      </c>
      <c r="BY83" s="485">
        <v>0</v>
      </c>
      <c r="BZ83" s="486">
        <v>0</v>
      </c>
      <c r="CA83" s="486">
        <v>0</v>
      </c>
      <c r="CB83" s="486">
        <v>0</v>
      </c>
      <c r="CC83" s="405">
        <v>0</v>
      </c>
      <c r="CD83" s="403">
        <v>0</v>
      </c>
      <c r="CE83" s="403">
        <v>0</v>
      </c>
      <c r="CF83" s="403">
        <v>0</v>
      </c>
      <c r="CG83" s="403">
        <v>0</v>
      </c>
      <c r="CH83" s="403">
        <v>0</v>
      </c>
      <c r="CI83" s="403">
        <v>0</v>
      </c>
      <c r="CJ83" s="403">
        <v>0</v>
      </c>
      <c r="CK83" s="403">
        <v>0</v>
      </c>
      <c r="CL83" s="400" t="s">
        <v>177</v>
      </c>
      <c r="CM83" s="400" t="s">
        <v>177</v>
      </c>
      <c r="CN83" s="488">
        <v>188</v>
      </c>
      <c r="CO83" s="488">
        <v>188</v>
      </c>
      <c r="CP83" s="403">
        <v>188</v>
      </c>
      <c r="CQ83" s="403">
        <v>188</v>
      </c>
      <c r="CR83" s="404">
        <v>188</v>
      </c>
      <c r="CS83" s="405">
        <v>188</v>
      </c>
      <c r="CT83" s="403">
        <v>188</v>
      </c>
      <c r="CU83" s="403">
        <v>188</v>
      </c>
      <c r="CV83" s="403">
        <v>188</v>
      </c>
      <c r="CW83" s="403">
        <v>188</v>
      </c>
      <c r="CX83" s="403">
        <v>188</v>
      </c>
      <c r="CY83" s="403">
        <v>188</v>
      </c>
      <c r="CZ83" s="403">
        <v>188</v>
      </c>
      <c r="DA83" s="403">
        <v>188</v>
      </c>
      <c r="DB83" s="488">
        <v>188</v>
      </c>
      <c r="DC83" s="403">
        <v>188</v>
      </c>
      <c r="DD83" s="403">
        <v>188</v>
      </c>
      <c r="DE83" s="403">
        <v>188</v>
      </c>
      <c r="DF83" s="403">
        <v>188</v>
      </c>
      <c r="DG83" s="404">
        <v>0</v>
      </c>
      <c r="DH83" s="603" t="s">
        <v>178</v>
      </c>
      <c r="DI83" s="403">
        <v>0</v>
      </c>
      <c r="DJ83" s="403">
        <v>0</v>
      </c>
      <c r="DK83" s="407">
        <v>0</v>
      </c>
      <c r="DL83" s="277"/>
      <c r="DM83" s="277" cm="1">
        <f t="array" ref="DM83">SUM(IF(ISNUMBER($BY83:$DK83),$BY83:$DK83, 0))</f>
        <v>3572</v>
      </c>
      <c r="DN83" s="277">
        <v>3648</v>
      </c>
      <c r="DO83" s="277">
        <f>DM83*(BX83)/(BX83+1)</f>
        <v>3416.695652173913</v>
      </c>
      <c r="DP83" s="277"/>
      <c r="DQ83" s="386" t="s">
        <v>397</v>
      </c>
      <c r="DR83" s="387" t="s">
        <v>398</v>
      </c>
      <c r="DS83" s="388">
        <v>96</v>
      </c>
      <c r="DT83" s="955">
        <f>SUM(DS83,DS84)</f>
        <v>192</v>
      </c>
      <c r="DU83" s="467">
        <v>7621152.0000000009</v>
      </c>
      <c r="DV83" s="467">
        <v>0</v>
      </c>
      <c r="DW83" s="478">
        <v>164557140</v>
      </c>
      <c r="DX83" s="478">
        <v>0</v>
      </c>
      <c r="DY83" s="478">
        <v>384000</v>
      </c>
      <c r="DZ83" s="478">
        <v>60148224</v>
      </c>
      <c r="EA83" s="478">
        <v>37923840</v>
      </c>
      <c r="EB83" s="478">
        <v>2733696</v>
      </c>
      <c r="EC83" s="480">
        <v>768000</v>
      </c>
      <c r="ED83" s="480">
        <v>0</v>
      </c>
      <c r="EE83" s="480">
        <v>440000</v>
      </c>
      <c r="EF83" s="480">
        <v>39600000</v>
      </c>
      <c r="EG83" s="481"/>
      <c r="EH83" s="481">
        <v>165325140</v>
      </c>
      <c r="EI83" s="484">
        <v>45919</v>
      </c>
      <c r="EJ83" s="484">
        <v>45934</v>
      </c>
      <c r="EK83" s="948">
        <v>46278</v>
      </c>
      <c r="EL83" s="949">
        <v>46300</v>
      </c>
      <c r="EM83" s="956">
        <v>22</v>
      </c>
      <c r="EN83" s="277"/>
      <c r="EO83" s="630" t="s">
        <v>270</v>
      </c>
      <c r="EP83" s="489" t="s">
        <v>271</v>
      </c>
      <c r="EQ83" s="560">
        <v>180</v>
      </c>
      <c r="ER83" s="957">
        <v>180</v>
      </c>
      <c r="ES83" s="958"/>
      <c r="ET83" s="958"/>
      <c r="EU83" s="958"/>
      <c r="EV83" s="631"/>
      <c r="EW83" s="632"/>
      <c r="EX83" s="633"/>
      <c r="EY83" s="959"/>
      <c r="EZ83" s="635"/>
      <c r="FA83" s="636"/>
      <c r="FB83" s="637"/>
      <c r="FC83" s="635"/>
      <c r="FD83" s="636"/>
      <c r="FE83" s="637"/>
      <c r="FF83" s="635"/>
      <c r="FG83" s="636"/>
      <c r="FH83" s="637"/>
      <c r="FI83" s="635"/>
      <c r="FJ83" s="638"/>
      <c r="FK83" s="496"/>
      <c r="FL83" s="497"/>
      <c r="FM83" s="498"/>
      <c r="FN83" s="292" t="s">
        <v>399</v>
      </c>
      <c r="FO83" s="258" t="s">
        <v>323</v>
      </c>
      <c r="FP83" s="960">
        <v>7453792.5000000009</v>
      </c>
      <c r="FQ83" s="732">
        <v>4000</v>
      </c>
      <c r="FR83" s="468">
        <v>100</v>
      </c>
      <c r="FS83" s="960">
        <v>157</v>
      </c>
      <c r="FT83" s="960">
        <v>314</v>
      </c>
      <c r="FU83" s="390">
        <v>180</v>
      </c>
      <c r="FV83" s="475">
        <v>41409.958333333336</v>
      </c>
      <c r="FW83" s="390">
        <v>47476.38535031848</v>
      </c>
      <c r="FX83" s="394">
        <v>23738.19267515924</v>
      </c>
      <c r="FY83" s="961"/>
      <c r="FZ83" s="961"/>
      <c r="GA83" s="960">
        <v>0</v>
      </c>
      <c r="GB83" s="960">
        <v>0</v>
      </c>
      <c r="GC83" s="962">
        <v>108770409</v>
      </c>
      <c r="GD83" s="962">
        <v>0</v>
      </c>
      <c r="GE83" s="962">
        <v>108770409</v>
      </c>
      <c r="GF83" s="962">
        <v>0</v>
      </c>
      <c r="GG83" s="478">
        <v>0</v>
      </c>
      <c r="GH83" s="478">
        <v>0</v>
      </c>
      <c r="GI83" s="478">
        <v>140400</v>
      </c>
      <c r="GJ83" s="962">
        <v>468000</v>
      </c>
      <c r="GK83" s="963"/>
      <c r="GL83" s="964"/>
      <c r="GM83" s="480">
        <v>0</v>
      </c>
      <c r="GN83" s="480">
        <v>280000</v>
      </c>
      <c r="GO83" s="480">
        <v>27000000</v>
      </c>
      <c r="GP83" s="963">
        <v>4</v>
      </c>
      <c r="GQ83" s="963">
        <v>1</v>
      </c>
      <c r="GR83" s="965">
        <v>109238409</v>
      </c>
      <c r="GS83" s="966">
        <v>-108770409</v>
      </c>
      <c r="GT83" s="967"/>
      <c r="GU83" s="968">
        <v>45919</v>
      </c>
      <c r="GV83" s="968">
        <v>45934</v>
      </c>
      <c r="GW83" s="948">
        <v>46284</v>
      </c>
      <c r="GX83" s="949">
        <v>46299</v>
      </c>
      <c r="GY83" s="950">
        <v>15</v>
      </c>
      <c r="GZ83" s="485"/>
      <c r="HA83" s="486"/>
      <c r="HB83" s="486"/>
      <c r="HC83" s="486"/>
      <c r="HD83" s="405">
        <v>0</v>
      </c>
      <c r="HE83" s="403">
        <v>0</v>
      </c>
      <c r="HF83" s="403">
        <v>0</v>
      </c>
      <c r="HG83" s="403">
        <v>0</v>
      </c>
      <c r="HH83" s="403">
        <v>0</v>
      </c>
      <c r="HI83" s="403">
        <v>0</v>
      </c>
      <c r="HJ83" s="403">
        <v>0</v>
      </c>
      <c r="HK83" s="403">
        <v>0</v>
      </c>
      <c r="HL83" s="403">
        <v>0</v>
      </c>
      <c r="HM83" s="403">
        <v>0</v>
      </c>
      <c r="HN83" s="488">
        <v>0</v>
      </c>
      <c r="HO83" s="488">
        <v>0</v>
      </c>
      <c r="HP83" s="488">
        <v>0</v>
      </c>
      <c r="HQ83" s="403">
        <v>0</v>
      </c>
      <c r="HR83" s="403">
        <v>0</v>
      </c>
      <c r="HS83" s="897" t="s">
        <v>177</v>
      </c>
      <c r="HT83" s="898" t="s">
        <v>177</v>
      </c>
      <c r="HU83" s="403">
        <v>180</v>
      </c>
      <c r="HV83" s="403">
        <v>180</v>
      </c>
      <c r="HW83" s="403">
        <v>180</v>
      </c>
      <c r="HX83" s="403">
        <v>180</v>
      </c>
      <c r="HY83" s="403">
        <v>180</v>
      </c>
      <c r="HZ83" s="403">
        <v>180</v>
      </c>
      <c r="IA83" s="403">
        <v>180</v>
      </c>
      <c r="IB83" s="403">
        <v>180</v>
      </c>
      <c r="IC83" s="488">
        <v>180</v>
      </c>
      <c r="ID83" s="403">
        <v>180</v>
      </c>
      <c r="IE83" s="403">
        <v>180</v>
      </c>
      <c r="IF83" s="403">
        <v>180</v>
      </c>
      <c r="IG83" s="403">
        <v>180</v>
      </c>
      <c r="IH83" s="951" t="s">
        <v>178</v>
      </c>
      <c r="II83" s="405">
        <v>0</v>
      </c>
      <c r="IJ83" s="403">
        <v>0</v>
      </c>
      <c r="IK83" s="403">
        <v>0</v>
      </c>
      <c r="IL83" s="407">
        <v>0</v>
      </c>
      <c r="IM83" s="277"/>
      <c r="IN83" s="277" cm="1">
        <f t="array" ref="IN83">SUM(IF(ISNUMBER($HD83:$IL83),$HD83:$IL83, 0))</f>
        <v>2340</v>
      </c>
      <c r="IO83" s="333"/>
      <c r="IP83" s="334"/>
      <c r="IQ83" s="541"/>
      <c r="IR83" s="542"/>
      <c r="IS83" s="543"/>
      <c r="IT83" s="543"/>
      <c r="IU83" s="543"/>
      <c r="IV83" s="543"/>
      <c r="IW83" s="543"/>
      <c r="IX83" s="544"/>
      <c r="IY83" s="544"/>
      <c r="IZ83" s="543"/>
      <c r="JA83" s="543"/>
      <c r="JB83" s="543"/>
      <c r="JC83" s="543"/>
      <c r="JD83" s="545"/>
      <c r="JE83" s="545"/>
      <c r="JF83" s="546"/>
      <c r="JG83" s="503"/>
      <c r="JH83" s="506"/>
      <c r="JO83" s="507"/>
      <c r="JP83" s="508"/>
      <c r="JQ83" s="508"/>
      <c r="JR83" s="508"/>
      <c r="JS83" s="508"/>
      <c r="JT83" s="508"/>
      <c r="JU83" s="508"/>
      <c r="JV83" s="508"/>
      <c r="JW83" s="508"/>
      <c r="JX83" s="508"/>
      <c r="JY83" s="508"/>
      <c r="JZ83" s="508"/>
      <c r="KA83" s="508"/>
      <c r="KB83" s="508"/>
      <c r="KC83" s="508"/>
      <c r="KD83" s="508"/>
      <c r="KE83" s="508"/>
      <c r="KF83" s="508"/>
      <c r="KG83" s="508"/>
      <c r="KH83" s="508"/>
      <c r="KI83" s="508"/>
      <c r="KJ83" s="508"/>
      <c r="KK83" s="508"/>
      <c r="KL83" s="508"/>
      <c r="KM83" s="508"/>
      <c r="KN83" s="508"/>
      <c r="KO83" s="508"/>
      <c r="KP83" s="508"/>
      <c r="KQ83" s="508"/>
      <c r="KR83" s="508"/>
      <c r="KS83" s="508"/>
      <c r="KT83" s="508"/>
      <c r="KU83" s="508"/>
      <c r="KV83" s="508"/>
      <c r="KW83" s="509"/>
      <c r="KX83" s="277"/>
      <c r="KY83" s="277"/>
    </row>
    <row r="84" spans="1:398" ht="40" customHeight="1">
      <c r="B84" s="299"/>
      <c r="C84" s="241"/>
      <c r="D84" s="242"/>
      <c r="E84" s="243"/>
      <c r="F84" s="244"/>
      <c r="G84" s="249"/>
      <c r="H84" s="563"/>
      <c r="I84" s="563"/>
      <c r="J84" s="563"/>
      <c r="K84" s="563"/>
      <c r="L84" s="563"/>
      <c r="M84" s="300"/>
      <c r="N84" s="251"/>
      <c r="O84" s="251"/>
      <c r="P84" s="300"/>
      <c r="Q84" s="251"/>
      <c r="R84" s="251"/>
      <c r="S84" s="251"/>
      <c r="T84" s="251"/>
      <c r="U84" s="301"/>
      <c r="V84" s="242"/>
      <c r="W84" s="242"/>
      <c r="X84" s="242"/>
      <c r="Y84" s="242"/>
      <c r="Z84" s="242"/>
      <c r="AA84" s="763" t="s">
        <v>400</v>
      </c>
      <c r="AB84" s="764" t="s">
        <v>398</v>
      </c>
      <c r="AC84" s="765">
        <v>94</v>
      </c>
      <c r="AD84" s="969"/>
      <c r="AE84" s="336"/>
      <c r="AF84" s="337"/>
      <c r="AG84" s="337"/>
      <c r="AH84" s="337"/>
      <c r="AI84" s="970"/>
      <c r="AJ84" s="970"/>
      <c r="AK84" s="970"/>
      <c r="AL84" s="970"/>
      <c r="AM84" s="970"/>
      <c r="AN84" s="970"/>
      <c r="AO84" s="970"/>
      <c r="AP84" s="337"/>
      <c r="AQ84" s="337"/>
      <c r="AR84" s="337"/>
      <c r="AS84" s="339"/>
      <c r="AT84" s="337"/>
      <c r="AU84" s="339"/>
      <c r="AV84" s="337"/>
      <c r="AW84" s="337"/>
      <c r="AX84" s="337"/>
      <c r="AY84" s="337"/>
      <c r="AZ84" s="611"/>
      <c r="BA84" s="611"/>
      <c r="BB84" s="971"/>
      <c r="BC84" s="971"/>
      <c r="BD84" s="971"/>
      <c r="BE84" s="971"/>
      <c r="BF84" s="971"/>
      <c r="BG84" s="971"/>
      <c r="BH84" s="971"/>
      <c r="BI84" s="611"/>
      <c r="BJ84" s="611"/>
      <c r="BK84" s="971"/>
      <c r="BL84" s="971"/>
      <c r="BM84" s="611"/>
      <c r="BN84" s="611"/>
      <c r="BO84" s="970"/>
      <c r="BP84" s="970"/>
      <c r="BQ84" s="970"/>
      <c r="BR84" s="972"/>
      <c r="BS84" s="342"/>
      <c r="BT84" s="973"/>
      <c r="BU84" s="973"/>
      <c r="BV84" s="974"/>
      <c r="BW84" s="974"/>
      <c r="BX84" s="616"/>
      <c r="BY84" s="360" t="s">
        <v>246</v>
      </c>
      <c r="BZ84" s="361" t="s">
        <v>247</v>
      </c>
      <c r="CA84" s="597"/>
      <c r="CB84" s="597"/>
      <c r="CC84" s="975"/>
      <c r="CD84" s="976"/>
      <c r="CE84" s="976"/>
      <c r="CF84" s="976"/>
      <c r="CG84" s="976"/>
      <c r="CH84" s="976"/>
      <c r="CI84" s="976"/>
      <c r="CJ84" s="976"/>
      <c r="CK84" s="976"/>
      <c r="CL84" s="977"/>
      <c r="CM84" s="977"/>
      <c r="CN84" s="977"/>
      <c r="CO84" s="977"/>
      <c r="CP84" s="977"/>
      <c r="CQ84" s="978"/>
      <c r="CR84" s="979"/>
      <c r="CS84" s="980"/>
      <c r="CT84" s="977"/>
      <c r="CU84" s="977"/>
      <c r="CV84" s="977"/>
      <c r="CW84" s="977"/>
      <c r="CX84" s="977"/>
      <c r="CY84" s="977"/>
      <c r="CZ84" s="977"/>
      <c r="DA84" s="977"/>
      <c r="DB84" s="977"/>
      <c r="DC84" s="977"/>
      <c r="DD84" s="977"/>
      <c r="DE84" s="977"/>
      <c r="DF84" s="978"/>
      <c r="DG84" s="979"/>
      <c r="DH84" s="980"/>
      <c r="DI84" s="976"/>
      <c r="DJ84" s="976"/>
      <c r="DK84" s="981"/>
      <c r="DL84" s="277"/>
      <c r="DM84" s="277"/>
      <c r="DN84" s="277"/>
      <c r="DO84" s="277"/>
      <c r="DP84" s="277"/>
      <c r="DQ84" s="763" t="s">
        <v>400</v>
      </c>
      <c r="DR84" s="764" t="s">
        <v>398</v>
      </c>
      <c r="DS84" s="765">
        <v>96</v>
      </c>
      <c r="DT84" s="969"/>
      <c r="DU84" s="337"/>
      <c r="DV84" s="337"/>
      <c r="DW84" s="611"/>
      <c r="DX84" s="611"/>
      <c r="DY84" s="971"/>
      <c r="DZ84" s="971"/>
      <c r="EA84" s="971"/>
      <c r="EB84" s="971"/>
      <c r="EC84" s="611"/>
      <c r="ED84" s="611"/>
      <c r="EE84" s="971"/>
      <c r="EF84" s="971"/>
      <c r="EG84" s="970"/>
      <c r="EH84" s="970"/>
      <c r="EI84" s="973"/>
      <c r="EJ84" s="973"/>
      <c r="EK84" s="974"/>
      <c r="EL84" s="974"/>
      <c r="EM84" s="616"/>
      <c r="EN84" s="277"/>
      <c r="EO84" s="604"/>
      <c r="EP84" s="605"/>
      <c r="EQ84" s="606"/>
      <c r="ER84" s="982"/>
      <c r="ES84" s="952"/>
      <c r="ET84" s="952"/>
      <c r="EU84" s="952"/>
      <c r="EV84" s="608"/>
      <c r="EW84" s="609"/>
      <c r="EX84" s="610"/>
      <c r="EY84" s="954"/>
      <c r="EZ84" s="440"/>
      <c r="FA84" s="441"/>
      <c r="FB84" s="443"/>
      <c r="FC84" s="440"/>
      <c r="FD84" s="441"/>
      <c r="FE84" s="443"/>
      <c r="FF84" s="440"/>
      <c r="FG84" s="441"/>
      <c r="FH84" s="443"/>
      <c r="FI84" s="440"/>
      <c r="FJ84" s="444"/>
      <c r="FK84" s="289"/>
      <c r="FL84" s="290"/>
      <c r="FM84" s="291"/>
      <c r="FN84" s="336"/>
      <c r="FO84" s="337"/>
      <c r="FP84" s="337"/>
      <c r="FQ84" s="337"/>
      <c r="FR84" s="970"/>
      <c r="FS84" s="337"/>
      <c r="FT84" s="337"/>
      <c r="FU84" s="337"/>
      <c r="FV84" s="339"/>
      <c r="FW84" s="337"/>
      <c r="FX84" s="339"/>
      <c r="FY84" s="337"/>
      <c r="FZ84" s="337"/>
      <c r="GA84" s="337"/>
      <c r="GB84" s="337"/>
      <c r="GC84" s="611"/>
      <c r="GD84" s="611"/>
      <c r="GE84" s="611"/>
      <c r="GF84" s="611"/>
      <c r="GG84" s="971"/>
      <c r="GH84" s="971"/>
      <c r="GI84" s="971"/>
      <c r="GJ84" s="611"/>
      <c r="GK84" s="611"/>
      <c r="GL84" s="611"/>
      <c r="GM84" s="971"/>
      <c r="GN84" s="971"/>
      <c r="GO84" s="971"/>
      <c r="GP84" s="611"/>
      <c r="GQ84" s="611"/>
      <c r="GR84" s="970"/>
      <c r="GS84" s="970"/>
      <c r="GT84" s="342"/>
      <c r="GU84" s="973"/>
      <c r="GV84" s="973"/>
      <c r="GW84" s="974"/>
      <c r="GX84" s="974"/>
      <c r="GY84" s="616"/>
      <c r="GZ84" s="596"/>
      <c r="HA84" s="597"/>
      <c r="HB84" s="597"/>
      <c r="HC84" s="597"/>
      <c r="HD84" s="975"/>
      <c r="HE84" s="976"/>
      <c r="HF84" s="976"/>
      <c r="HG84" s="976"/>
      <c r="HH84" s="976"/>
      <c r="HI84" s="976"/>
      <c r="HJ84" s="976"/>
      <c r="HK84" s="976"/>
      <c r="HL84" s="976"/>
      <c r="HM84" s="976"/>
      <c r="HN84" s="913"/>
      <c r="HO84" s="913"/>
      <c r="HP84" s="913"/>
      <c r="HQ84" s="976"/>
      <c r="HR84" s="976"/>
      <c r="HS84" s="915"/>
      <c r="HT84" s="983"/>
      <c r="HU84" s="976"/>
      <c r="HV84" s="976"/>
      <c r="HW84" s="976"/>
      <c r="HX84" s="976"/>
      <c r="HY84" s="976"/>
      <c r="HZ84" s="976"/>
      <c r="IA84" s="976"/>
      <c r="IB84" s="976"/>
      <c r="IC84" s="913"/>
      <c r="ID84" s="976"/>
      <c r="IE84" s="976"/>
      <c r="IF84" s="976"/>
      <c r="IG84" s="976"/>
      <c r="IH84" s="984"/>
      <c r="II84" s="975"/>
      <c r="IJ84" s="976"/>
      <c r="IK84" s="976"/>
      <c r="IL84" s="981"/>
      <c r="IM84" s="277"/>
      <c r="IN84" s="277"/>
      <c r="IO84" s="333"/>
      <c r="IP84" s="334"/>
      <c r="IQ84" s="541"/>
      <c r="IR84" s="542"/>
      <c r="IS84" s="543"/>
      <c r="IT84" s="543"/>
      <c r="IU84" s="543"/>
      <c r="IV84" s="543"/>
      <c r="IW84" s="543"/>
      <c r="IX84" s="544"/>
      <c r="IY84" s="544"/>
      <c r="IZ84" s="543"/>
      <c r="JA84" s="543"/>
      <c r="JB84" s="543"/>
      <c r="JC84" s="543"/>
      <c r="JD84" s="545"/>
      <c r="JE84" s="545"/>
      <c r="JF84" s="546"/>
      <c r="JG84" s="503"/>
      <c r="JH84" s="506"/>
      <c r="JO84" s="507"/>
      <c r="JP84" s="508"/>
      <c r="JQ84" s="508"/>
      <c r="JR84" s="508"/>
      <c r="JS84" s="508"/>
      <c r="JT84" s="508"/>
      <c r="JU84" s="508"/>
      <c r="JV84" s="508"/>
      <c r="JW84" s="508"/>
      <c r="JX84" s="508"/>
      <c r="JY84" s="508"/>
      <c r="JZ84" s="508"/>
      <c r="KA84" s="508"/>
      <c r="KB84" s="508"/>
      <c r="KC84" s="508"/>
      <c r="KD84" s="508"/>
      <c r="KE84" s="508"/>
      <c r="KF84" s="508"/>
      <c r="KG84" s="508"/>
      <c r="KH84" s="508"/>
      <c r="KI84" s="508"/>
      <c r="KJ84" s="508"/>
      <c r="KK84" s="508"/>
      <c r="KL84" s="508"/>
      <c r="KM84" s="508"/>
      <c r="KN84" s="508"/>
      <c r="KO84" s="508"/>
      <c r="KP84" s="508"/>
      <c r="KQ84" s="508"/>
      <c r="KR84" s="508"/>
      <c r="KS84" s="508"/>
      <c r="KT84" s="508"/>
      <c r="KU84" s="508"/>
      <c r="KV84" s="508"/>
      <c r="KW84" s="509"/>
      <c r="KX84" s="277"/>
      <c r="KY84" s="277"/>
    </row>
    <row r="85" spans="1:398" ht="40" customHeight="1">
      <c r="B85" s="299"/>
      <c r="C85" s="241"/>
      <c r="D85" s="378">
        <v>17</v>
      </c>
      <c r="E85" s="379">
        <v>298</v>
      </c>
      <c r="F85" s="460" t="s">
        <v>401</v>
      </c>
      <c r="G85" s="381">
        <v>319</v>
      </c>
      <c r="H85" s="381">
        <v>427</v>
      </c>
      <c r="I85" s="381">
        <v>223</v>
      </c>
      <c r="J85" s="381">
        <v>395</v>
      </c>
      <c r="K85" s="245" t="s">
        <v>402</v>
      </c>
      <c r="L85" s="381">
        <v>359</v>
      </c>
      <c r="M85" s="383">
        <v>1</v>
      </c>
      <c r="N85" s="384" t="s">
        <v>318</v>
      </c>
      <c r="O85" s="384" t="s">
        <v>168</v>
      </c>
      <c r="P85" s="383">
        <v>140</v>
      </c>
      <c r="Q85" s="384" t="s">
        <v>169</v>
      </c>
      <c r="R85" s="384" t="s">
        <v>170</v>
      </c>
      <c r="S85" s="384" t="s">
        <v>170</v>
      </c>
      <c r="T85" s="384" t="s">
        <v>403</v>
      </c>
      <c r="U85" s="385" t="s">
        <v>169</v>
      </c>
      <c r="V85" s="378" t="s">
        <v>172</v>
      </c>
      <c r="W85" s="378"/>
      <c r="X85" s="462" t="s">
        <v>292</v>
      </c>
      <c r="Y85" s="378"/>
      <c r="Z85" s="462" t="s">
        <v>292</v>
      </c>
      <c r="AA85" s="386" t="s">
        <v>404</v>
      </c>
      <c r="AB85" s="387" t="s">
        <v>366</v>
      </c>
      <c r="AC85" s="388">
        <v>530</v>
      </c>
      <c r="AD85" s="389">
        <f>SUM(AC85,AC86)</f>
        <v>530</v>
      </c>
      <c r="AE85" s="465" t="s">
        <v>295</v>
      </c>
      <c r="AF85" s="564" t="s">
        <v>296</v>
      </c>
      <c r="AG85" s="467">
        <f>FP85</f>
        <v>16335000.000000002</v>
      </c>
      <c r="AH85" s="468">
        <f>FQ85</f>
        <v>3300</v>
      </c>
      <c r="AI85" s="468">
        <f>FR85</f>
        <v>800</v>
      </c>
      <c r="AJ85" s="469">
        <f>AK85/AT85</f>
        <v>0.40845791245791241</v>
      </c>
      <c r="AK85" s="468">
        <f>ROUNDUP(27200*1.1,0)</f>
        <v>29920</v>
      </c>
      <c r="AL85" s="469">
        <f>AM85/AT85</f>
        <v>0.40845791245791241</v>
      </c>
      <c r="AM85" s="468">
        <f>ROUNDUP(27200*1.1,0)</f>
        <v>29920</v>
      </c>
      <c r="AN85" s="468" t="s">
        <v>308</v>
      </c>
      <c r="AO85" s="468">
        <f>2500*1.1</f>
        <v>2750</v>
      </c>
      <c r="AP85" s="467">
        <f t="shared" ref="AP85:AQ85" si="6">FS85</f>
        <v>223</v>
      </c>
      <c r="AQ85" s="467">
        <f t="shared" si="6"/>
        <v>395</v>
      </c>
      <c r="AR85" s="474">
        <f>DM85/(BX85-2)</f>
        <v>489.23076923076923</v>
      </c>
      <c r="AS85" s="475">
        <f>AG85/AR85</f>
        <v>33389.150943396227</v>
      </c>
      <c r="AT85" s="476">
        <f>AG85/AP85</f>
        <v>73251.12107623319</v>
      </c>
      <c r="AU85" s="475">
        <f>AG85/AQ85</f>
        <v>41354.430379746838</v>
      </c>
      <c r="AV85" s="477">
        <v>26000</v>
      </c>
      <c r="AW85" s="477">
        <v>48000</v>
      </c>
      <c r="AX85" s="467">
        <f>GA85</f>
        <v>0</v>
      </c>
      <c r="AY85" s="467">
        <f>GB85</f>
        <v>0</v>
      </c>
      <c r="AZ85" s="478">
        <f>GC85</f>
        <v>241114500</v>
      </c>
      <c r="BA85" s="478">
        <f>GD85</f>
        <v>0</v>
      </c>
      <c r="BB85" s="478"/>
      <c r="BC85" s="478">
        <f>AH85*DM85</f>
        <v>20988000</v>
      </c>
      <c r="BD85" s="479">
        <v>79902900</v>
      </c>
      <c r="BE85" s="479"/>
      <c r="BF85" s="479">
        <v>55332860.000000007</v>
      </c>
      <c r="BG85" s="479">
        <v>0</v>
      </c>
      <c r="BH85" s="479">
        <v>5096520</v>
      </c>
      <c r="BI85" s="480">
        <f>200*DM85</f>
        <v>1272000</v>
      </c>
      <c r="BJ85" s="480">
        <f>GK85</f>
        <v>7260000.0000000009</v>
      </c>
      <c r="BK85" s="480">
        <f>BM85*5000*BX85</f>
        <v>375000</v>
      </c>
      <c r="BL85" s="480">
        <f>1800000*BN85*BX85</f>
        <v>27000000</v>
      </c>
      <c r="BM85" s="480">
        <f>GP85</f>
        <v>5</v>
      </c>
      <c r="BN85" s="480">
        <f>GQ85</f>
        <v>1</v>
      </c>
      <c r="BO85" s="481"/>
      <c r="BP85" s="481">
        <f>SUM(AZ85,BA85,BI85,BO85)</f>
        <v>242386500</v>
      </c>
      <c r="BQ85" s="481">
        <f>BP85-GR85</f>
        <v>338600</v>
      </c>
      <c r="BR85" s="594"/>
      <c r="BS85" s="595" t="s">
        <v>175</v>
      </c>
      <c r="BT85" s="484">
        <f>GU85</f>
        <v>46279</v>
      </c>
      <c r="BU85" s="484">
        <f>GV85</f>
        <v>46294</v>
      </c>
      <c r="BV85" s="666">
        <f>IFERROR(INDEX($BY$9:$DH$9, MATCH("準備", BY85:DK85, 0)), "")</f>
        <v>46279</v>
      </c>
      <c r="BW85" s="667" cm="1">
        <f t="array" ref="BW85">IF(COUNTIF(BY85:DK85,"*撤去*")=0,"",INDEX(BY$9:DK$9,1,MAX(IF(CC85:DK85="撤去",COLUMN(CC85:DK85)-COLUMN(BY85)+1))))</f>
        <v>46294</v>
      </c>
      <c r="BX85" s="663">
        <f>BW85-BV85</f>
        <v>15</v>
      </c>
      <c r="BY85" s="556">
        <v>0</v>
      </c>
      <c r="BZ85" s="557">
        <v>0</v>
      </c>
      <c r="CA85" s="557">
        <v>0</v>
      </c>
      <c r="CB85" s="557">
        <v>0</v>
      </c>
      <c r="CC85" s="405">
        <v>0</v>
      </c>
      <c r="CD85" s="403">
        <v>0</v>
      </c>
      <c r="CE85" s="403">
        <v>0</v>
      </c>
      <c r="CF85" s="403">
        <v>0</v>
      </c>
      <c r="CG85" s="403">
        <v>0</v>
      </c>
      <c r="CH85" s="403">
        <v>0</v>
      </c>
      <c r="CI85" s="403">
        <v>0</v>
      </c>
      <c r="CJ85" s="403">
        <v>0</v>
      </c>
      <c r="CK85" s="403">
        <v>0</v>
      </c>
      <c r="CL85" s="403">
        <v>0</v>
      </c>
      <c r="CM85" s="400" t="s">
        <v>177</v>
      </c>
      <c r="CN85" s="400" t="s">
        <v>177</v>
      </c>
      <c r="CO85" s="664">
        <v>530</v>
      </c>
      <c r="CP85" s="403">
        <v>530</v>
      </c>
      <c r="CQ85" s="403">
        <v>530</v>
      </c>
      <c r="CR85" s="404">
        <v>530</v>
      </c>
      <c r="CS85" s="405">
        <v>530</v>
      </c>
      <c r="CT85" s="403">
        <v>530</v>
      </c>
      <c r="CU85" s="403">
        <v>530</v>
      </c>
      <c r="CV85" s="403">
        <v>530</v>
      </c>
      <c r="CW85" s="403">
        <v>530</v>
      </c>
      <c r="CX85" s="403">
        <v>530</v>
      </c>
      <c r="CY85" s="403">
        <v>530</v>
      </c>
      <c r="CZ85" s="403">
        <v>530</v>
      </c>
      <c r="DA85" s="403">
        <v>0</v>
      </c>
      <c r="DB85" s="406" t="s">
        <v>178</v>
      </c>
      <c r="DC85" s="403">
        <v>0</v>
      </c>
      <c r="DD85" s="403">
        <v>0</v>
      </c>
      <c r="DE85" s="403">
        <v>0</v>
      </c>
      <c r="DF85" s="403">
        <v>0</v>
      </c>
      <c r="DG85" s="404">
        <v>0</v>
      </c>
      <c r="DH85" s="405">
        <v>0</v>
      </c>
      <c r="DI85" s="403">
        <v>0</v>
      </c>
      <c r="DJ85" s="403">
        <v>0</v>
      </c>
      <c r="DK85" s="407">
        <v>0</v>
      </c>
      <c r="DL85" s="277"/>
      <c r="DM85" s="277" cm="1">
        <f t="array" ref="DM85">SUM(IF(ISNUMBER($BY85:$DK85),$BY85:$DK85, 0))</f>
        <v>6360</v>
      </c>
      <c r="DN85" s="277">
        <v>4308</v>
      </c>
      <c r="DO85" s="277">
        <f>DM85*(BX85)/(BX85+1)</f>
        <v>5962.5</v>
      </c>
      <c r="DP85" s="277"/>
      <c r="DQ85" s="386" t="s">
        <v>405</v>
      </c>
      <c r="DR85" s="387" t="s">
        <v>366</v>
      </c>
      <c r="DS85" s="388">
        <v>359</v>
      </c>
      <c r="DT85" s="389">
        <f>SUM(DS85,DS86)</f>
        <v>359</v>
      </c>
      <c r="DU85" s="467">
        <v>16335000.000000002</v>
      </c>
      <c r="DV85" s="467">
        <v>0</v>
      </c>
      <c r="DW85" s="478">
        <v>241114500</v>
      </c>
      <c r="DX85" s="478">
        <v>0</v>
      </c>
      <c r="DY85" s="478">
        <v>3733600</v>
      </c>
      <c r="DZ85" s="478">
        <v>74541324</v>
      </c>
      <c r="EA85" s="478">
        <v>49694216</v>
      </c>
      <c r="EB85" s="478">
        <v>3850275</v>
      </c>
      <c r="EC85" s="480">
        <v>933400</v>
      </c>
      <c r="ED85" s="480">
        <v>7260000.0000000009</v>
      </c>
      <c r="EE85" s="480">
        <v>375000</v>
      </c>
      <c r="EF85" s="480">
        <v>27000000</v>
      </c>
      <c r="EG85" s="481"/>
      <c r="EH85" s="481">
        <v>242047900</v>
      </c>
      <c r="EI85" s="484">
        <v>46279</v>
      </c>
      <c r="EJ85" s="484">
        <v>46294</v>
      </c>
      <c r="EK85" s="666">
        <v>46279</v>
      </c>
      <c r="EL85" s="667">
        <v>46294</v>
      </c>
      <c r="EM85" s="663">
        <v>15</v>
      </c>
      <c r="EN85" s="277"/>
      <c r="EO85" s="386" t="s">
        <v>405</v>
      </c>
      <c r="EP85" s="408" t="s">
        <v>366</v>
      </c>
      <c r="EQ85" s="985">
        <v>359</v>
      </c>
      <c r="ER85" s="491">
        <v>359</v>
      </c>
      <c r="ES85" s="245">
        <v>359</v>
      </c>
      <c r="ET85" s="245">
        <v>359</v>
      </c>
      <c r="EU85" s="245">
        <v>425</v>
      </c>
      <c r="EV85" s="411" t="s">
        <v>382</v>
      </c>
      <c r="EW85" s="412">
        <v>0.9</v>
      </c>
      <c r="EX85" s="413">
        <v>2</v>
      </c>
      <c r="EY85" s="414" t="s">
        <v>188</v>
      </c>
      <c r="EZ85" s="492">
        <v>0.9</v>
      </c>
      <c r="FA85" s="493">
        <v>2</v>
      </c>
      <c r="FB85" s="414" t="s">
        <v>189</v>
      </c>
      <c r="FC85" s="492"/>
      <c r="FD85" s="493"/>
      <c r="FE85" s="494" t="s">
        <v>189</v>
      </c>
      <c r="FF85" s="492"/>
      <c r="FG85" s="493"/>
      <c r="FH85" s="494" t="s">
        <v>189</v>
      </c>
      <c r="FI85" s="492"/>
      <c r="FJ85" s="495"/>
      <c r="FK85" s="496">
        <v>68</v>
      </c>
      <c r="FL85" s="497">
        <v>0.15925058548009369</v>
      </c>
      <c r="FM85" s="498" t="s">
        <v>406</v>
      </c>
      <c r="FN85" s="499" t="s">
        <v>300</v>
      </c>
      <c r="FO85" s="564" t="s">
        <v>296</v>
      </c>
      <c r="FP85" s="965">
        <v>16335000.000000002</v>
      </c>
      <c r="FQ85" s="461">
        <v>3300</v>
      </c>
      <c r="FR85" s="468">
        <v>800</v>
      </c>
      <c r="FS85" s="965">
        <v>223</v>
      </c>
      <c r="FT85" s="965">
        <v>395</v>
      </c>
      <c r="FU85" s="393">
        <v>359</v>
      </c>
      <c r="FV85" s="394">
        <v>45501.392757660171</v>
      </c>
      <c r="FW85" s="390">
        <v>73251.12107623319</v>
      </c>
      <c r="FX85" s="394">
        <v>41354.430379746838</v>
      </c>
      <c r="FY85" s="564">
        <v>60000</v>
      </c>
      <c r="FZ85" s="564">
        <v>80000</v>
      </c>
      <c r="GA85" s="965">
        <v>0</v>
      </c>
      <c r="GB85" s="965">
        <v>0</v>
      </c>
      <c r="GC85" s="986">
        <v>241114500</v>
      </c>
      <c r="GD85" s="986">
        <v>0</v>
      </c>
      <c r="GE85" s="986">
        <v>241114500</v>
      </c>
      <c r="GF85" s="986">
        <v>0</v>
      </c>
      <c r="GG85" s="478">
        <v>0</v>
      </c>
      <c r="GH85" s="478">
        <v>0</v>
      </c>
      <c r="GI85" s="478">
        <v>2240160</v>
      </c>
      <c r="GJ85" s="986">
        <v>933400</v>
      </c>
      <c r="GK85" s="736">
        <v>7260000.0000000009</v>
      </c>
      <c r="GL85" s="736"/>
      <c r="GM85" s="480">
        <v>-7260000.0000000009</v>
      </c>
      <c r="GN85" s="480">
        <v>350000</v>
      </c>
      <c r="GO85" s="480">
        <v>27000000</v>
      </c>
      <c r="GP85" s="736">
        <v>5</v>
      </c>
      <c r="GQ85" s="736">
        <v>1</v>
      </c>
      <c r="GR85" s="966">
        <v>242047900</v>
      </c>
      <c r="GS85" s="966">
        <v>-59028540</v>
      </c>
      <c r="GT85" s="595" t="s">
        <v>175</v>
      </c>
      <c r="GU85" s="968">
        <v>46279</v>
      </c>
      <c r="GV85" s="968">
        <v>46294</v>
      </c>
      <c r="GW85" s="666">
        <v>46279</v>
      </c>
      <c r="GX85" s="667">
        <v>46294</v>
      </c>
      <c r="GY85" s="663">
        <v>15</v>
      </c>
      <c r="GZ85" s="556"/>
      <c r="HA85" s="557"/>
      <c r="HB85" s="557"/>
      <c r="HC85" s="557"/>
      <c r="HD85" s="405">
        <v>0</v>
      </c>
      <c r="HE85" s="403">
        <v>0</v>
      </c>
      <c r="HF85" s="403">
        <v>0</v>
      </c>
      <c r="HG85" s="403">
        <v>0</v>
      </c>
      <c r="HH85" s="403">
        <v>0</v>
      </c>
      <c r="HI85" s="403">
        <v>0</v>
      </c>
      <c r="HJ85" s="403">
        <v>0</v>
      </c>
      <c r="HK85" s="403">
        <v>0</v>
      </c>
      <c r="HL85" s="403">
        <v>0</v>
      </c>
      <c r="HM85" s="403">
        <v>0</v>
      </c>
      <c r="HN85" s="400" t="s">
        <v>177</v>
      </c>
      <c r="HO85" s="400" t="s">
        <v>177</v>
      </c>
      <c r="HP85" s="664">
        <v>359</v>
      </c>
      <c r="HQ85" s="403">
        <v>359</v>
      </c>
      <c r="HR85" s="403">
        <v>359</v>
      </c>
      <c r="HS85" s="404">
        <v>359</v>
      </c>
      <c r="HT85" s="405">
        <v>359</v>
      </c>
      <c r="HU85" s="403">
        <v>359</v>
      </c>
      <c r="HV85" s="403">
        <v>359</v>
      </c>
      <c r="HW85" s="403">
        <v>359</v>
      </c>
      <c r="HX85" s="403">
        <v>359</v>
      </c>
      <c r="HY85" s="403">
        <v>359</v>
      </c>
      <c r="HZ85" s="403">
        <v>359</v>
      </c>
      <c r="IA85" s="403">
        <v>359</v>
      </c>
      <c r="IB85" s="403">
        <v>359</v>
      </c>
      <c r="IC85" s="406" t="s">
        <v>178</v>
      </c>
      <c r="ID85" s="403">
        <v>0</v>
      </c>
      <c r="IE85" s="403">
        <v>0</v>
      </c>
      <c r="IF85" s="403">
        <v>0</v>
      </c>
      <c r="IG85" s="403">
        <v>0</v>
      </c>
      <c r="IH85" s="404">
        <v>0</v>
      </c>
      <c r="II85" s="405">
        <v>0</v>
      </c>
      <c r="IJ85" s="403">
        <v>0</v>
      </c>
      <c r="IK85" s="403">
        <v>0</v>
      </c>
      <c r="IL85" s="407">
        <v>0</v>
      </c>
      <c r="IM85" s="277"/>
      <c r="IN85" s="277" cm="1">
        <f t="array" ref="IN85">SUM(IF(ISNUMBER($HD85:$IL85),$HD85:$IL85, 0))</f>
        <v>4667</v>
      </c>
      <c r="IO85" s="426"/>
      <c r="IP85" s="427"/>
      <c r="IQ85" s="541"/>
      <c r="IR85" s="569">
        <f>VLOOKUP($E85,[1]アジアResults1031!$A$1:$CH$259,23,FALSE)</f>
        <v>12009652</v>
      </c>
      <c r="IS85" s="570">
        <f>VLOOKUP($E85,[1]アジアResults1031!$A$1:$CH$259,32,FALSE)</f>
        <v>262</v>
      </c>
      <c r="IT85" s="570">
        <f>KY85/(GY85-2)</f>
        <v>344.30769230769232</v>
      </c>
      <c r="IU85" s="570">
        <f>IR85/IT85</f>
        <v>34880.579982126896</v>
      </c>
      <c r="IV85" s="570">
        <f>VLOOKUP(E85,[1]アジアResults1031!$A$1:$CH$264,26,FALSE)</f>
        <v>35295</v>
      </c>
      <c r="IW85" s="570">
        <f>VLOOKUP(E85,[1]アジアResults1031!$A$1:$CH$264,27,FALSE)</f>
        <v>64706</v>
      </c>
      <c r="IX85" s="571">
        <f>VLOOKUP($E85,[1]アジアResults1031!$A$1:$CH$259,18,FALSE)</f>
        <v>129412</v>
      </c>
      <c r="IY85" s="571">
        <f>VLOOKUP($E85,[1]アジアResults1031!$A$1:$CH$259,9,FALSE)</f>
        <v>1</v>
      </c>
      <c r="IZ85" s="570">
        <f>IR85*JF85</f>
        <v>180144780</v>
      </c>
      <c r="JA85" s="570">
        <f>IX85*JF85</f>
        <v>1941180</v>
      </c>
      <c r="JB85" s="570"/>
      <c r="JC85" s="570"/>
      <c r="JD85" s="572">
        <f>IFERROR(INDEX($JO$9:$KW$9, MATCH("準備", JO85:KW85, 0)), "")</f>
        <v>46279</v>
      </c>
      <c r="JE85" s="572" cm="1">
        <f t="array" ref="JE85">IF(COUNTIF(JO85:KW85,"*撤去*")=0,"",INDEX(JO$9:KW$9,1,MAX(IF(JO85:KW85="撤去",COLUMN(JO85:KW85)-COLUMN(JO85)+1))))</f>
        <v>46294</v>
      </c>
      <c r="JF85" s="573">
        <f>JE85-JD85</f>
        <v>15</v>
      </c>
      <c r="JG85" s="503">
        <v>12579065</v>
      </c>
      <c r="JH85" s="506">
        <v>129412</v>
      </c>
      <c r="JO85" s="507"/>
      <c r="JP85" s="508"/>
      <c r="JQ85" s="508"/>
      <c r="JR85" s="508"/>
      <c r="JS85" s="508"/>
      <c r="JT85" s="508"/>
      <c r="JU85" s="508"/>
      <c r="JV85" s="508"/>
      <c r="JW85" s="508"/>
      <c r="JX85" s="508"/>
      <c r="JY85" s="400" t="s">
        <v>177</v>
      </c>
      <c r="JZ85" s="400" t="s">
        <v>177</v>
      </c>
      <c r="KA85" s="508">
        <v>60</v>
      </c>
      <c r="KB85" s="508">
        <v>371</v>
      </c>
      <c r="KC85" s="508">
        <v>371</v>
      </c>
      <c r="KD85" s="508">
        <v>371</v>
      </c>
      <c r="KE85" s="508">
        <v>371</v>
      </c>
      <c r="KF85" s="508">
        <v>371</v>
      </c>
      <c r="KG85" s="508">
        <v>371</v>
      </c>
      <c r="KH85" s="508">
        <v>365</v>
      </c>
      <c r="KI85" s="508">
        <v>365</v>
      </c>
      <c r="KJ85" s="508">
        <v>365</v>
      </c>
      <c r="KK85" s="508">
        <v>365</v>
      </c>
      <c r="KL85" s="508">
        <v>365</v>
      </c>
      <c r="KM85" s="508">
        <v>365</v>
      </c>
      <c r="KN85" s="406" t="s">
        <v>178</v>
      </c>
      <c r="KO85" s="508"/>
      <c r="KP85" s="508"/>
      <c r="KQ85" s="508"/>
      <c r="KR85" s="508"/>
      <c r="KS85" s="508"/>
      <c r="KT85" s="508"/>
      <c r="KU85" s="508"/>
      <c r="KV85" s="508"/>
      <c r="KW85" s="509"/>
      <c r="KX85" s="277"/>
      <c r="KY85" s="277" cm="1">
        <f t="array" ref="KY85">SUM(IF(ISNUMBER($JO85:$KW85),$JO85:$KW85, 0))</f>
        <v>4476</v>
      </c>
    </row>
    <row r="86" spans="1:398" ht="40" customHeight="1">
      <c r="B86" s="299"/>
      <c r="C86" s="241"/>
      <c r="D86" s="445"/>
      <c r="E86" s="510" t="s">
        <v>165</v>
      </c>
      <c r="F86" s="511"/>
      <c r="G86" s="512">
        <v>0</v>
      </c>
      <c r="H86" s="246">
        <v>0</v>
      </c>
      <c r="I86" s="246">
        <v>0</v>
      </c>
      <c r="J86" s="873">
        <v>0</v>
      </c>
      <c r="K86" s="873"/>
      <c r="L86" s="246">
        <v>0</v>
      </c>
      <c r="M86" s="300">
        <v>0</v>
      </c>
      <c r="N86" s="251">
        <v>0</v>
      </c>
      <c r="O86" s="251"/>
      <c r="P86" s="300">
        <v>0</v>
      </c>
      <c r="Q86" s="251">
        <v>0</v>
      </c>
      <c r="R86" s="251">
        <v>0</v>
      </c>
      <c r="S86" s="251">
        <v>0</v>
      </c>
      <c r="T86" s="251">
        <v>0</v>
      </c>
      <c r="U86" s="301" t="s">
        <v>165</v>
      </c>
      <c r="V86" s="242"/>
      <c r="W86" s="242"/>
      <c r="X86" s="242"/>
      <c r="Y86" s="242"/>
      <c r="Z86" s="242"/>
      <c r="AA86" s="350"/>
      <c r="AB86" s="358" t="s">
        <v>170</v>
      </c>
      <c r="AC86" s="359">
        <v>0</v>
      </c>
      <c r="AD86" s="256"/>
      <c r="AE86" s="655"/>
      <c r="AF86" s="337"/>
      <c r="AG86" s="337"/>
      <c r="AH86" s="337"/>
      <c r="AI86" s="337"/>
      <c r="AJ86" s="337"/>
      <c r="AK86" s="337"/>
      <c r="AL86" s="337"/>
      <c r="AM86" s="337"/>
      <c r="AN86" s="337"/>
      <c r="AO86" s="337"/>
      <c r="AP86" s="337"/>
      <c r="AQ86" s="337"/>
      <c r="AR86" s="337"/>
      <c r="AS86" s="339"/>
      <c r="AT86" s="337"/>
      <c r="AU86" s="339"/>
      <c r="AV86" s="337"/>
      <c r="AW86" s="337"/>
      <c r="AX86" s="337"/>
      <c r="AY86" s="337"/>
      <c r="AZ86" s="611"/>
      <c r="BA86" s="611"/>
      <c r="BB86" s="611"/>
      <c r="BC86" s="611"/>
      <c r="BD86" s="611"/>
      <c r="BE86" s="611"/>
      <c r="BF86" s="611"/>
      <c r="BG86" s="611"/>
      <c r="BH86" s="611"/>
      <c r="BI86" s="611"/>
      <c r="BJ86" s="611"/>
      <c r="BK86" s="611"/>
      <c r="BL86" s="611"/>
      <c r="BM86" s="611"/>
      <c r="BN86" s="611"/>
      <c r="BO86" s="337"/>
      <c r="BP86" s="337"/>
      <c r="BQ86" s="337"/>
      <c r="BR86" s="340"/>
      <c r="BS86" s="342"/>
      <c r="BT86" s="938"/>
      <c r="BU86" s="938"/>
      <c r="BV86" s="615" t="str">
        <f>IFERROR(INDEX($HD$9:$II$9, MATCH("準備", CC86:DK86, 0)), "")</f>
        <v/>
      </c>
      <c r="BW86" s="615" t="str" cm="1">
        <f t="array" ref="BW86">IF(COUNTIF(CC86:DK86,"*撤去*")=0,"",INDEX(CC$9:DK$9,1,MAX(IF(CC86:DK86="撤去",COLUMN(CC86:DK86)-COLUMN(CC86)+1))))</f>
        <v/>
      </c>
      <c r="BX86" s="616"/>
      <c r="BY86" s="360" t="s">
        <v>246</v>
      </c>
      <c r="BZ86" s="361" t="s">
        <v>247</v>
      </c>
      <c r="CA86" s="597"/>
      <c r="CB86" s="597"/>
      <c r="CC86" s="271"/>
      <c r="CD86" s="272"/>
      <c r="CE86" s="272"/>
      <c r="CF86" s="272"/>
      <c r="CG86" s="272"/>
      <c r="CH86" s="272"/>
      <c r="CI86" s="272"/>
      <c r="CJ86" s="272"/>
      <c r="CK86" s="875"/>
      <c r="CL86" s="875"/>
      <c r="CM86" s="363"/>
      <c r="CN86" s="363"/>
      <c r="CO86" s="363"/>
      <c r="CP86" s="363"/>
      <c r="CQ86" s="364"/>
      <c r="CR86" s="365"/>
      <c r="CS86" s="366"/>
      <c r="CT86" s="363"/>
      <c r="CU86" s="363"/>
      <c r="CV86" s="363"/>
      <c r="CW86" s="363"/>
      <c r="CX86" s="363"/>
      <c r="CY86" s="363"/>
      <c r="CZ86" s="363"/>
      <c r="DA86" s="363"/>
      <c r="DB86" s="363"/>
      <c r="DC86" s="875"/>
      <c r="DD86" s="272"/>
      <c r="DE86" s="875"/>
      <c r="DF86" s="779"/>
      <c r="DG86" s="884"/>
      <c r="DH86" s="271"/>
      <c r="DI86" s="875"/>
      <c r="DJ86" s="875"/>
      <c r="DK86" s="886"/>
      <c r="DL86" s="277"/>
      <c r="DM86" s="277"/>
      <c r="DN86" s="277"/>
      <c r="DO86" s="277"/>
      <c r="DP86" s="277"/>
      <c r="DQ86" s="350"/>
      <c r="DR86" s="358" t="s">
        <v>170</v>
      </c>
      <c r="DS86" s="359">
        <v>0</v>
      </c>
      <c r="DT86" s="256"/>
      <c r="DU86" s="337"/>
      <c r="DV86" s="337"/>
      <c r="DW86" s="611"/>
      <c r="DX86" s="611"/>
      <c r="DY86" s="611"/>
      <c r="DZ86" s="611"/>
      <c r="EA86" s="611"/>
      <c r="EB86" s="611"/>
      <c r="EC86" s="611"/>
      <c r="ED86" s="611"/>
      <c r="EE86" s="611"/>
      <c r="EF86" s="611"/>
      <c r="EG86" s="337"/>
      <c r="EH86" s="337"/>
      <c r="EI86" s="938"/>
      <c r="EJ86" s="938"/>
      <c r="EK86" s="615" t="s">
        <v>165</v>
      </c>
      <c r="EL86" s="615" t="s">
        <v>165</v>
      </c>
      <c r="EM86" s="616"/>
      <c r="EN86" s="277"/>
      <c r="EO86" s="350"/>
      <c r="EP86" s="367" t="s">
        <v>170</v>
      </c>
      <c r="EQ86" s="434">
        <v>0</v>
      </c>
      <c r="ER86" s="323"/>
      <c r="ES86" s="323" t="e">
        <v>#N/A</v>
      </c>
      <c r="ET86" s="323"/>
      <c r="EU86" s="323"/>
      <c r="EV86" s="369" t="s">
        <v>170</v>
      </c>
      <c r="EW86" s="370"/>
      <c r="EX86" s="371"/>
      <c r="EY86" s="372" t="s">
        <v>170</v>
      </c>
      <c r="EZ86" s="373"/>
      <c r="FA86" s="374"/>
      <c r="FB86" s="442" t="s">
        <v>170</v>
      </c>
      <c r="FC86" s="440"/>
      <c r="FD86" s="441"/>
      <c r="FE86" s="443" t="s">
        <v>170</v>
      </c>
      <c r="FF86" s="440"/>
      <c r="FG86" s="441"/>
      <c r="FH86" s="443" t="s">
        <v>170</v>
      </c>
      <c r="FI86" s="440"/>
      <c r="FJ86" s="444"/>
      <c r="FK86" s="289"/>
      <c r="FL86" s="290"/>
      <c r="FM86" s="332"/>
      <c r="FN86" s="336"/>
      <c r="FO86" s="337"/>
      <c r="FP86" s="337"/>
      <c r="FQ86" s="337"/>
      <c r="FR86" s="337"/>
      <c r="FS86" s="337"/>
      <c r="FT86" s="337"/>
      <c r="FU86" s="337"/>
      <c r="FV86" s="339"/>
      <c r="FW86" s="337"/>
      <c r="FX86" s="339"/>
      <c r="FY86" s="337"/>
      <c r="FZ86" s="337"/>
      <c r="GA86" s="337"/>
      <c r="GB86" s="337"/>
      <c r="GC86" s="611"/>
      <c r="GD86" s="611"/>
      <c r="GE86" s="611"/>
      <c r="GF86" s="611"/>
      <c r="GG86" s="611"/>
      <c r="GH86" s="611"/>
      <c r="GI86" s="611"/>
      <c r="GJ86" s="611"/>
      <c r="GK86" s="611"/>
      <c r="GL86" s="611"/>
      <c r="GM86" s="611"/>
      <c r="GN86" s="611"/>
      <c r="GO86" s="611"/>
      <c r="GP86" s="611"/>
      <c r="GQ86" s="611"/>
      <c r="GR86" s="337"/>
      <c r="GS86" s="337"/>
      <c r="GT86" s="342"/>
      <c r="GU86" s="938"/>
      <c r="GV86" s="938"/>
      <c r="GW86" s="615" t="s">
        <v>165</v>
      </c>
      <c r="GX86" s="615" t="s">
        <v>165</v>
      </c>
      <c r="GY86" s="616"/>
      <c r="GZ86" s="596"/>
      <c r="HA86" s="597"/>
      <c r="HB86" s="597"/>
      <c r="HC86" s="597"/>
      <c r="HD86" s="271"/>
      <c r="HE86" s="272"/>
      <c r="HF86" s="272"/>
      <c r="HG86" s="272"/>
      <c r="HH86" s="272"/>
      <c r="HI86" s="272"/>
      <c r="HJ86" s="272"/>
      <c r="HK86" s="272"/>
      <c r="HL86" s="875"/>
      <c r="HM86" s="875"/>
      <c r="HN86" s="272"/>
      <c r="HO86" s="272"/>
      <c r="HP86" s="875"/>
      <c r="HQ86" s="875"/>
      <c r="HR86" s="779"/>
      <c r="HS86" s="884"/>
      <c r="HT86" s="874"/>
      <c r="HU86" s="875"/>
      <c r="HV86" s="875"/>
      <c r="HW86" s="875"/>
      <c r="HX86" s="875"/>
      <c r="HY86" s="875"/>
      <c r="HZ86" s="875"/>
      <c r="IA86" s="875"/>
      <c r="IB86" s="875"/>
      <c r="IC86" s="875"/>
      <c r="ID86" s="875"/>
      <c r="IE86" s="272"/>
      <c r="IF86" s="875"/>
      <c r="IG86" s="779"/>
      <c r="IH86" s="884"/>
      <c r="II86" s="271"/>
      <c r="IJ86" s="875"/>
      <c r="IK86" s="875"/>
      <c r="IL86" s="886"/>
      <c r="IM86" s="277"/>
      <c r="IN86" s="277"/>
      <c r="IO86" s="944"/>
      <c r="IP86" s="945"/>
      <c r="IQ86" s="541"/>
      <c r="IR86" s="542"/>
      <c r="IS86" s="543"/>
      <c r="IT86" s="543"/>
      <c r="IU86" s="543"/>
      <c r="IV86" s="543"/>
      <c r="IW86" s="543"/>
      <c r="IX86" s="544"/>
      <c r="IY86" s="544"/>
      <c r="IZ86" s="543"/>
      <c r="JA86" s="543"/>
      <c r="JB86" s="543"/>
      <c r="JC86" s="543"/>
      <c r="JD86" s="545"/>
      <c r="JE86" s="545"/>
      <c r="JF86" s="546"/>
      <c r="JG86" s="503"/>
      <c r="JH86" s="506"/>
      <c r="JO86" s="507"/>
      <c r="JP86" s="508"/>
      <c r="JQ86" s="508"/>
      <c r="JR86" s="508"/>
      <c r="JS86" s="508"/>
      <c r="JT86" s="508"/>
      <c r="JU86" s="508"/>
      <c r="JV86" s="508"/>
      <c r="JW86" s="508"/>
      <c r="JX86" s="508"/>
      <c r="JY86" s="508"/>
      <c r="JZ86" s="508"/>
      <c r="KA86" s="508"/>
      <c r="KB86" s="508"/>
      <c r="KC86" s="508"/>
      <c r="KD86" s="508"/>
      <c r="KE86" s="508"/>
      <c r="KF86" s="508"/>
      <c r="KG86" s="508"/>
      <c r="KH86" s="508"/>
      <c r="KI86" s="508"/>
      <c r="KJ86" s="508"/>
      <c r="KK86" s="508"/>
      <c r="KL86" s="508"/>
      <c r="KM86" s="508"/>
      <c r="KN86" s="508"/>
      <c r="KO86" s="508"/>
      <c r="KP86" s="508"/>
      <c r="KQ86" s="508"/>
      <c r="KR86" s="508"/>
      <c r="KS86" s="508"/>
      <c r="KT86" s="508"/>
      <c r="KU86" s="508"/>
      <c r="KV86" s="508"/>
      <c r="KW86" s="509"/>
      <c r="KX86" s="277"/>
      <c r="KY86" s="277"/>
    </row>
    <row r="87" spans="1:398" ht="40" customHeight="1">
      <c r="B87" s="299"/>
      <c r="C87" s="241"/>
      <c r="D87" s="378"/>
      <c r="E87" s="379">
        <v>304</v>
      </c>
      <c r="F87" s="987" t="s">
        <v>407</v>
      </c>
      <c r="G87" s="381">
        <v>180</v>
      </c>
      <c r="H87" s="549">
        <v>246</v>
      </c>
      <c r="I87" s="549">
        <v>78</v>
      </c>
      <c r="J87" s="549">
        <v>139</v>
      </c>
      <c r="K87" s="245" t="s">
        <v>408</v>
      </c>
      <c r="L87" s="549">
        <v>192</v>
      </c>
      <c r="M87" s="383">
        <v>3</v>
      </c>
      <c r="N87" s="384" t="s">
        <v>318</v>
      </c>
      <c r="O87" s="384" t="s">
        <v>168</v>
      </c>
      <c r="P87" s="383">
        <v>80</v>
      </c>
      <c r="Q87" s="384" t="s">
        <v>170</v>
      </c>
      <c r="R87" s="384" t="s">
        <v>290</v>
      </c>
      <c r="S87" s="384" t="s">
        <v>169</v>
      </c>
      <c r="T87" s="384" t="s">
        <v>409</v>
      </c>
      <c r="U87" s="385" t="s">
        <v>169</v>
      </c>
      <c r="V87" s="378" t="s">
        <v>172</v>
      </c>
      <c r="W87" s="378"/>
      <c r="X87" s="378" t="s">
        <v>292</v>
      </c>
      <c r="Y87" s="378" t="s">
        <v>292</v>
      </c>
      <c r="Z87" s="378"/>
      <c r="AA87" s="887" t="s">
        <v>275</v>
      </c>
      <c r="AB87" s="463"/>
      <c r="AC87" s="464"/>
      <c r="AD87" s="389">
        <f>SUM(AC87,AC88)</f>
        <v>0</v>
      </c>
      <c r="AE87" s="257" t="s">
        <v>175</v>
      </c>
      <c r="AF87" s="564" t="s">
        <v>296</v>
      </c>
      <c r="AG87" s="888"/>
      <c r="AH87" s="889">
        <f>FQ87</f>
        <v>0</v>
      </c>
      <c r="AI87" s="889"/>
      <c r="AJ87" s="889"/>
      <c r="AK87" s="889"/>
      <c r="AL87" s="889"/>
      <c r="AM87" s="889"/>
      <c r="AN87" s="889"/>
      <c r="AO87" s="889"/>
      <c r="AP87" s="889"/>
      <c r="AQ87" s="889"/>
      <c r="AR87" s="890"/>
      <c r="AS87" s="891"/>
      <c r="AT87" s="892"/>
      <c r="AU87" s="891"/>
      <c r="AV87" s="892">
        <v>26000</v>
      </c>
      <c r="AW87" s="892">
        <v>48000</v>
      </c>
      <c r="AX87" s="888"/>
      <c r="AY87" s="889"/>
      <c r="AZ87" s="893">
        <v>49638000</v>
      </c>
      <c r="BA87" s="893"/>
      <c r="BB87" s="893">
        <f>AI87*DM87</f>
        <v>0</v>
      </c>
      <c r="BC87" s="893"/>
      <c r="BD87" s="893"/>
      <c r="BE87" s="893"/>
      <c r="BF87" s="893"/>
      <c r="BG87" s="893"/>
      <c r="BH87" s="893"/>
      <c r="BI87" s="893"/>
      <c r="BJ87" s="893">
        <v>11222400</v>
      </c>
      <c r="BK87" s="893"/>
      <c r="BL87" s="893"/>
      <c r="BM87" s="893">
        <f>GP87</f>
        <v>4</v>
      </c>
      <c r="BN87" s="894">
        <f>GQ87</f>
        <v>0</v>
      </c>
      <c r="BO87" s="481"/>
      <c r="BP87" s="481">
        <f>SUM(AZ87,BA87,BI87,BO87)</f>
        <v>49638000</v>
      </c>
      <c r="BQ87" s="481">
        <f>BP87-GR87</f>
        <v>-16459200</v>
      </c>
      <c r="BR87" s="594"/>
      <c r="BS87" s="595" t="s">
        <v>175</v>
      </c>
      <c r="BT87" s="484">
        <f>GU87</f>
        <v>45913</v>
      </c>
      <c r="BU87" s="484">
        <f>GV87</f>
        <v>45936</v>
      </c>
      <c r="BV87" s="666" t="str">
        <f>IFERROR(INDEX($BY$9:$DH$9, MATCH("準備", BY87:DK87, 0)), "")</f>
        <v/>
      </c>
      <c r="BW87" s="667" t="str" cm="1">
        <f t="array" ref="BW87">IF(COUNTIF(BY87:DK87,"*撤去*")=0,"",INDEX(BY$9:DK$9,1,MAX(IF(CC87:DK87="撤去",COLUMN(CC87:DK87)-COLUMN(BY87)+1))))</f>
        <v/>
      </c>
      <c r="BX87" s="663" t="e">
        <f>BW87-BV87</f>
        <v>#VALUE!</v>
      </c>
      <c r="BY87" s="556"/>
      <c r="BZ87" s="557"/>
      <c r="CA87" s="557"/>
      <c r="CB87" s="557"/>
      <c r="CC87" s="487"/>
      <c r="CD87" s="488"/>
      <c r="CE87" s="488"/>
      <c r="CF87" s="488"/>
      <c r="CG87" s="488"/>
      <c r="CH87" s="488"/>
      <c r="CI87" s="488"/>
      <c r="CJ87" s="488"/>
      <c r="CK87" s="488"/>
      <c r="CL87" s="488"/>
      <c r="CM87" s="488"/>
      <c r="CN87" s="488"/>
      <c r="CO87" s="488"/>
      <c r="CP87" s="488"/>
      <c r="CQ87" s="403"/>
      <c r="CR87" s="404"/>
      <c r="CS87" s="487"/>
      <c r="CT87" s="488"/>
      <c r="CU87" s="488"/>
      <c r="CV87" s="488"/>
      <c r="CW87" s="488"/>
      <c r="CX87" s="488"/>
      <c r="CY87" s="488"/>
      <c r="CZ87" s="488"/>
      <c r="DA87" s="488"/>
      <c r="DB87" s="488"/>
      <c r="DC87" s="488"/>
      <c r="DD87" s="488"/>
      <c r="DE87" s="488"/>
      <c r="DF87" s="403"/>
      <c r="DG87" s="404"/>
      <c r="DH87" s="487"/>
      <c r="DI87" s="488"/>
      <c r="DJ87" s="488"/>
      <c r="DK87" s="407"/>
      <c r="DL87" s="277"/>
      <c r="DM87" s="277" cm="1">
        <f t="array" ref="DM87">SUM(IF(ISNUMBER($BY87:$DK87),$BY87:$DK87, 0))</f>
        <v>0</v>
      </c>
      <c r="DN87" s="277"/>
      <c r="DO87" s="277"/>
      <c r="DP87" s="277"/>
      <c r="DQ87" s="887" t="s">
        <v>275</v>
      </c>
      <c r="DR87" s="463"/>
      <c r="DS87" s="464"/>
      <c r="DT87" s="389">
        <f>SUM(DS87,DS88)</f>
        <v>0</v>
      </c>
      <c r="DU87" s="888"/>
      <c r="DV87" s="888"/>
      <c r="DW87" s="893"/>
      <c r="DX87" s="893"/>
      <c r="DY87" s="893">
        <v>0</v>
      </c>
      <c r="DZ87" s="893"/>
      <c r="EA87" s="893"/>
      <c r="EB87" s="893"/>
      <c r="EC87" s="893"/>
      <c r="ED87" s="893">
        <v>0</v>
      </c>
      <c r="EE87" s="893"/>
      <c r="EF87" s="893"/>
      <c r="EG87" s="481"/>
      <c r="EH87" s="481">
        <v>0</v>
      </c>
      <c r="EI87" s="484">
        <v>45913</v>
      </c>
      <c r="EJ87" s="484">
        <v>45936</v>
      </c>
      <c r="EK87" s="666" t="s">
        <v>165</v>
      </c>
      <c r="EL87" s="667" t="s">
        <v>165</v>
      </c>
      <c r="EM87" s="663" t="e">
        <v>#VALUE!</v>
      </c>
      <c r="EN87" s="277"/>
      <c r="EO87" s="630" t="s">
        <v>397</v>
      </c>
      <c r="EP87" s="489" t="s">
        <v>398</v>
      </c>
      <c r="EQ87" s="560">
        <v>96</v>
      </c>
      <c r="ER87" s="410">
        <v>192</v>
      </c>
      <c r="ES87" s="245">
        <v>176</v>
      </c>
      <c r="ET87" s="245">
        <v>176</v>
      </c>
      <c r="EU87" s="245">
        <v>166</v>
      </c>
      <c r="EV87" s="411" t="s">
        <v>410</v>
      </c>
      <c r="EW87" s="412">
        <v>20.100000000000001</v>
      </c>
      <c r="EX87" s="413">
        <v>26</v>
      </c>
      <c r="EY87" s="414" t="s">
        <v>411</v>
      </c>
      <c r="EZ87" s="492">
        <v>21</v>
      </c>
      <c r="FA87" s="493">
        <v>27</v>
      </c>
      <c r="FB87" s="414" t="s">
        <v>189</v>
      </c>
      <c r="FC87" s="492"/>
      <c r="FD87" s="493"/>
      <c r="FE87" s="494" t="s">
        <v>189</v>
      </c>
      <c r="FF87" s="492"/>
      <c r="FG87" s="493"/>
      <c r="FH87" s="494" t="s">
        <v>189</v>
      </c>
      <c r="FI87" s="492"/>
      <c r="FJ87" s="495"/>
      <c r="FK87" s="496">
        <v>114</v>
      </c>
      <c r="FL87" s="497">
        <v>0.46341463414634149</v>
      </c>
      <c r="FM87" s="498" t="s">
        <v>412</v>
      </c>
      <c r="FN87" s="499" t="s">
        <v>300</v>
      </c>
      <c r="FO87" s="564" t="s">
        <v>296</v>
      </c>
      <c r="FP87" s="965">
        <v>2134000</v>
      </c>
      <c r="FQ87" s="461">
        <v>0</v>
      </c>
      <c r="FR87" s="468">
        <v>4100</v>
      </c>
      <c r="FS87" s="965">
        <v>78</v>
      </c>
      <c r="FT87" s="965">
        <v>139</v>
      </c>
      <c r="FU87" s="393">
        <v>192</v>
      </c>
      <c r="FV87" s="394">
        <v>11114.583333333334</v>
      </c>
      <c r="FW87" s="390">
        <v>27358.974358974359</v>
      </c>
      <c r="FX87" s="394">
        <v>15352.51798561151</v>
      </c>
      <c r="FY87" s="395">
        <v>11753</v>
      </c>
      <c r="FZ87" s="395">
        <v>21153</v>
      </c>
      <c r="GA87" s="965">
        <v>467600</v>
      </c>
      <c r="GB87" s="965">
        <v>3</v>
      </c>
      <c r="GC87" s="986">
        <v>49082000</v>
      </c>
      <c r="GD87" s="986">
        <v>16247200</v>
      </c>
      <c r="GE87" s="986">
        <v>49082000</v>
      </c>
      <c r="GF87" s="986">
        <v>16247200</v>
      </c>
      <c r="GG87" s="478">
        <v>0</v>
      </c>
      <c r="GH87" s="478">
        <v>0</v>
      </c>
      <c r="GI87" s="478">
        <v>9446400</v>
      </c>
      <c r="GJ87" s="986">
        <v>768000</v>
      </c>
      <c r="GK87" s="736"/>
      <c r="GL87" s="736"/>
      <c r="GM87" s="480">
        <v>0</v>
      </c>
      <c r="GN87" s="480">
        <v>280000</v>
      </c>
      <c r="GO87" s="480">
        <v>0</v>
      </c>
      <c r="GP87" s="736">
        <v>4</v>
      </c>
      <c r="GQ87" s="736">
        <v>0</v>
      </c>
      <c r="GR87" s="966">
        <v>66097200</v>
      </c>
      <c r="GS87" s="966">
        <v>-21783698</v>
      </c>
      <c r="GT87" s="595" t="s">
        <v>175</v>
      </c>
      <c r="GU87" s="968">
        <v>45913</v>
      </c>
      <c r="GV87" s="988">
        <v>45936</v>
      </c>
      <c r="GW87" s="666">
        <v>46278</v>
      </c>
      <c r="GX87" s="667">
        <v>46300</v>
      </c>
      <c r="GY87" s="663">
        <v>22</v>
      </c>
      <c r="GZ87" s="556"/>
      <c r="HA87" s="557"/>
      <c r="HB87" s="557"/>
      <c r="HC87" s="557"/>
      <c r="HD87" s="487">
        <v>0</v>
      </c>
      <c r="HE87" s="488">
        <v>0</v>
      </c>
      <c r="HF87" s="488">
        <v>0</v>
      </c>
      <c r="HG87" s="488">
        <v>0</v>
      </c>
      <c r="HH87" s="488">
        <v>0</v>
      </c>
      <c r="HI87" s="488">
        <v>0</v>
      </c>
      <c r="HJ87" s="488">
        <v>0</v>
      </c>
      <c r="HK87" s="488">
        <v>0</v>
      </c>
      <c r="HL87" s="488">
        <v>0</v>
      </c>
      <c r="HM87" s="400" t="s">
        <v>177</v>
      </c>
      <c r="HN87" s="400" t="s">
        <v>177</v>
      </c>
      <c r="HO87" s="488">
        <v>192</v>
      </c>
      <c r="HP87" s="488">
        <v>192</v>
      </c>
      <c r="HQ87" s="488">
        <v>192</v>
      </c>
      <c r="HR87" s="403">
        <v>192</v>
      </c>
      <c r="HS87" s="404">
        <v>192</v>
      </c>
      <c r="HT87" s="487">
        <v>192</v>
      </c>
      <c r="HU87" s="488">
        <v>192</v>
      </c>
      <c r="HV87" s="488">
        <v>192</v>
      </c>
      <c r="HW87" s="488">
        <v>192</v>
      </c>
      <c r="HX87" s="488">
        <v>192</v>
      </c>
      <c r="HY87" s="488">
        <v>192</v>
      </c>
      <c r="HZ87" s="488">
        <v>192</v>
      </c>
      <c r="IA87" s="488">
        <v>192</v>
      </c>
      <c r="IB87" s="488">
        <v>192</v>
      </c>
      <c r="IC87" s="488">
        <v>192</v>
      </c>
      <c r="ID87" s="488">
        <v>192</v>
      </c>
      <c r="IE87" s="488">
        <v>192</v>
      </c>
      <c r="IF87" s="488">
        <v>192</v>
      </c>
      <c r="IG87" s="403">
        <v>192</v>
      </c>
      <c r="IH87" s="404">
        <v>192</v>
      </c>
      <c r="II87" s="603" t="s">
        <v>178</v>
      </c>
      <c r="IJ87" s="488">
        <v>0</v>
      </c>
      <c r="IK87" s="488">
        <v>0</v>
      </c>
      <c r="IL87" s="407">
        <v>0</v>
      </c>
      <c r="IM87" s="277"/>
      <c r="IN87" s="277" cm="1">
        <f t="array" ref="IN87">SUM(IF(ISNUMBER($HD87:$IL87),$HD87:$IL87, 0))</f>
        <v>3840</v>
      </c>
      <c r="IO87" s="333"/>
      <c r="IP87" s="334"/>
      <c r="IQ87" s="541"/>
      <c r="IR87" s="569">
        <f>VLOOKUP($E87,[1]アジアResults1031!$A$1:$CH$259,23,FALSE)</f>
        <v>2935686</v>
      </c>
      <c r="IS87" s="570">
        <f>VLOOKUP($E87,[1]アジアResults1031!$A$1:$CH$259,32,FALSE)</f>
        <v>180</v>
      </c>
      <c r="IT87" s="570">
        <f>KY87/(GY87-2)</f>
        <v>99.6</v>
      </c>
      <c r="IU87" s="570">
        <f>IR87/IT87</f>
        <v>29474.75903614458</v>
      </c>
      <c r="IV87" s="570">
        <f>VLOOKUP(E87,[1]アジアResults1031!$A$1:$CH$264,26,FALSE)</f>
        <v>11753</v>
      </c>
      <c r="IW87" s="570">
        <f>VLOOKUP(E87,[1]アジアResults1031!$A$1:$CH$264,27,FALSE)</f>
        <v>21153</v>
      </c>
      <c r="IX87" s="571">
        <f>VLOOKUP($E87,[1]アジアResults1031!$A$1:$CH$259,18,FALSE)</f>
        <v>174707</v>
      </c>
      <c r="IY87" s="571">
        <f>VLOOKUP($E87,[1]アジアResults1031!$A$1:$CH$259,9,FALSE)</f>
        <v>3</v>
      </c>
      <c r="IZ87" s="570">
        <f>IR87*JF87</f>
        <v>41099604</v>
      </c>
      <c r="JA87" s="570">
        <f>IX87*JF87</f>
        <v>2445898</v>
      </c>
      <c r="JB87" s="570"/>
      <c r="JC87" s="570"/>
      <c r="JD87" s="572">
        <f>IFERROR(INDEX($JO$9:$KW$9, MATCH("準備", JO87:KW87, 0)), "")</f>
        <v>46279</v>
      </c>
      <c r="JE87" s="572" cm="1">
        <f t="array" ref="JE87">IF(COUNTIF(JO87:KW87,"*撤去*")=0,"",INDEX(JO$9:KW$9,1,MAX(IF(JO87:KW87="撤去",COLUMN(JO87:KW87)-COLUMN(JO87)+1))))</f>
        <v>46293</v>
      </c>
      <c r="JF87" s="573">
        <f>JE87-JD87</f>
        <v>14</v>
      </c>
      <c r="JG87" s="574">
        <v>2935686</v>
      </c>
      <c r="JH87" s="575">
        <v>174707</v>
      </c>
      <c r="JO87" s="507"/>
      <c r="JP87" s="508"/>
      <c r="JQ87" s="508"/>
      <c r="JR87" s="508"/>
      <c r="JS87" s="508"/>
      <c r="JT87" s="508"/>
      <c r="JU87" s="508"/>
      <c r="JV87" s="508"/>
      <c r="JW87" s="508"/>
      <c r="JX87" s="508"/>
      <c r="JY87" s="400" t="s">
        <v>177</v>
      </c>
      <c r="JZ87" s="400" t="s">
        <v>177</v>
      </c>
      <c r="KA87" s="508">
        <v>166</v>
      </c>
      <c r="KB87" s="508">
        <v>166</v>
      </c>
      <c r="KC87" s="508">
        <v>166</v>
      </c>
      <c r="KD87" s="508">
        <v>166</v>
      </c>
      <c r="KE87" s="508">
        <v>166</v>
      </c>
      <c r="KF87" s="508">
        <v>166</v>
      </c>
      <c r="KG87" s="508">
        <v>166</v>
      </c>
      <c r="KH87" s="508">
        <v>166</v>
      </c>
      <c r="KI87" s="508">
        <v>166</v>
      </c>
      <c r="KJ87" s="508">
        <v>166</v>
      </c>
      <c r="KK87" s="508">
        <v>166</v>
      </c>
      <c r="KL87" s="508">
        <v>166</v>
      </c>
      <c r="KM87" s="406" t="s">
        <v>178</v>
      </c>
      <c r="KN87" s="508"/>
      <c r="KO87" s="508"/>
      <c r="KP87" s="508"/>
      <c r="KQ87" s="508"/>
      <c r="KR87" s="508"/>
      <c r="KS87" s="508"/>
      <c r="KT87" s="508"/>
      <c r="KU87" s="508"/>
      <c r="KV87" s="508"/>
      <c r="KW87" s="509"/>
      <c r="KX87" s="277"/>
      <c r="KY87" s="277" cm="1">
        <f t="array" ref="KY87">SUM(IF(ISNUMBER($JO87:$KW87),$JO87:$KW87, 0))</f>
        <v>1992</v>
      </c>
    </row>
    <row r="88" spans="1:398" ht="40" customHeight="1" thickBot="1">
      <c r="B88" s="899"/>
      <c r="C88" s="989"/>
      <c r="D88" s="800"/>
      <c r="E88" s="801"/>
      <c r="F88" s="802"/>
      <c r="G88" s="803"/>
      <c r="H88" s="803"/>
      <c r="I88" s="803">
        <v>0</v>
      </c>
      <c r="J88" s="990">
        <v>0</v>
      </c>
      <c r="K88" s="990"/>
      <c r="L88" s="803">
        <v>0</v>
      </c>
      <c r="M88" s="804"/>
      <c r="N88" s="805"/>
      <c r="O88" s="805"/>
      <c r="P88" s="804"/>
      <c r="Q88" s="805"/>
      <c r="R88" s="805"/>
      <c r="S88" s="805"/>
      <c r="T88" s="805"/>
      <c r="U88" s="806" t="s">
        <v>165</v>
      </c>
      <c r="V88" s="800"/>
      <c r="W88" s="800"/>
      <c r="X88" s="800"/>
      <c r="Y88" s="800"/>
      <c r="Z88" s="800"/>
      <c r="AA88" s="991"/>
      <c r="AB88" s="689"/>
      <c r="AC88" s="690"/>
      <c r="AD88" s="691"/>
      <c r="AE88" s="810"/>
      <c r="AF88" s="811"/>
      <c r="AG88" s="811"/>
      <c r="AH88" s="811"/>
      <c r="AI88" s="811"/>
      <c r="AJ88" s="811"/>
      <c r="AK88" s="811"/>
      <c r="AL88" s="811"/>
      <c r="AM88" s="811"/>
      <c r="AN88" s="811"/>
      <c r="AO88" s="811"/>
      <c r="AP88" s="811"/>
      <c r="AQ88" s="811"/>
      <c r="AR88" s="811"/>
      <c r="AS88" s="812"/>
      <c r="AT88" s="811"/>
      <c r="AU88" s="812"/>
      <c r="AV88" s="811"/>
      <c r="AW88" s="811"/>
      <c r="AX88" s="811"/>
      <c r="AY88" s="811"/>
      <c r="AZ88" s="813"/>
      <c r="BA88" s="813"/>
      <c r="BB88" s="813"/>
      <c r="BC88" s="813"/>
      <c r="BD88" s="813"/>
      <c r="BE88" s="813"/>
      <c r="BF88" s="813"/>
      <c r="BG88" s="813"/>
      <c r="BH88" s="813"/>
      <c r="BI88" s="813"/>
      <c r="BJ88" s="813"/>
      <c r="BK88" s="813"/>
      <c r="BL88" s="813"/>
      <c r="BM88" s="813"/>
      <c r="BN88" s="813"/>
      <c r="BO88" s="811"/>
      <c r="BP88" s="811"/>
      <c r="BQ88" s="811"/>
      <c r="BR88" s="992"/>
      <c r="BS88" s="993"/>
      <c r="BT88" s="994"/>
      <c r="BU88" s="994"/>
      <c r="BV88" s="818" t="str">
        <f>IFERROR(INDEX($HD$9:$II$9, MATCH("準備", CC88:DK88, 0)), "")</f>
        <v/>
      </c>
      <c r="BW88" s="818" t="str" cm="1">
        <f t="array" ref="BW88">IF(COUNTIF(CC88:DK88,"*撤去*")=0,"",INDEX(CC$9:DK$9,1,MAX(IF(CC88:DK88="撤去",COLUMN(CC88:DK88)-COLUMN(CC88)+1))))</f>
        <v/>
      </c>
      <c r="BX88" s="819"/>
      <c r="BY88" s="820" t="s">
        <v>246</v>
      </c>
      <c r="BZ88" s="821" t="s">
        <v>247</v>
      </c>
      <c r="CA88" s="995"/>
      <c r="CB88" s="995"/>
      <c r="CC88" s="996"/>
      <c r="CD88" s="997"/>
      <c r="CE88" s="997"/>
      <c r="CF88" s="997"/>
      <c r="CG88" s="997"/>
      <c r="CH88" s="997"/>
      <c r="CI88" s="622"/>
      <c r="CJ88" s="622"/>
      <c r="CK88" s="622"/>
      <c r="CL88" s="904">
        <v>0</v>
      </c>
      <c r="CM88" s="904">
        <v>0</v>
      </c>
      <c r="CN88" s="904">
        <v>78</v>
      </c>
      <c r="CO88" s="904">
        <v>78</v>
      </c>
      <c r="CP88" s="904">
        <v>78</v>
      </c>
      <c r="CQ88" s="998">
        <v>78</v>
      </c>
      <c r="CR88" s="902">
        <v>78</v>
      </c>
      <c r="CS88" s="903">
        <v>78</v>
      </c>
      <c r="CT88" s="904">
        <v>78</v>
      </c>
      <c r="CU88" s="904">
        <v>78</v>
      </c>
      <c r="CV88" s="904">
        <v>78</v>
      </c>
      <c r="CW88" s="904">
        <v>78</v>
      </c>
      <c r="CX88" s="904">
        <v>78</v>
      </c>
      <c r="CY88" s="904">
        <v>78</v>
      </c>
      <c r="CZ88" s="904">
        <v>78</v>
      </c>
      <c r="DA88" s="904">
        <v>78</v>
      </c>
      <c r="DB88" s="904">
        <v>78</v>
      </c>
      <c r="DC88" s="904">
        <v>78</v>
      </c>
      <c r="DD88" s="904">
        <v>78</v>
      </c>
      <c r="DE88" s="904">
        <v>78</v>
      </c>
      <c r="DF88" s="998">
        <v>78</v>
      </c>
      <c r="DG88" s="902">
        <v>78</v>
      </c>
      <c r="DH88" s="903">
        <v>0</v>
      </c>
      <c r="DI88" s="272"/>
      <c r="DJ88" s="272"/>
      <c r="DK88" s="276"/>
      <c r="DL88" s="277"/>
      <c r="DM88" s="277"/>
      <c r="DN88" s="277"/>
      <c r="DO88" s="277"/>
      <c r="DP88" s="277"/>
      <c r="DQ88" s="991"/>
      <c r="DR88" s="689"/>
      <c r="DS88" s="690"/>
      <c r="DT88" s="691"/>
      <c r="DU88" s="811"/>
      <c r="DV88" s="811"/>
      <c r="DW88" s="813"/>
      <c r="DX88" s="813"/>
      <c r="DY88" s="813"/>
      <c r="DZ88" s="813"/>
      <c r="EA88" s="813"/>
      <c r="EB88" s="813"/>
      <c r="EC88" s="813"/>
      <c r="ED88" s="813"/>
      <c r="EE88" s="813"/>
      <c r="EF88" s="813"/>
      <c r="EG88" s="811"/>
      <c r="EH88" s="811"/>
      <c r="EI88" s="994"/>
      <c r="EJ88" s="994"/>
      <c r="EK88" s="818" t="s">
        <v>165</v>
      </c>
      <c r="EL88" s="818" t="s">
        <v>165</v>
      </c>
      <c r="EM88" s="819"/>
      <c r="EN88" s="277"/>
      <c r="EO88" s="688" t="s">
        <v>400</v>
      </c>
      <c r="EP88" s="698" t="s">
        <v>398</v>
      </c>
      <c r="EQ88" s="699">
        <v>96</v>
      </c>
      <c r="ER88" s="999"/>
      <c r="ES88" s="700" t="e">
        <v>#N/A</v>
      </c>
      <c r="ET88" s="700"/>
      <c r="EU88" s="700"/>
      <c r="EV88" s="1000" t="s">
        <v>410</v>
      </c>
      <c r="EW88" s="1001">
        <v>20</v>
      </c>
      <c r="EX88" s="1002">
        <v>26</v>
      </c>
      <c r="EY88" s="1003" t="s">
        <v>411</v>
      </c>
      <c r="EZ88" s="1004">
        <v>21</v>
      </c>
      <c r="FA88" s="1005">
        <v>27</v>
      </c>
      <c r="FB88" s="704" t="s">
        <v>189</v>
      </c>
      <c r="FC88" s="705"/>
      <c r="FD88" s="706"/>
      <c r="FE88" s="707" t="s">
        <v>189</v>
      </c>
      <c r="FF88" s="705"/>
      <c r="FG88" s="706"/>
      <c r="FH88" s="707" t="s">
        <v>189</v>
      </c>
      <c r="FI88" s="705"/>
      <c r="FJ88" s="708"/>
      <c r="FK88" s="709"/>
      <c r="FL88" s="710"/>
      <c r="FM88" s="1006"/>
      <c r="FN88" s="810"/>
      <c r="FO88" s="811"/>
      <c r="FP88" s="811"/>
      <c r="FQ88" s="811"/>
      <c r="FR88" s="811"/>
      <c r="FS88" s="811"/>
      <c r="FT88" s="811"/>
      <c r="FU88" s="811"/>
      <c r="FV88" s="812"/>
      <c r="FW88" s="811"/>
      <c r="FX88" s="812"/>
      <c r="FY88" s="811"/>
      <c r="FZ88" s="811"/>
      <c r="GA88" s="811"/>
      <c r="GB88" s="811"/>
      <c r="GC88" s="813"/>
      <c r="GD88" s="813"/>
      <c r="GE88" s="813"/>
      <c r="GF88" s="813"/>
      <c r="GG88" s="813"/>
      <c r="GH88" s="813"/>
      <c r="GI88" s="813"/>
      <c r="GJ88" s="813"/>
      <c r="GK88" s="813"/>
      <c r="GL88" s="813"/>
      <c r="GM88" s="813"/>
      <c r="GN88" s="813"/>
      <c r="GO88" s="813"/>
      <c r="GP88" s="813"/>
      <c r="GQ88" s="813"/>
      <c r="GR88" s="811"/>
      <c r="GS88" s="811"/>
      <c r="GT88" s="993"/>
      <c r="GU88" s="994"/>
      <c r="GV88" s="994"/>
      <c r="GW88" s="818" t="s">
        <v>165</v>
      </c>
      <c r="GX88" s="818" t="s">
        <v>165</v>
      </c>
      <c r="GY88" s="819"/>
      <c r="GZ88" s="1007"/>
      <c r="HA88" s="822"/>
      <c r="HB88" s="822"/>
      <c r="HC88" s="822"/>
      <c r="HD88" s="1008"/>
      <c r="HE88" s="1009"/>
      <c r="HF88" s="1009"/>
      <c r="HG88" s="1009"/>
      <c r="HH88" s="1009"/>
      <c r="HI88" s="1009"/>
      <c r="HJ88" s="272"/>
      <c r="HK88" s="272"/>
      <c r="HL88" s="272"/>
      <c r="HM88" s="272"/>
      <c r="HN88" s="272"/>
      <c r="HO88" s="272"/>
      <c r="HP88" s="272"/>
      <c r="HQ88" s="272"/>
      <c r="HR88" s="274"/>
      <c r="HS88" s="275"/>
      <c r="HT88" s="271"/>
      <c r="HU88" s="272"/>
      <c r="HV88" s="272"/>
      <c r="HW88" s="272"/>
      <c r="HX88" s="272"/>
      <c r="HY88" s="272"/>
      <c r="HZ88" s="272"/>
      <c r="IA88" s="272"/>
      <c r="IB88" s="272"/>
      <c r="IC88" s="272"/>
      <c r="ID88" s="272"/>
      <c r="IE88" s="272"/>
      <c r="IF88" s="272"/>
      <c r="IG88" s="274"/>
      <c r="IH88" s="275"/>
      <c r="II88" s="271"/>
      <c r="IJ88" s="272"/>
      <c r="IK88" s="272"/>
      <c r="IL88" s="276"/>
      <c r="IM88" s="277"/>
      <c r="IN88" s="277"/>
      <c r="IO88" s="333"/>
      <c r="IP88" s="334"/>
      <c r="IQ88" s="541"/>
      <c r="IR88" s="722"/>
      <c r="IS88" s="723"/>
      <c r="IT88" s="723"/>
      <c r="IU88" s="723"/>
      <c r="IV88" s="723"/>
      <c r="IW88" s="723"/>
      <c r="IX88" s="724"/>
      <c r="IY88" s="724"/>
      <c r="IZ88" s="723"/>
      <c r="JA88" s="723"/>
      <c r="JB88" s="723"/>
      <c r="JC88" s="723"/>
      <c r="JD88" s="725"/>
      <c r="JE88" s="725"/>
      <c r="JF88" s="726"/>
      <c r="JG88" s="727"/>
      <c r="JH88" s="728"/>
      <c r="JO88" s="507"/>
      <c r="JP88" s="508"/>
      <c r="JQ88" s="508"/>
      <c r="JR88" s="508"/>
      <c r="JS88" s="508"/>
      <c r="JT88" s="508"/>
      <c r="JU88" s="508"/>
      <c r="JV88" s="508"/>
      <c r="JW88" s="508"/>
      <c r="JX88" s="508"/>
      <c r="JY88" s="508"/>
      <c r="JZ88" s="508"/>
      <c r="KA88" s="508"/>
      <c r="KB88" s="508"/>
      <c r="KC88" s="508"/>
      <c r="KD88" s="508"/>
      <c r="KE88" s="508"/>
      <c r="KF88" s="508"/>
      <c r="KG88" s="508"/>
      <c r="KH88" s="508"/>
      <c r="KI88" s="508"/>
      <c r="KJ88" s="508"/>
      <c r="KK88" s="508"/>
      <c r="KL88" s="508"/>
      <c r="KM88" s="508"/>
      <c r="KN88" s="508"/>
      <c r="KO88" s="508"/>
      <c r="KP88" s="508"/>
      <c r="KQ88" s="508"/>
      <c r="KR88" s="508"/>
      <c r="KS88" s="508"/>
      <c r="KT88" s="508"/>
      <c r="KU88" s="508"/>
      <c r="KV88" s="508"/>
      <c r="KW88" s="509"/>
      <c r="KX88" s="277"/>
      <c r="KY88" s="277"/>
    </row>
    <row r="89" spans="1:398" ht="40" customHeight="1">
      <c r="B89" s="299" t="s">
        <v>413</v>
      </c>
      <c r="C89" s="241" t="s">
        <v>273</v>
      </c>
      <c r="D89" s="242">
        <v>18</v>
      </c>
      <c r="E89" s="243">
        <v>221</v>
      </c>
      <c r="F89" s="1010" t="s">
        <v>414</v>
      </c>
      <c r="G89" s="246">
        <v>108</v>
      </c>
      <c r="H89" s="246">
        <v>162</v>
      </c>
      <c r="I89" s="246">
        <v>111</v>
      </c>
      <c r="J89" s="246">
        <v>183</v>
      </c>
      <c r="K89" s="245" t="s">
        <v>415</v>
      </c>
      <c r="L89" s="246">
        <v>145</v>
      </c>
      <c r="M89" s="300">
        <v>11</v>
      </c>
      <c r="N89" s="251" t="s">
        <v>318</v>
      </c>
      <c r="O89" s="251" t="s">
        <v>168</v>
      </c>
      <c r="P89" s="300">
        <v>40</v>
      </c>
      <c r="Q89" s="251" t="s">
        <v>170</v>
      </c>
      <c r="R89" s="251" t="s">
        <v>169</v>
      </c>
      <c r="S89" s="251" t="s">
        <v>169</v>
      </c>
      <c r="T89" s="251" t="s">
        <v>416</v>
      </c>
      <c r="U89" s="301" t="s">
        <v>169</v>
      </c>
      <c r="V89" s="242" t="s">
        <v>172</v>
      </c>
      <c r="W89" s="242"/>
      <c r="X89" s="592" t="s">
        <v>292</v>
      </c>
      <c r="Y89" s="592" t="s">
        <v>292</v>
      </c>
      <c r="Z89" s="592" t="s">
        <v>292</v>
      </c>
      <c r="AA89" s="843" t="s">
        <v>417</v>
      </c>
      <c r="AB89" s="844" t="s">
        <v>273</v>
      </c>
      <c r="AC89" s="845">
        <v>108</v>
      </c>
      <c r="AD89" s="947">
        <f>SUM(AC89,AC90)</f>
        <v>258</v>
      </c>
      <c r="AE89" s="465" t="s">
        <v>295</v>
      </c>
      <c r="AF89" s="550" t="s">
        <v>296</v>
      </c>
      <c r="AG89" s="467">
        <f>'[1]0221_グランドティアラ　別紙1-1'!H25</f>
        <v>2488750</v>
      </c>
      <c r="AH89" s="468">
        <f>FQ89</f>
        <v>0</v>
      </c>
      <c r="AI89" s="468">
        <f>FR89</f>
        <v>4100</v>
      </c>
      <c r="AJ89" s="469">
        <f>AK89/AT89</f>
        <v>1.5898342541436465</v>
      </c>
      <c r="AK89" s="468">
        <f>33000*1.1</f>
        <v>36300</v>
      </c>
      <c r="AL89" s="469">
        <v>0.83</v>
      </c>
      <c r="AM89" s="468">
        <f>30000*1.1</f>
        <v>33000</v>
      </c>
      <c r="AN89" s="468" t="s">
        <v>308</v>
      </c>
      <c r="AO89" s="468">
        <f>3000*1.1</f>
        <v>3300.0000000000005</v>
      </c>
      <c r="AP89" s="467">
        <f>'[1]0221_グランドティアラ　別紙1-1'!G23</f>
        <v>109</v>
      </c>
      <c r="AQ89" s="467">
        <f>'[1]0221_グランドティアラ　別紙1-1'!Z23</f>
        <v>179</v>
      </c>
      <c r="AR89" s="474">
        <f>DM89/(BX89-2)</f>
        <v>127.90909090909091</v>
      </c>
      <c r="AS89" s="475">
        <f>AG89/AR89</f>
        <v>19457.178393745558</v>
      </c>
      <c r="AT89" s="476">
        <f>AG89/AP89</f>
        <v>22832.568807339449</v>
      </c>
      <c r="AU89" s="475">
        <f>AG89/AQ89</f>
        <v>13903.6312849162</v>
      </c>
      <c r="AV89" s="477">
        <v>26000</v>
      </c>
      <c r="AW89" s="477">
        <v>48000</v>
      </c>
      <c r="AX89" s="467">
        <f>SUM('[1]0221_グランドティアラ　別紙1-2'!N39,'[1]0221_グランドティアラ　別紙1-3'!N21)</f>
        <v>7959880</v>
      </c>
      <c r="AY89" s="467">
        <f>SUM('[1]0221_グランドティアラ　別紙1-2'!I36,'[1]0221_グランドティアラ　別紙1-3'!G18)</f>
        <v>9</v>
      </c>
      <c r="AZ89" s="478">
        <f>'[1]0221_グランドティアラ　別紙1-1'!C27</f>
        <v>52263750.000000007</v>
      </c>
      <c r="BA89" s="478">
        <f>SUM('[1]0221_グランドティアラ　別紙1-2'!O37,'[1]0221_グランドティアラ　別紙1-3'!O19)</f>
        <v>166727480</v>
      </c>
      <c r="BB89" s="478"/>
      <c r="BC89" s="478">
        <f>AH89*DM89</f>
        <v>0</v>
      </c>
      <c r="BD89" s="479">
        <v>241766640</v>
      </c>
      <c r="BE89" s="479">
        <f>BD89-21000*DM89*0.6</f>
        <v>206310240</v>
      </c>
      <c r="BF89" s="479">
        <v>147354120</v>
      </c>
      <c r="BG89" s="479">
        <f>BF89-0</f>
        <v>147354120</v>
      </c>
      <c r="BH89" s="479">
        <v>11029500</v>
      </c>
      <c r="BI89" s="480">
        <f>GJ89</f>
        <v>0</v>
      </c>
      <c r="BJ89" s="1011"/>
      <c r="BK89" s="480">
        <f>BM89*5000*BX89</f>
        <v>360000</v>
      </c>
      <c r="BL89" s="480">
        <f>1800000*BN89*BX89</f>
        <v>0</v>
      </c>
      <c r="BM89" s="480">
        <f>GP89</f>
        <v>3</v>
      </c>
      <c r="BN89" s="480">
        <f>GQ89</f>
        <v>0</v>
      </c>
      <c r="BO89" s="481"/>
      <c r="BP89" s="481">
        <f>SUM(AZ89,BA89,BI89,BO89,BB89)</f>
        <v>218991230</v>
      </c>
      <c r="BQ89" s="481">
        <f>BP89-GR89</f>
        <v>-5514770</v>
      </c>
      <c r="BR89" s="554"/>
      <c r="BS89" s="1012" t="s">
        <v>175</v>
      </c>
      <c r="BT89" s="484">
        <f>GU89</f>
        <v>46279</v>
      </c>
      <c r="BU89" s="484">
        <f>GV89</f>
        <v>46299</v>
      </c>
      <c r="BV89" s="661">
        <f>IFERROR(INDEX($BY$9:$DH$9, MATCH("準備", BY89:DK89, 0)), "")</f>
        <v>46276</v>
      </c>
      <c r="BW89" s="662" cm="1">
        <f t="array" ref="BW89">IF(COUNTIF(BY89:DK89,"*撤去*")=0,"",INDEX(BY$9:DK$9,1,MAX(IF(CC89:DK89="撤去",COLUMN(CC89:DK89)-COLUMN(BY89)+1))))</f>
        <v>46300</v>
      </c>
      <c r="BX89" s="663">
        <f>BW89-BV89</f>
        <v>24</v>
      </c>
      <c r="BY89" s="596">
        <v>0</v>
      </c>
      <c r="BZ89" s="597">
        <v>0</v>
      </c>
      <c r="CA89" s="597">
        <v>0</v>
      </c>
      <c r="CB89" s="597">
        <v>0</v>
      </c>
      <c r="CC89" s="975">
        <v>0</v>
      </c>
      <c r="CD89" s="976">
        <v>0</v>
      </c>
      <c r="CE89" s="976">
        <v>0</v>
      </c>
      <c r="CF89" s="976">
        <v>0</v>
      </c>
      <c r="CG89" s="976">
        <v>0</v>
      </c>
      <c r="CH89" s="976">
        <v>0</v>
      </c>
      <c r="CI89" s="867">
        <v>0</v>
      </c>
      <c r="CJ89" s="868" t="s">
        <v>177</v>
      </c>
      <c r="CK89" s="868" t="s">
        <v>177</v>
      </c>
      <c r="CL89" s="1013">
        <v>108</v>
      </c>
      <c r="CM89" s="1013">
        <v>108</v>
      </c>
      <c r="CN89" s="913">
        <v>108</v>
      </c>
      <c r="CO89" s="913">
        <v>108</v>
      </c>
      <c r="CP89" s="913">
        <v>108</v>
      </c>
      <c r="CQ89" s="976">
        <v>108</v>
      </c>
      <c r="CR89" s="1014">
        <v>108</v>
      </c>
      <c r="CS89" s="975">
        <v>108</v>
      </c>
      <c r="CT89" s="976">
        <v>150</v>
      </c>
      <c r="CU89" s="976">
        <v>150</v>
      </c>
      <c r="CV89" s="976">
        <v>150</v>
      </c>
      <c r="CW89" s="976">
        <v>150</v>
      </c>
      <c r="CX89" s="976">
        <v>150</v>
      </c>
      <c r="CY89" s="976">
        <v>150</v>
      </c>
      <c r="CZ89" s="976">
        <v>150</v>
      </c>
      <c r="DA89" s="976">
        <v>150</v>
      </c>
      <c r="DB89" s="976">
        <v>150</v>
      </c>
      <c r="DC89" s="976">
        <v>150</v>
      </c>
      <c r="DD89" s="976">
        <v>150</v>
      </c>
      <c r="DE89" s="976">
        <v>150</v>
      </c>
      <c r="DF89" s="976">
        <v>150</v>
      </c>
      <c r="DG89" s="404">
        <v>0</v>
      </c>
      <c r="DH89" s="1015" t="s">
        <v>178</v>
      </c>
      <c r="DI89" s="867">
        <v>0</v>
      </c>
      <c r="DJ89" s="867">
        <v>0</v>
      </c>
      <c r="DK89" s="871">
        <v>0</v>
      </c>
      <c r="DL89" s="1016"/>
      <c r="DM89" s="277" cm="1">
        <f t="array" ref="DM89">SUM(IF(ISNUMBER($BY89:$DK89),$BY89:$DK89, 0))</f>
        <v>2814</v>
      </c>
      <c r="DN89" s="277">
        <v>2465</v>
      </c>
      <c r="DO89" s="277">
        <f>DM89*(BX89)/(BX89+1)</f>
        <v>2701.44</v>
      </c>
      <c r="DP89" s="277"/>
      <c r="DQ89" s="604" t="s">
        <v>418</v>
      </c>
      <c r="DR89" s="617" t="s">
        <v>332</v>
      </c>
      <c r="DS89" s="618">
        <v>145</v>
      </c>
      <c r="DT89" s="947">
        <f>SUM(DS89,DS90)</f>
        <v>145</v>
      </c>
      <c r="DU89" s="467">
        <v>2548150</v>
      </c>
      <c r="DV89" s="467">
        <v>6540000</v>
      </c>
      <c r="DW89" s="478">
        <v>50963000.000000007</v>
      </c>
      <c r="DX89" s="478">
        <v>130369999.99999999</v>
      </c>
      <c r="DY89" s="478">
        <v>47601000</v>
      </c>
      <c r="DZ89" s="478">
        <v>229878000</v>
      </c>
      <c r="EA89" s="478">
        <v>137926800.00000003</v>
      </c>
      <c r="EB89" s="478">
        <v>7662600</v>
      </c>
      <c r="EC89" s="480">
        <v>0</v>
      </c>
      <c r="ED89" s="480">
        <v>3895764.4000000004</v>
      </c>
      <c r="EE89" s="480">
        <v>300000</v>
      </c>
      <c r="EF89" s="480">
        <v>0</v>
      </c>
      <c r="EG89" s="481"/>
      <c r="EH89" s="481">
        <v>228934000</v>
      </c>
      <c r="EI89" s="484">
        <v>46279</v>
      </c>
      <c r="EJ89" s="484">
        <v>46299</v>
      </c>
      <c r="EK89" s="666">
        <v>46279</v>
      </c>
      <c r="EL89" s="667">
        <v>46299</v>
      </c>
      <c r="EM89" s="663">
        <v>20</v>
      </c>
      <c r="EN89" s="277"/>
      <c r="EO89" s="604" t="s">
        <v>418</v>
      </c>
      <c r="EP89" s="605" t="s">
        <v>332</v>
      </c>
      <c r="EQ89" s="878">
        <v>145</v>
      </c>
      <c r="ER89" s="952">
        <v>145</v>
      </c>
      <c r="ES89" s="245">
        <v>132</v>
      </c>
      <c r="ET89" s="245">
        <v>132</v>
      </c>
      <c r="EU89" s="245">
        <v>140</v>
      </c>
      <c r="EV89" s="281" t="s">
        <v>419</v>
      </c>
      <c r="EW89" s="282">
        <v>51.5</v>
      </c>
      <c r="EX89" s="283">
        <v>66</v>
      </c>
      <c r="EY89" s="284" t="s">
        <v>188</v>
      </c>
      <c r="EZ89" s="285">
        <v>51.5</v>
      </c>
      <c r="FA89" s="286">
        <v>66</v>
      </c>
      <c r="FB89" s="284" t="s">
        <v>189</v>
      </c>
      <c r="FC89" s="285"/>
      <c r="FD89" s="286"/>
      <c r="FE89" s="287" t="s">
        <v>189</v>
      </c>
      <c r="FF89" s="285"/>
      <c r="FG89" s="286"/>
      <c r="FH89" s="287" t="s">
        <v>189</v>
      </c>
      <c r="FI89" s="285"/>
      <c r="FJ89" s="288"/>
      <c r="FK89" s="289">
        <v>17</v>
      </c>
      <c r="FL89" s="1017">
        <v>0.10493827160493827</v>
      </c>
      <c r="FM89" s="291" t="s">
        <v>420</v>
      </c>
      <c r="FN89" s="1018" t="s">
        <v>336</v>
      </c>
      <c r="FO89" s="550" t="s">
        <v>296</v>
      </c>
      <c r="FP89" s="562">
        <v>2548150</v>
      </c>
      <c r="FQ89" s="563">
        <v>0</v>
      </c>
      <c r="FR89" s="468">
        <v>4100</v>
      </c>
      <c r="FS89" s="562">
        <v>111</v>
      </c>
      <c r="FT89" s="872">
        <v>183</v>
      </c>
      <c r="FU89" s="261">
        <v>145</v>
      </c>
      <c r="FV89" s="394">
        <v>17573.448275862069</v>
      </c>
      <c r="FW89" s="390">
        <v>22956.306306306305</v>
      </c>
      <c r="FX89" s="394">
        <v>13924.31693989071</v>
      </c>
      <c r="FY89" s="564">
        <v>16500</v>
      </c>
      <c r="FZ89" s="564">
        <v>42000</v>
      </c>
      <c r="GA89" s="562">
        <v>6540000</v>
      </c>
      <c r="GB89" s="562">
        <v>5</v>
      </c>
      <c r="GC89" s="565">
        <v>50963000.000000007</v>
      </c>
      <c r="GD89" s="565">
        <v>130369999.99999999</v>
      </c>
      <c r="GE89" s="565">
        <v>50963000.000000007</v>
      </c>
      <c r="GF89" s="565">
        <v>130369999.99999999</v>
      </c>
      <c r="GG89" s="478">
        <v>0</v>
      </c>
      <c r="GH89" s="478">
        <v>0</v>
      </c>
      <c r="GI89" s="565">
        <v>43173000</v>
      </c>
      <c r="GJ89" s="566"/>
      <c r="GK89" s="565">
        <v>3895764.4000000004</v>
      </c>
      <c r="GL89" s="565">
        <v>2293608.9000000004</v>
      </c>
      <c r="GM89" s="480">
        <v>-1602155.5</v>
      </c>
      <c r="GN89" s="480">
        <v>210000</v>
      </c>
      <c r="GO89" s="480">
        <v>0</v>
      </c>
      <c r="GP89" s="565">
        <v>3</v>
      </c>
      <c r="GQ89" s="565">
        <v>0</v>
      </c>
      <c r="GR89" s="1019">
        <v>224506000</v>
      </c>
      <c r="GS89" s="1019">
        <v>-22711133.999999985</v>
      </c>
      <c r="GT89" s="1012" t="s">
        <v>175</v>
      </c>
      <c r="GU89" s="1020">
        <v>46279</v>
      </c>
      <c r="GV89" s="1020">
        <v>46299</v>
      </c>
      <c r="GW89" s="666">
        <v>46279</v>
      </c>
      <c r="GX89" s="667">
        <v>46299</v>
      </c>
      <c r="GY89" s="663">
        <v>20</v>
      </c>
      <c r="GZ89" s="596"/>
      <c r="HA89" s="597"/>
      <c r="HB89" s="597"/>
      <c r="HC89" s="597"/>
      <c r="HD89" s="975">
        <v>0</v>
      </c>
      <c r="HE89" s="976">
        <v>0</v>
      </c>
      <c r="HF89" s="976">
        <v>0</v>
      </c>
      <c r="HG89" s="976">
        <v>0</v>
      </c>
      <c r="HH89" s="976">
        <v>0</v>
      </c>
      <c r="HI89" s="976">
        <v>0</v>
      </c>
      <c r="HJ89" s="867">
        <v>0</v>
      </c>
      <c r="HK89" s="867">
        <v>0</v>
      </c>
      <c r="HL89" s="867">
        <v>0</v>
      </c>
      <c r="HM89" s="867">
        <v>0</v>
      </c>
      <c r="HN89" s="868" t="s">
        <v>177</v>
      </c>
      <c r="HO89" s="868" t="s">
        <v>177</v>
      </c>
      <c r="HP89" s="912">
        <v>145</v>
      </c>
      <c r="HQ89" s="912">
        <v>145</v>
      </c>
      <c r="HR89" s="867">
        <v>145</v>
      </c>
      <c r="HS89" s="869">
        <v>145</v>
      </c>
      <c r="HT89" s="866">
        <v>145</v>
      </c>
      <c r="HU89" s="867">
        <v>145</v>
      </c>
      <c r="HV89" s="867">
        <v>145</v>
      </c>
      <c r="HW89" s="867">
        <v>145</v>
      </c>
      <c r="HX89" s="867">
        <v>145</v>
      </c>
      <c r="HY89" s="867">
        <v>145</v>
      </c>
      <c r="HZ89" s="867">
        <v>145</v>
      </c>
      <c r="IA89" s="867">
        <v>145</v>
      </c>
      <c r="IB89" s="867">
        <v>145</v>
      </c>
      <c r="IC89" s="867">
        <v>145</v>
      </c>
      <c r="ID89" s="867">
        <v>145</v>
      </c>
      <c r="IE89" s="867">
        <v>145</v>
      </c>
      <c r="IF89" s="867">
        <v>145</v>
      </c>
      <c r="IG89" s="867">
        <v>145</v>
      </c>
      <c r="IH89" s="951" t="s">
        <v>178</v>
      </c>
      <c r="II89" s="866">
        <v>0</v>
      </c>
      <c r="IJ89" s="867">
        <v>0</v>
      </c>
      <c r="IK89" s="867">
        <v>0</v>
      </c>
      <c r="IL89" s="871">
        <v>0</v>
      </c>
      <c r="IM89" s="1016"/>
      <c r="IN89" s="277" cm="1">
        <f t="array" ref="IN89">SUM(IF(ISNUMBER($HD89:$IL89),$HD89:$IL89, 0))</f>
        <v>2610</v>
      </c>
      <c r="IO89" s="1021"/>
      <c r="IP89" s="1022"/>
      <c r="IQ89" s="541"/>
      <c r="IR89" s="569">
        <f>VLOOKUP($E89,[1]アジアResults1031!$A$1:$CH$259,23,FALSE)</f>
        <v>5780110</v>
      </c>
      <c r="IS89" s="570">
        <f>VLOOKUP($E89,[1]アジアResults1031!$A$1:$CH$259,32,FALSE)</f>
        <v>108</v>
      </c>
      <c r="IT89" s="570">
        <f>KY89/(GY89-2)</f>
        <v>116.66666666666667</v>
      </c>
      <c r="IU89" s="570">
        <f>IR89/IT89</f>
        <v>49543.799999999996</v>
      </c>
      <c r="IV89" s="570">
        <f>VLOOKUP(E89,[1]アジアResults1031!$A$1:$CH$264,26,FALSE)</f>
        <v>17342</v>
      </c>
      <c r="IW89" s="570">
        <f>VLOOKUP(E89,[1]アジアResults1031!$A$1:$CH$264,27,FALSE)</f>
        <v>82566</v>
      </c>
      <c r="IX89" s="571">
        <f>VLOOKUP($E89,[1]アジアResults1031!$A$1:$CH$259,18,FALSE)</f>
        <v>3550588</v>
      </c>
      <c r="IY89" s="571">
        <f>VLOOKUP($E89,[1]アジアResults1031!$A$1:$CH$259,9,FALSE)</f>
        <v>7</v>
      </c>
      <c r="IZ89" s="570">
        <f>IR89*JF89</f>
        <v>98261870</v>
      </c>
      <c r="JA89" s="570">
        <f>IX89*JF89</f>
        <v>60359996</v>
      </c>
      <c r="JB89" s="570"/>
      <c r="JC89" s="570"/>
      <c r="JD89" s="572">
        <f>IFERROR(INDEX($JO$9:$KW$9, MATCH("準備", JO89:KW89, 0)), "")</f>
        <v>46279</v>
      </c>
      <c r="JE89" s="572" cm="1">
        <f t="array" ref="JE89">IF(COUNTIF(JO89:KW89,"*撤去*")=0,"",INDEX(JO$9:KW$9,1,MAX(IF(JO89:KW89="撤去",COLUMN(JO89:KW89)-COLUMN(JO89)+1))))</f>
        <v>46296</v>
      </c>
      <c r="JF89" s="573">
        <f>JE89-JD89</f>
        <v>17</v>
      </c>
      <c r="JG89" s="503">
        <v>2548150</v>
      </c>
      <c r="JH89" s="506">
        <v>6539998</v>
      </c>
      <c r="JO89" s="507"/>
      <c r="JP89" s="508"/>
      <c r="JQ89" s="508"/>
      <c r="JR89" s="508"/>
      <c r="JS89" s="508"/>
      <c r="JT89" s="508"/>
      <c r="JU89" s="508"/>
      <c r="JV89" s="508"/>
      <c r="JW89" s="508"/>
      <c r="JX89" s="508"/>
      <c r="JY89" s="400" t="s">
        <v>177</v>
      </c>
      <c r="JZ89" s="400" t="s">
        <v>177</v>
      </c>
      <c r="KA89" s="508">
        <v>140</v>
      </c>
      <c r="KB89" s="508">
        <v>140</v>
      </c>
      <c r="KC89" s="508">
        <v>140</v>
      </c>
      <c r="KD89" s="508">
        <v>140</v>
      </c>
      <c r="KE89" s="508">
        <v>140</v>
      </c>
      <c r="KF89" s="508">
        <v>140</v>
      </c>
      <c r="KG89" s="508">
        <v>140</v>
      </c>
      <c r="KH89" s="508">
        <v>140</v>
      </c>
      <c r="KI89" s="508">
        <v>140</v>
      </c>
      <c r="KJ89" s="508">
        <v>140</v>
      </c>
      <c r="KK89" s="508">
        <v>140</v>
      </c>
      <c r="KL89" s="508">
        <v>140</v>
      </c>
      <c r="KM89" s="508">
        <v>140</v>
      </c>
      <c r="KN89" s="508">
        <v>140</v>
      </c>
      <c r="KO89" s="508">
        <v>140</v>
      </c>
      <c r="KP89" s="406" t="s">
        <v>178</v>
      </c>
      <c r="KQ89" s="508"/>
      <c r="KR89" s="508"/>
      <c r="KS89" s="508"/>
      <c r="KT89" s="508"/>
      <c r="KU89" s="508"/>
      <c r="KV89" s="508"/>
      <c r="KW89" s="509"/>
      <c r="KX89" s="1016"/>
      <c r="KY89" s="277" cm="1">
        <f t="array" ref="KY89">SUM(IF(ISNUMBER($JO89:$KW89),$JO89:$KW89, 0))</f>
        <v>2100</v>
      </c>
    </row>
    <row r="90" spans="1:398" s="547" customFormat="1" ht="40" customHeight="1" thickBot="1">
      <c r="A90" s="1"/>
      <c r="B90" s="299"/>
      <c r="C90" s="242"/>
      <c r="D90" s="445"/>
      <c r="E90" s="510" t="s">
        <v>165</v>
      </c>
      <c r="F90" s="1023"/>
      <c r="G90" s="512">
        <v>0</v>
      </c>
      <c r="H90" s="512">
        <v>0</v>
      </c>
      <c r="I90" s="512">
        <v>0</v>
      </c>
      <c r="J90" s="512">
        <v>0</v>
      </c>
      <c r="K90" s="512"/>
      <c r="L90" s="512">
        <v>0</v>
      </c>
      <c r="M90" s="513">
        <v>0</v>
      </c>
      <c r="N90" s="514">
        <v>0</v>
      </c>
      <c r="O90" s="514">
        <v>0</v>
      </c>
      <c r="P90" s="513">
        <v>0</v>
      </c>
      <c r="Q90" s="514">
        <v>0</v>
      </c>
      <c r="R90" s="514">
        <v>0</v>
      </c>
      <c r="S90" s="514">
        <v>0</v>
      </c>
      <c r="T90" s="514">
        <v>0</v>
      </c>
      <c r="U90" s="515" t="s">
        <v>165</v>
      </c>
      <c r="V90" s="1024"/>
      <c r="W90" s="1024"/>
      <c r="X90" s="1024"/>
      <c r="Y90" s="1024"/>
      <c r="Z90" s="1024"/>
      <c r="AA90" s="350" t="s">
        <v>421</v>
      </c>
      <c r="AB90" s="447" t="s">
        <v>271</v>
      </c>
      <c r="AC90" s="448">
        <v>150</v>
      </c>
      <c r="AD90" s="1025"/>
      <c r="AE90" s="655"/>
      <c r="AF90" s="656"/>
      <c r="AG90" s="656"/>
      <c r="AH90" s="656"/>
      <c r="AI90" s="656"/>
      <c r="AJ90" s="656"/>
      <c r="AK90" s="656"/>
      <c r="AL90" s="656"/>
      <c r="AM90" s="656"/>
      <c r="AN90" s="656"/>
      <c r="AO90" s="656"/>
      <c r="AP90" s="656"/>
      <c r="AQ90" s="656"/>
      <c r="AR90" s="656"/>
      <c r="AS90" s="767"/>
      <c r="AT90" s="656"/>
      <c r="AU90" s="767"/>
      <c r="AV90" s="656"/>
      <c r="AW90" s="656"/>
      <c r="AX90" s="656"/>
      <c r="AY90" s="656"/>
      <c r="AZ90" s="768"/>
      <c r="BA90" s="768"/>
      <c r="BB90" s="768"/>
      <c r="BC90" s="768"/>
      <c r="BD90" s="768"/>
      <c r="BE90" s="768"/>
      <c r="BF90" s="768"/>
      <c r="BG90" s="768"/>
      <c r="BH90" s="768"/>
      <c r="BI90" s="768"/>
      <c r="BJ90" s="768"/>
      <c r="BK90" s="768"/>
      <c r="BL90" s="768"/>
      <c r="BM90" s="768"/>
      <c r="BN90" s="768"/>
      <c r="BO90" s="656"/>
      <c r="BP90" s="656"/>
      <c r="BQ90" s="656"/>
      <c r="BR90" s="940"/>
      <c r="BS90" s="941"/>
      <c r="BT90" s="942"/>
      <c r="BU90" s="942"/>
      <c r="BV90" s="773" t="str">
        <f>IFERROR(INDEX($HD$9:$II$9, MATCH("準備", CC90:DK90, 0)), "")</f>
        <v/>
      </c>
      <c r="BW90" s="773" t="str" cm="1">
        <f t="array" ref="BW90">IF(COUNTIF(CC90:DK90,"*撤去*")=0,"",INDEX(CC$9:DK$9,1,MAX(IF(CC90:DK90="撤去",COLUMN(CC90:DK90)-COLUMN(CC90)+1))))</f>
        <v/>
      </c>
      <c r="BX90" s="774"/>
      <c r="BY90" s="360" t="s">
        <v>246</v>
      </c>
      <c r="BZ90" s="361" t="s">
        <v>247</v>
      </c>
      <c r="CA90" s="777"/>
      <c r="CB90" s="777"/>
      <c r="CC90" s="874"/>
      <c r="CD90" s="875"/>
      <c r="CE90" s="875"/>
      <c r="CF90" s="875"/>
      <c r="CG90" s="875"/>
      <c r="CH90" s="875"/>
      <c r="CI90" s="875"/>
      <c r="CJ90" s="875"/>
      <c r="CK90" s="875"/>
      <c r="CL90" s="363">
        <v>0</v>
      </c>
      <c r="CM90" s="363">
        <v>0</v>
      </c>
      <c r="CN90" s="363">
        <v>0</v>
      </c>
      <c r="CO90" s="363">
        <v>0</v>
      </c>
      <c r="CP90" s="363">
        <v>0</v>
      </c>
      <c r="CQ90" s="364">
        <v>0</v>
      </c>
      <c r="CR90" s="365">
        <v>0</v>
      </c>
      <c r="CS90" s="366">
        <v>0</v>
      </c>
      <c r="CT90" s="363">
        <v>0</v>
      </c>
      <c r="CU90" s="363">
        <v>0</v>
      </c>
      <c r="CV90" s="363">
        <v>0</v>
      </c>
      <c r="CW90" s="363">
        <v>0</v>
      </c>
      <c r="CX90" s="363">
        <v>0</v>
      </c>
      <c r="CY90" s="363">
        <v>0</v>
      </c>
      <c r="CZ90" s="363">
        <v>0</v>
      </c>
      <c r="DA90" s="363">
        <v>0</v>
      </c>
      <c r="DB90" s="363">
        <v>0</v>
      </c>
      <c r="DC90" s="363">
        <v>0</v>
      </c>
      <c r="DD90" s="363">
        <v>0</v>
      </c>
      <c r="DE90" s="363">
        <v>0</v>
      </c>
      <c r="DF90" s="364">
        <v>0</v>
      </c>
      <c r="DG90" s="365">
        <v>0</v>
      </c>
      <c r="DH90" s="874"/>
      <c r="DI90" s="875"/>
      <c r="DJ90" s="875"/>
      <c r="DK90" s="886"/>
      <c r="DL90" s="1016"/>
      <c r="DM90" s="1016"/>
      <c r="DN90" s="1016"/>
      <c r="DO90" s="1016"/>
      <c r="DP90" s="1016"/>
      <c r="DQ90" s="446"/>
      <c r="DR90" s="447" t="s">
        <v>170</v>
      </c>
      <c r="DS90" s="448">
        <v>0</v>
      </c>
      <c r="DT90" s="1025"/>
      <c r="DU90" s="656"/>
      <c r="DV90" s="656"/>
      <c r="DW90" s="768"/>
      <c r="DX90" s="768"/>
      <c r="DY90" s="768"/>
      <c r="DZ90" s="768"/>
      <c r="EA90" s="768"/>
      <c r="EB90" s="768"/>
      <c r="EC90" s="768"/>
      <c r="ED90" s="768"/>
      <c r="EE90" s="768"/>
      <c r="EF90" s="768"/>
      <c r="EG90" s="656"/>
      <c r="EH90" s="656"/>
      <c r="EI90" s="942"/>
      <c r="EJ90" s="942"/>
      <c r="EK90" s="773" t="s">
        <v>165</v>
      </c>
      <c r="EL90" s="773" t="s">
        <v>165</v>
      </c>
      <c r="EM90" s="774"/>
      <c r="EN90" s="1016"/>
      <c r="EO90" s="446"/>
      <c r="EP90" s="450" t="s">
        <v>170</v>
      </c>
      <c r="EQ90" s="451">
        <v>0</v>
      </c>
      <c r="ER90" s="1026"/>
      <c r="ES90" s="1026" t="e">
        <v>#N/A</v>
      </c>
      <c r="ET90" s="1026"/>
      <c r="EU90" s="1026"/>
      <c r="EV90" s="1027" t="s">
        <v>170</v>
      </c>
      <c r="EW90" s="453"/>
      <c r="EX90" s="454"/>
      <c r="EY90" s="879" t="s">
        <v>170</v>
      </c>
      <c r="EZ90" s="456"/>
      <c r="FA90" s="457"/>
      <c r="FB90" s="879" t="s">
        <v>170</v>
      </c>
      <c r="FC90" s="880"/>
      <c r="FD90" s="881"/>
      <c r="FE90" s="882" t="s">
        <v>170</v>
      </c>
      <c r="FF90" s="880"/>
      <c r="FG90" s="881"/>
      <c r="FH90" s="882" t="s">
        <v>170</v>
      </c>
      <c r="FI90" s="880"/>
      <c r="FJ90" s="883"/>
      <c r="FK90" s="375"/>
      <c r="FL90" s="1028"/>
      <c r="FM90" s="535"/>
      <c r="FN90" s="655"/>
      <c r="FO90" s="656"/>
      <c r="FP90" s="656"/>
      <c r="FQ90" s="656"/>
      <c r="FR90" s="656"/>
      <c r="FS90" s="656"/>
      <c r="FT90" s="656"/>
      <c r="FU90" s="656"/>
      <c r="FV90" s="767"/>
      <c r="FW90" s="656"/>
      <c r="FX90" s="767"/>
      <c r="FY90" s="656"/>
      <c r="FZ90" s="656"/>
      <c r="GA90" s="656"/>
      <c r="GB90" s="656"/>
      <c r="GC90" s="768"/>
      <c r="GD90" s="768"/>
      <c r="GE90" s="768"/>
      <c r="GF90" s="768"/>
      <c r="GG90" s="768"/>
      <c r="GH90" s="768"/>
      <c r="GI90" s="768"/>
      <c r="GJ90" s="768"/>
      <c r="GK90" s="768"/>
      <c r="GL90" s="768"/>
      <c r="GM90" s="768"/>
      <c r="GN90" s="768"/>
      <c r="GO90" s="768"/>
      <c r="GP90" s="768"/>
      <c r="GQ90" s="768"/>
      <c r="GR90" s="656"/>
      <c r="GS90" s="656"/>
      <c r="GT90" s="941"/>
      <c r="GU90" s="942"/>
      <c r="GV90" s="942"/>
      <c r="GW90" s="773" t="s">
        <v>165</v>
      </c>
      <c r="GX90" s="773" t="s">
        <v>165</v>
      </c>
      <c r="GY90" s="774"/>
      <c r="GZ90" s="943"/>
      <c r="HA90" s="777"/>
      <c r="HB90" s="777"/>
      <c r="HC90" s="777"/>
      <c r="HD90" s="874"/>
      <c r="HE90" s="875"/>
      <c r="HF90" s="875"/>
      <c r="HG90" s="875"/>
      <c r="HH90" s="875"/>
      <c r="HI90" s="875"/>
      <c r="HJ90" s="875"/>
      <c r="HK90" s="875"/>
      <c r="HL90" s="875"/>
      <c r="HM90" s="875"/>
      <c r="HN90" s="875"/>
      <c r="HO90" s="875"/>
      <c r="HP90" s="875"/>
      <c r="HQ90" s="875"/>
      <c r="HR90" s="779"/>
      <c r="HS90" s="884"/>
      <c r="HT90" s="874"/>
      <c r="HU90" s="875"/>
      <c r="HV90" s="875"/>
      <c r="HW90" s="875"/>
      <c r="HX90" s="875"/>
      <c r="HY90" s="875"/>
      <c r="HZ90" s="875"/>
      <c r="IA90" s="875"/>
      <c r="IB90" s="875"/>
      <c r="IC90" s="875"/>
      <c r="ID90" s="875"/>
      <c r="IE90" s="272"/>
      <c r="IF90" s="875"/>
      <c r="IG90" s="779"/>
      <c r="IH90" s="884"/>
      <c r="II90" s="874"/>
      <c r="IJ90" s="875"/>
      <c r="IK90" s="875"/>
      <c r="IL90" s="886"/>
      <c r="IM90" s="1016"/>
      <c r="IN90" s="1016"/>
      <c r="IO90" s="1029"/>
      <c r="IP90" s="1030"/>
      <c r="IQ90" s="541"/>
      <c r="IR90" s="581"/>
      <c r="IS90" s="582"/>
      <c r="IT90" s="582"/>
      <c r="IU90" s="582"/>
      <c r="IV90" s="582"/>
      <c r="IW90" s="582"/>
      <c r="IX90" s="583"/>
      <c r="IY90" s="583"/>
      <c r="IZ90" s="582"/>
      <c r="JA90" s="582"/>
      <c r="JB90" s="582"/>
      <c r="JC90" s="582"/>
      <c r="JD90" s="584"/>
      <c r="JE90" s="584"/>
      <c r="JF90" s="585"/>
      <c r="JG90" s="586"/>
      <c r="JH90" s="587"/>
      <c r="JI90" s="1"/>
      <c r="JJ90" s="1"/>
      <c r="JK90" s="1"/>
      <c r="JL90" s="1"/>
      <c r="JM90" s="1"/>
      <c r="JN90" s="1"/>
      <c r="JO90" s="507"/>
      <c r="JP90" s="508"/>
      <c r="JQ90" s="508"/>
      <c r="JR90" s="508"/>
      <c r="JS90" s="729"/>
      <c r="JT90" s="729"/>
      <c r="JU90" s="729"/>
      <c r="JV90" s="729"/>
      <c r="JW90" s="729"/>
      <c r="JX90" s="729"/>
      <c r="JY90" s="729"/>
      <c r="JZ90" s="729"/>
      <c r="KA90" s="729"/>
      <c r="KB90" s="729"/>
      <c r="KC90" s="729"/>
      <c r="KD90" s="729"/>
      <c r="KE90" s="729"/>
      <c r="KF90" s="729"/>
      <c r="KG90" s="729"/>
      <c r="KH90" s="729"/>
      <c r="KI90" s="729"/>
      <c r="KJ90" s="729"/>
      <c r="KK90" s="729"/>
      <c r="KL90" s="729"/>
      <c r="KM90" s="729"/>
      <c r="KN90" s="729"/>
      <c r="KO90" s="729"/>
      <c r="KP90" s="729"/>
      <c r="KQ90" s="729"/>
      <c r="KR90" s="729"/>
      <c r="KS90" s="729"/>
      <c r="KT90" s="729"/>
      <c r="KU90" s="729"/>
      <c r="KV90" s="729"/>
      <c r="KW90" s="730"/>
      <c r="KX90" s="1016"/>
      <c r="KY90" s="1016"/>
      <c r="KZ90" s="1"/>
      <c r="LA90" s="1"/>
      <c r="LB90" s="1"/>
      <c r="LC90" s="1"/>
      <c r="LD90" s="1"/>
      <c r="LE90" s="1"/>
      <c r="LF90" s="1"/>
      <c r="LG90" s="1"/>
      <c r="LH90" s="1"/>
      <c r="LI90" s="1"/>
      <c r="LJ90" s="1"/>
      <c r="LK90" s="1"/>
      <c r="LL90" s="1"/>
      <c r="LM90" s="1"/>
      <c r="LN90" s="1"/>
      <c r="LO90" s="1"/>
      <c r="LP90" s="1"/>
      <c r="LQ90" s="1"/>
      <c r="LR90" s="1"/>
      <c r="LS90" s="1"/>
      <c r="LT90" s="1"/>
      <c r="LU90" s="1"/>
      <c r="LV90" s="1"/>
      <c r="LW90" s="1"/>
      <c r="LX90" s="1"/>
      <c r="LY90" s="1"/>
      <c r="LZ90" s="1"/>
      <c r="MA90" s="1"/>
      <c r="MB90" s="1"/>
      <c r="MC90" s="1"/>
      <c r="MD90" s="1"/>
      <c r="ME90" s="1"/>
      <c r="MF90" s="1"/>
      <c r="MG90" s="1"/>
      <c r="MH90" s="1"/>
      <c r="MI90" s="1"/>
      <c r="MJ90" s="1"/>
      <c r="MK90" s="1"/>
      <c r="ML90" s="1"/>
      <c r="MM90" s="1"/>
      <c r="MN90" s="1"/>
      <c r="MO90" s="1"/>
      <c r="MP90" s="1"/>
      <c r="MQ90" s="1"/>
      <c r="MR90" s="1"/>
      <c r="MS90" s="1"/>
      <c r="MT90" s="1"/>
      <c r="MU90" s="1"/>
      <c r="MV90" s="1"/>
      <c r="MW90" s="1"/>
      <c r="MX90" s="1"/>
      <c r="MY90" s="1"/>
      <c r="MZ90" s="1"/>
      <c r="NA90" s="1"/>
      <c r="NB90" s="1"/>
      <c r="NC90" s="1"/>
      <c r="ND90" s="1"/>
      <c r="NE90" s="1"/>
      <c r="NF90" s="1"/>
      <c r="NG90" s="1"/>
      <c r="NH90" s="1"/>
      <c r="NI90" s="1"/>
      <c r="NJ90" s="1"/>
      <c r="NK90" s="1"/>
      <c r="NL90" s="1"/>
      <c r="NM90" s="1"/>
      <c r="NN90" s="1"/>
      <c r="NO90" s="1"/>
      <c r="NP90" s="1"/>
      <c r="NQ90" s="1"/>
      <c r="NR90" s="1"/>
      <c r="NS90" s="1"/>
      <c r="NT90" s="1"/>
      <c r="NU90" s="1"/>
      <c r="NV90" s="1"/>
      <c r="NW90" s="1"/>
      <c r="NX90" s="1"/>
      <c r="NY90" s="1"/>
      <c r="NZ90" s="1"/>
      <c r="OA90" s="1"/>
      <c r="OB90" s="1"/>
      <c r="OC90" s="1"/>
      <c r="OD90" s="1"/>
      <c r="OE90" s="1"/>
      <c r="OF90" s="1"/>
      <c r="OG90" s="1"/>
      <c r="OH90" s="1"/>
    </row>
    <row r="91" spans="1:398" ht="40" customHeight="1">
      <c r="B91" s="299"/>
      <c r="C91" s="242"/>
      <c r="D91" s="242"/>
      <c r="E91" s="243">
        <v>220</v>
      </c>
      <c r="F91" s="946" t="s">
        <v>422</v>
      </c>
      <c r="G91" s="246">
        <v>143</v>
      </c>
      <c r="H91" s="246">
        <v>144</v>
      </c>
      <c r="I91" s="246">
        <v>64</v>
      </c>
      <c r="J91" s="246">
        <v>64</v>
      </c>
      <c r="K91" s="245" t="s">
        <v>423</v>
      </c>
      <c r="L91" s="246">
        <v>85</v>
      </c>
      <c r="M91" s="300">
        <v>0</v>
      </c>
      <c r="N91" s="251" t="s">
        <v>354</v>
      </c>
      <c r="O91" s="251" t="s">
        <v>369</v>
      </c>
      <c r="P91" s="300">
        <v>16</v>
      </c>
      <c r="Q91" s="251" t="s">
        <v>170</v>
      </c>
      <c r="R91" s="251" t="s">
        <v>170</v>
      </c>
      <c r="S91" s="251" t="s">
        <v>169</v>
      </c>
      <c r="T91" s="251" t="s">
        <v>319</v>
      </c>
      <c r="U91" s="301" t="s">
        <v>169</v>
      </c>
      <c r="V91" s="242" t="s">
        <v>172</v>
      </c>
      <c r="W91" s="242"/>
      <c r="X91" s="592" t="s">
        <v>292</v>
      </c>
      <c r="Y91" s="242"/>
      <c r="Z91" s="242"/>
      <c r="AA91" s="887" t="s">
        <v>275</v>
      </c>
      <c r="AB91" s="254"/>
      <c r="AC91" s="255"/>
      <c r="AD91" s="256">
        <f>SUM(AC91,AC92)</f>
        <v>0</v>
      </c>
      <c r="AE91" s="465" t="s">
        <v>295</v>
      </c>
      <c r="AF91" s="564" t="s">
        <v>296</v>
      </c>
      <c r="AG91" s="467">
        <f>'[1]0200_東横三河Ⅰ　別紙1-1'!M23</f>
        <v>823900</v>
      </c>
      <c r="AH91" s="468">
        <f>FQ91</f>
        <v>0</v>
      </c>
      <c r="AI91" s="468">
        <f>FR91</f>
        <v>4100</v>
      </c>
      <c r="AJ91" s="468"/>
      <c r="AK91" s="468">
        <v>0</v>
      </c>
      <c r="AL91" s="468"/>
      <c r="AM91" s="468">
        <v>0</v>
      </c>
      <c r="AN91" s="468"/>
      <c r="AO91" s="468">
        <v>0</v>
      </c>
      <c r="AP91" s="467">
        <f>'[1]0200_東横三河Ⅰ　別紙1-1'!K21</f>
        <v>64</v>
      </c>
      <c r="AQ91" s="467">
        <f>'[1]0200_東横三河Ⅰ　別紙1-1'!AF21</f>
        <v>64</v>
      </c>
      <c r="AR91" s="474">
        <f>DM91/(BX91-2)</f>
        <v>0</v>
      </c>
      <c r="AS91" s="475" t="e">
        <f>AG91/AR91</f>
        <v>#DIV/0!</v>
      </c>
      <c r="AT91" s="476">
        <f>AG91/AP91</f>
        <v>12873.4375</v>
      </c>
      <c r="AU91" s="475">
        <f>AG91/AQ91</f>
        <v>12873.4375</v>
      </c>
      <c r="AV91" s="477">
        <v>26000</v>
      </c>
      <c r="AW91" s="477">
        <v>48000</v>
      </c>
      <c r="AX91" s="467">
        <f>GA91</f>
        <v>0</v>
      </c>
      <c r="AY91" s="467">
        <f>GB91</f>
        <v>0</v>
      </c>
      <c r="AZ91" s="478">
        <f>'[1]0200_東横三河Ⅰ　別紙1-1'!C24</f>
        <v>17301900</v>
      </c>
      <c r="BA91" s="478">
        <f>GD91</f>
        <v>0</v>
      </c>
      <c r="BB91" s="478"/>
      <c r="BC91" s="478">
        <f>AH91*DM91</f>
        <v>0</v>
      </c>
      <c r="BD91" s="478"/>
      <c r="BE91" s="478"/>
      <c r="BF91" s="478"/>
      <c r="BG91" s="478"/>
      <c r="BH91" s="478"/>
      <c r="BI91" s="480">
        <f>GJ91</f>
        <v>0</v>
      </c>
      <c r="BJ91" s="480">
        <f>GK91</f>
        <v>0</v>
      </c>
      <c r="BK91" s="480">
        <f>BM91*5000*BX91</f>
        <v>315000</v>
      </c>
      <c r="BL91" s="480">
        <f>1800000*BN91*BX91</f>
        <v>0</v>
      </c>
      <c r="BM91" s="480">
        <f>GP91</f>
        <v>3</v>
      </c>
      <c r="BN91" s="480">
        <f>GQ91</f>
        <v>0</v>
      </c>
      <c r="BO91" s="481"/>
      <c r="BP91" s="481">
        <f>SUM(AZ91,BA91,BI91,BO91)</f>
        <v>17301900</v>
      </c>
      <c r="BQ91" s="481">
        <f>BP91-GR91</f>
        <v>823900</v>
      </c>
      <c r="BR91" s="594"/>
      <c r="BS91" s="595" t="s">
        <v>175</v>
      </c>
      <c r="BT91" s="484">
        <f>GU91</f>
        <v>46279</v>
      </c>
      <c r="BU91" s="484">
        <f>GV91</f>
        <v>46299</v>
      </c>
      <c r="BV91" s="666">
        <f>IFERROR(INDEX($BY$9:$DH$9, MATCH("準備", BY91:DK91, 0)), "")</f>
        <v>46278</v>
      </c>
      <c r="BW91" s="667" cm="1">
        <f t="array" ref="BW91">IF(COUNTIF(BY91:DK91,"*撤去*")=0,"",INDEX(BY$9:DK$9,1,MAX(IF(CC91:DK91="撤去",COLUMN(CC91:DK91)-COLUMN(BY91)+1))))</f>
        <v>46299</v>
      </c>
      <c r="BX91" s="663">
        <f>BW91-BV91</f>
        <v>21</v>
      </c>
      <c r="BY91" s="596">
        <v>0</v>
      </c>
      <c r="BZ91" s="597">
        <v>0</v>
      </c>
      <c r="CA91" s="597">
        <v>0</v>
      </c>
      <c r="CB91" s="597">
        <v>0</v>
      </c>
      <c r="CC91" s="975">
        <v>0</v>
      </c>
      <c r="CD91" s="976">
        <v>0</v>
      </c>
      <c r="CE91" s="976">
        <v>0</v>
      </c>
      <c r="CF91" s="976">
        <v>0</v>
      </c>
      <c r="CG91" s="976">
        <v>0</v>
      </c>
      <c r="CH91" s="976">
        <v>0</v>
      </c>
      <c r="CI91" s="976">
        <v>0</v>
      </c>
      <c r="CJ91" s="976">
        <v>0</v>
      </c>
      <c r="CK91" s="976">
        <v>0</v>
      </c>
      <c r="CL91" s="400" t="s">
        <v>177</v>
      </c>
      <c r="CM91" s="400" t="s">
        <v>177</v>
      </c>
      <c r="CN91" s="976"/>
      <c r="CO91" s="976"/>
      <c r="CP91" s="976"/>
      <c r="CQ91" s="976"/>
      <c r="CR91" s="1014"/>
      <c r="CS91" s="975"/>
      <c r="CT91" s="976"/>
      <c r="CU91" s="976"/>
      <c r="CV91" s="976"/>
      <c r="CW91" s="976"/>
      <c r="CX91" s="976"/>
      <c r="CY91" s="976"/>
      <c r="CZ91" s="976"/>
      <c r="DA91" s="976"/>
      <c r="DB91" s="976"/>
      <c r="DC91" s="976"/>
      <c r="DD91" s="488"/>
      <c r="DE91" s="976"/>
      <c r="DF91" s="976"/>
      <c r="DG91" s="951" t="s">
        <v>178</v>
      </c>
      <c r="DH91" s="975">
        <v>0</v>
      </c>
      <c r="DI91" s="976">
        <v>0</v>
      </c>
      <c r="DJ91" s="976">
        <v>0</v>
      </c>
      <c r="DK91" s="981">
        <v>0</v>
      </c>
      <c r="DL91" s="277"/>
      <c r="DM91" s="277" cm="1">
        <f t="array" ref="DM91">SUM(IF(ISNUMBER($BY91:$DK91),$BY91:$DK91, 0))</f>
        <v>0</v>
      </c>
      <c r="DN91" s="277">
        <v>1445</v>
      </c>
      <c r="DO91" s="277">
        <f>DM91*(BX91)/(BX91+1)</f>
        <v>0</v>
      </c>
      <c r="DP91" s="277"/>
      <c r="DQ91" s="253" t="s">
        <v>424</v>
      </c>
      <c r="DR91" s="254" t="s">
        <v>332</v>
      </c>
      <c r="DS91" s="255">
        <v>85</v>
      </c>
      <c r="DT91" s="256">
        <f>SUM(DS91,DS92)</f>
        <v>85</v>
      </c>
      <c r="DU91" s="467">
        <v>823900</v>
      </c>
      <c r="DV91" s="467">
        <v>0</v>
      </c>
      <c r="DW91" s="478">
        <v>16478000</v>
      </c>
      <c r="DX91" s="478">
        <v>0</v>
      </c>
      <c r="DY91" s="478"/>
      <c r="DZ91" s="478"/>
      <c r="EA91" s="478"/>
      <c r="EB91" s="478"/>
      <c r="EC91" s="480">
        <v>0</v>
      </c>
      <c r="ED91" s="480">
        <v>0</v>
      </c>
      <c r="EE91" s="480">
        <v>300000</v>
      </c>
      <c r="EF91" s="480">
        <v>0</v>
      </c>
      <c r="EG91" s="481"/>
      <c r="EH91" s="481">
        <v>16478000</v>
      </c>
      <c r="EI91" s="484">
        <v>46279</v>
      </c>
      <c r="EJ91" s="484">
        <v>46299</v>
      </c>
      <c r="EK91" s="666">
        <v>46279</v>
      </c>
      <c r="EL91" s="667">
        <v>46299</v>
      </c>
      <c r="EM91" s="663">
        <v>20</v>
      </c>
      <c r="EN91" s="277"/>
      <c r="EO91" s="253" t="s">
        <v>424</v>
      </c>
      <c r="EP91" s="278" t="s">
        <v>332</v>
      </c>
      <c r="EQ91" s="279">
        <v>85</v>
      </c>
      <c r="ER91" s="323">
        <v>85</v>
      </c>
      <c r="ES91" s="245" t="s">
        <v>165</v>
      </c>
      <c r="ET91" s="245" t="s">
        <v>165</v>
      </c>
      <c r="EU91" s="245">
        <v>90</v>
      </c>
      <c r="EV91" s="281" t="s">
        <v>419</v>
      </c>
      <c r="EW91" s="282">
        <v>51.7</v>
      </c>
      <c r="EX91" s="283">
        <v>67</v>
      </c>
      <c r="EY91" s="284" t="s">
        <v>188</v>
      </c>
      <c r="EZ91" s="285">
        <v>51.7</v>
      </c>
      <c r="FA91" s="286">
        <v>67</v>
      </c>
      <c r="FB91" s="284" t="s">
        <v>189</v>
      </c>
      <c r="FC91" s="285"/>
      <c r="FD91" s="286"/>
      <c r="FE91" s="287" t="s">
        <v>189</v>
      </c>
      <c r="FF91" s="285"/>
      <c r="FG91" s="286"/>
      <c r="FH91" s="287" t="s">
        <v>189</v>
      </c>
      <c r="FI91" s="285"/>
      <c r="FJ91" s="288"/>
      <c r="FK91" s="289">
        <v>59</v>
      </c>
      <c r="FL91" s="290">
        <v>0.40972222222222221</v>
      </c>
      <c r="FM91" s="291" t="s">
        <v>425</v>
      </c>
      <c r="FN91" s="1031" t="s">
        <v>300</v>
      </c>
      <c r="FO91" s="564" t="s">
        <v>296</v>
      </c>
      <c r="FP91" s="965">
        <v>823900</v>
      </c>
      <c r="FQ91" s="461">
        <v>0</v>
      </c>
      <c r="FR91" s="468">
        <v>4100</v>
      </c>
      <c r="FS91" s="965">
        <v>64</v>
      </c>
      <c r="FT91" s="965">
        <v>64</v>
      </c>
      <c r="FU91" s="393">
        <v>85</v>
      </c>
      <c r="FV91" s="394">
        <v>9692.9411764705874</v>
      </c>
      <c r="FW91" s="390">
        <v>12873.4375</v>
      </c>
      <c r="FX91" s="394">
        <v>12873.4375</v>
      </c>
      <c r="FY91" s="564">
        <v>6824</v>
      </c>
      <c r="FZ91" s="564">
        <v>9883</v>
      </c>
      <c r="GA91" s="965">
        <v>0</v>
      </c>
      <c r="GB91" s="965">
        <v>0</v>
      </c>
      <c r="GC91" s="986">
        <v>16478000</v>
      </c>
      <c r="GD91" s="986">
        <v>0</v>
      </c>
      <c r="GE91" s="986">
        <v>16478000</v>
      </c>
      <c r="GF91" s="986">
        <v>0</v>
      </c>
      <c r="GG91" s="478">
        <v>0</v>
      </c>
      <c r="GH91" s="478">
        <v>0</v>
      </c>
      <c r="GI91" s="736"/>
      <c r="GJ91" s="736"/>
      <c r="GK91" s="736"/>
      <c r="GL91" s="736"/>
      <c r="GM91" s="480">
        <v>0</v>
      </c>
      <c r="GN91" s="480">
        <v>210000</v>
      </c>
      <c r="GO91" s="480">
        <v>0</v>
      </c>
      <c r="GP91" s="736">
        <v>3</v>
      </c>
      <c r="GQ91" s="736">
        <v>0</v>
      </c>
      <c r="GR91" s="966">
        <v>16478000</v>
      </c>
      <c r="GS91" s="966">
        <v>3517026</v>
      </c>
      <c r="GT91" s="595" t="s">
        <v>175</v>
      </c>
      <c r="GU91" s="968">
        <v>46279</v>
      </c>
      <c r="GV91" s="968">
        <v>46299</v>
      </c>
      <c r="GW91" s="666">
        <v>46279</v>
      </c>
      <c r="GX91" s="667">
        <v>46299</v>
      </c>
      <c r="GY91" s="663">
        <v>20</v>
      </c>
      <c r="GZ91" s="596"/>
      <c r="HA91" s="597"/>
      <c r="HB91" s="597"/>
      <c r="HC91" s="597"/>
      <c r="HD91" s="975">
        <v>0</v>
      </c>
      <c r="HE91" s="976">
        <v>0</v>
      </c>
      <c r="HF91" s="976">
        <v>0</v>
      </c>
      <c r="HG91" s="976">
        <v>0</v>
      </c>
      <c r="HH91" s="976">
        <v>0</v>
      </c>
      <c r="HI91" s="976">
        <v>0</v>
      </c>
      <c r="HJ91" s="976">
        <v>0</v>
      </c>
      <c r="HK91" s="976">
        <v>0</v>
      </c>
      <c r="HL91" s="976">
        <v>0</v>
      </c>
      <c r="HM91" s="976">
        <v>0</v>
      </c>
      <c r="HN91" s="400" t="s">
        <v>177</v>
      </c>
      <c r="HO91" s="400" t="s">
        <v>177</v>
      </c>
      <c r="HP91" s="976">
        <v>85</v>
      </c>
      <c r="HQ91" s="976">
        <v>85</v>
      </c>
      <c r="HR91" s="976">
        <v>85</v>
      </c>
      <c r="HS91" s="1014">
        <v>85</v>
      </c>
      <c r="HT91" s="975">
        <v>85</v>
      </c>
      <c r="HU91" s="976">
        <v>85</v>
      </c>
      <c r="HV91" s="976">
        <v>85</v>
      </c>
      <c r="HW91" s="976">
        <v>85</v>
      </c>
      <c r="HX91" s="976">
        <v>85</v>
      </c>
      <c r="HY91" s="976">
        <v>85</v>
      </c>
      <c r="HZ91" s="976">
        <v>85</v>
      </c>
      <c r="IA91" s="976">
        <v>85</v>
      </c>
      <c r="IB91" s="976">
        <v>85</v>
      </c>
      <c r="IC91" s="976">
        <v>85</v>
      </c>
      <c r="ID91" s="976">
        <v>85</v>
      </c>
      <c r="IE91" s="488">
        <v>85</v>
      </c>
      <c r="IF91" s="976">
        <v>85</v>
      </c>
      <c r="IG91" s="976">
        <v>85</v>
      </c>
      <c r="IH91" s="951" t="s">
        <v>178</v>
      </c>
      <c r="II91" s="975">
        <v>0</v>
      </c>
      <c r="IJ91" s="976">
        <v>0</v>
      </c>
      <c r="IK91" s="976">
        <v>0</v>
      </c>
      <c r="IL91" s="981">
        <v>0</v>
      </c>
      <c r="IM91" s="277"/>
      <c r="IN91" s="277" cm="1">
        <f t="array" ref="IN91">SUM(IF(ISNUMBER($HD91:$IL91),$HD91:$IL91, 0))</f>
        <v>1530</v>
      </c>
      <c r="IO91" s="333"/>
      <c r="IP91" s="334"/>
      <c r="IQ91" s="541"/>
      <c r="IR91" s="569">
        <f>VLOOKUP($E91,[1]アジアResults1031!$A$1:$CH$259,23,FALSE)</f>
        <v>1176178</v>
      </c>
      <c r="IS91" s="570">
        <f>VLOOKUP($E91,[1]アジアResults1031!$A$1:$CH$259,32,FALSE)</f>
        <v>143</v>
      </c>
      <c r="IT91" s="570">
        <f>KY91/(GY91-2)</f>
        <v>75</v>
      </c>
      <c r="IU91" s="570">
        <f>IR91/IT91</f>
        <v>15682.373333333333</v>
      </c>
      <c r="IV91" s="570">
        <f>VLOOKUP(E91,[1]アジアResults1031!$A$1:$CH$264,26,FALSE)</f>
        <v>6824</v>
      </c>
      <c r="IW91" s="570">
        <f>VLOOKUP(E91,[1]アジアResults1031!$A$1:$CH$264,27,FALSE)</f>
        <v>9883</v>
      </c>
      <c r="IX91" s="571">
        <f>VLOOKUP($E91,[1]アジアResults1031!$A$1:$CH$259,18,FALSE)</f>
        <v>0</v>
      </c>
      <c r="IY91" s="571">
        <f>VLOOKUP($E91,[1]アジアResults1031!$A$1:$CH$259,9,FALSE)</f>
        <v>0</v>
      </c>
      <c r="IZ91" s="570">
        <f>IR91*JF91</f>
        <v>19995026</v>
      </c>
      <c r="JA91" s="570">
        <f>IX91*JF91</f>
        <v>0</v>
      </c>
      <c r="JB91" s="570"/>
      <c r="JC91" s="570"/>
      <c r="JD91" s="572">
        <f>IFERROR(INDEX($JO$9:$KW$9, MATCH("準備", JO91:KW91, 0)), "")</f>
        <v>46279</v>
      </c>
      <c r="JE91" s="572" cm="1">
        <f t="array" ref="JE91">IF(COUNTIF(JO91:KW91,"*撤去*")=0,"",INDEX(JO$9:KW$9,1,MAX(IF(JO91:KW91="撤去",COLUMN(JO91:KW91)-COLUMN(JO91)+1))))</f>
        <v>46296</v>
      </c>
      <c r="JF91" s="573">
        <f>JE91-JD91</f>
        <v>17</v>
      </c>
      <c r="JG91" s="503">
        <v>1176178</v>
      </c>
      <c r="JH91" s="506">
        <v>0</v>
      </c>
      <c r="JO91" s="507"/>
      <c r="JP91" s="508"/>
      <c r="JQ91" s="508"/>
      <c r="JR91" s="508"/>
      <c r="JS91" s="508"/>
      <c r="JT91" s="508"/>
      <c r="JU91" s="508"/>
      <c r="JV91" s="508"/>
      <c r="JW91" s="508"/>
      <c r="JX91" s="508"/>
      <c r="JY91" s="400" t="s">
        <v>177</v>
      </c>
      <c r="JZ91" s="400" t="s">
        <v>177</v>
      </c>
      <c r="KA91" s="508">
        <v>90</v>
      </c>
      <c r="KB91" s="508">
        <v>90</v>
      </c>
      <c r="KC91" s="508">
        <v>90</v>
      </c>
      <c r="KD91" s="508">
        <v>90</v>
      </c>
      <c r="KE91" s="508">
        <v>90</v>
      </c>
      <c r="KF91" s="508">
        <v>90</v>
      </c>
      <c r="KG91" s="508">
        <v>90</v>
      </c>
      <c r="KH91" s="508">
        <v>90</v>
      </c>
      <c r="KI91" s="508">
        <v>90</v>
      </c>
      <c r="KJ91" s="508">
        <v>90</v>
      </c>
      <c r="KK91" s="508">
        <v>90</v>
      </c>
      <c r="KL91" s="508">
        <v>90</v>
      </c>
      <c r="KM91" s="508">
        <v>90</v>
      </c>
      <c r="KN91" s="508">
        <v>90</v>
      </c>
      <c r="KO91" s="508">
        <v>90</v>
      </c>
      <c r="KP91" s="406" t="s">
        <v>178</v>
      </c>
      <c r="KQ91" s="508"/>
      <c r="KR91" s="508"/>
      <c r="KS91" s="508"/>
      <c r="KT91" s="508"/>
      <c r="KU91" s="508"/>
      <c r="KV91" s="508"/>
      <c r="KW91" s="509"/>
      <c r="KX91" s="277"/>
      <c r="KY91" s="277" cm="1">
        <f t="array" ref="KY91">SUM(IF(ISNUMBER($JO91:$KW91),$JO91:$KW91, 0))</f>
        <v>1350</v>
      </c>
    </row>
    <row r="92" spans="1:398" ht="40" customHeight="1">
      <c r="B92" s="299"/>
      <c r="C92" s="241"/>
      <c r="D92" s="445"/>
      <c r="E92" s="243" t="s">
        <v>165</v>
      </c>
      <c r="F92" s="244"/>
      <c r="G92" s="246">
        <v>0</v>
      </c>
      <c r="H92" s="246">
        <v>0</v>
      </c>
      <c r="I92" s="246">
        <v>0</v>
      </c>
      <c r="J92" s="246">
        <v>0</v>
      </c>
      <c r="K92" s="246"/>
      <c r="L92" s="246">
        <v>0</v>
      </c>
      <c r="M92" s="300">
        <v>0</v>
      </c>
      <c r="N92" s="251">
        <v>0</v>
      </c>
      <c r="O92" s="251">
        <v>0</v>
      </c>
      <c r="P92" s="300">
        <v>0</v>
      </c>
      <c r="Q92" s="251">
        <v>0</v>
      </c>
      <c r="R92" s="251">
        <v>0</v>
      </c>
      <c r="S92" s="251">
        <v>0</v>
      </c>
      <c r="T92" s="251">
        <v>0</v>
      </c>
      <c r="U92" s="301"/>
      <c r="V92" s="242"/>
      <c r="W92" s="242"/>
      <c r="X92" s="242"/>
      <c r="Y92" s="242"/>
      <c r="Z92" s="242"/>
      <c r="AA92" s="763"/>
      <c r="AB92" s="764" t="s">
        <v>170</v>
      </c>
      <c r="AC92" s="765">
        <v>0</v>
      </c>
      <c r="AD92" s="516"/>
      <c r="AE92" s="655"/>
      <c r="AF92" s="656"/>
      <c r="AG92" s="656"/>
      <c r="AH92" s="656"/>
      <c r="AI92" s="656"/>
      <c r="AJ92" s="656"/>
      <c r="AK92" s="656"/>
      <c r="AL92" s="656"/>
      <c r="AM92" s="656"/>
      <c r="AN92" s="656"/>
      <c r="AO92" s="656"/>
      <c r="AP92" s="656"/>
      <c r="AQ92" s="656"/>
      <c r="AR92" s="656"/>
      <c r="AS92" s="767"/>
      <c r="AT92" s="656"/>
      <c r="AU92" s="767"/>
      <c r="AV92" s="656"/>
      <c r="AW92" s="656"/>
      <c r="AX92" s="656"/>
      <c r="AY92" s="656"/>
      <c r="AZ92" s="768"/>
      <c r="BA92" s="768"/>
      <c r="BB92" s="768"/>
      <c r="BC92" s="768"/>
      <c r="BD92" s="768"/>
      <c r="BE92" s="768"/>
      <c r="BF92" s="768"/>
      <c r="BG92" s="768"/>
      <c r="BH92" s="768"/>
      <c r="BI92" s="768"/>
      <c r="BJ92" s="768"/>
      <c r="BK92" s="768"/>
      <c r="BL92" s="768"/>
      <c r="BM92" s="768"/>
      <c r="BN92" s="768"/>
      <c r="BO92" s="656"/>
      <c r="BP92" s="656"/>
      <c r="BQ92" s="656"/>
      <c r="BR92" s="940"/>
      <c r="BS92" s="941"/>
      <c r="BT92" s="942"/>
      <c r="BU92" s="942"/>
      <c r="BV92" s="773" t="str">
        <f>IFERROR(INDEX($HD$9:$II$9, MATCH("準備", CC92:DK92, 0)), "")</f>
        <v/>
      </c>
      <c r="BW92" s="773" t="str" cm="1">
        <f t="array" ref="BW92">IF(COUNTIF(CC92:DK92,"*撤去*")=0,"",INDEX(CC$9:DK$9,1,MAX(IF(CC92:DK92="撤去",COLUMN(CC92:DK92)-COLUMN(CC92)+1))))</f>
        <v/>
      </c>
      <c r="BX92" s="774"/>
      <c r="BY92" s="360" t="s">
        <v>246</v>
      </c>
      <c r="BZ92" s="361" t="s">
        <v>247</v>
      </c>
      <c r="CA92" s="777"/>
      <c r="CB92" s="777"/>
      <c r="CC92" s="874"/>
      <c r="CD92" s="875"/>
      <c r="CE92" s="875"/>
      <c r="CF92" s="875"/>
      <c r="CG92" s="875"/>
      <c r="CH92" s="875"/>
      <c r="CI92" s="875"/>
      <c r="CJ92" s="875"/>
      <c r="CK92" s="875"/>
      <c r="CL92" s="363">
        <v>0</v>
      </c>
      <c r="CM92" s="363">
        <v>0</v>
      </c>
      <c r="CN92" s="363">
        <v>0</v>
      </c>
      <c r="CO92" s="363">
        <v>0</v>
      </c>
      <c r="CP92" s="363">
        <v>0</v>
      </c>
      <c r="CQ92" s="364">
        <v>0</v>
      </c>
      <c r="CR92" s="365">
        <v>0</v>
      </c>
      <c r="CS92" s="366">
        <v>0</v>
      </c>
      <c r="CT92" s="363">
        <v>0</v>
      </c>
      <c r="CU92" s="363">
        <v>0</v>
      </c>
      <c r="CV92" s="363">
        <v>0</v>
      </c>
      <c r="CW92" s="363">
        <v>0</v>
      </c>
      <c r="CX92" s="363">
        <v>0</v>
      </c>
      <c r="CY92" s="363">
        <v>0</v>
      </c>
      <c r="CZ92" s="363">
        <v>0</v>
      </c>
      <c r="DA92" s="363">
        <v>0</v>
      </c>
      <c r="DB92" s="363">
        <v>0</v>
      </c>
      <c r="DC92" s="363">
        <v>0</v>
      </c>
      <c r="DD92" s="363">
        <v>0</v>
      </c>
      <c r="DE92" s="363">
        <v>0</v>
      </c>
      <c r="DF92" s="364">
        <v>0</v>
      </c>
      <c r="DG92" s="365">
        <v>0</v>
      </c>
      <c r="DH92" s="874"/>
      <c r="DI92" s="875"/>
      <c r="DJ92" s="875"/>
      <c r="DK92" s="886"/>
      <c r="DL92" s="277"/>
      <c r="DM92" s="277"/>
      <c r="DN92" s="277"/>
      <c r="DO92" s="277"/>
      <c r="DP92" s="277"/>
      <c r="DQ92" s="763"/>
      <c r="DR92" s="764" t="s">
        <v>170</v>
      </c>
      <c r="DS92" s="765">
        <v>0</v>
      </c>
      <c r="DT92" s="516"/>
      <c r="DU92" s="656"/>
      <c r="DV92" s="656"/>
      <c r="DW92" s="768"/>
      <c r="DX92" s="768"/>
      <c r="DY92" s="768"/>
      <c r="DZ92" s="768"/>
      <c r="EA92" s="768"/>
      <c r="EB92" s="768"/>
      <c r="EC92" s="768"/>
      <c r="ED92" s="768"/>
      <c r="EE92" s="768"/>
      <c r="EF92" s="768"/>
      <c r="EG92" s="656"/>
      <c r="EH92" s="656"/>
      <c r="EI92" s="942"/>
      <c r="EJ92" s="942"/>
      <c r="EK92" s="773" t="s">
        <v>165</v>
      </c>
      <c r="EL92" s="773" t="s">
        <v>165</v>
      </c>
      <c r="EM92" s="774"/>
      <c r="EN92" s="277"/>
      <c r="EO92" s="763"/>
      <c r="EP92" s="1032" t="s">
        <v>170</v>
      </c>
      <c r="EQ92" s="1033">
        <v>0</v>
      </c>
      <c r="ER92" s="533"/>
      <c r="ES92" s="533" t="e">
        <v>#N/A</v>
      </c>
      <c r="ET92" s="533"/>
      <c r="EU92" s="533"/>
      <c r="EV92" s="1027" t="s">
        <v>170</v>
      </c>
      <c r="EW92" s="453"/>
      <c r="EX92" s="454"/>
      <c r="EY92" s="879" t="s">
        <v>170</v>
      </c>
      <c r="EZ92" s="456"/>
      <c r="FA92" s="457"/>
      <c r="FB92" s="879" t="s">
        <v>170</v>
      </c>
      <c r="FC92" s="880"/>
      <c r="FD92" s="881"/>
      <c r="FE92" s="882" t="s">
        <v>170</v>
      </c>
      <c r="FF92" s="880"/>
      <c r="FG92" s="881"/>
      <c r="FH92" s="882" t="s">
        <v>170</v>
      </c>
      <c r="FI92" s="880"/>
      <c r="FJ92" s="883"/>
      <c r="FK92" s="375"/>
      <c r="FL92" s="290"/>
      <c r="FM92" s="1034"/>
      <c r="FN92" s="655"/>
      <c r="FO92" s="656"/>
      <c r="FP92" s="656"/>
      <c r="FQ92" s="656"/>
      <c r="FR92" s="656"/>
      <c r="FS92" s="656"/>
      <c r="FT92" s="656"/>
      <c r="FU92" s="656"/>
      <c r="FV92" s="767"/>
      <c r="FW92" s="656"/>
      <c r="FX92" s="767"/>
      <c r="FY92" s="656"/>
      <c r="FZ92" s="656"/>
      <c r="GA92" s="656"/>
      <c r="GB92" s="656"/>
      <c r="GC92" s="768"/>
      <c r="GD92" s="768"/>
      <c r="GE92" s="768"/>
      <c r="GF92" s="768"/>
      <c r="GG92" s="768"/>
      <c r="GH92" s="768"/>
      <c r="GI92" s="768"/>
      <c r="GJ92" s="768"/>
      <c r="GK92" s="768"/>
      <c r="GL92" s="768"/>
      <c r="GM92" s="768"/>
      <c r="GN92" s="768"/>
      <c r="GO92" s="768"/>
      <c r="GP92" s="768"/>
      <c r="GQ92" s="768"/>
      <c r="GR92" s="656"/>
      <c r="GS92" s="656"/>
      <c r="GT92" s="941"/>
      <c r="GU92" s="942"/>
      <c r="GV92" s="942"/>
      <c r="GW92" s="773" t="s">
        <v>165</v>
      </c>
      <c r="GX92" s="773" t="s">
        <v>165</v>
      </c>
      <c r="GY92" s="774"/>
      <c r="GZ92" s="943"/>
      <c r="HA92" s="777"/>
      <c r="HB92" s="777"/>
      <c r="HC92" s="777"/>
      <c r="HD92" s="874"/>
      <c r="HE92" s="875"/>
      <c r="HF92" s="875"/>
      <c r="HG92" s="875"/>
      <c r="HH92" s="875"/>
      <c r="HI92" s="875"/>
      <c r="HJ92" s="875"/>
      <c r="HK92" s="875"/>
      <c r="HL92" s="875"/>
      <c r="HM92" s="875"/>
      <c r="HN92" s="875"/>
      <c r="HO92" s="875"/>
      <c r="HP92" s="875"/>
      <c r="HQ92" s="875"/>
      <c r="HR92" s="779"/>
      <c r="HS92" s="884"/>
      <c r="HT92" s="874"/>
      <c r="HU92" s="875"/>
      <c r="HV92" s="875"/>
      <c r="HW92" s="875"/>
      <c r="HX92" s="875"/>
      <c r="HY92" s="875"/>
      <c r="HZ92" s="875"/>
      <c r="IA92" s="875"/>
      <c r="IB92" s="875"/>
      <c r="IC92" s="875"/>
      <c r="ID92" s="875"/>
      <c r="IE92" s="875"/>
      <c r="IF92" s="875"/>
      <c r="IG92" s="274"/>
      <c r="IH92" s="884"/>
      <c r="II92" s="874"/>
      <c r="IJ92" s="875"/>
      <c r="IK92" s="875"/>
      <c r="IL92" s="886"/>
      <c r="IM92" s="277"/>
      <c r="IN92" s="277"/>
      <c r="IO92" s="333"/>
      <c r="IP92" s="334"/>
      <c r="IQ92" s="541"/>
      <c r="IR92" s="542"/>
      <c r="IS92" s="543"/>
      <c r="IT92" s="543"/>
      <c r="IU92" s="543"/>
      <c r="IV92" s="543"/>
      <c r="IW92" s="543"/>
      <c r="IX92" s="544"/>
      <c r="IY92" s="544"/>
      <c r="IZ92" s="543"/>
      <c r="JA92" s="543"/>
      <c r="JB92" s="543"/>
      <c r="JC92" s="543"/>
      <c r="JD92" s="545"/>
      <c r="JE92" s="545"/>
      <c r="JF92" s="546"/>
      <c r="JG92" s="503"/>
      <c r="JH92" s="506"/>
      <c r="JO92" s="507"/>
      <c r="JP92" s="508"/>
      <c r="JQ92" s="508"/>
      <c r="JR92" s="508"/>
      <c r="JS92" s="508"/>
      <c r="JT92" s="508"/>
      <c r="JU92" s="508"/>
      <c r="JV92" s="508"/>
      <c r="JW92" s="508"/>
      <c r="JX92" s="508"/>
      <c r="JY92" s="508"/>
      <c r="JZ92" s="508"/>
      <c r="KA92" s="508"/>
      <c r="KB92" s="508"/>
      <c r="KC92" s="508"/>
      <c r="KD92" s="508"/>
      <c r="KE92" s="508"/>
      <c r="KF92" s="508"/>
      <c r="KG92" s="508"/>
      <c r="KH92" s="508"/>
      <c r="KI92" s="508"/>
      <c r="KJ92" s="508"/>
      <c r="KK92" s="508"/>
      <c r="KL92" s="508"/>
      <c r="KM92" s="508"/>
      <c r="KN92" s="508"/>
      <c r="KO92" s="508"/>
      <c r="KP92" s="508"/>
      <c r="KQ92" s="508"/>
      <c r="KR92" s="508"/>
      <c r="KS92" s="508"/>
      <c r="KT92" s="508"/>
      <c r="KU92" s="508"/>
      <c r="KV92" s="508"/>
      <c r="KW92" s="509"/>
      <c r="KX92" s="277"/>
      <c r="KY92" s="277"/>
    </row>
    <row r="93" spans="1:398" ht="40" customHeight="1">
      <c r="B93" s="299"/>
      <c r="C93" s="241"/>
      <c r="D93" s="378"/>
      <c r="E93" s="379">
        <v>219</v>
      </c>
      <c r="F93" s="460" t="s">
        <v>426</v>
      </c>
      <c r="G93" s="381">
        <v>246</v>
      </c>
      <c r="H93" s="381">
        <v>247</v>
      </c>
      <c r="I93" s="381">
        <v>245</v>
      </c>
      <c r="J93" s="381">
        <v>245</v>
      </c>
      <c r="K93" s="245" t="s">
        <v>427</v>
      </c>
      <c r="L93" s="381">
        <v>225</v>
      </c>
      <c r="M93" s="383">
        <v>0</v>
      </c>
      <c r="N93" s="384" t="s">
        <v>354</v>
      </c>
      <c r="O93" s="384" t="s">
        <v>369</v>
      </c>
      <c r="P93" s="383">
        <v>40</v>
      </c>
      <c r="Q93" s="384" t="s">
        <v>170</v>
      </c>
      <c r="R93" s="384" t="s">
        <v>170</v>
      </c>
      <c r="S93" s="384" t="s">
        <v>169</v>
      </c>
      <c r="T93" s="384" t="s">
        <v>319</v>
      </c>
      <c r="U93" s="385" t="s">
        <v>169</v>
      </c>
      <c r="V93" s="378" t="s">
        <v>172</v>
      </c>
      <c r="W93" s="378"/>
      <c r="X93" s="462" t="s">
        <v>292</v>
      </c>
      <c r="Y93" s="378"/>
      <c r="Z93" s="378"/>
      <c r="AA93" s="887" t="s">
        <v>275</v>
      </c>
      <c r="AB93" s="387"/>
      <c r="AC93" s="388"/>
      <c r="AD93" s="389">
        <f>SUM(AC93,AC94)</f>
        <v>0</v>
      </c>
      <c r="AE93" s="465" t="s">
        <v>295</v>
      </c>
      <c r="AF93" s="550" t="s">
        <v>296</v>
      </c>
      <c r="AG93" s="467">
        <f>'[1]0219_東横三河Ⅱ　別紙1-1'!M24</f>
        <v>3185000</v>
      </c>
      <c r="AH93" s="468">
        <f>FQ93</f>
        <v>0</v>
      </c>
      <c r="AI93" s="468">
        <f>FR93</f>
        <v>4100</v>
      </c>
      <c r="AJ93" s="468"/>
      <c r="AK93" s="468">
        <v>0</v>
      </c>
      <c r="AL93" s="468"/>
      <c r="AM93" s="468">
        <v>0</v>
      </c>
      <c r="AN93" s="468"/>
      <c r="AO93" s="468">
        <v>0</v>
      </c>
      <c r="AP93" s="467">
        <f>'[1]0219_東横三河Ⅱ　別紙1-1'!K22</f>
        <v>245</v>
      </c>
      <c r="AQ93" s="467">
        <f>'[1]0219_東横三河Ⅱ　別紙1-1'!AF22</f>
        <v>245</v>
      </c>
      <c r="AR93" s="474">
        <f>DM93/(BX93-2)</f>
        <v>0</v>
      </c>
      <c r="AS93" s="475" t="e">
        <f>AG93/AR93</f>
        <v>#DIV/0!</v>
      </c>
      <c r="AT93" s="476">
        <f>AG93/AP93</f>
        <v>13000</v>
      </c>
      <c r="AU93" s="475">
        <f>AG93/AQ93</f>
        <v>13000</v>
      </c>
      <c r="AV93" s="477">
        <v>26000</v>
      </c>
      <c r="AW93" s="477">
        <v>48000</v>
      </c>
      <c r="AX93" s="467">
        <f>GA93</f>
        <v>0</v>
      </c>
      <c r="AY93" s="467">
        <f>GB93</f>
        <v>0</v>
      </c>
      <c r="AZ93" s="478">
        <f>'[1]0219_東横三河Ⅱ　別紙1-1'!C26</f>
        <v>66885000</v>
      </c>
      <c r="BA93" s="478">
        <f>GD93</f>
        <v>0</v>
      </c>
      <c r="BB93" s="478"/>
      <c r="BC93" s="478">
        <f>AH93*DM93</f>
        <v>0</v>
      </c>
      <c r="BD93" s="478"/>
      <c r="BE93" s="478"/>
      <c r="BF93" s="478"/>
      <c r="BG93" s="478"/>
      <c r="BH93" s="478"/>
      <c r="BI93" s="480">
        <f>GJ93</f>
        <v>0</v>
      </c>
      <c r="BJ93" s="480">
        <f>GK93</f>
        <v>0</v>
      </c>
      <c r="BK93" s="480">
        <f>BM93*5000*BX93</f>
        <v>525000</v>
      </c>
      <c r="BL93" s="480">
        <f>1800000*BN93*BX93</f>
        <v>0</v>
      </c>
      <c r="BM93" s="480">
        <f>GP93</f>
        <v>5</v>
      </c>
      <c r="BN93" s="480">
        <f>GQ93</f>
        <v>0</v>
      </c>
      <c r="BO93" s="481"/>
      <c r="BP93" s="481">
        <f>SUM(AZ93,BA93,BI93,BO93)</f>
        <v>66885000</v>
      </c>
      <c r="BQ93" s="481">
        <f>BP93-GR93</f>
        <v>3185000</v>
      </c>
      <c r="BR93" s="554"/>
      <c r="BS93" s="1012" t="s">
        <v>175</v>
      </c>
      <c r="BT93" s="484">
        <f>GU93</f>
        <v>46279</v>
      </c>
      <c r="BU93" s="484">
        <f>GV93</f>
        <v>46299</v>
      </c>
      <c r="BV93" s="1035">
        <f>IFERROR(INDEX($BY$9:$DH$9, MATCH("準備", BY93:DK93, 0)), "")</f>
        <v>46278</v>
      </c>
      <c r="BW93" s="1036" cm="1">
        <f t="array" ref="BW93">IF(COUNTIF(BY93:DK93,"*撤去*")=0,"",INDEX(BY$9:DK$9,1,MAX(IF(CC93:DK93="撤去",COLUMN(CC93:DK93)-COLUMN(BY93)+1))))</f>
        <v>46299</v>
      </c>
      <c r="BX93" s="1037">
        <f>BW93-BV93</f>
        <v>21</v>
      </c>
      <c r="BY93" s="596">
        <v>0</v>
      </c>
      <c r="BZ93" s="597">
        <v>0</v>
      </c>
      <c r="CA93" s="597">
        <v>0</v>
      </c>
      <c r="CB93" s="597">
        <v>0</v>
      </c>
      <c r="CC93" s="405">
        <v>0</v>
      </c>
      <c r="CD93" s="403">
        <v>0</v>
      </c>
      <c r="CE93" s="403">
        <v>0</v>
      </c>
      <c r="CF93" s="403">
        <v>0</v>
      </c>
      <c r="CG93" s="403">
        <v>0</v>
      </c>
      <c r="CH93" s="403">
        <v>0</v>
      </c>
      <c r="CI93" s="403">
        <v>0</v>
      </c>
      <c r="CJ93" s="403">
        <v>0</v>
      </c>
      <c r="CK93" s="403">
        <v>0</v>
      </c>
      <c r="CL93" s="400" t="s">
        <v>177</v>
      </c>
      <c r="CM93" s="400" t="s">
        <v>177</v>
      </c>
      <c r="CN93" s="403"/>
      <c r="CO93" s="403"/>
      <c r="CP93" s="403"/>
      <c r="CQ93" s="403"/>
      <c r="CR93" s="404"/>
      <c r="CS93" s="405"/>
      <c r="CT93" s="403"/>
      <c r="CU93" s="403"/>
      <c r="CV93" s="403"/>
      <c r="CW93" s="403"/>
      <c r="CX93" s="403"/>
      <c r="CY93" s="403"/>
      <c r="CZ93" s="403"/>
      <c r="DA93" s="403"/>
      <c r="DB93" s="403"/>
      <c r="DC93" s="403"/>
      <c r="DD93" s="403"/>
      <c r="DE93" s="403"/>
      <c r="DF93" s="403"/>
      <c r="DG93" s="951" t="s">
        <v>178</v>
      </c>
      <c r="DH93" s="405">
        <v>0</v>
      </c>
      <c r="DI93" s="403">
        <v>0</v>
      </c>
      <c r="DJ93" s="403">
        <v>0</v>
      </c>
      <c r="DK93" s="407">
        <v>0</v>
      </c>
      <c r="DL93" s="277"/>
      <c r="DM93" s="277" cm="1">
        <f t="array" ref="DM93">SUM(IF(ISNUMBER($BY93:$DK93),$BY93:$DK93, 0))</f>
        <v>0</v>
      </c>
      <c r="DN93" s="277">
        <v>3825</v>
      </c>
      <c r="DO93" s="277">
        <f>DM93*(BX93)/(BX93+1)</f>
        <v>0</v>
      </c>
      <c r="DP93" s="277"/>
      <c r="DQ93" s="386" t="s">
        <v>428</v>
      </c>
      <c r="DR93" s="387" t="s">
        <v>332</v>
      </c>
      <c r="DS93" s="388">
        <v>225</v>
      </c>
      <c r="DT93" s="389">
        <f>SUM(DS93,DS94)</f>
        <v>225</v>
      </c>
      <c r="DU93" s="467">
        <v>3185000</v>
      </c>
      <c r="DV93" s="467">
        <v>0</v>
      </c>
      <c r="DW93" s="478">
        <v>63700000</v>
      </c>
      <c r="DX93" s="478">
        <v>0</v>
      </c>
      <c r="DY93" s="478"/>
      <c r="DZ93" s="478"/>
      <c r="EA93" s="478"/>
      <c r="EB93" s="478"/>
      <c r="EC93" s="480">
        <v>0</v>
      </c>
      <c r="ED93" s="480">
        <v>0</v>
      </c>
      <c r="EE93" s="480">
        <v>500000</v>
      </c>
      <c r="EF93" s="480">
        <v>0</v>
      </c>
      <c r="EG93" s="481"/>
      <c r="EH93" s="481">
        <v>63700000</v>
      </c>
      <c r="EI93" s="484">
        <v>46279</v>
      </c>
      <c r="EJ93" s="484">
        <v>46299</v>
      </c>
      <c r="EK93" s="1035">
        <v>46279</v>
      </c>
      <c r="EL93" s="1036">
        <v>46299</v>
      </c>
      <c r="EM93" s="1037">
        <v>20</v>
      </c>
      <c r="EN93" s="277"/>
      <c r="EO93" s="386" t="s">
        <v>428</v>
      </c>
      <c r="EP93" s="408" t="s">
        <v>332</v>
      </c>
      <c r="EQ93" s="985">
        <v>225</v>
      </c>
      <c r="ER93" s="491">
        <v>225</v>
      </c>
      <c r="ES93" s="245" t="s">
        <v>165</v>
      </c>
      <c r="ET93" s="245" t="s">
        <v>165</v>
      </c>
      <c r="EU93" s="245">
        <v>215</v>
      </c>
      <c r="EV93" s="411" t="s">
        <v>419</v>
      </c>
      <c r="EW93" s="412">
        <v>51.7</v>
      </c>
      <c r="EX93" s="413">
        <v>67</v>
      </c>
      <c r="EY93" s="414" t="s">
        <v>188</v>
      </c>
      <c r="EZ93" s="492">
        <v>51.7</v>
      </c>
      <c r="FA93" s="493">
        <v>67</v>
      </c>
      <c r="FB93" s="414" t="s">
        <v>189</v>
      </c>
      <c r="FC93" s="492"/>
      <c r="FD93" s="493"/>
      <c r="FE93" s="494" t="s">
        <v>189</v>
      </c>
      <c r="FF93" s="492"/>
      <c r="FG93" s="493"/>
      <c r="FH93" s="494" t="s">
        <v>189</v>
      </c>
      <c r="FI93" s="492"/>
      <c r="FJ93" s="495"/>
      <c r="FK93" s="289">
        <v>22</v>
      </c>
      <c r="FL93" s="497">
        <v>8.9068825910931168E-2</v>
      </c>
      <c r="FM93" s="498" t="s">
        <v>429</v>
      </c>
      <c r="FN93" s="561" t="s">
        <v>300</v>
      </c>
      <c r="FO93" s="550" t="s">
        <v>296</v>
      </c>
      <c r="FP93" s="562">
        <v>3185000</v>
      </c>
      <c r="FQ93" s="563">
        <v>0</v>
      </c>
      <c r="FR93" s="468">
        <v>4100</v>
      </c>
      <c r="FS93" s="562">
        <v>245</v>
      </c>
      <c r="FT93" s="965">
        <v>245</v>
      </c>
      <c r="FU93" s="261">
        <v>225</v>
      </c>
      <c r="FV93" s="263">
        <v>14155.555555555555</v>
      </c>
      <c r="FW93" s="390">
        <v>13000</v>
      </c>
      <c r="FX93" s="394">
        <v>13000</v>
      </c>
      <c r="FY93" s="264">
        <v>6824</v>
      </c>
      <c r="FZ93" s="264">
        <v>10000</v>
      </c>
      <c r="GA93" s="562">
        <v>0</v>
      </c>
      <c r="GB93" s="562">
        <v>0</v>
      </c>
      <c r="GC93" s="565">
        <v>63700000</v>
      </c>
      <c r="GD93" s="565">
        <v>0</v>
      </c>
      <c r="GE93" s="565">
        <v>63700000</v>
      </c>
      <c r="GF93" s="565">
        <v>0</v>
      </c>
      <c r="GG93" s="478">
        <v>0</v>
      </c>
      <c r="GH93" s="478">
        <v>0</v>
      </c>
      <c r="GI93" s="566"/>
      <c r="GJ93" s="566"/>
      <c r="GK93" s="566"/>
      <c r="GL93" s="566"/>
      <c r="GM93" s="480">
        <v>0</v>
      </c>
      <c r="GN93" s="480">
        <v>350000</v>
      </c>
      <c r="GO93" s="480">
        <v>0</v>
      </c>
      <c r="GP93" s="566">
        <v>5</v>
      </c>
      <c r="GQ93" s="566">
        <v>0</v>
      </c>
      <c r="GR93" s="1019">
        <v>63700000</v>
      </c>
      <c r="GS93" s="1019">
        <v>-28045169</v>
      </c>
      <c r="GT93" s="1012" t="s">
        <v>175</v>
      </c>
      <c r="GU93" s="1020">
        <v>46279</v>
      </c>
      <c r="GV93" s="1020">
        <v>46299</v>
      </c>
      <c r="GW93" s="1035">
        <v>46279</v>
      </c>
      <c r="GX93" s="1036">
        <v>46299</v>
      </c>
      <c r="GY93" s="1037">
        <v>20</v>
      </c>
      <c r="GZ93" s="596"/>
      <c r="HA93" s="597"/>
      <c r="HB93" s="597"/>
      <c r="HC93" s="597"/>
      <c r="HD93" s="405">
        <v>0</v>
      </c>
      <c r="HE93" s="403">
        <v>0</v>
      </c>
      <c r="HF93" s="403">
        <v>0</v>
      </c>
      <c r="HG93" s="403">
        <v>0</v>
      </c>
      <c r="HH93" s="403">
        <v>0</v>
      </c>
      <c r="HI93" s="403">
        <v>0</v>
      </c>
      <c r="HJ93" s="403">
        <v>0</v>
      </c>
      <c r="HK93" s="403">
        <v>0</v>
      </c>
      <c r="HL93" s="403">
        <v>0</v>
      </c>
      <c r="HM93" s="403">
        <v>0</v>
      </c>
      <c r="HN93" s="400" t="s">
        <v>177</v>
      </c>
      <c r="HO93" s="400" t="s">
        <v>177</v>
      </c>
      <c r="HP93" s="403">
        <v>225</v>
      </c>
      <c r="HQ93" s="403">
        <v>225</v>
      </c>
      <c r="HR93" s="403">
        <v>225</v>
      </c>
      <c r="HS93" s="404">
        <v>225</v>
      </c>
      <c r="HT93" s="405">
        <v>225</v>
      </c>
      <c r="HU93" s="403">
        <v>225</v>
      </c>
      <c r="HV93" s="403">
        <v>225</v>
      </c>
      <c r="HW93" s="403">
        <v>225</v>
      </c>
      <c r="HX93" s="403">
        <v>225</v>
      </c>
      <c r="HY93" s="403">
        <v>225</v>
      </c>
      <c r="HZ93" s="403">
        <v>225</v>
      </c>
      <c r="IA93" s="403">
        <v>225</v>
      </c>
      <c r="IB93" s="403">
        <v>225</v>
      </c>
      <c r="IC93" s="403">
        <v>225</v>
      </c>
      <c r="ID93" s="403">
        <v>225</v>
      </c>
      <c r="IE93" s="403">
        <v>225</v>
      </c>
      <c r="IF93" s="403">
        <v>225</v>
      </c>
      <c r="IG93" s="403">
        <v>225</v>
      </c>
      <c r="IH93" s="951" t="s">
        <v>178</v>
      </c>
      <c r="II93" s="405">
        <v>0</v>
      </c>
      <c r="IJ93" s="403">
        <v>0</v>
      </c>
      <c r="IK93" s="403">
        <v>0</v>
      </c>
      <c r="IL93" s="407">
        <v>0</v>
      </c>
      <c r="IM93" s="277"/>
      <c r="IN93" s="277" cm="1">
        <f t="array" ref="IN93">SUM(IF(ISNUMBER($HD93:$IL93),$HD93:$IL93, 0))</f>
        <v>4050</v>
      </c>
      <c r="IO93" s="426"/>
      <c r="IP93" s="427"/>
      <c r="IQ93" s="541"/>
      <c r="IR93" s="569">
        <f>VLOOKUP($E93,[1]アジアResults1031!$A$1:$CH$259,23,FALSE)</f>
        <v>2097343</v>
      </c>
      <c r="IS93" s="570">
        <f>VLOOKUP($E93,[1]アジアResults1031!$A$1:$CH$259,32,FALSE)</f>
        <v>246</v>
      </c>
      <c r="IT93" s="570">
        <f>KY93/(GY93-2)</f>
        <v>179.16666666666666</v>
      </c>
      <c r="IU93" s="570">
        <f>IR93/IT93</f>
        <v>11706.10046511628</v>
      </c>
      <c r="IV93" s="570">
        <f>VLOOKUP(E93,[1]アジアResults1031!$A$1:$CH$264,26,FALSE)</f>
        <v>6824</v>
      </c>
      <c r="IW93" s="570">
        <f>VLOOKUP(E93,[1]アジアResults1031!$A$1:$CH$264,27,FALSE)</f>
        <v>10000</v>
      </c>
      <c r="IX93" s="571">
        <f>VLOOKUP($E93,[1]アジアResults1031!$A$1:$CH$259,18,FALSE)</f>
        <v>0</v>
      </c>
      <c r="IY93" s="571">
        <f>VLOOKUP($E93,[1]アジアResults1031!$A$1:$CH$259,9,FALSE)</f>
        <v>0</v>
      </c>
      <c r="IZ93" s="570">
        <f>IR93*JF93</f>
        <v>35654831</v>
      </c>
      <c r="JA93" s="570">
        <f>IX93*JF93</f>
        <v>0</v>
      </c>
      <c r="JB93" s="570"/>
      <c r="JC93" s="570"/>
      <c r="JD93" s="572">
        <f>IFERROR(INDEX($JO$9:$KW$9, MATCH("準備", JO93:KW93, 0)), "")</f>
        <v>46279</v>
      </c>
      <c r="JE93" s="572" cm="1">
        <f t="array" ref="JE93">IF(COUNTIF(JO93:KW93,"*撤去*")=0,"",INDEX(JO$9:KW$9,1,MAX(IF(JO93:KW93="撤去",COLUMN(JO93:KW93)-COLUMN(JO93)+1))))</f>
        <v>46296</v>
      </c>
      <c r="JF93" s="573">
        <f>JE93-JD93</f>
        <v>17</v>
      </c>
      <c r="JG93" s="574">
        <v>2097343</v>
      </c>
      <c r="JH93" s="575">
        <v>0</v>
      </c>
      <c r="JO93" s="507"/>
      <c r="JP93" s="508"/>
      <c r="JQ93" s="508"/>
      <c r="JR93" s="508"/>
      <c r="JS93" s="508"/>
      <c r="JT93" s="508"/>
      <c r="JU93" s="508"/>
      <c r="JV93" s="508"/>
      <c r="JW93" s="508"/>
      <c r="JX93" s="508"/>
      <c r="JY93" s="400" t="s">
        <v>177</v>
      </c>
      <c r="JZ93" s="400" t="s">
        <v>177</v>
      </c>
      <c r="KA93" s="508">
        <v>215</v>
      </c>
      <c r="KB93" s="508">
        <v>215</v>
      </c>
      <c r="KC93" s="508">
        <v>215</v>
      </c>
      <c r="KD93" s="508">
        <v>215</v>
      </c>
      <c r="KE93" s="508">
        <v>215</v>
      </c>
      <c r="KF93" s="508">
        <v>215</v>
      </c>
      <c r="KG93" s="508">
        <v>215</v>
      </c>
      <c r="KH93" s="508">
        <v>215</v>
      </c>
      <c r="KI93" s="508">
        <v>215</v>
      </c>
      <c r="KJ93" s="508">
        <v>215</v>
      </c>
      <c r="KK93" s="508">
        <v>215</v>
      </c>
      <c r="KL93" s="508">
        <v>215</v>
      </c>
      <c r="KM93" s="508">
        <v>215</v>
      </c>
      <c r="KN93" s="508">
        <v>215</v>
      </c>
      <c r="KO93" s="508">
        <v>215</v>
      </c>
      <c r="KP93" s="406" t="s">
        <v>178</v>
      </c>
      <c r="KQ93" s="508"/>
      <c r="KR93" s="508"/>
      <c r="KS93" s="508"/>
      <c r="KT93" s="508"/>
      <c r="KU93" s="508"/>
      <c r="KV93" s="508"/>
      <c r="KW93" s="509"/>
      <c r="KX93" s="277"/>
      <c r="KY93" s="277" cm="1">
        <f t="array" ref="KY93">SUM(IF(ISNUMBER($JO93:$KW93),$JO93:$KW93, 0))</f>
        <v>3225</v>
      </c>
    </row>
    <row r="94" spans="1:398" s="1039" customFormat="1" ht="40" customHeight="1">
      <c r="A94" s="1"/>
      <c r="B94" s="299"/>
      <c r="C94" s="671"/>
      <c r="D94" s="445"/>
      <c r="E94" s="510" t="s">
        <v>165</v>
      </c>
      <c r="F94" s="511"/>
      <c r="G94" s="512">
        <v>0</v>
      </c>
      <c r="H94" s="512">
        <v>0</v>
      </c>
      <c r="I94" s="512">
        <v>0</v>
      </c>
      <c r="J94" s="1038">
        <v>0</v>
      </c>
      <c r="K94" s="1038"/>
      <c r="L94" s="512">
        <v>0</v>
      </c>
      <c r="M94" s="513">
        <v>0</v>
      </c>
      <c r="N94" s="514">
        <v>0</v>
      </c>
      <c r="O94" s="514">
        <v>0</v>
      </c>
      <c r="P94" s="513">
        <v>0</v>
      </c>
      <c r="Q94" s="514">
        <v>0</v>
      </c>
      <c r="R94" s="514">
        <v>0</v>
      </c>
      <c r="S94" s="514">
        <v>0</v>
      </c>
      <c r="T94" s="514">
        <v>0</v>
      </c>
      <c r="U94" s="515" t="s">
        <v>165</v>
      </c>
      <c r="V94" s="445"/>
      <c r="W94" s="445"/>
      <c r="X94" s="445"/>
      <c r="Y94" s="445"/>
      <c r="Z94" s="445"/>
      <c r="AA94" s="446"/>
      <c r="AB94" s="447" t="s">
        <v>170</v>
      </c>
      <c r="AC94" s="448">
        <v>0</v>
      </c>
      <c r="AD94" s="516"/>
      <c r="AE94" s="655"/>
      <c r="AF94" s="656"/>
      <c r="AG94" s="656"/>
      <c r="AH94" s="656"/>
      <c r="AI94" s="656"/>
      <c r="AJ94" s="656"/>
      <c r="AK94" s="656"/>
      <c r="AL94" s="656"/>
      <c r="AM94" s="656"/>
      <c r="AN94" s="656"/>
      <c r="AO94" s="656"/>
      <c r="AP94" s="656"/>
      <c r="AQ94" s="656"/>
      <c r="AR94" s="656"/>
      <c r="AS94" s="767"/>
      <c r="AT94" s="656"/>
      <c r="AU94" s="767"/>
      <c r="AV94" s="656"/>
      <c r="AW94" s="656"/>
      <c r="AX94" s="656"/>
      <c r="AY94" s="656"/>
      <c r="AZ94" s="768"/>
      <c r="BA94" s="768"/>
      <c r="BB94" s="768"/>
      <c r="BC94" s="768"/>
      <c r="BD94" s="768"/>
      <c r="BE94" s="768"/>
      <c r="BF94" s="768"/>
      <c r="BG94" s="768"/>
      <c r="BH94" s="768"/>
      <c r="BI94" s="768"/>
      <c r="BJ94" s="768"/>
      <c r="BK94" s="768"/>
      <c r="BL94" s="768"/>
      <c r="BM94" s="768"/>
      <c r="BN94" s="768"/>
      <c r="BO94" s="656"/>
      <c r="BP94" s="656"/>
      <c r="BQ94" s="656"/>
      <c r="BR94" s="940"/>
      <c r="BS94" s="941"/>
      <c r="BT94" s="942"/>
      <c r="BU94" s="942"/>
      <c r="BV94" s="773" t="str">
        <f>IFERROR(INDEX($HD$9:$II$9, MATCH("準備", CC94:DK94, 0)), "")</f>
        <v/>
      </c>
      <c r="BW94" s="773" t="str" cm="1">
        <f t="array" ref="BW94">IF(COUNTIF(CC94:DK94,"*撤去*")=0,"",INDEX(CC$9:DK$9,1,MAX(IF(CC94:DK94="撤去",COLUMN(CC94:DK94)-COLUMN(CC94)+1))))</f>
        <v/>
      </c>
      <c r="BX94" s="774"/>
      <c r="BY94" s="360" t="s">
        <v>246</v>
      </c>
      <c r="BZ94" s="361" t="s">
        <v>247</v>
      </c>
      <c r="CA94" s="777"/>
      <c r="CB94" s="777"/>
      <c r="CC94" s="874"/>
      <c r="CD94" s="875"/>
      <c r="CE94" s="875"/>
      <c r="CF94" s="875"/>
      <c r="CG94" s="875"/>
      <c r="CH94" s="875"/>
      <c r="CI94" s="875"/>
      <c r="CJ94" s="875"/>
      <c r="CK94" s="875"/>
      <c r="CL94" s="363">
        <v>0</v>
      </c>
      <c r="CM94" s="363">
        <v>0</v>
      </c>
      <c r="CN94" s="363">
        <v>0</v>
      </c>
      <c r="CO94" s="363">
        <v>0</v>
      </c>
      <c r="CP94" s="363">
        <v>0</v>
      </c>
      <c r="CQ94" s="364">
        <v>0</v>
      </c>
      <c r="CR94" s="365">
        <v>0</v>
      </c>
      <c r="CS94" s="366">
        <v>0</v>
      </c>
      <c r="CT94" s="363">
        <v>0</v>
      </c>
      <c r="CU94" s="363">
        <v>0</v>
      </c>
      <c r="CV94" s="363">
        <v>0</v>
      </c>
      <c r="CW94" s="363">
        <v>0</v>
      </c>
      <c r="CX94" s="363">
        <v>0</v>
      </c>
      <c r="CY94" s="363">
        <v>0</v>
      </c>
      <c r="CZ94" s="363">
        <v>0</v>
      </c>
      <c r="DA94" s="363">
        <v>0</v>
      </c>
      <c r="DB94" s="363">
        <v>0</v>
      </c>
      <c r="DC94" s="363">
        <v>0</v>
      </c>
      <c r="DD94" s="363">
        <v>0</v>
      </c>
      <c r="DE94" s="363">
        <v>0</v>
      </c>
      <c r="DF94" s="364">
        <v>0</v>
      </c>
      <c r="DG94" s="365">
        <v>0</v>
      </c>
      <c r="DH94" s="874"/>
      <c r="DI94" s="875"/>
      <c r="DJ94" s="875"/>
      <c r="DK94" s="886"/>
      <c r="DL94" s="277"/>
      <c r="DM94" s="277"/>
      <c r="DN94" s="277"/>
      <c r="DO94" s="277"/>
      <c r="DP94" s="277"/>
      <c r="DQ94" s="446"/>
      <c r="DR94" s="447" t="s">
        <v>170</v>
      </c>
      <c r="DS94" s="448">
        <v>0</v>
      </c>
      <c r="DT94" s="516"/>
      <c r="DU94" s="656"/>
      <c r="DV94" s="656"/>
      <c r="DW94" s="768"/>
      <c r="DX94" s="768"/>
      <c r="DY94" s="768"/>
      <c r="DZ94" s="768"/>
      <c r="EA94" s="768"/>
      <c r="EB94" s="768"/>
      <c r="EC94" s="768"/>
      <c r="ED94" s="768"/>
      <c r="EE94" s="768"/>
      <c r="EF94" s="768"/>
      <c r="EG94" s="656"/>
      <c r="EH94" s="656"/>
      <c r="EI94" s="942"/>
      <c r="EJ94" s="942"/>
      <c r="EK94" s="773" t="s">
        <v>165</v>
      </c>
      <c r="EL94" s="773" t="s">
        <v>165</v>
      </c>
      <c r="EM94" s="774"/>
      <c r="EN94" s="277"/>
      <c r="EO94" s="446"/>
      <c r="EP94" s="450" t="s">
        <v>170</v>
      </c>
      <c r="EQ94" s="451">
        <v>0</v>
      </c>
      <c r="ER94" s="533"/>
      <c r="ES94" s="533" t="e">
        <v>#N/A</v>
      </c>
      <c r="ET94" s="533"/>
      <c r="EU94" s="533"/>
      <c r="EV94" s="452" t="s">
        <v>170</v>
      </c>
      <c r="EW94" s="453"/>
      <c r="EX94" s="454"/>
      <c r="EY94" s="455" t="s">
        <v>170</v>
      </c>
      <c r="EZ94" s="456"/>
      <c r="FA94" s="457"/>
      <c r="FB94" s="455" t="s">
        <v>170</v>
      </c>
      <c r="FC94" s="456"/>
      <c r="FD94" s="457"/>
      <c r="FE94" s="458" t="s">
        <v>170</v>
      </c>
      <c r="FF94" s="456"/>
      <c r="FG94" s="457"/>
      <c r="FH94" s="458" t="s">
        <v>170</v>
      </c>
      <c r="FI94" s="456"/>
      <c r="FJ94" s="534"/>
      <c r="FK94" s="375"/>
      <c r="FL94" s="376"/>
      <c r="FM94" s="535"/>
      <c r="FN94" s="655"/>
      <c r="FO94" s="656"/>
      <c r="FP94" s="656"/>
      <c r="FQ94" s="656"/>
      <c r="FR94" s="656"/>
      <c r="FS94" s="656"/>
      <c r="FT94" s="656"/>
      <c r="FU94" s="656"/>
      <c r="FV94" s="767"/>
      <c r="FW94" s="656"/>
      <c r="FX94" s="767"/>
      <c r="FY94" s="656"/>
      <c r="FZ94" s="656"/>
      <c r="GA94" s="656"/>
      <c r="GB94" s="656"/>
      <c r="GC94" s="768"/>
      <c r="GD94" s="768"/>
      <c r="GE94" s="768"/>
      <c r="GF94" s="768"/>
      <c r="GG94" s="768"/>
      <c r="GH94" s="768"/>
      <c r="GI94" s="768"/>
      <c r="GJ94" s="768"/>
      <c r="GK94" s="768"/>
      <c r="GL94" s="768"/>
      <c r="GM94" s="768"/>
      <c r="GN94" s="768"/>
      <c r="GO94" s="768"/>
      <c r="GP94" s="768"/>
      <c r="GQ94" s="768"/>
      <c r="GR94" s="656"/>
      <c r="GS94" s="656"/>
      <c r="GT94" s="941"/>
      <c r="GU94" s="942"/>
      <c r="GV94" s="942"/>
      <c r="GW94" s="773" t="s">
        <v>165</v>
      </c>
      <c r="GX94" s="773" t="s">
        <v>165</v>
      </c>
      <c r="GY94" s="774"/>
      <c r="GZ94" s="943"/>
      <c r="HA94" s="777"/>
      <c r="HB94" s="777"/>
      <c r="HC94" s="777"/>
      <c r="HD94" s="874"/>
      <c r="HE94" s="875"/>
      <c r="HF94" s="875"/>
      <c r="HG94" s="875"/>
      <c r="HH94" s="875"/>
      <c r="HI94" s="875"/>
      <c r="HJ94" s="875"/>
      <c r="HK94" s="875"/>
      <c r="HL94" s="875"/>
      <c r="HM94" s="875"/>
      <c r="HN94" s="875"/>
      <c r="HO94" s="875"/>
      <c r="HP94" s="875"/>
      <c r="HQ94" s="875"/>
      <c r="HR94" s="779"/>
      <c r="HS94" s="884"/>
      <c r="HT94" s="874"/>
      <c r="HU94" s="875"/>
      <c r="HV94" s="875"/>
      <c r="HW94" s="875"/>
      <c r="HX94" s="875"/>
      <c r="HY94" s="875"/>
      <c r="HZ94" s="875"/>
      <c r="IA94" s="875"/>
      <c r="IB94" s="875"/>
      <c r="IC94" s="875"/>
      <c r="ID94" s="875"/>
      <c r="IE94" s="875"/>
      <c r="IF94" s="875"/>
      <c r="IG94" s="779"/>
      <c r="IH94" s="884"/>
      <c r="II94" s="874"/>
      <c r="IJ94" s="875"/>
      <c r="IK94" s="875"/>
      <c r="IL94" s="886"/>
      <c r="IM94" s="277"/>
      <c r="IN94" s="277"/>
      <c r="IO94" s="944"/>
      <c r="IP94" s="945"/>
      <c r="IQ94" s="541"/>
      <c r="IR94" s="581"/>
      <c r="IS94" s="582"/>
      <c r="IT94" s="582"/>
      <c r="IU94" s="582"/>
      <c r="IV94" s="582"/>
      <c r="IW94" s="582"/>
      <c r="IX94" s="583"/>
      <c r="IY94" s="583"/>
      <c r="IZ94" s="582"/>
      <c r="JA94" s="582"/>
      <c r="JB94" s="582"/>
      <c r="JC94" s="582"/>
      <c r="JD94" s="584"/>
      <c r="JE94" s="584"/>
      <c r="JF94" s="585"/>
      <c r="JG94" s="586"/>
      <c r="JH94" s="587"/>
      <c r="JI94" s="1"/>
      <c r="JJ94" s="1"/>
      <c r="JK94" s="1"/>
      <c r="JL94" s="1"/>
      <c r="JM94" s="1"/>
      <c r="JN94" s="1"/>
      <c r="JO94" s="507"/>
      <c r="JP94" s="508"/>
      <c r="JQ94" s="508"/>
      <c r="JR94" s="508"/>
      <c r="JS94" s="589"/>
      <c r="JT94" s="589"/>
      <c r="JU94" s="589"/>
      <c r="JV94" s="589"/>
      <c r="JW94" s="589"/>
      <c r="JX94" s="589"/>
      <c r="JY94" s="589"/>
      <c r="JZ94" s="589"/>
      <c r="KA94" s="589"/>
      <c r="KB94" s="589"/>
      <c r="KC94" s="589"/>
      <c r="KD94" s="589"/>
      <c r="KE94" s="589"/>
      <c r="KF94" s="589"/>
      <c r="KG94" s="589"/>
      <c r="KH94" s="589"/>
      <c r="KI94" s="589"/>
      <c r="KJ94" s="589"/>
      <c r="KK94" s="589"/>
      <c r="KL94" s="589"/>
      <c r="KM94" s="589"/>
      <c r="KN94" s="589"/>
      <c r="KO94" s="589"/>
      <c r="KP94" s="589"/>
      <c r="KQ94" s="589"/>
      <c r="KR94" s="589"/>
      <c r="KS94" s="589"/>
      <c r="KT94" s="589"/>
      <c r="KU94" s="589"/>
      <c r="KV94" s="589"/>
      <c r="KW94" s="590"/>
      <c r="KX94" s="277"/>
      <c r="KY94" s="277"/>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row>
    <row r="95" spans="1:398" s="1044" customFormat="1" ht="40" customHeight="1">
      <c r="A95" s="1"/>
      <c r="B95" s="299"/>
      <c r="C95" s="241"/>
      <c r="D95" s="378"/>
      <c r="E95" s="379">
        <v>223</v>
      </c>
      <c r="F95" s="1040" t="s">
        <v>430</v>
      </c>
      <c r="G95" s="381">
        <v>128</v>
      </c>
      <c r="H95" s="381">
        <v>142</v>
      </c>
      <c r="I95" s="381">
        <v>117</v>
      </c>
      <c r="J95" s="381">
        <v>130</v>
      </c>
      <c r="K95" s="245" t="s">
        <v>431</v>
      </c>
      <c r="L95" s="381">
        <v>130</v>
      </c>
      <c r="M95" s="383">
        <v>0</v>
      </c>
      <c r="N95" s="384" t="s">
        <v>167</v>
      </c>
      <c r="O95" s="384" t="s">
        <v>369</v>
      </c>
      <c r="P95" s="383">
        <v>40</v>
      </c>
      <c r="Q95" s="1041" t="s">
        <v>170</v>
      </c>
      <c r="R95" s="384" t="s">
        <v>169</v>
      </c>
      <c r="S95" s="384" t="s">
        <v>169</v>
      </c>
      <c r="T95" s="384" t="s">
        <v>432</v>
      </c>
      <c r="U95" s="385" t="s">
        <v>169</v>
      </c>
      <c r="V95" s="378" t="s">
        <v>172</v>
      </c>
      <c r="W95" s="378"/>
      <c r="X95" s="462" t="s">
        <v>292</v>
      </c>
      <c r="Y95" s="378"/>
      <c r="Z95" s="378"/>
      <c r="AA95" s="887" t="s">
        <v>275</v>
      </c>
      <c r="AB95" s="387"/>
      <c r="AC95" s="388"/>
      <c r="AD95" s="955">
        <f>SUM(AC95,AC96)</f>
        <v>0</v>
      </c>
      <c r="AE95" s="465" t="s">
        <v>295</v>
      </c>
      <c r="AF95" s="564" t="s">
        <v>296</v>
      </c>
      <c r="AG95" s="467">
        <f>'[1]0223_ドーミー三河安城　別紙1-1'!M25</f>
        <v>5935490.0000000009</v>
      </c>
      <c r="AH95" s="468">
        <f>FQ95</f>
        <v>0</v>
      </c>
      <c r="AI95" s="468">
        <f>FR95</f>
        <v>4100</v>
      </c>
      <c r="AJ95" s="468"/>
      <c r="AK95" s="468">
        <v>0</v>
      </c>
      <c r="AL95" s="468"/>
      <c r="AM95" s="468">
        <v>0</v>
      </c>
      <c r="AN95" s="468"/>
      <c r="AO95" s="468">
        <v>0</v>
      </c>
      <c r="AP95" s="467">
        <f>'[1]0223_ドーミー三河安城　別紙1-1'!K23</f>
        <v>128</v>
      </c>
      <c r="AQ95" s="467">
        <f>'[1]0223_ドーミー三河安城　別紙1-1'!AF23</f>
        <v>156</v>
      </c>
      <c r="AR95" s="474">
        <f>DM95/(BX95-2)</f>
        <v>0</v>
      </c>
      <c r="AS95" s="475" t="e">
        <f>AG95/AR95</f>
        <v>#DIV/0!</v>
      </c>
      <c r="AT95" s="476">
        <f>AG95/AP95</f>
        <v>46371.015625000007</v>
      </c>
      <c r="AU95" s="475">
        <f>AG95/AQ95</f>
        <v>38048.012820512828</v>
      </c>
      <c r="AV95" s="477">
        <v>26000</v>
      </c>
      <c r="AW95" s="477">
        <v>48000</v>
      </c>
      <c r="AX95" s="467">
        <f>GA95</f>
        <v>0</v>
      </c>
      <c r="AY95" s="467">
        <f>GB95</f>
        <v>0</v>
      </c>
      <c r="AZ95" s="478">
        <f>'[1]0223_ドーミー三河安城　別紙1-1'!C27</f>
        <v>125136690</v>
      </c>
      <c r="BA95" s="478">
        <f>GD95</f>
        <v>0</v>
      </c>
      <c r="BB95" s="478"/>
      <c r="BC95" s="478">
        <f>AH95*DM95</f>
        <v>0</v>
      </c>
      <c r="BD95" s="478"/>
      <c r="BE95" s="478"/>
      <c r="BF95" s="478"/>
      <c r="BG95" s="478"/>
      <c r="BH95" s="478"/>
      <c r="BI95" s="480">
        <f>'[1]0223_ドーミー三河安城　別紙1-1'!AG23</f>
        <v>491400</v>
      </c>
      <c r="BJ95" s="480">
        <f>GK95</f>
        <v>0</v>
      </c>
      <c r="BK95" s="480">
        <f>BM95*5000*BX95</f>
        <v>420000</v>
      </c>
      <c r="BL95" s="480">
        <f>1800000*BN95*BX95</f>
        <v>0</v>
      </c>
      <c r="BM95" s="480">
        <f>GP95</f>
        <v>4</v>
      </c>
      <c r="BN95" s="480">
        <f>GQ95</f>
        <v>0</v>
      </c>
      <c r="BO95" s="481"/>
      <c r="BP95" s="481">
        <f>SUM(AZ95,BA95,BI95,BO95)</f>
        <v>125628090</v>
      </c>
      <c r="BQ95" s="481">
        <f>BP95-GR95</f>
        <v>17878690</v>
      </c>
      <c r="BR95" s="594"/>
      <c r="BS95" s="595" t="s">
        <v>301</v>
      </c>
      <c r="BT95" s="484">
        <f>GU95</f>
        <v>46279</v>
      </c>
      <c r="BU95" s="484">
        <f>GV95</f>
        <v>46299</v>
      </c>
      <c r="BV95" s="666">
        <f>IFERROR(INDEX($BY$9:$DH$9, MATCH("準備", BY95:DK95, 0)), "")</f>
        <v>46278</v>
      </c>
      <c r="BW95" s="667" cm="1">
        <f t="array" ref="BW95">IF(COUNTIF(BY95:DK95,"*撤去*")=0,"",INDEX(BY$9:DK$9,1,MAX(IF(CC95:DK95="撤去",COLUMN(CC95:DK95)-COLUMN(BY95)+1))))</f>
        <v>46299</v>
      </c>
      <c r="BX95" s="663">
        <f>BW95-BV95</f>
        <v>21</v>
      </c>
      <c r="BY95" s="556">
        <v>0</v>
      </c>
      <c r="BZ95" s="557">
        <v>0</v>
      </c>
      <c r="CA95" s="557">
        <v>0</v>
      </c>
      <c r="CB95" s="557">
        <v>0</v>
      </c>
      <c r="CC95" s="405">
        <v>0</v>
      </c>
      <c r="CD95" s="403">
        <v>0</v>
      </c>
      <c r="CE95" s="403">
        <v>0</v>
      </c>
      <c r="CF95" s="403">
        <v>0</v>
      </c>
      <c r="CG95" s="403">
        <v>0</v>
      </c>
      <c r="CH95" s="403">
        <v>0</v>
      </c>
      <c r="CI95" s="403">
        <v>0</v>
      </c>
      <c r="CJ95" s="403">
        <v>0</v>
      </c>
      <c r="CK95" s="403">
        <v>0</v>
      </c>
      <c r="CL95" s="400" t="s">
        <v>177</v>
      </c>
      <c r="CM95" s="400" t="s">
        <v>177</v>
      </c>
      <c r="CN95" s="403"/>
      <c r="CO95" s="403"/>
      <c r="CP95" s="403"/>
      <c r="CQ95" s="403"/>
      <c r="CR95" s="404"/>
      <c r="CS95" s="405"/>
      <c r="CT95" s="403"/>
      <c r="CU95" s="403"/>
      <c r="CV95" s="403"/>
      <c r="CW95" s="403"/>
      <c r="CX95" s="403"/>
      <c r="CY95" s="403"/>
      <c r="CZ95" s="403"/>
      <c r="DA95" s="403"/>
      <c r="DB95" s="403"/>
      <c r="DC95" s="403"/>
      <c r="DD95" s="403"/>
      <c r="DE95" s="403"/>
      <c r="DF95" s="403"/>
      <c r="DG95" s="951" t="s">
        <v>178</v>
      </c>
      <c r="DH95" s="405">
        <v>0</v>
      </c>
      <c r="DI95" s="403">
        <v>0</v>
      </c>
      <c r="DJ95" s="403">
        <v>0</v>
      </c>
      <c r="DK95" s="407">
        <v>0</v>
      </c>
      <c r="DL95" s="1016"/>
      <c r="DM95" s="277" cm="1">
        <f t="array" ref="DM95">SUM(IF(ISNUMBER($BY95:$DK95),$BY95:$DK95, 0))</f>
        <v>0</v>
      </c>
      <c r="DN95" s="277">
        <v>2210</v>
      </c>
      <c r="DO95" s="277">
        <f>DM95*(BX95)/(BX95+1)</f>
        <v>0</v>
      </c>
      <c r="DP95" s="277"/>
      <c r="DQ95" s="386" t="s">
        <v>433</v>
      </c>
      <c r="DR95" s="387" t="s">
        <v>332</v>
      </c>
      <c r="DS95" s="388">
        <v>130</v>
      </c>
      <c r="DT95" s="955">
        <f>SUM(DS95,DS96)</f>
        <v>130</v>
      </c>
      <c r="DU95" s="467">
        <v>5387470</v>
      </c>
      <c r="DV95" s="467">
        <v>0</v>
      </c>
      <c r="DW95" s="478">
        <v>107749400</v>
      </c>
      <c r="DX95" s="478">
        <v>0</v>
      </c>
      <c r="DY95" s="478"/>
      <c r="DZ95" s="478"/>
      <c r="EA95" s="478"/>
      <c r="EB95" s="478"/>
      <c r="EC95" s="480">
        <v>0</v>
      </c>
      <c r="ED95" s="480">
        <v>0</v>
      </c>
      <c r="EE95" s="480">
        <v>400000</v>
      </c>
      <c r="EF95" s="480">
        <v>0</v>
      </c>
      <c r="EG95" s="481"/>
      <c r="EH95" s="481">
        <v>107749400</v>
      </c>
      <c r="EI95" s="484">
        <v>46279</v>
      </c>
      <c r="EJ95" s="484">
        <v>46299</v>
      </c>
      <c r="EK95" s="666">
        <v>46279</v>
      </c>
      <c r="EL95" s="667">
        <v>46299</v>
      </c>
      <c r="EM95" s="663">
        <v>20</v>
      </c>
      <c r="EN95" s="277"/>
      <c r="EO95" s="386" t="s">
        <v>433</v>
      </c>
      <c r="EP95" s="408" t="s">
        <v>332</v>
      </c>
      <c r="EQ95" s="985">
        <v>130</v>
      </c>
      <c r="ER95" s="958">
        <v>130</v>
      </c>
      <c r="ES95" s="953" t="s">
        <v>165</v>
      </c>
      <c r="ET95" s="953">
        <v>112</v>
      </c>
      <c r="EU95" s="953">
        <v>112</v>
      </c>
      <c r="EV95" s="411" t="s">
        <v>419</v>
      </c>
      <c r="EW95" s="412">
        <v>51.5</v>
      </c>
      <c r="EX95" s="413">
        <v>66</v>
      </c>
      <c r="EY95" s="414" t="s">
        <v>188</v>
      </c>
      <c r="EZ95" s="492">
        <v>51.5</v>
      </c>
      <c r="FA95" s="493">
        <v>66</v>
      </c>
      <c r="FB95" s="414" t="s">
        <v>189</v>
      </c>
      <c r="FC95" s="492"/>
      <c r="FD95" s="493"/>
      <c r="FE95" s="494" t="s">
        <v>189</v>
      </c>
      <c r="FF95" s="492"/>
      <c r="FG95" s="493"/>
      <c r="FH95" s="494" t="s">
        <v>189</v>
      </c>
      <c r="FI95" s="492"/>
      <c r="FJ95" s="495"/>
      <c r="FK95" s="289">
        <v>12</v>
      </c>
      <c r="FL95" s="1042">
        <v>8.4507042253521125E-2</v>
      </c>
      <c r="FM95" s="498" t="s">
        <v>434</v>
      </c>
      <c r="FN95" s="1031" t="s">
        <v>300</v>
      </c>
      <c r="FO95" s="564" t="s">
        <v>296</v>
      </c>
      <c r="FP95" s="965">
        <v>5387470</v>
      </c>
      <c r="FQ95" s="461">
        <v>0</v>
      </c>
      <c r="FR95" s="468">
        <v>4100</v>
      </c>
      <c r="FS95" s="1043">
        <v>117</v>
      </c>
      <c r="FT95" s="1043">
        <v>130</v>
      </c>
      <c r="FU95" s="393">
        <v>130</v>
      </c>
      <c r="FV95" s="394">
        <v>41442.076923076922</v>
      </c>
      <c r="FW95" s="390">
        <v>46046.75213675214</v>
      </c>
      <c r="FX95" s="394">
        <v>41442.076923076922</v>
      </c>
      <c r="FY95" s="564">
        <v>24600</v>
      </c>
      <c r="FZ95" s="564">
        <v>44500</v>
      </c>
      <c r="GA95" s="965">
        <v>0</v>
      </c>
      <c r="GB95" s="965">
        <v>0</v>
      </c>
      <c r="GC95" s="986">
        <v>107749400</v>
      </c>
      <c r="GD95" s="986">
        <v>0</v>
      </c>
      <c r="GE95" s="986">
        <v>107749400</v>
      </c>
      <c r="GF95" s="986">
        <v>0</v>
      </c>
      <c r="GG95" s="478">
        <v>0</v>
      </c>
      <c r="GH95" s="478">
        <v>0</v>
      </c>
      <c r="GI95" s="736"/>
      <c r="GJ95" s="736"/>
      <c r="GK95" s="736"/>
      <c r="GL95" s="736"/>
      <c r="GM95" s="480">
        <v>0</v>
      </c>
      <c r="GN95" s="480">
        <v>280000</v>
      </c>
      <c r="GO95" s="480">
        <v>0</v>
      </c>
      <c r="GP95" s="736">
        <v>4</v>
      </c>
      <c r="GQ95" s="736">
        <v>0</v>
      </c>
      <c r="GR95" s="966">
        <v>107749400</v>
      </c>
      <c r="GS95" s="966">
        <v>-107749400</v>
      </c>
      <c r="GT95" s="595" t="s">
        <v>301</v>
      </c>
      <c r="GU95" s="968">
        <v>46279</v>
      </c>
      <c r="GV95" s="968">
        <v>46299</v>
      </c>
      <c r="GW95" s="666">
        <v>46279</v>
      </c>
      <c r="GX95" s="667">
        <v>46299</v>
      </c>
      <c r="GY95" s="663">
        <v>20</v>
      </c>
      <c r="GZ95" s="556"/>
      <c r="HA95" s="557"/>
      <c r="HB95" s="557"/>
      <c r="HC95" s="557"/>
      <c r="HD95" s="405">
        <v>0</v>
      </c>
      <c r="HE95" s="403">
        <v>0</v>
      </c>
      <c r="HF95" s="403">
        <v>0</v>
      </c>
      <c r="HG95" s="403">
        <v>0</v>
      </c>
      <c r="HH95" s="403">
        <v>0</v>
      </c>
      <c r="HI95" s="403">
        <v>0</v>
      </c>
      <c r="HJ95" s="403">
        <v>0</v>
      </c>
      <c r="HK95" s="403">
        <v>0</v>
      </c>
      <c r="HL95" s="403">
        <v>0</v>
      </c>
      <c r="HM95" s="403">
        <v>0</v>
      </c>
      <c r="HN95" s="400" t="s">
        <v>177</v>
      </c>
      <c r="HO95" s="400" t="s">
        <v>177</v>
      </c>
      <c r="HP95" s="403">
        <v>130</v>
      </c>
      <c r="HQ95" s="403">
        <v>130</v>
      </c>
      <c r="HR95" s="403">
        <v>130</v>
      </c>
      <c r="HS95" s="404">
        <v>130</v>
      </c>
      <c r="HT95" s="405">
        <v>130</v>
      </c>
      <c r="HU95" s="403">
        <v>130</v>
      </c>
      <c r="HV95" s="403">
        <v>130</v>
      </c>
      <c r="HW95" s="403">
        <v>130</v>
      </c>
      <c r="HX95" s="403">
        <v>130</v>
      </c>
      <c r="HY95" s="403">
        <v>130</v>
      </c>
      <c r="HZ95" s="403">
        <v>130</v>
      </c>
      <c r="IA95" s="403">
        <v>130</v>
      </c>
      <c r="IB95" s="403">
        <v>130</v>
      </c>
      <c r="IC95" s="403">
        <v>130</v>
      </c>
      <c r="ID95" s="403">
        <v>130</v>
      </c>
      <c r="IE95" s="403">
        <v>130</v>
      </c>
      <c r="IF95" s="403">
        <v>130</v>
      </c>
      <c r="IG95" s="403">
        <v>130</v>
      </c>
      <c r="IH95" s="951" t="s">
        <v>178</v>
      </c>
      <c r="II95" s="405">
        <v>0</v>
      </c>
      <c r="IJ95" s="403">
        <v>0</v>
      </c>
      <c r="IK95" s="403">
        <v>0</v>
      </c>
      <c r="IL95" s="407">
        <v>0</v>
      </c>
      <c r="IM95" s="1016"/>
      <c r="IN95" s="277" cm="1">
        <f t="array" ref="IN95">SUM(IF(ISNUMBER($HD95:$IL95),$HD95:$IL95, 0))</f>
        <v>2340</v>
      </c>
      <c r="IO95" s="1021"/>
      <c r="IP95" s="1022"/>
      <c r="IQ95" s="541"/>
      <c r="IR95" s="500">
        <v>0</v>
      </c>
      <c r="IS95" s="501"/>
      <c r="IT95" s="501"/>
      <c r="IU95" s="501"/>
      <c r="IV95" s="501"/>
      <c r="IW95" s="501"/>
      <c r="IX95" s="502">
        <v>0</v>
      </c>
      <c r="IY95" s="502"/>
      <c r="IZ95" s="501"/>
      <c r="JA95" s="501"/>
      <c r="JB95" s="501"/>
      <c r="JC95" s="501"/>
      <c r="JD95" s="504"/>
      <c r="JE95" s="504"/>
      <c r="JF95" s="505"/>
      <c r="JG95" s="503">
        <v>5703225</v>
      </c>
      <c r="JH95" s="506">
        <v>165000</v>
      </c>
      <c r="JI95" s="1"/>
      <c r="JJ95" s="1"/>
      <c r="JK95" s="1"/>
      <c r="JL95" s="1"/>
      <c r="JM95" s="1"/>
      <c r="JN95" s="1"/>
      <c r="JO95" s="507"/>
      <c r="JP95" s="508"/>
      <c r="JQ95" s="508"/>
      <c r="JR95" s="508"/>
      <c r="JS95" s="577"/>
      <c r="JT95" s="577"/>
      <c r="JU95" s="577"/>
      <c r="JV95" s="577"/>
      <c r="JW95" s="577"/>
      <c r="JX95" s="577"/>
      <c r="JY95" s="577"/>
      <c r="JZ95" s="577"/>
      <c r="KA95" s="577"/>
      <c r="KB95" s="577"/>
      <c r="KC95" s="577"/>
      <c r="KD95" s="577"/>
      <c r="KE95" s="577"/>
      <c r="KF95" s="577"/>
      <c r="KG95" s="577"/>
      <c r="KH95" s="577"/>
      <c r="KI95" s="577"/>
      <c r="KJ95" s="577"/>
      <c r="KK95" s="577"/>
      <c r="KL95" s="577"/>
      <c r="KM95" s="577"/>
      <c r="KN95" s="577"/>
      <c r="KO95" s="577"/>
      <c r="KP95" s="577"/>
      <c r="KQ95" s="577"/>
      <c r="KR95" s="577"/>
      <c r="KS95" s="577"/>
      <c r="KT95" s="577"/>
      <c r="KU95" s="577"/>
      <c r="KV95" s="577"/>
      <c r="KW95" s="578"/>
      <c r="KX95" s="1016"/>
      <c r="KY95" s="277" cm="1">
        <f t="array" ref="KY95">SUM(IF(ISNUMBER($JO95:$KW95),$JO95:$KW95, 0))</f>
        <v>0</v>
      </c>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row>
    <row r="96" spans="1:398" s="547" customFormat="1" ht="40" customHeight="1" thickBot="1">
      <c r="A96" s="1"/>
      <c r="B96" s="299"/>
      <c r="C96" s="241"/>
      <c r="D96" s="445"/>
      <c r="E96" s="510" t="s">
        <v>165</v>
      </c>
      <c r="F96" s="1023"/>
      <c r="G96" s="512">
        <v>0</v>
      </c>
      <c r="H96" s="512">
        <v>0</v>
      </c>
      <c r="I96" s="512">
        <v>0</v>
      </c>
      <c r="J96" s="512">
        <v>0</v>
      </c>
      <c r="K96" s="512"/>
      <c r="L96" s="512">
        <v>0</v>
      </c>
      <c r="M96" s="513">
        <v>0</v>
      </c>
      <c r="N96" s="514">
        <v>0</v>
      </c>
      <c r="O96" s="514">
        <v>0</v>
      </c>
      <c r="P96" s="513">
        <v>0</v>
      </c>
      <c r="Q96" s="1045">
        <v>0</v>
      </c>
      <c r="R96" s="514">
        <v>0</v>
      </c>
      <c r="S96" s="514">
        <v>0</v>
      </c>
      <c r="T96" s="514">
        <v>0</v>
      </c>
      <c r="U96" s="515" t="s">
        <v>165</v>
      </c>
      <c r="V96" s="445"/>
      <c r="W96" s="445"/>
      <c r="X96" s="445"/>
      <c r="Y96" s="445"/>
      <c r="Z96" s="445"/>
      <c r="AA96" s="763"/>
      <c r="AB96" s="764" t="s">
        <v>170</v>
      </c>
      <c r="AC96" s="765">
        <v>0</v>
      </c>
      <c r="AD96" s="969"/>
      <c r="AE96" s="655"/>
      <c r="AF96" s="656"/>
      <c r="AG96" s="656"/>
      <c r="AH96" s="656"/>
      <c r="AI96" s="656"/>
      <c r="AJ96" s="656"/>
      <c r="AK96" s="656"/>
      <c r="AL96" s="656"/>
      <c r="AM96" s="656"/>
      <c r="AN96" s="656"/>
      <c r="AO96" s="656"/>
      <c r="AP96" s="656"/>
      <c r="AQ96" s="656"/>
      <c r="AR96" s="656"/>
      <c r="AS96" s="767"/>
      <c r="AT96" s="656"/>
      <c r="AU96" s="767"/>
      <c r="AV96" s="656"/>
      <c r="AW96" s="656"/>
      <c r="AX96" s="656"/>
      <c r="AY96" s="656"/>
      <c r="AZ96" s="768"/>
      <c r="BA96" s="768"/>
      <c r="BB96" s="768"/>
      <c r="BC96" s="768"/>
      <c r="BD96" s="768"/>
      <c r="BE96" s="768"/>
      <c r="BF96" s="768"/>
      <c r="BG96" s="768"/>
      <c r="BH96" s="768"/>
      <c r="BI96" s="768"/>
      <c r="BJ96" s="768"/>
      <c r="BK96" s="768"/>
      <c r="BL96" s="768"/>
      <c r="BM96" s="768"/>
      <c r="BN96" s="768"/>
      <c r="BO96" s="656"/>
      <c r="BP96" s="656"/>
      <c r="BQ96" s="656"/>
      <c r="BR96" s="940"/>
      <c r="BS96" s="941"/>
      <c r="BT96" s="942"/>
      <c r="BU96" s="942"/>
      <c r="BV96" s="773" t="str">
        <f>IFERROR(INDEX($HD$9:$II$9, MATCH("準備", CC96:DK96, 0)), "")</f>
        <v/>
      </c>
      <c r="BW96" s="773" t="str" cm="1">
        <f t="array" ref="BW96">IF(COUNTIF(CC96:DK96,"*撤去*")=0,"",INDEX(CC$9:DK$9,1,MAX(IF(CC96:DK96="撤去",COLUMN(CC96:DK96)-COLUMN(CC96)+1))))</f>
        <v/>
      </c>
      <c r="BX96" s="774"/>
      <c r="BY96" s="360" t="s">
        <v>246</v>
      </c>
      <c r="BZ96" s="361" t="s">
        <v>247</v>
      </c>
      <c r="CA96" s="777"/>
      <c r="CB96" s="777"/>
      <c r="CC96" s="874"/>
      <c r="CD96" s="875"/>
      <c r="CE96" s="875"/>
      <c r="CF96" s="875"/>
      <c r="CG96" s="875"/>
      <c r="CH96" s="875"/>
      <c r="CI96" s="875"/>
      <c r="CJ96" s="875"/>
      <c r="CK96" s="875"/>
      <c r="CL96" s="363">
        <v>0</v>
      </c>
      <c r="CM96" s="363">
        <v>0</v>
      </c>
      <c r="CN96" s="363">
        <v>0</v>
      </c>
      <c r="CO96" s="363">
        <v>0</v>
      </c>
      <c r="CP96" s="363">
        <v>0</v>
      </c>
      <c r="CQ96" s="364">
        <v>0</v>
      </c>
      <c r="CR96" s="365">
        <v>0</v>
      </c>
      <c r="CS96" s="366">
        <v>0</v>
      </c>
      <c r="CT96" s="363">
        <v>0</v>
      </c>
      <c r="CU96" s="363">
        <v>0</v>
      </c>
      <c r="CV96" s="363">
        <v>0</v>
      </c>
      <c r="CW96" s="363">
        <v>0</v>
      </c>
      <c r="CX96" s="363">
        <v>0</v>
      </c>
      <c r="CY96" s="363">
        <v>0</v>
      </c>
      <c r="CZ96" s="363">
        <v>0</v>
      </c>
      <c r="DA96" s="363">
        <v>0</v>
      </c>
      <c r="DB96" s="363">
        <v>0</v>
      </c>
      <c r="DC96" s="363">
        <v>0</v>
      </c>
      <c r="DD96" s="363">
        <v>0</v>
      </c>
      <c r="DE96" s="363">
        <v>0</v>
      </c>
      <c r="DF96" s="364">
        <v>0</v>
      </c>
      <c r="DG96" s="365">
        <v>0</v>
      </c>
      <c r="DH96" s="874"/>
      <c r="DI96" s="875"/>
      <c r="DJ96" s="875"/>
      <c r="DK96" s="886"/>
      <c r="DL96" s="1016"/>
      <c r="DM96" s="1016"/>
      <c r="DN96" s="1016"/>
      <c r="DO96" s="1016"/>
      <c r="DP96" s="1016"/>
      <c r="DQ96" s="763"/>
      <c r="DR96" s="764" t="s">
        <v>170</v>
      </c>
      <c r="DS96" s="765">
        <v>0</v>
      </c>
      <c r="DT96" s="969"/>
      <c r="DU96" s="656"/>
      <c r="DV96" s="656"/>
      <c r="DW96" s="768"/>
      <c r="DX96" s="768"/>
      <c r="DY96" s="768"/>
      <c r="DZ96" s="768"/>
      <c r="EA96" s="768"/>
      <c r="EB96" s="768"/>
      <c r="EC96" s="768"/>
      <c r="ED96" s="768"/>
      <c r="EE96" s="768"/>
      <c r="EF96" s="768"/>
      <c r="EG96" s="656"/>
      <c r="EH96" s="656"/>
      <c r="EI96" s="942"/>
      <c r="EJ96" s="942"/>
      <c r="EK96" s="773" t="s">
        <v>165</v>
      </c>
      <c r="EL96" s="773" t="s">
        <v>165</v>
      </c>
      <c r="EM96" s="774"/>
      <c r="EN96" s="1016"/>
      <c r="EO96" s="763"/>
      <c r="EP96" s="1032" t="s">
        <v>170</v>
      </c>
      <c r="EQ96" s="1033">
        <v>0</v>
      </c>
      <c r="ER96" s="1046"/>
      <c r="ES96" s="1046" t="e">
        <v>#N/A</v>
      </c>
      <c r="ET96" s="1046"/>
      <c r="EU96" s="1046"/>
      <c r="EV96" s="1027" t="s">
        <v>170</v>
      </c>
      <c r="EW96" s="453"/>
      <c r="EX96" s="454"/>
      <c r="EY96" s="879" t="s">
        <v>170</v>
      </c>
      <c r="EZ96" s="456"/>
      <c r="FA96" s="457"/>
      <c r="FB96" s="879" t="s">
        <v>170</v>
      </c>
      <c r="FC96" s="880"/>
      <c r="FD96" s="881"/>
      <c r="FE96" s="882" t="s">
        <v>170</v>
      </c>
      <c r="FF96" s="880"/>
      <c r="FG96" s="881"/>
      <c r="FH96" s="882" t="s">
        <v>170</v>
      </c>
      <c r="FI96" s="880"/>
      <c r="FJ96" s="883"/>
      <c r="FK96" s="375"/>
      <c r="FL96" s="1017"/>
      <c r="FM96" s="332"/>
      <c r="FN96" s="655"/>
      <c r="FO96" s="656"/>
      <c r="FP96" s="656"/>
      <c r="FQ96" s="656"/>
      <c r="FR96" s="656"/>
      <c r="FS96" s="656"/>
      <c r="FT96" s="656"/>
      <c r="FU96" s="656"/>
      <c r="FV96" s="767"/>
      <c r="FW96" s="656"/>
      <c r="FX96" s="767"/>
      <c r="FY96" s="656"/>
      <c r="FZ96" s="656"/>
      <c r="GA96" s="656"/>
      <c r="GB96" s="656"/>
      <c r="GC96" s="768"/>
      <c r="GD96" s="768"/>
      <c r="GE96" s="768"/>
      <c r="GF96" s="768"/>
      <c r="GG96" s="768"/>
      <c r="GH96" s="768"/>
      <c r="GI96" s="768"/>
      <c r="GJ96" s="768"/>
      <c r="GK96" s="768"/>
      <c r="GL96" s="768"/>
      <c r="GM96" s="768"/>
      <c r="GN96" s="768"/>
      <c r="GO96" s="768"/>
      <c r="GP96" s="768"/>
      <c r="GQ96" s="768"/>
      <c r="GR96" s="656"/>
      <c r="GS96" s="656"/>
      <c r="GT96" s="941"/>
      <c r="GU96" s="942"/>
      <c r="GV96" s="942"/>
      <c r="GW96" s="773" t="s">
        <v>165</v>
      </c>
      <c r="GX96" s="773" t="s">
        <v>165</v>
      </c>
      <c r="GY96" s="774"/>
      <c r="GZ96" s="943"/>
      <c r="HA96" s="777"/>
      <c r="HB96" s="777"/>
      <c r="HC96" s="777"/>
      <c r="HD96" s="874"/>
      <c r="HE96" s="875"/>
      <c r="HF96" s="875"/>
      <c r="HG96" s="875"/>
      <c r="HH96" s="875"/>
      <c r="HI96" s="875"/>
      <c r="HJ96" s="875"/>
      <c r="HK96" s="875"/>
      <c r="HL96" s="875"/>
      <c r="HM96" s="875"/>
      <c r="HN96" s="875"/>
      <c r="HO96" s="875"/>
      <c r="HP96" s="875"/>
      <c r="HQ96" s="875"/>
      <c r="HR96" s="779"/>
      <c r="HS96" s="884"/>
      <c r="HT96" s="874"/>
      <c r="HU96" s="875"/>
      <c r="HV96" s="875"/>
      <c r="HW96" s="875"/>
      <c r="HX96" s="875"/>
      <c r="HY96" s="875"/>
      <c r="HZ96" s="875"/>
      <c r="IA96" s="875"/>
      <c r="IB96" s="875"/>
      <c r="IC96" s="875"/>
      <c r="ID96" s="875"/>
      <c r="IE96" s="875"/>
      <c r="IF96" s="875"/>
      <c r="IG96" s="779"/>
      <c r="IH96" s="884"/>
      <c r="II96" s="874"/>
      <c r="IJ96" s="875"/>
      <c r="IK96" s="875"/>
      <c r="IL96" s="886"/>
      <c r="IM96" s="1016"/>
      <c r="IN96" s="1016"/>
      <c r="IO96" s="1047"/>
      <c r="IP96" s="1048"/>
      <c r="IQ96" s="541"/>
      <c r="IR96" s="542"/>
      <c r="IS96" s="543"/>
      <c r="IT96" s="543"/>
      <c r="IU96" s="543"/>
      <c r="IV96" s="543"/>
      <c r="IW96" s="543"/>
      <c r="IX96" s="544"/>
      <c r="IY96" s="544"/>
      <c r="IZ96" s="543"/>
      <c r="JA96" s="543"/>
      <c r="JB96" s="543"/>
      <c r="JC96" s="543"/>
      <c r="JD96" s="545"/>
      <c r="JE96" s="545"/>
      <c r="JF96" s="546"/>
      <c r="JG96" s="503"/>
      <c r="JH96" s="506"/>
      <c r="JI96" s="1"/>
      <c r="JJ96" s="1"/>
      <c r="JK96" s="1"/>
      <c r="JL96" s="1"/>
      <c r="JM96" s="1"/>
      <c r="JN96" s="1"/>
      <c r="JO96" s="507"/>
      <c r="JP96" s="508"/>
      <c r="JQ96" s="508"/>
      <c r="JR96" s="508"/>
      <c r="JS96" s="729"/>
      <c r="JT96" s="729"/>
      <c r="JU96" s="729"/>
      <c r="JV96" s="729"/>
      <c r="JW96" s="729"/>
      <c r="JX96" s="729"/>
      <c r="JY96" s="729"/>
      <c r="JZ96" s="729"/>
      <c r="KA96" s="729"/>
      <c r="KB96" s="729"/>
      <c r="KC96" s="729"/>
      <c r="KD96" s="729"/>
      <c r="KE96" s="729"/>
      <c r="KF96" s="729"/>
      <c r="KG96" s="729"/>
      <c r="KH96" s="729"/>
      <c r="KI96" s="729"/>
      <c r="KJ96" s="729"/>
      <c r="KK96" s="729"/>
      <c r="KL96" s="729"/>
      <c r="KM96" s="729"/>
      <c r="KN96" s="729"/>
      <c r="KO96" s="729"/>
      <c r="KP96" s="729"/>
      <c r="KQ96" s="729"/>
      <c r="KR96" s="729"/>
      <c r="KS96" s="729"/>
      <c r="KT96" s="729"/>
      <c r="KU96" s="729"/>
      <c r="KV96" s="729"/>
      <c r="KW96" s="730"/>
      <c r="KX96" s="1016"/>
      <c r="KY96" s="1016"/>
      <c r="KZ96" s="1"/>
      <c r="LA96" s="1"/>
      <c r="LB96" s="1"/>
      <c r="LC96" s="1"/>
      <c r="LD96" s="1"/>
      <c r="LE96" s="1"/>
      <c r="LF96" s="1"/>
      <c r="LG96" s="1"/>
      <c r="LH96" s="1"/>
      <c r="LI96" s="1"/>
      <c r="LJ96" s="1"/>
      <c r="LK96" s="1"/>
      <c r="LL96" s="1"/>
      <c r="LM96" s="1"/>
      <c r="LN96" s="1"/>
      <c r="LO96" s="1"/>
      <c r="LP96" s="1"/>
      <c r="LQ96" s="1"/>
      <c r="LR96" s="1"/>
      <c r="LS96" s="1"/>
      <c r="LT96" s="1"/>
      <c r="LU96" s="1"/>
      <c r="LV96" s="1"/>
      <c r="LW96" s="1"/>
      <c r="LX96" s="1"/>
      <c r="LY96" s="1"/>
      <c r="LZ96" s="1"/>
      <c r="MA96" s="1"/>
      <c r="MB96" s="1"/>
      <c r="MC96" s="1"/>
      <c r="MD96" s="1"/>
      <c r="ME96" s="1"/>
      <c r="MF96" s="1"/>
      <c r="MG96" s="1"/>
      <c r="MH96" s="1"/>
      <c r="MI96" s="1"/>
      <c r="MJ96" s="1"/>
      <c r="MK96" s="1"/>
      <c r="ML96" s="1"/>
      <c r="MM96" s="1"/>
      <c r="MN96" s="1"/>
      <c r="MO96" s="1"/>
      <c r="MP96" s="1"/>
      <c r="MQ96" s="1"/>
      <c r="MR96" s="1"/>
      <c r="MS96" s="1"/>
      <c r="MT96" s="1"/>
      <c r="MU96" s="1"/>
      <c r="MV96" s="1"/>
      <c r="MW96" s="1"/>
      <c r="MX96" s="1"/>
      <c r="MY96" s="1"/>
      <c r="MZ96" s="1"/>
      <c r="NA96" s="1"/>
      <c r="NB96" s="1"/>
      <c r="NC96" s="1"/>
      <c r="ND96" s="1"/>
      <c r="NE96" s="1"/>
      <c r="NF96" s="1"/>
      <c r="NG96" s="1"/>
      <c r="NH96" s="1"/>
      <c r="NI96" s="1"/>
      <c r="NJ96" s="1"/>
      <c r="NK96" s="1"/>
      <c r="NL96" s="1"/>
      <c r="NM96" s="1"/>
      <c r="NN96" s="1"/>
      <c r="NO96" s="1"/>
      <c r="NP96" s="1"/>
      <c r="NQ96" s="1"/>
      <c r="NR96" s="1"/>
      <c r="NS96" s="1"/>
      <c r="NT96" s="1"/>
      <c r="NU96" s="1"/>
      <c r="NV96" s="1"/>
      <c r="NW96" s="1"/>
      <c r="NX96" s="1"/>
      <c r="NY96" s="1"/>
      <c r="NZ96" s="1"/>
      <c r="OA96" s="1"/>
      <c r="OB96" s="1"/>
      <c r="OC96" s="1"/>
      <c r="OD96" s="1"/>
      <c r="OE96" s="1"/>
      <c r="OF96" s="1"/>
      <c r="OG96" s="1"/>
      <c r="OH96" s="1"/>
    </row>
    <row r="97" spans="1:398" ht="40" customHeight="1">
      <c r="B97" s="299"/>
      <c r="C97" s="241"/>
      <c r="D97" s="242">
        <v>19</v>
      </c>
      <c r="E97" s="243">
        <v>222</v>
      </c>
      <c r="F97" s="623" t="s">
        <v>435</v>
      </c>
      <c r="G97" s="381" t="s">
        <v>436</v>
      </c>
      <c r="H97" s="549" t="s">
        <v>436</v>
      </c>
      <c r="I97" s="549" t="s">
        <v>436</v>
      </c>
      <c r="J97" s="549" t="s">
        <v>436</v>
      </c>
      <c r="K97" s="549">
        <v>173760400</v>
      </c>
      <c r="L97" s="383" t="s">
        <v>437</v>
      </c>
      <c r="M97" s="384" t="s">
        <v>165</v>
      </c>
      <c r="N97" s="384" t="s">
        <v>165</v>
      </c>
      <c r="O97" s="383" t="s">
        <v>165</v>
      </c>
      <c r="P97" s="384" t="s">
        <v>165</v>
      </c>
      <c r="Q97" s="384">
        <v>0</v>
      </c>
      <c r="R97" s="384" t="s">
        <v>167</v>
      </c>
      <c r="S97" s="384" t="s">
        <v>167</v>
      </c>
      <c r="T97" s="385" t="s">
        <v>169</v>
      </c>
      <c r="U97" s="378" t="s">
        <v>320</v>
      </c>
      <c r="V97" s="242"/>
      <c r="W97" s="242"/>
      <c r="X97" s="242"/>
      <c r="Y97" s="242"/>
      <c r="Z97" s="242"/>
      <c r="AA97" s="386" t="s">
        <v>438</v>
      </c>
      <c r="AB97" s="387" t="s">
        <v>271</v>
      </c>
      <c r="AC97" s="388">
        <v>72</v>
      </c>
      <c r="AD97" s="955">
        <f>SUM(AC97,AC98)</f>
        <v>72</v>
      </c>
      <c r="AE97" s="257" t="s">
        <v>175</v>
      </c>
      <c r="AF97" s="593" t="s">
        <v>323</v>
      </c>
      <c r="AG97" s="467">
        <f>'[1]0222_リブマックス三河安城　別紙1-1'!M25</f>
        <v>968000.00000000012</v>
      </c>
      <c r="AH97" s="468">
        <f>FQ97</f>
        <v>0</v>
      </c>
      <c r="AI97" s="468">
        <f>FR97</f>
        <v>0</v>
      </c>
      <c r="AJ97" s="468"/>
      <c r="AK97" s="468">
        <v>0</v>
      </c>
      <c r="AL97" s="468"/>
      <c r="AM97" s="468">
        <v>0</v>
      </c>
      <c r="AN97" s="468"/>
      <c r="AO97" s="468">
        <v>0</v>
      </c>
      <c r="AP97" s="467">
        <f>'[1]0222_リブマックス三河安城　別紙1-1'!K23</f>
        <v>72</v>
      </c>
      <c r="AQ97" s="467">
        <f>'[1]0222_リブマックス三河安城　別紙1-1'!AF23</f>
        <v>80</v>
      </c>
      <c r="AR97" s="474">
        <f>DM97/(BX97-2)</f>
        <v>66.857142857142861</v>
      </c>
      <c r="AS97" s="475">
        <f>AG97/AR97</f>
        <v>14478.63247863248</v>
      </c>
      <c r="AT97" s="476">
        <f>AG97/AP97</f>
        <v>13444.444444444445</v>
      </c>
      <c r="AU97" s="475">
        <f>AG97/AQ97</f>
        <v>12100.000000000002</v>
      </c>
      <c r="AV97" s="477">
        <v>26000</v>
      </c>
      <c r="AW97" s="477">
        <v>48000</v>
      </c>
      <c r="AX97" s="467">
        <f>GA97</f>
        <v>0</v>
      </c>
      <c r="AY97" s="467">
        <f>GB97</f>
        <v>0</v>
      </c>
      <c r="AZ97" s="478">
        <f>'[1]0222_リブマックス三河安城　別紙1-1'!C27</f>
        <v>20328000</v>
      </c>
      <c r="BA97" s="478">
        <f>GD97</f>
        <v>0</v>
      </c>
      <c r="BB97" s="478"/>
      <c r="BC97" s="478">
        <f>AH97*DM97</f>
        <v>0</v>
      </c>
      <c r="BD97" s="478"/>
      <c r="BE97" s="478"/>
      <c r="BF97" s="478"/>
      <c r="BG97" s="478"/>
      <c r="BH97" s="478"/>
      <c r="BI97" s="480">
        <f>GJ97</f>
        <v>0</v>
      </c>
      <c r="BJ97" s="480">
        <f>GK97</f>
        <v>0</v>
      </c>
      <c r="BK97" s="480">
        <f>BM97*5000*BX97</f>
        <v>160000</v>
      </c>
      <c r="BL97" s="480">
        <f>1800000*BN97*BX97</f>
        <v>0</v>
      </c>
      <c r="BM97" s="480">
        <v>2</v>
      </c>
      <c r="BN97" s="480">
        <f>GQ97</f>
        <v>0</v>
      </c>
      <c r="BO97" s="481"/>
      <c r="BP97" s="481">
        <f>SUM(AZ97,BA97,BI97,BO97)</f>
        <v>20328000</v>
      </c>
      <c r="BQ97" s="481">
        <f>BP97-GR97</f>
        <v>20328000</v>
      </c>
      <c r="BR97" s="594"/>
      <c r="BS97" s="595" t="s">
        <v>301</v>
      </c>
      <c r="BT97" s="484">
        <f>'[1]0222_リブマックス三河安城　別紙1-1'!B8</f>
        <v>46278</v>
      </c>
      <c r="BU97" s="484">
        <f>'[1]0222_リブマックス三河安城　別紙1-1'!G8</f>
        <v>46299</v>
      </c>
      <c r="BV97" s="666">
        <f>IFERROR(INDEX($BY$9:$DH$9, MATCH("準備", BY97:DK97, 0)), "")</f>
        <v>46284</v>
      </c>
      <c r="BW97" s="662" cm="1">
        <f t="array" ref="BW97">IF(COUNTIF(BY97:DK97,"*撤去*")=0,"",INDEX(BY$9:DK$9,1,MAX(IF(CC97:DK97="撤去",COLUMN(CC97:DK97)-COLUMN(BY97)+1))))</f>
        <v>46300</v>
      </c>
      <c r="BX97" s="663">
        <f>BW97-BV97</f>
        <v>16</v>
      </c>
      <c r="BY97" s="596">
        <v>0</v>
      </c>
      <c r="BZ97" s="597">
        <v>0</v>
      </c>
      <c r="CA97" s="597">
        <v>0</v>
      </c>
      <c r="CB97" s="597">
        <v>0</v>
      </c>
      <c r="CC97" s="750">
        <v>0</v>
      </c>
      <c r="CD97" s="274">
        <v>0</v>
      </c>
      <c r="CE97" s="274">
        <v>0</v>
      </c>
      <c r="CF97" s="274">
        <v>0</v>
      </c>
      <c r="CG97" s="274">
        <v>0</v>
      </c>
      <c r="CH97" s="274">
        <v>0</v>
      </c>
      <c r="CI97" s="274">
        <v>0</v>
      </c>
      <c r="CJ97" s="274">
        <v>0</v>
      </c>
      <c r="CK97" s="274">
        <v>0</v>
      </c>
      <c r="CL97" s="274">
        <v>0</v>
      </c>
      <c r="CM97" s="274">
        <v>0</v>
      </c>
      <c r="CN97" s="274">
        <v>0</v>
      </c>
      <c r="CO97" s="274">
        <v>0</v>
      </c>
      <c r="CP97" s="274">
        <v>0</v>
      </c>
      <c r="CQ97" s="274">
        <v>0</v>
      </c>
      <c r="CR97" s="897" t="s">
        <v>177</v>
      </c>
      <c r="CS97" s="1049" t="s">
        <v>177</v>
      </c>
      <c r="CT97" s="274">
        <v>72</v>
      </c>
      <c r="CU97" s="274">
        <v>72</v>
      </c>
      <c r="CV97" s="274">
        <v>72</v>
      </c>
      <c r="CW97" s="274">
        <v>72</v>
      </c>
      <c r="CX97" s="274">
        <v>72</v>
      </c>
      <c r="CY97" s="274">
        <v>72</v>
      </c>
      <c r="CZ97" s="274">
        <v>72</v>
      </c>
      <c r="DA97" s="274">
        <v>72</v>
      </c>
      <c r="DB97" s="274">
        <v>72</v>
      </c>
      <c r="DC97" s="274">
        <v>72</v>
      </c>
      <c r="DD97" s="272">
        <v>72</v>
      </c>
      <c r="DE97" s="274">
        <v>72</v>
      </c>
      <c r="DF97" s="274">
        <v>72</v>
      </c>
      <c r="DG97" s="404">
        <v>0</v>
      </c>
      <c r="DH97" s="603" t="s">
        <v>178</v>
      </c>
      <c r="DI97" s="274">
        <v>0</v>
      </c>
      <c r="DJ97" s="274">
        <v>0</v>
      </c>
      <c r="DK97" s="276">
        <v>0</v>
      </c>
      <c r="DL97" s="1016"/>
      <c r="DM97" s="277" cm="1">
        <f t="array" ref="DM97">SUM(IF(ISNUMBER($BY97:$DK97),$BY97:$DK97, 0))</f>
        <v>936</v>
      </c>
      <c r="DN97" s="277">
        <v>1020</v>
      </c>
      <c r="DO97" s="277">
        <f>DM97*(BX97)/(BX97+1)</f>
        <v>880.94117647058829</v>
      </c>
      <c r="DP97" s="277"/>
      <c r="DQ97" s="386" t="s">
        <v>439</v>
      </c>
      <c r="DR97" s="387" t="s">
        <v>332</v>
      </c>
      <c r="DS97" s="388">
        <v>60</v>
      </c>
      <c r="DT97" s="955">
        <f>SUM(DS97,DS98)</f>
        <v>60</v>
      </c>
      <c r="DU97" s="467">
        <v>2011644</v>
      </c>
      <c r="DV97" s="467">
        <v>0</v>
      </c>
      <c r="DW97" s="478">
        <v>40232880</v>
      </c>
      <c r="DX97" s="478">
        <v>0</v>
      </c>
      <c r="DY97" s="478"/>
      <c r="DZ97" s="478"/>
      <c r="EA97" s="478"/>
      <c r="EB97" s="478"/>
      <c r="EC97" s="480">
        <v>0</v>
      </c>
      <c r="ED97" s="480">
        <v>0</v>
      </c>
      <c r="EE97" s="480">
        <v>200000</v>
      </c>
      <c r="EF97" s="480">
        <v>0</v>
      </c>
      <c r="EG97" s="481"/>
      <c r="EH97" s="481">
        <v>40232880</v>
      </c>
      <c r="EI97" s="484"/>
      <c r="EJ97" s="484"/>
      <c r="EK97" s="666">
        <v>46279</v>
      </c>
      <c r="EL97" s="667">
        <v>46299</v>
      </c>
      <c r="EM97" s="663">
        <v>20</v>
      </c>
      <c r="EN97" s="1016"/>
      <c r="EO97" s="604"/>
      <c r="EP97" s="605"/>
      <c r="EQ97" s="878"/>
      <c r="ER97" s="952"/>
      <c r="ES97" s="952"/>
      <c r="ET97" s="952"/>
      <c r="EU97" s="952"/>
      <c r="EV97" s="608"/>
      <c r="EW97" s="609"/>
      <c r="EX97" s="610"/>
      <c r="EY97" s="442"/>
      <c r="EZ97" s="440"/>
      <c r="FA97" s="441"/>
      <c r="FB97" s="442"/>
      <c r="FC97" s="440"/>
      <c r="FD97" s="441"/>
      <c r="FE97" s="443"/>
      <c r="FF97" s="440"/>
      <c r="FG97" s="441"/>
      <c r="FH97" s="443"/>
      <c r="FI97" s="440"/>
      <c r="FJ97" s="444"/>
      <c r="FK97" s="289"/>
      <c r="FL97" s="1017"/>
      <c r="FM97" s="349"/>
      <c r="FN97" s="336"/>
      <c r="FO97" s="337"/>
      <c r="FP97" s="337"/>
      <c r="FQ97" s="337"/>
      <c r="FR97" s="337"/>
      <c r="FS97" s="337"/>
      <c r="FT97" s="337"/>
      <c r="FU97" s="337"/>
      <c r="FV97" s="339"/>
      <c r="FW97" s="337"/>
      <c r="FX97" s="339"/>
      <c r="FY97" s="337"/>
      <c r="FZ97" s="337"/>
      <c r="GA97" s="337"/>
      <c r="GB97" s="337"/>
      <c r="GC97" s="611"/>
      <c r="GD97" s="611"/>
      <c r="GE97" s="611"/>
      <c r="GF97" s="611"/>
      <c r="GG97" s="611"/>
      <c r="GH97" s="611"/>
      <c r="GI97" s="611"/>
      <c r="GJ97" s="611"/>
      <c r="GK97" s="611"/>
      <c r="GL97" s="611"/>
      <c r="GM97" s="611"/>
      <c r="GN97" s="611"/>
      <c r="GO97" s="611"/>
      <c r="GP97" s="611"/>
      <c r="GQ97" s="611"/>
      <c r="GR97" s="337"/>
      <c r="GS97" s="337"/>
      <c r="GT97" s="342"/>
      <c r="GU97" s="938"/>
      <c r="GV97" s="938"/>
      <c r="GW97" s="615"/>
      <c r="GX97" s="615"/>
      <c r="GY97" s="616"/>
      <c r="GZ97" s="596"/>
      <c r="HA97" s="597"/>
      <c r="HB97" s="597"/>
      <c r="HC97" s="597"/>
      <c r="HD97" s="750"/>
      <c r="HE97" s="274"/>
      <c r="HF97" s="274"/>
      <c r="HG97" s="274"/>
      <c r="HH97" s="274"/>
      <c r="HI97" s="274"/>
      <c r="HJ97" s="274"/>
      <c r="HK97" s="274"/>
      <c r="HL97" s="274"/>
      <c r="HM97" s="274"/>
      <c r="HN97" s="274"/>
      <c r="HO97" s="274"/>
      <c r="HP97" s="274"/>
      <c r="HQ97" s="274"/>
      <c r="HR97" s="274"/>
      <c r="HS97" s="275"/>
      <c r="HT97" s="750"/>
      <c r="HU97" s="274"/>
      <c r="HV97" s="274"/>
      <c r="HW97" s="274"/>
      <c r="HX97" s="274"/>
      <c r="HY97" s="274"/>
      <c r="HZ97" s="274"/>
      <c r="IA97" s="274"/>
      <c r="IB97" s="274"/>
      <c r="IC97" s="274"/>
      <c r="ID97" s="274"/>
      <c r="IE97" s="272"/>
      <c r="IF97" s="274"/>
      <c r="IG97" s="274"/>
      <c r="IH97" s="275"/>
      <c r="II97" s="271"/>
      <c r="IJ97" s="274"/>
      <c r="IK97" s="274"/>
      <c r="IL97" s="276"/>
      <c r="IM97" s="1016"/>
      <c r="IN97" s="1016"/>
      <c r="IO97" s="1047"/>
      <c r="IP97" s="1048"/>
      <c r="IQ97" s="541"/>
      <c r="IR97" s="542"/>
      <c r="IS97" s="543"/>
      <c r="IT97" s="543"/>
      <c r="IU97" s="543"/>
      <c r="IV97" s="543"/>
      <c r="IW97" s="543"/>
      <c r="IX97" s="544"/>
      <c r="IY97" s="544"/>
      <c r="IZ97" s="543"/>
      <c r="JA97" s="543"/>
      <c r="JB97" s="543"/>
      <c r="JC97" s="543"/>
      <c r="JD97" s="545"/>
      <c r="JE97" s="545"/>
      <c r="JF97" s="546"/>
      <c r="JG97" s="503"/>
      <c r="JH97" s="506"/>
      <c r="JO97" s="507"/>
      <c r="JP97" s="508"/>
      <c r="JQ97" s="508"/>
      <c r="JR97" s="508"/>
      <c r="JS97" s="508"/>
      <c r="JT97" s="508"/>
      <c r="JU97" s="508"/>
      <c r="JV97" s="508"/>
      <c r="JW97" s="508"/>
      <c r="JX97" s="508"/>
      <c r="JY97" s="508"/>
      <c r="JZ97" s="508"/>
      <c r="KA97" s="508"/>
      <c r="KB97" s="508"/>
      <c r="KC97" s="508"/>
      <c r="KD97" s="508"/>
      <c r="KE97" s="508"/>
      <c r="KF97" s="508"/>
      <c r="KG97" s="508"/>
      <c r="KH97" s="508"/>
      <c r="KI97" s="508"/>
      <c r="KJ97" s="508"/>
      <c r="KK97" s="508"/>
      <c r="KL97" s="508"/>
      <c r="KM97" s="508"/>
      <c r="KN97" s="508"/>
      <c r="KO97" s="508"/>
      <c r="KP97" s="508"/>
      <c r="KQ97" s="508"/>
      <c r="KR97" s="508"/>
      <c r="KS97" s="508"/>
      <c r="KT97" s="508"/>
      <c r="KU97" s="508"/>
      <c r="KV97" s="508"/>
      <c r="KW97" s="509"/>
      <c r="KX97" s="1016"/>
      <c r="KY97" s="1016"/>
    </row>
    <row r="98" spans="1:398" ht="40" customHeight="1">
      <c r="B98" s="299"/>
      <c r="C98" s="241"/>
      <c r="D98" s="242"/>
      <c r="E98" s="243"/>
      <c r="F98" s="1050"/>
      <c r="G98" s="246"/>
      <c r="H98" s="246"/>
      <c r="I98" s="246"/>
      <c r="J98" s="246"/>
      <c r="K98" s="246"/>
      <c r="L98" s="246"/>
      <c r="M98" s="300"/>
      <c r="N98" s="251"/>
      <c r="O98" s="251"/>
      <c r="P98" s="300"/>
      <c r="Q98" s="1051"/>
      <c r="R98" s="251"/>
      <c r="S98" s="251"/>
      <c r="T98" s="251"/>
      <c r="U98" s="301"/>
      <c r="V98" s="242"/>
      <c r="W98" s="242"/>
      <c r="X98" s="242"/>
      <c r="Y98" s="242"/>
      <c r="Z98" s="242"/>
      <c r="AA98" s="604"/>
      <c r="AB98" s="617"/>
      <c r="AC98" s="618"/>
      <c r="AD98" s="947"/>
      <c r="AE98" s="336"/>
      <c r="AF98" s="337"/>
      <c r="AG98" s="337"/>
      <c r="AH98" s="337"/>
      <c r="AI98" s="337"/>
      <c r="AJ98" s="337"/>
      <c r="AK98" s="337"/>
      <c r="AL98" s="337"/>
      <c r="AM98" s="337"/>
      <c r="AN98" s="337"/>
      <c r="AO98" s="337"/>
      <c r="AP98" s="337"/>
      <c r="AQ98" s="337"/>
      <c r="AR98" s="337"/>
      <c r="AS98" s="339"/>
      <c r="AT98" s="337"/>
      <c r="AU98" s="339"/>
      <c r="AV98" s="337"/>
      <c r="AW98" s="337"/>
      <c r="AX98" s="337"/>
      <c r="AY98" s="337"/>
      <c r="AZ98" s="611"/>
      <c r="BA98" s="611"/>
      <c r="BB98" s="611"/>
      <c r="BC98" s="611"/>
      <c r="BD98" s="611"/>
      <c r="BE98" s="611"/>
      <c r="BF98" s="611"/>
      <c r="BG98" s="611"/>
      <c r="BH98" s="611"/>
      <c r="BI98" s="611"/>
      <c r="BJ98" s="611"/>
      <c r="BK98" s="611"/>
      <c r="BL98" s="611"/>
      <c r="BM98" s="611"/>
      <c r="BN98" s="611"/>
      <c r="BO98" s="337"/>
      <c r="BP98" s="337"/>
      <c r="BQ98" s="337"/>
      <c r="BR98" s="340"/>
      <c r="BS98" s="342"/>
      <c r="BT98" s="938"/>
      <c r="BU98" s="938"/>
      <c r="BV98" s="615"/>
      <c r="BW98" s="615"/>
      <c r="BX98" s="616"/>
      <c r="BY98" s="360" t="s">
        <v>246</v>
      </c>
      <c r="BZ98" s="361" t="s">
        <v>247</v>
      </c>
      <c r="CA98" s="597"/>
      <c r="CB98" s="597"/>
      <c r="CC98" s="750"/>
      <c r="CD98" s="274"/>
      <c r="CE98" s="274"/>
      <c r="CF98" s="274"/>
      <c r="CG98" s="274"/>
      <c r="CH98" s="274"/>
      <c r="CI98" s="274"/>
      <c r="CJ98" s="274"/>
      <c r="CK98" s="274"/>
      <c r="CL98" s="363"/>
      <c r="CM98" s="363"/>
      <c r="CN98" s="363"/>
      <c r="CO98" s="363"/>
      <c r="CP98" s="363"/>
      <c r="CQ98" s="364"/>
      <c r="CR98" s="365"/>
      <c r="CS98" s="366"/>
      <c r="CT98" s="363"/>
      <c r="CU98" s="363"/>
      <c r="CV98" s="363"/>
      <c r="CW98" s="363"/>
      <c r="CX98" s="363"/>
      <c r="CY98" s="363"/>
      <c r="CZ98" s="363"/>
      <c r="DA98" s="363"/>
      <c r="DB98" s="363"/>
      <c r="DC98" s="363"/>
      <c r="DD98" s="363"/>
      <c r="DE98" s="363"/>
      <c r="DF98" s="364"/>
      <c r="DG98" s="365"/>
      <c r="DH98" s="271"/>
      <c r="DI98" s="274"/>
      <c r="DJ98" s="274"/>
      <c r="DK98" s="276"/>
      <c r="DL98" s="1016"/>
      <c r="DM98" s="1016"/>
      <c r="DN98" s="1016"/>
      <c r="DO98" s="1016"/>
      <c r="DP98" s="1016"/>
      <c r="DQ98" s="604"/>
      <c r="DR98" s="617"/>
      <c r="DS98" s="618"/>
      <c r="DT98" s="947"/>
      <c r="DU98" s="337"/>
      <c r="DV98" s="337"/>
      <c r="DW98" s="611"/>
      <c r="DX98" s="611"/>
      <c r="DY98" s="611"/>
      <c r="DZ98" s="611"/>
      <c r="EA98" s="611"/>
      <c r="EB98" s="611"/>
      <c r="EC98" s="611"/>
      <c r="ED98" s="611"/>
      <c r="EE98" s="611"/>
      <c r="EF98" s="611"/>
      <c r="EG98" s="337"/>
      <c r="EH98" s="337"/>
      <c r="EI98" s="938"/>
      <c r="EJ98" s="938"/>
      <c r="EK98" s="615"/>
      <c r="EL98" s="615"/>
      <c r="EM98" s="616"/>
      <c r="EN98" s="1016"/>
      <c r="EO98" s="604"/>
      <c r="EP98" s="605"/>
      <c r="EQ98" s="878"/>
      <c r="ER98" s="952"/>
      <c r="ES98" s="952"/>
      <c r="ET98" s="952"/>
      <c r="EU98" s="952"/>
      <c r="EV98" s="608"/>
      <c r="EW98" s="609"/>
      <c r="EX98" s="610"/>
      <c r="EY98" s="442"/>
      <c r="EZ98" s="440"/>
      <c r="FA98" s="441"/>
      <c r="FB98" s="442"/>
      <c r="FC98" s="440"/>
      <c r="FD98" s="441"/>
      <c r="FE98" s="443"/>
      <c r="FF98" s="440"/>
      <c r="FG98" s="441"/>
      <c r="FH98" s="443"/>
      <c r="FI98" s="440"/>
      <c r="FJ98" s="444"/>
      <c r="FK98" s="289"/>
      <c r="FL98" s="1017"/>
      <c r="FM98" s="349"/>
      <c r="FN98" s="336"/>
      <c r="FO98" s="337"/>
      <c r="FP98" s="337"/>
      <c r="FQ98" s="337"/>
      <c r="FR98" s="337"/>
      <c r="FS98" s="337"/>
      <c r="FT98" s="337"/>
      <c r="FU98" s="337"/>
      <c r="FV98" s="339"/>
      <c r="FW98" s="337"/>
      <c r="FX98" s="339"/>
      <c r="FY98" s="337"/>
      <c r="FZ98" s="337"/>
      <c r="GA98" s="337"/>
      <c r="GB98" s="337"/>
      <c r="GC98" s="611"/>
      <c r="GD98" s="611"/>
      <c r="GE98" s="611"/>
      <c r="GF98" s="611"/>
      <c r="GG98" s="611"/>
      <c r="GH98" s="611"/>
      <c r="GI98" s="611"/>
      <c r="GJ98" s="611"/>
      <c r="GK98" s="611"/>
      <c r="GL98" s="611"/>
      <c r="GM98" s="611"/>
      <c r="GN98" s="611"/>
      <c r="GO98" s="611"/>
      <c r="GP98" s="611"/>
      <c r="GQ98" s="611"/>
      <c r="GR98" s="337"/>
      <c r="GS98" s="337"/>
      <c r="GT98" s="342"/>
      <c r="GU98" s="938"/>
      <c r="GV98" s="938"/>
      <c r="GW98" s="615"/>
      <c r="GX98" s="615"/>
      <c r="GY98" s="616"/>
      <c r="GZ98" s="596"/>
      <c r="HA98" s="597"/>
      <c r="HB98" s="597"/>
      <c r="HC98" s="597"/>
      <c r="HD98" s="750"/>
      <c r="HE98" s="274"/>
      <c r="HF98" s="274"/>
      <c r="HG98" s="274"/>
      <c r="HH98" s="274"/>
      <c r="HI98" s="274"/>
      <c r="HJ98" s="274"/>
      <c r="HK98" s="274"/>
      <c r="HL98" s="274"/>
      <c r="HM98" s="274"/>
      <c r="HN98" s="274"/>
      <c r="HO98" s="274"/>
      <c r="HP98" s="274"/>
      <c r="HQ98" s="274"/>
      <c r="HR98" s="274"/>
      <c r="HS98" s="275"/>
      <c r="HT98" s="750"/>
      <c r="HU98" s="274"/>
      <c r="HV98" s="274"/>
      <c r="HW98" s="274"/>
      <c r="HX98" s="274"/>
      <c r="HY98" s="274"/>
      <c r="HZ98" s="274"/>
      <c r="IA98" s="274"/>
      <c r="IB98" s="274"/>
      <c r="IC98" s="274"/>
      <c r="ID98" s="274"/>
      <c r="IE98" s="272"/>
      <c r="IF98" s="274"/>
      <c r="IG98" s="274"/>
      <c r="IH98" s="275"/>
      <c r="II98" s="271"/>
      <c r="IJ98" s="274"/>
      <c r="IK98" s="274"/>
      <c r="IL98" s="276"/>
      <c r="IM98" s="1016"/>
      <c r="IN98" s="1016"/>
      <c r="IO98" s="1047"/>
      <c r="IP98" s="1048"/>
      <c r="IQ98" s="541"/>
      <c r="IR98" s="542"/>
      <c r="IS98" s="543"/>
      <c r="IT98" s="543"/>
      <c r="IU98" s="543"/>
      <c r="IV98" s="543"/>
      <c r="IW98" s="543"/>
      <c r="IX98" s="544"/>
      <c r="IY98" s="544"/>
      <c r="IZ98" s="543"/>
      <c r="JA98" s="543"/>
      <c r="JB98" s="543"/>
      <c r="JC98" s="543"/>
      <c r="JD98" s="545"/>
      <c r="JE98" s="545"/>
      <c r="JF98" s="546"/>
      <c r="JG98" s="503"/>
      <c r="JH98" s="506"/>
      <c r="JO98" s="507"/>
      <c r="JP98" s="508"/>
      <c r="JQ98" s="508"/>
      <c r="JR98" s="508"/>
      <c r="JS98" s="508"/>
      <c r="JT98" s="508"/>
      <c r="JU98" s="508"/>
      <c r="JV98" s="508"/>
      <c r="JW98" s="508"/>
      <c r="JX98" s="508"/>
      <c r="JY98" s="508"/>
      <c r="JZ98" s="508"/>
      <c r="KA98" s="508"/>
      <c r="KB98" s="508"/>
      <c r="KC98" s="508"/>
      <c r="KD98" s="508"/>
      <c r="KE98" s="508"/>
      <c r="KF98" s="508"/>
      <c r="KG98" s="508"/>
      <c r="KH98" s="508"/>
      <c r="KI98" s="508"/>
      <c r="KJ98" s="508"/>
      <c r="KK98" s="508"/>
      <c r="KL98" s="508"/>
      <c r="KM98" s="508"/>
      <c r="KN98" s="508"/>
      <c r="KO98" s="508"/>
      <c r="KP98" s="508"/>
      <c r="KQ98" s="508"/>
      <c r="KR98" s="508"/>
      <c r="KS98" s="508"/>
      <c r="KT98" s="508"/>
      <c r="KU98" s="508"/>
      <c r="KV98" s="508"/>
      <c r="KW98" s="509"/>
      <c r="KX98" s="1016"/>
      <c r="KY98" s="1016"/>
    </row>
    <row r="99" spans="1:398" ht="40" customHeight="1">
      <c r="B99" s="299"/>
      <c r="C99" s="378" t="s">
        <v>332</v>
      </c>
      <c r="D99" s="378">
        <v>20</v>
      </c>
      <c r="E99" s="379">
        <v>201</v>
      </c>
      <c r="F99" s="1052" t="s">
        <v>440</v>
      </c>
      <c r="G99" s="381">
        <v>69</v>
      </c>
      <c r="H99" s="381">
        <v>106</v>
      </c>
      <c r="I99" s="381">
        <v>68</v>
      </c>
      <c r="J99" s="381">
        <v>132</v>
      </c>
      <c r="K99" s="549" t="s">
        <v>441</v>
      </c>
      <c r="L99" s="381">
        <v>65</v>
      </c>
      <c r="M99" s="383">
        <v>19</v>
      </c>
      <c r="N99" s="384" t="s">
        <v>167</v>
      </c>
      <c r="O99" s="384" t="s">
        <v>168</v>
      </c>
      <c r="P99" s="383">
        <v>106</v>
      </c>
      <c r="Q99" s="384" t="s">
        <v>170</v>
      </c>
      <c r="R99" s="384" t="s">
        <v>169</v>
      </c>
      <c r="S99" s="384" t="s">
        <v>169</v>
      </c>
      <c r="T99" s="384" t="s">
        <v>306</v>
      </c>
      <c r="U99" s="385" t="s">
        <v>169</v>
      </c>
      <c r="V99" s="378" t="s">
        <v>172</v>
      </c>
      <c r="W99" s="378"/>
      <c r="X99" s="462" t="s">
        <v>292</v>
      </c>
      <c r="Y99" s="462" t="s">
        <v>292</v>
      </c>
      <c r="Z99" s="378"/>
      <c r="AA99" s="386" t="s">
        <v>442</v>
      </c>
      <c r="AB99" s="387" t="s">
        <v>332</v>
      </c>
      <c r="AC99" s="388">
        <v>58</v>
      </c>
      <c r="AD99" s="389">
        <f>SUM(AC99,AC100)</f>
        <v>58</v>
      </c>
      <c r="AE99" s="465" t="s">
        <v>295</v>
      </c>
      <c r="AF99" s="564" t="s">
        <v>296</v>
      </c>
      <c r="AG99" s="467">
        <f>FP99</f>
        <v>1173920</v>
      </c>
      <c r="AH99" s="468">
        <f>FQ99</f>
        <v>1540</v>
      </c>
      <c r="AI99" s="468">
        <f>FR99</f>
        <v>2560</v>
      </c>
      <c r="AJ99" s="469">
        <f>AK99/AT99</f>
        <v>1.7737971923129343</v>
      </c>
      <c r="AK99" s="468">
        <f>ROUNDUP(27838*1.1,0)</f>
        <v>30622</v>
      </c>
      <c r="AL99" s="469">
        <f>AM99/AT99</f>
        <v>1.7737971923129343</v>
      </c>
      <c r="AM99" s="468">
        <f>ROUNDUP(27838*1.1,0)</f>
        <v>30622</v>
      </c>
      <c r="AN99" s="626" t="s">
        <v>308</v>
      </c>
      <c r="AO99" s="468">
        <f>3083*1.1</f>
        <v>3391.3</v>
      </c>
      <c r="AP99" s="467">
        <f t="shared" ref="AP99:AQ99" si="7">FS99</f>
        <v>68</v>
      </c>
      <c r="AQ99" s="467">
        <f t="shared" si="7"/>
        <v>132</v>
      </c>
      <c r="AR99" s="474">
        <f>DM99/(BX99-2)</f>
        <v>54.133333333333333</v>
      </c>
      <c r="AS99" s="475">
        <f>AG99/AR99</f>
        <v>21685.714285714286</v>
      </c>
      <c r="AT99" s="476">
        <f>AG99/AP99</f>
        <v>17263.529411764706</v>
      </c>
      <c r="AU99" s="475">
        <f>AG99/AQ99</f>
        <v>8893.3333333333339</v>
      </c>
      <c r="AV99" s="477">
        <v>26000</v>
      </c>
      <c r="AW99" s="477">
        <v>48000</v>
      </c>
      <c r="AX99" s="467">
        <f>GA99</f>
        <v>205095.00000000003</v>
      </c>
      <c r="AY99" s="467">
        <f>GB99</f>
        <v>19</v>
      </c>
      <c r="AZ99" s="478">
        <f>GC99</f>
        <v>19346800</v>
      </c>
      <c r="BA99" s="478">
        <f>GD99</f>
        <v>3593590.0000000005</v>
      </c>
      <c r="BB99" s="478"/>
      <c r="BC99" s="478">
        <f>AH99*DM99</f>
        <v>1250480</v>
      </c>
      <c r="BD99" s="479">
        <v>15067833.000000002</v>
      </c>
      <c r="BE99" s="479"/>
      <c r="BF99" s="479">
        <v>11942502.000000002</v>
      </c>
      <c r="BG99" s="479"/>
      <c r="BH99" s="479">
        <v>1017390.0000000001</v>
      </c>
      <c r="BI99" s="480">
        <f>GJ99</f>
        <v>0</v>
      </c>
      <c r="BJ99" s="480">
        <f>GK99</f>
        <v>0</v>
      </c>
      <c r="BK99" s="480">
        <f>BM99*5000*BX99</f>
        <v>170000</v>
      </c>
      <c r="BL99" s="480">
        <f>1800000*BN99*BX99</f>
        <v>0</v>
      </c>
      <c r="BM99" s="480">
        <f>GP99</f>
        <v>2</v>
      </c>
      <c r="BN99" s="480">
        <f>GQ99</f>
        <v>0</v>
      </c>
      <c r="BO99" s="481"/>
      <c r="BP99" s="481">
        <f>SUM(AZ99,BA99,BI99,BO99)</f>
        <v>22940390</v>
      </c>
      <c r="BQ99" s="481">
        <f>BP99-GR99</f>
        <v>0</v>
      </c>
      <c r="BR99" s="554"/>
      <c r="BS99" s="1012" t="s">
        <v>175</v>
      </c>
      <c r="BT99" s="484">
        <f>GU99</f>
        <v>46283</v>
      </c>
      <c r="BU99" s="484">
        <f>GV99</f>
        <v>46300</v>
      </c>
      <c r="BV99" s="1035">
        <f>IFERROR(INDEX($BY$9:$DH$9, MATCH("準備", BY99:DK99, 0)), "")</f>
        <v>46283</v>
      </c>
      <c r="BW99" s="1036" cm="1">
        <f t="array" ref="BW99">IF(COUNTIF(BY99:DK99,"*撤去*")=0,"",INDEX(BY$9:DK$9,1,MAX(IF(CC99:DK99="撤去",COLUMN(CC99:DK99)-COLUMN(BY99)+1))))</f>
        <v>46300</v>
      </c>
      <c r="BX99" s="1037">
        <f>BW99-BV99</f>
        <v>17</v>
      </c>
      <c r="BY99" s="556">
        <v>0</v>
      </c>
      <c r="BZ99" s="557">
        <v>0</v>
      </c>
      <c r="CA99" s="557">
        <v>0</v>
      </c>
      <c r="CB99" s="557">
        <v>0</v>
      </c>
      <c r="CC99" s="405">
        <v>0</v>
      </c>
      <c r="CD99" s="403">
        <v>0</v>
      </c>
      <c r="CE99" s="403">
        <v>0</v>
      </c>
      <c r="CF99" s="403">
        <v>0</v>
      </c>
      <c r="CG99" s="403">
        <v>0</v>
      </c>
      <c r="CH99" s="403">
        <v>0</v>
      </c>
      <c r="CI99" s="403">
        <v>0</v>
      </c>
      <c r="CJ99" s="403">
        <v>0</v>
      </c>
      <c r="CK99" s="403">
        <v>0</v>
      </c>
      <c r="CL99" s="403">
        <v>0</v>
      </c>
      <c r="CM99" s="403">
        <v>0</v>
      </c>
      <c r="CN99" s="403">
        <v>0</v>
      </c>
      <c r="CO99" s="403">
        <v>0</v>
      </c>
      <c r="CP99" s="403">
        <v>0</v>
      </c>
      <c r="CQ99" s="929" t="s">
        <v>177</v>
      </c>
      <c r="CR99" s="897" t="s">
        <v>177</v>
      </c>
      <c r="CS99" s="405">
        <v>58</v>
      </c>
      <c r="CT99" s="403">
        <v>58</v>
      </c>
      <c r="CU99" s="403">
        <v>58</v>
      </c>
      <c r="CV99" s="403">
        <v>58</v>
      </c>
      <c r="CW99" s="403">
        <v>58</v>
      </c>
      <c r="CX99" s="403">
        <v>58</v>
      </c>
      <c r="CY99" s="403">
        <v>58</v>
      </c>
      <c r="CZ99" s="403">
        <v>58</v>
      </c>
      <c r="DA99" s="403">
        <v>58</v>
      </c>
      <c r="DB99" s="403">
        <v>58</v>
      </c>
      <c r="DC99" s="403">
        <v>58</v>
      </c>
      <c r="DD99" s="488">
        <v>58</v>
      </c>
      <c r="DE99" s="403">
        <v>58</v>
      </c>
      <c r="DF99" s="403">
        <v>58</v>
      </c>
      <c r="DG99" s="404">
        <v>0</v>
      </c>
      <c r="DH99" s="603" t="s">
        <v>178</v>
      </c>
      <c r="DI99" s="403">
        <v>0</v>
      </c>
      <c r="DJ99" s="403">
        <v>0</v>
      </c>
      <c r="DK99" s="407">
        <v>0</v>
      </c>
      <c r="DL99" s="277"/>
      <c r="DM99" s="277" cm="1">
        <f t="array" ref="DM99">SUM(IF(ISNUMBER($BY99:$DK99),$BY99:$DK99, 0))</f>
        <v>812</v>
      </c>
      <c r="DN99" s="277">
        <v>910</v>
      </c>
      <c r="DO99" s="277">
        <f>DM99*(BX99)/(BX99+1)</f>
        <v>766.88888888888891</v>
      </c>
      <c r="DP99" s="277"/>
      <c r="DQ99" s="386" t="s">
        <v>443</v>
      </c>
      <c r="DR99" s="387" t="s">
        <v>332</v>
      </c>
      <c r="DS99" s="388">
        <v>65</v>
      </c>
      <c r="DT99" s="389">
        <f>SUM(DS99,DS100)</f>
        <v>65</v>
      </c>
      <c r="DU99" s="467">
        <v>1173920</v>
      </c>
      <c r="DV99" s="467">
        <v>205095.00000000003</v>
      </c>
      <c r="DW99" s="478">
        <v>19346800</v>
      </c>
      <c r="DX99" s="478">
        <v>3593590.0000000005</v>
      </c>
      <c r="DY99" s="478">
        <v>2496000</v>
      </c>
      <c r="DZ99" s="478">
        <v>17913870</v>
      </c>
      <c r="EA99" s="478">
        <v>11942580</v>
      </c>
      <c r="EB99" s="478">
        <v>991955.25</v>
      </c>
      <c r="EC99" s="480">
        <v>0</v>
      </c>
      <c r="ED99" s="480">
        <v>0</v>
      </c>
      <c r="EE99" s="480">
        <v>170000</v>
      </c>
      <c r="EF99" s="480">
        <v>0</v>
      </c>
      <c r="EG99" s="481"/>
      <c r="EH99" s="481">
        <v>22940390</v>
      </c>
      <c r="EI99" s="484">
        <v>46283</v>
      </c>
      <c r="EJ99" s="484">
        <v>46300</v>
      </c>
      <c r="EK99" s="1035">
        <v>46283</v>
      </c>
      <c r="EL99" s="1036">
        <v>46300</v>
      </c>
      <c r="EM99" s="1037">
        <v>17</v>
      </c>
      <c r="EN99" s="277"/>
      <c r="EO99" s="386" t="s">
        <v>443</v>
      </c>
      <c r="EP99" s="408" t="s">
        <v>332</v>
      </c>
      <c r="EQ99" s="985">
        <v>65</v>
      </c>
      <c r="ER99" s="1053">
        <v>65</v>
      </c>
      <c r="ES99" s="245">
        <v>65</v>
      </c>
      <c r="ET99" s="245">
        <v>65</v>
      </c>
      <c r="EU99" s="245">
        <v>56</v>
      </c>
      <c r="EV99" s="281" t="s">
        <v>444</v>
      </c>
      <c r="EW99" s="282">
        <v>16</v>
      </c>
      <c r="EX99" s="283">
        <v>22</v>
      </c>
      <c r="EY99" s="284" t="s">
        <v>188</v>
      </c>
      <c r="EZ99" s="285">
        <v>16</v>
      </c>
      <c r="FA99" s="286">
        <v>22</v>
      </c>
      <c r="FB99" s="284" t="s">
        <v>189</v>
      </c>
      <c r="FC99" s="285"/>
      <c r="FD99" s="286"/>
      <c r="FE99" s="287" t="s">
        <v>189</v>
      </c>
      <c r="FF99" s="285"/>
      <c r="FG99" s="286"/>
      <c r="FH99" s="287" t="s">
        <v>189</v>
      </c>
      <c r="FI99" s="285"/>
      <c r="FJ99" s="288"/>
      <c r="FK99" s="289">
        <v>41</v>
      </c>
      <c r="FL99" s="290">
        <v>0.3867924528301887</v>
      </c>
      <c r="FM99" s="291" t="s">
        <v>445</v>
      </c>
      <c r="FN99" s="1031" t="s">
        <v>300</v>
      </c>
      <c r="FO99" s="564" t="s">
        <v>296</v>
      </c>
      <c r="FP99" s="965">
        <v>1173920</v>
      </c>
      <c r="FQ99" s="461">
        <v>1540</v>
      </c>
      <c r="FR99" s="468">
        <v>2560</v>
      </c>
      <c r="FS99" s="965">
        <v>68</v>
      </c>
      <c r="FT99" s="965">
        <v>132</v>
      </c>
      <c r="FU99" s="393">
        <v>65</v>
      </c>
      <c r="FV99" s="394">
        <v>18060.307692307691</v>
      </c>
      <c r="FW99" s="390">
        <v>17263.529411764706</v>
      </c>
      <c r="FX99" s="394">
        <v>8893.3333333333339</v>
      </c>
      <c r="FY99" s="395">
        <v>6342</v>
      </c>
      <c r="FZ99" s="395">
        <v>10095</v>
      </c>
      <c r="GA99" s="965">
        <v>205095.00000000003</v>
      </c>
      <c r="GB99" s="965">
        <v>19</v>
      </c>
      <c r="GC99" s="986">
        <v>19346800</v>
      </c>
      <c r="GD99" s="986">
        <v>3593590.0000000005</v>
      </c>
      <c r="GE99" s="986">
        <v>10309310</v>
      </c>
      <c r="GF99" s="986">
        <v>3593590.0000000005</v>
      </c>
      <c r="GG99" s="478">
        <v>-9037490</v>
      </c>
      <c r="GH99" s="478">
        <v>0</v>
      </c>
      <c r="GI99" s="478">
        <v>1497600</v>
      </c>
      <c r="GJ99" s="736"/>
      <c r="GK99" s="736"/>
      <c r="GL99" s="736"/>
      <c r="GM99" s="480">
        <v>0</v>
      </c>
      <c r="GN99" s="480">
        <v>140000</v>
      </c>
      <c r="GO99" s="480">
        <v>0</v>
      </c>
      <c r="GP99" s="736">
        <v>2</v>
      </c>
      <c r="GQ99" s="736">
        <v>0</v>
      </c>
      <c r="GR99" s="966">
        <v>22940390</v>
      </c>
      <c r="GS99" s="966">
        <v>-14650986</v>
      </c>
      <c r="GT99" s="595" t="s">
        <v>175</v>
      </c>
      <c r="GU99" s="968">
        <v>46283</v>
      </c>
      <c r="GV99" s="968">
        <v>46300</v>
      </c>
      <c r="GW99" s="666">
        <v>46283</v>
      </c>
      <c r="GX99" s="667">
        <v>46300</v>
      </c>
      <c r="GY99" s="663">
        <v>17</v>
      </c>
      <c r="GZ99" s="556"/>
      <c r="HA99" s="557"/>
      <c r="HB99" s="557"/>
      <c r="HC99" s="557"/>
      <c r="HD99" s="405">
        <v>0</v>
      </c>
      <c r="HE99" s="403">
        <v>0</v>
      </c>
      <c r="HF99" s="403">
        <v>0</v>
      </c>
      <c r="HG99" s="403">
        <v>0</v>
      </c>
      <c r="HH99" s="403">
        <v>0</v>
      </c>
      <c r="HI99" s="403">
        <v>0</v>
      </c>
      <c r="HJ99" s="403">
        <v>0</v>
      </c>
      <c r="HK99" s="403">
        <v>0</v>
      </c>
      <c r="HL99" s="403">
        <v>0</v>
      </c>
      <c r="HM99" s="403">
        <v>0</v>
      </c>
      <c r="HN99" s="403">
        <v>0</v>
      </c>
      <c r="HO99" s="403">
        <v>0</v>
      </c>
      <c r="HP99" s="403">
        <v>0</v>
      </c>
      <c r="HQ99" s="403">
        <v>0</v>
      </c>
      <c r="HR99" s="929" t="s">
        <v>177</v>
      </c>
      <c r="HS99" s="897" t="s">
        <v>177</v>
      </c>
      <c r="HT99" s="405">
        <v>65</v>
      </c>
      <c r="HU99" s="403">
        <v>65</v>
      </c>
      <c r="HV99" s="403">
        <v>65</v>
      </c>
      <c r="HW99" s="403">
        <v>65</v>
      </c>
      <c r="HX99" s="403">
        <v>65</v>
      </c>
      <c r="HY99" s="403">
        <v>65</v>
      </c>
      <c r="HZ99" s="403">
        <v>65</v>
      </c>
      <c r="IA99" s="403">
        <v>65</v>
      </c>
      <c r="IB99" s="403">
        <v>65</v>
      </c>
      <c r="IC99" s="403">
        <v>65</v>
      </c>
      <c r="ID99" s="403">
        <v>65</v>
      </c>
      <c r="IE99" s="488">
        <v>65</v>
      </c>
      <c r="IF99" s="403">
        <v>65</v>
      </c>
      <c r="IG99" s="403">
        <v>65</v>
      </c>
      <c r="IH99" s="404">
        <v>65</v>
      </c>
      <c r="II99" s="603" t="s">
        <v>178</v>
      </c>
      <c r="IJ99" s="403">
        <v>0</v>
      </c>
      <c r="IK99" s="403">
        <v>0</v>
      </c>
      <c r="IL99" s="407">
        <v>0</v>
      </c>
      <c r="IM99" s="277"/>
      <c r="IN99" s="277" cm="1">
        <f t="array" ref="IN99">SUM(IF(ISNUMBER($HD99:$IL99),$HD99:$IL99, 0))</f>
        <v>975</v>
      </c>
      <c r="IO99" s="333"/>
      <c r="IP99" s="334"/>
      <c r="IQ99" s="541"/>
      <c r="IR99" s="569">
        <f>VLOOKUP($E99,[1]アジアResults1031!$A$1:$CH$259,23,FALSE)</f>
        <v>402908</v>
      </c>
      <c r="IS99" s="570">
        <f>VLOOKUP($E99,[1]アジアResults1031!$A$1:$CH$259,32,FALSE)</f>
        <v>55</v>
      </c>
      <c r="IT99" s="570">
        <f>KY99/(GY99-2)</f>
        <v>56</v>
      </c>
      <c r="IU99" s="570">
        <f>IR99/IT99</f>
        <v>7194.7857142857147</v>
      </c>
      <c r="IV99" s="570">
        <f>VLOOKUP(E99,[1]アジアResults1031!$A$1:$CH$264,26,FALSE)</f>
        <v>6342</v>
      </c>
      <c r="IW99" s="570">
        <f>VLOOKUP(E99,[1]アジアResults1031!$A$1:$CH$264,27,FALSE)</f>
        <v>10095</v>
      </c>
      <c r="IX99" s="571">
        <f>VLOOKUP($E99,[1]アジアResults1031!$A$1:$CH$259,18,FALSE)</f>
        <v>84704</v>
      </c>
      <c r="IY99" s="571">
        <f>VLOOKUP($E99,[1]アジアResults1031!$A$1:$CH$259,9,FALSE)</f>
        <v>5</v>
      </c>
      <c r="IZ99" s="570">
        <f>IR99*JF99</f>
        <v>6849436</v>
      </c>
      <c r="JA99" s="570">
        <f>IX99*JF99</f>
        <v>1439968</v>
      </c>
      <c r="JB99" s="570"/>
      <c r="JC99" s="570"/>
      <c r="JD99" s="572">
        <f>IFERROR(INDEX($JO$9:$KW$9, MATCH("準備", JO99:KW99, 0)), "")</f>
        <v>46283</v>
      </c>
      <c r="JE99" s="572" cm="1">
        <f t="array" ref="JE99">IF(COUNTIF(JO99:KW99,"*撤去*")=0,"",INDEX(JO$9:KW$9,1,MAX(IF(JO99:KW99="撤去",COLUMN(JO99:KW99)-COLUMN(JO99)+1))))</f>
        <v>46300</v>
      </c>
      <c r="JF99" s="573">
        <f>JE99-JD99</f>
        <v>17</v>
      </c>
      <c r="JG99" s="574">
        <v>402908</v>
      </c>
      <c r="JH99" s="575">
        <v>84704</v>
      </c>
      <c r="JO99" s="507"/>
      <c r="JP99" s="508"/>
      <c r="JQ99" s="508"/>
      <c r="JR99" s="508"/>
      <c r="JS99" s="508"/>
      <c r="JT99" s="508"/>
      <c r="JU99" s="508"/>
      <c r="JV99" s="508"/>
      <c r="JW99" s="508"/>
      <c r="JX99" s="508"/>
      <c r="JY99" s="508"/>
      <c r="JZ99" s="508"/>
      <c r="KA99" s="508"/>
      <c r="KB99" s="508"/>
      <c r="KC99" s="400" t="s">
        <v>177</v>
      </c>
      <c r="KD99" s="400" t="s">
        <v>177</v>
      </c>
      <c r="KE99" s="508">
        <v>56</v>
      </c>
      <c r="KF99" s="508">
        <v>56</v>
      </c>
      <c r="KG99" s="508">
        <v>56</v>
      </c>
      <c r="KH99" s="508">
        <v>56</v>
      </c>
      <c r="KI99" s="508">
        <v>56</v>
      </c>
      <c r="KJ99" s="508">
        <v>56</v>
      </c>
      <c r="KK99" s="508">
        <v>56</v>
      </c>
      <c r="KL99" s="508">
        <v>56</v>
      </c>
      <c r="KM99" s="508">
        <v>56</v>
      </c>
      <c r="KN99" s="508">
        <v>56</v>
      </c>
      <c r="KO99" s="508">
        <v>56</v>
      </c>
      <c r="KP99" s="508">
        <v>56</v>
      </c>
      <c r="KQ99" s="508">
        <v>56</v>
      </c>
      <c r="KR99" s="508">
        <v>56</v>
      </c>
      <c r="KS99" s="508">
        <v>56</v>
      </c>
      <c r="KT99" s="406" t="s">
        <v>178</v>
      </c>
      <c r="KU99" s="508"/>
      <c r="KV99" s="508"/>
      <c r="KW99" s="509"/>
      <c r="KX99" s="277"/>
      <c r="KY99" s="277" cm="1">
        <f t="array" ref="KY99">SUM(IF(ISNUMBER($JO99:$KW99),$JO99:$KW99, 0))</f>
        <v>840</v>
      </c>
    </row>
    <row r="100" spans="1:398" ht="40" customHeight="1">
      <c r="B100" s="299"/>
      <c r="C100" s="241"/>
      <c r="D100" s="445"/>
      <c r="E100" s="243" t="s">
        <v>165</v>
      </c>
      <c r="F100" s="1054" t="s">
        <v>446</v>
      </c>
      <c r="G100" s="246" t="s">
        <v>165</v>
      </c>
      <c r="H100" s="246" t="s">
        <v>165</v>
      </c>
      <c r="I100" s="246">
        <v>0</v>
      </c>
      <c r="J100" s="246">
        <v>0</v>
      </c>
      <c r="K100" s="245" t="e">
        <v>#N/A</v>
      </c>
      <c r="L100" s="246">
        <v>0</v>
      </c>
      <c r="M100" s="300" t="s">
        <v>165</v>
      </c>
      <c r="N100" s="251" t="s">
        <v>165</v>
      </c>
      <c r="O100" s="251" t="s">
        <v>165</v>
      </c>
      <c r="P100" s="300" t="s">
        <v>165</v>
      </c>
      <c r="Q100" s="251" t="s">
        <v>165</v>
      </c>
      <c r="R100" s="251" t="s">
        <v>165</v>
      </c>
      <c r="S100" s="251" t="s">
        <v>165</v>
      </c>
      <c r="T100" s="251" t="s">
        <v>165</v>
      </c>
      <c r="U100" s="301"/>
      <c r="V100" s="242"/>
      <c r="W100" s="242"/>
      <c r="X100" s="242"/>
      <c r="Y100" s="242"/>
      <c r="Z100" s="242"/>
      <c r="AA100" s="763"/>
      <c r="AB100" s="764" t="s">
        <v>170</v>
      </c>
      <c r="AC100" s="765">
        <v>0</v>
      </c>
      <c r="AD100" s="516"/>
      <c r="AE100" s="336"/>
      <c r="AF100" s="337"/>
      <c r="AG100" s="970"/>
      <c r="AH100" s="970"/>
      <c r="AI100" s="970"/>
      <c r="AJ100" s="970"/>
      <c r="AK100" s="970"/>
      <c r="AL100" s="970"/>
      <c r="AM100" s="970"/>
      <c r="AN100" s="970"/>
      <c r="AO100" s="970"/>
      <c r="AP100" s="970"/>
      <c r="AQ100" s="970"/>
      <c r="AR100" s="970"/>
      <c r="AS100" s="339"/>
      <c r="AT100" s="337"/>
      <c r="AU100" s="339"/>
      <c r="AV100" s="337"/>
      <c r="AW100" s="337"/>
      <c r="AX100" s="337"/>
      <c r="AY100" s="337"/>
      <c r="AZ100" s="611"/>
      <c r="BA100" s="611"/>
      <c r="BB100" s="611"/>
      <c r="BC100" s="611"/>
      <c r="BD100" s="611"/>
      <c r="BE100" s="611"/>
      <c r="BF100" s="611"/>
      <c r="BG100" s="611"/>
      <c r="BH100" s="611"/>
      <c r="BI100" s="611"/>
      <c r="BJ100" s="611"/>
      <c r="BK100" s="611"/>
      <c r="BL100" s="611"/>
      <c r="BM100" s="611"/>
      <c r="BN100" s="611"/>
      <c r="BO100" s="337"/>
      <c r="BP100" s="337"/>
      <c r="BQ100" s="337"/>
      <c r="BR100" s="340"/>
      <c r="BS100" s="342"/>
      <c r="BT100" s="938"/>
      <c r="BU100" s="938"/>
      <c r="BV100" s="615" t="str">
        <f>IFERROR(INDEX($HD$9:$II$9, MATCH("準備", CC100:DK100, 0)), "")</f>
        <v/>
      </c>
      <c r="BW100" s="615" t="str" cm="1">
        <f t="array" ref="BW100">IF(COUNTIF(CC100:DK100,"*撤去*")=0,"",INDEX(CC$9:DK$9,1,MAX(IF(CC100:DK100="撤去",COLUMN(CC100:DK100)-COLUMN(CC100)+1))))</f>
        <v/>
      </c>
      <c r="BX100" s="616"/>
      <c r="BY100" s="360" t="s">
        <v>246</v>
      </c>
      <c r="BZ100" s="361" t="s">
        <v>247</v>
      </c>
      <c r="CA100" s="597"/>
      <c r="CB100" s="597"/>
      <c r="CC100" s="874"/>
      <c r="CD100" s="875"/>
      <c r="CE100" s="875"/>
      <c r="CF100" s="875"/>
      <c r="CG100" s="875"/>
      <c r="CH100" s="875"/>
      <c r="CI100" s="875"/>
      <c r="CJ100" s="875"/>
      <c r="CK100" s="875"/>
      <c r="CL100" s="875"/>
      <c r="CM100" s="875"/>
      <c r="CN100" s="875"/>
      <c r="CO100" s="875"/>
      <c r="CP100" s="875"/>
      <c r="CQ100" s="364"/>
      <c r="CR100" s="365"/>
      <c r="CS100" s="366"/>
      <c r="CT100" s="363"/>
      <c r="CU100" s="363"/>
      <c r="CV100" s="363"/>
      <c r="CW100" s="363"/>
      <c r="CX100" s="363"/>
      <c r="CY100" s="363"/>
      <c r="CZ100" s="363"/>
      <c r="DA100" s="363"/>
      <c r="DB100" s="363"/>
      <c r="DC100" s="363"/>
      <c r="DD100" s="363"/>
      <c r="DE100" s="363"/>
      <c r="DF100" s="364"/>
      <c r="DG100" s="365"/>
      <c r="DH100" s="366"/>
      <c r="DI100" s="875"/>
      <c r="DJ100" s="875"/>
      <c r="DK100" s="886"/>
      <c r="DL100" s="277"/>
      <c r="DM100" s="277"/>
      <c r="DN100" s="277"/>
      <c r="DO100" s="277"/>
      <c r="DP100" s="277"/>
      <c r="DQ100" s="763"/>
      <c r="DR100" s="764" t="s">
        <v>170</v>
      </c>
      <c r="DS100" s="765">
        <v>0</v>
      </c>
      <c r="DT100" s="516"/>
      <c r="DU100" s="970"/>
      <c r="DV100" s="337"/>
      <c r="DW100" s="611"/>
      <c r="DX100" s="611"/>
      <c r="DY100" s="611"/>
      <c r="DZ100" s="611"/>
      <c r="EA100" s="611"/>
      <c r="EB100" s="611"/>
      <c r="EC100" s="611"/>
      <c r="ED100" s="611"/>
      <c r="EE100" s="611"/>
      <c r="EF100" s="611"/>
      <c r="EG100" s="337"/>
      <c r="EH100" s="337"/>
      <c r="EI100" s="938"/>
      <c r="EJ100" s="938"/>
      <c r="EK100" s="615" t="s">
        <v>165</v>
      </c>
      <c r="EL100" s="615" t="s">
        <v>165</v>
      </c>
      <c r="EM100" s="616"/>
      <c r="EN100" s="277"/>
      <c r="EO100" s="763"/>
      <c r="EP100" s="1032" t="s">
        <v>170</v>
      </c>
      <c r="EQ100" s="1033">
        <v>0</v>
      </c>
      <c r="ER100" s="533"/>
      <c r="ES100" s="245" t="e">
        <v>#N/A</v>
      </c>
      <c r="ET100" s="245"/>
      <c r="EU100" s="245"/>
      <c r="EV100" s="1027" t="s">
        <v>170</v>
      </c>
      <c r="EW100" s="453"/>
      <c r="EX100" s="454"/>
      <c r="EY100" s="879" t="s">
        <v>170</v>
      </c>
      <c r="EZ100" s="456"/>
      <c r="FA100" s="457"/>
      <c r="FB100" s="879" t="s">
        <v>170</v>
      </c>
      <c r="FC100" s="880"/>
      <c r="FD100" s="881"/>
      <c r="FE100" s="882" t="s">
        <v>170</v>
      </c>
      <c r="FF100" s="880"/>
      <c r="FG100" s="881"/>
      <c r="FH100" s="882" t="s">
        <v>170</v>
      </c>
      <c r="FI100" s="880"/>
      <c r="FJ100" s="883"/>
      <c r="FK100" s="375"/>
      <c r="FL100" s="290"/>
      <c r="FM100" s="1034"/>
      <c r="FN100" s="336"/>
      <c r="FO100" s="337"/>
      <c r="FP100" s="970"/>
      <c r="FQ100" s="970"/>
      <c r="FR100" s="970"/>
      <c r="FS100" s="970"/>
      <c r="FT100" s="970"/>
      <c r="FU100" s="970"/>
      <c r="FV100" s="339"/>
      <c r="FW100" s="337"/>
      <c r="FX100" s="339"/>
      <c r="FY100" s="337"/>
      <c r="FZ100" s="337"/>
      <c r="GA100" s="337"/>
      <c r="GB100" s="337"/>
      <c r="GC100" s="611"/>
      <c r="GD100" s="611"/>
      <c r="GE100" s="611"/>
      <c r="GF100" s="611"/>
      <c r="GG100" s="611"/>
      <c r="GH100" s="611"/>
      <c r="GI100" s="611"/>
      <c r="GJ100" s="611"/>
      <c r="GK100" s="611"/>
      <c r="GL100" s="611"/>
      <c r="GM100" s="611"/>
      <c r="GN100" s="611"/>
      <c r="GO100" s="611"/>
      <c r="GP100" s="611"/>
      <c r="GQ100" s="611"/>
      <c r="GR100" s="337"/>
      <c r="GS100" s="337"/>
      <c r="GT100" s="342"/>
      <c r="GU100" s="938"/>
      <c r="GV100" s="938"/>
      <c r="GW100" s="615" t="s">
        <v>165</v>
      </c>
      <c r="GX100" s="615" t="s">
        <v>165</v>
      </c>
      <c r="GY100" s="616"/>
      <c r="GZ100" s="596"/>
      <c r="HA100" s="597"/>
      <c r="HB100" s="597"/>
      <c r="HC100" s="597"/>
      <c r="HD100" s="874"/>
      <c r="HE100" s="875"/>
      <c r="HF100" s="875"/>
      <c r="HG100" s="875"/>
      <c r="HH100" s="875"/>
      <c r="HI100" s="875"/>
      <c r="HJ100" s="875"/>
      <c r="HK100" s="875"/>
      <c r="HL100" s="875"/>
      <c r="HM100" s="875"/>
      <c r="HN100" s="875"/>
      <c r="HO100" s="875"/>
      <c r="HP100" s="875"/>
      <c r="HQ100" s="875"/>
      <c r="HR100" s="779"/>
      <c r="HS100" s="884"/>
      <c r="HT100" s="874"/>
      <c r="HU100" s="875"/>
      <c r="HV100" s="875"/>
      <c r="HW100" s="875"/>
      <c r="HX100" s="875"/>
      <c r="HY100" s="875"/>
      <c r="HZ100" s="875"/>
      <c r="IA100" s="875"/>
      <c r="IB100" s="875"/>
      <c r="IC100" s="875"/>
      <c r="ID100" s="875"/>
      <c r="IE100" s="875"/>
      <c r="IF100" s="875"/>
      <c r="IG100" s="274"/>
      <c r="IH100" s="884"/>
      <c r="II100" s="874"/>
      <c r="IJ100" s="875"/>
      <c r="IK100" s="875"/>
      <c r="IL100" s="886"/>
      <c r="IM100" s="277"/>
      <c r="IN100" s="277"/>
      <c r="IO100" s="333"/>
      <c r="IP100" s="334"/>
      <c r="IQ100" s="541"/>
      <c r="IR100" s="581"/>
      <c r="IS100" s="582"/>
      <c r="IT100" s="582"/>
      <c r="IU100" s="582"/>
      <c r="IV100" s="582"/>
      <c r="IW100" s="582"/>
      <c r="IX100" s="583"/>
      <c r="IY100" s="583"/>
      <c r="IZ100" s="582"/>
      <c r="JA100" s="582"/>
      <c r="JB100" s="582"/>
      <c r="JC100" s="582"/>
      <c r="JD100" s="584"/>
      <c r="JE100" s="584"/>
      <c r="JF100" s="585"/>
      <c r="JG100" s="586"/>
      <c r="JH100" s="587"/>
      <c r="JO100" s="507"/>
      <c r="JP100" s="508"/>
      <c r="JQ100" s="508"/>
      <c r="JR100" s="508"/>
      <c r="JS100" s="508"/>
      <c r="JT100" s="508"/>
      <c r="JU100" s="508"/>
      <c r="JV100" s="508"/>
      <c r="JW100" s="508"/>
      <c r="JX100" s="508"/>
      <c r="JY100" s="508"/>
      <c r="JZ100" s="508"/>
      <c r="KA100" s="508"/>
      <c r="KB100" s="508"/>
      <c r="KC100" s="508"/>
      <c r="KD100" s="508"/>
      <c r="KE100" s="508"/>
      <c r="KF100" s="508"/>
      <c r="KG100" s="508"/>
      <c r="KH100" s="508"/>
      <c r="KI100" s="508"/>
      <c r="KJ100" s="508"/>
      <c r="KK100" s="508"/>
      <c r="KL100" s="508"/>
      <c r="KM100" s="508"/>
      <c r="KN100" s="508"/>
      <c r="KO100" s="508"/>
      <c r="KP100" s="508"/>
      <c r="KQ100" s="508"/>
      <c r="KR100" s="508"/>
      <c r="KS100" s="508"/>
      <c r="KT100" s="508"/>
      <c r="KU100" s="508"/>
      <c r="KV100" s="508"/>
      <c r="KW100" s="509"/>
      <c r="KX100" s="277"/>
      <c r="KY100" s="277"/>
    </row>
    <row r="101" spans="1:398" ht="40" customHeight="1">
      <c r="B101" s="299"/>
      <c r="C101" s="241"/>
      <c r="D101" s="378">
        <v>21</v>
      </c>
      <c r="E101" s="379">
        <v>206</v>
      </c>
      <c r="F101" s="1052" t="s">
        <v>447</v>
      </c>
      <c r="G101" s="381">
        <v>151</v>
      </c>
      <c r="H101" s="381">
        <v>191</v>
      </c>
      <c r="I101" s="381">
        <v>143</v>
      </c>
      <c r="J101" s="381">
        <v>182</v>
      </c>
      <c r="K101" s="245" t="s">
        <v>448</v>
      </c>
      <c r="L101" s="381">
        <v>174</v>
      </c>
      <c r="M101" s="383">
        <v>6</v>
      </c>
      <c r="N101" s="384" t="s">
        <v>170</v>
      </c>
      <c r="O101" s="384" t="s">
        <v>168</v>
      </c>
      <c r="P101" s="383">
        <v>60</v>
      </c>
      <c r="Q101" s="384" t="s">
        <v>169</v>
      </c>
      <c r="R101" s="384" t="s">
        <v>170</v>
      </c>
      <c r="S101" s="384" t="s">
        <v>170</v>
      </c>
      <c r="T101" s="384" t="s">
        <v>449</v>
      </c>
      <c r="U101" s="385" t="s">
        <v>169</v>
      </c>
      <c r="V101" s="378" t="s">
        <v>172</v>
      </c>
      <c r="W101" s="378"/>
      <c r="X101" s="462" t="s">
        <v>292</v>
      </c>
      <c r="Y101" s="462" t="s">
        <v>292</v>
      </c>
      <c r="Z101" s="378"/>
      <c r="AA101" s="386"/>
      <c r="AB101" s="387" t="s">
        <v>170</v>
      </c>
      <c r="AC101" s="388">
        <v>0</v>
      </c>
      <c r="AD101" s="389">
        <f>SUM(AC101:AC103)</f>
        <v>288</v>
      </c>
      <c r="AE101" s="257" t="s">
        <v>175</v>
      </c>
      <c r="AF101" s="564" t="s">
        <v>296</v>
      </c>
      <c r="AG101" s="467">
        <f>FP101</f>
        <v>5579200</v>
      </c>
      <c r="AH101" s="468">
        <f>FQ101</f>
        <v>4100</v>
      </c>
      <c r="AI101" s="468">
        <f>FR101</f>
        <v>0</v>
      </c>
      <c r="AJ101" s="469">
        <v>0.98599999999999999</v>
      </c>
      <c r="AK101" s="468">
        <f>ROUNDUP(19653*1.1,0)</f>
        <v>21619</v>
      </c>
      <c r="AL101" s="552">
        <v>0.83</v>
      </c>
      <c r="AM101" s="468">
        <f>ROUNDUP(12547*1.1,0)</f>
        <v>13802</v>
      </c>
      <c r="AN101" s="626" t="s">
        <v>308</v>
      </c>
      <c r="AO101" s="468">
        <f>2825*1.1</f>
        <v>3107.5000000000005</v>
      </c>
      <c r="AP101" s="467">
        <f t="shared" ref="AP101:AQ101" si="8">FS101</f>
        <v>143</v>
      </c>
      <c r="AQ101" s="467">
        <f t="shared" si="8"/>
        <v>182</v>
      </c>
      <c r="AR101" s="474">
        <f>DM101/(BX101-2)</f>
        <v>101.45454545454545</v>
      </c>
      <c r="AS101" s="475">
        <f>AG101/AR101</f>
        <v>54992.114695340504</v>
      </c>
      <c r="AT101" s="476">
        <f>AG101/AP101</f>
        <v>39015.384615384617</v>
      </c>
      <c r="AU101" s="475">
        <f>AG101/AQ101</f>
        <v>30654.945054945056</v>
      </c>
      <c r="AV101" s="477">
        <v>26000</v>
      </c>
      <c r="AW101" s="477">
        <v>48000</v>
      </c>
      <c r="AX101" s="467">
        <f>GA101</f>
        <v>6712200.0000000009</v>
      </c>
      <c r="AY101" s="467">
        <f>GB101</f>
        <v>3</v>
      </c>
      <c r="AZ101" s="478">
        <f>AG101*BX101</f>
        <v>133900800</v>
      </c>
      <c r="BA101" s="478">
        <f>AX101*(BX101+0.5)</f>
        <v>164448900.00000003</v>
      </c>
      <c r="BB101" s="478">
        <f>AI101*DM101</f>
        <v>0</v>
      </c>
      <c r="BC101" s="478">
        <f>AH101*DM101</f>
        <v>9151200</v>
      </c>
      <c r="BD101" s="479">
        <v>19781510.100000001</v>
      </c>
      <c r="BE101" s="479"/>
      <c r="BF101" s="479">
        <v>16493031.500000002</v>
      </c>
      <c r="BG101" s="479">
        <v>16493031.500000002</v>
      </c>
      <c r="BH101" s="479">
        <v>2762567.5</v>
      </c>
      <c r="BI101" s="480">
        <f>GJ101</f>
        <v>0</v>
      </c>
      <c r="BJ101" s="480">
        <f>GK101</f>
        <v>0</v>
      </c>
      <c r="BK101" s="480">
        <f>BM101*5000*BX101</f>
        <v>360000</v>
      </c>
      <c r="BL101" s="480">
        <f>1800000*BN101*BX101</f>
        <v>43200000</v>
      </c>
      <c r="BM101" s="480">
        <f>GP101</f>
        <v>3</v>
      </c>
      <c r="BN101" s="480">
        <f>GQ101</f>
        <v>1</v>
      </c>
      <c r="BO101" s="1055">
        <f>AX101*3</f>
        <v>20136600.000000004</v>
      </c>
      <c r="BP101" s="481">
        <f>SUM(AZ101,BA101,BI101,BO101)</f>
        <v>318486300</v>
      </c>
      <c r="BQ101" s="481">
        <f>BP101-GR101</f>
        <v>2655854</v>
      </c>
      <c r="BR101" s="594"/>
      <c r="BS101" s="1056" t="s">
        <v>175</v>
      </c>
      <c r="BT101" s="484">
        <f>GU101</f>
        <v>46276</v>
      </c>
      <c r="BU101" s="484">
        <f>GV101</f>
        <v>46300</v>
      </c>
      <c r="BV101" s="666">
        <f>IFERROR(INDEX($BY$9:$DH$9, MATCH("準備", BY101:DK101, 0)), "")</f>
        <v>46276</v>
      </c>
      <c r="BW101" s="667" cm="1">
        <f t="array" ref="BW101">IF(COUNTIF(BY101:DK101,"*撤去*")=0,"",INDEX(BY$9:DK$9,1,MAX(IF(CC101:DK101="撤去",COLUMN(CC101:DK101)-COLUMN(BY101)+1))))</f>
        <v>46300</v>
      </c>
      <c r="BX101" s="663">
        <f>BW101-BV101</f>
        <v>24</v>
      </c>
      <c r="BY101" s="556">
        <v>0</v>
      </c>
      <c r="BZ101" s="557">
        <v>0</v>
      </c>
      <c r="CA101" s="557">
        <v>0</v>
      </c>
      <c r="CB101" s="557">
        <v>0</v>
      </c>
      <c r="CC101" s="405">
        <v>0</v>
      </c>
      <c r="CD101" s="403">
        <v>0</v>
      </c>
      <c r="CE101" s="403">
        <v>0</v>
      </c>
      <c r="CF101" s="403">
        <v>0</v>
      </c>
      <c r="CG101" s="403">
        <v>0</v>
      </c>
      <c r="CH101" s="403">
        <v>0</v>
      </c>
      <c r="CI101" s="403">
        <v>0</v>
      </c>
      <c r="CJ101" s="400" t="s">
        <v>177</v>
      </c>
      <c r="CK101" s="400" t="s">
        <v>177</v>
      </c>
      <c r="CL101" s="403">
        <v>144</v>
      </c>
      <c r="CM101" s="403">
        <v>144</v>
      </c>
      <c r="CN101" s="403">
        <v>144</v>
      </c>
      <c r="CO101" s="403">
        <v>144</v>
      </c>
      <c r="CP101" s="403">
        <v>144</v>
      </c>
      <c r="CQ101" s="403">
        <v>144</v>
      </c>
      <c r="CR101" s="404">
        <v>144</v>
      </c>
      <c r="CS101" s="405">
        <v>144</v>
      </c>
      <c r="CT101" s="403">
        <v>144</v>
      </c>
      <c r="CU101" s="403">
        <v>144</v>
      </c>
      <c r="CV101" s="403">
        <v>144</v>
      </c>
      <c r="CW101" s="403">
        <v>72</v>
      </c>
      <c r="CX101" s="403">
        <v>72</v>
      </c>
      <c r="CY101" s="403">
        <v>72</v>
      </c>
      <c r="CZ101" s="403">
        <v>0</v>
      </c>
      <c r="DA101" s="403">
        <v>0</v>
      </c>
      <c r="DB101" s="403">
        <v>0</v>
      </c>
      <c r="DC101" s="403">
        <v>0</v>
      </c>
      <c r="DD101" s="403">
        <v>144</v>
      </c>
      <c r="DE101" s="403">
        <v>144</v>
      </c>
      <c r="DF101" s="403">
        <v>144</v>
      </c>
      <c r="DG101" s="404">
        <v>0</v>
      </c>
      <c r="DH101" s="603" t="s">
        <v>178</v>
      </c>
      <c r="DI101" s="403">
        <v>0</v>
      </c>
      <c r="DJ101" s="403">
        <v>0</v>
      </c>
      <c r="DK101" s="407">
        <v>0</v>
      </c>
      <c r="DL101" s="277"/>
      <c r="DM101" s="277" cm="1">
        <f t="array" ref="DM101">SUM(IF(ISNUMBER($BY101:$DK101),$BY101:$DK101, 0))</f>
        <v>2232</v>
      </c>
      <c r="DN101" s="559"/>
      <c r="DO101" s="277">
        <f>DM101*(BX101)/(BX101+1)</f>
        <v>2142.7199999999998</v>
      </c>
      <c r="DP101" s="277"/>
      <c r="DQ101" s="386" t="s">
        <v>450</v>
      </c>
      <c r="DR101" s="387" t="s">
        <v>332</v>
      </c>
      <c r="DS101" s="388">
        <v>30</v>
      </c>
      <c r="DT101" s="389">
        <f>SUM(DS101:DS103)</f>
        <v>318</v>
      </c>
      <c r="DU101" s="467">
        <v>5579200</v>
      </c>
      <c r="DV101" s="467">
        <v>6712200.0000000009</v>
      </c>
      <c r="DW101" s="478">
        <v>133900800</v>
      </c>
      <c r="DX101" s="478">
        <v>164448900.00000003</v>
      </c>
      <c r="DY101" s="478">
        <v>0</v>
      </c>
      <c r="DZ101" s="478">
        <v>37201975.199999996</v>
      </c>
      <c r="EA101" s="478">
        <v>15833654.4</v>
      </c>
      <c r="EB101" s="478">
        <v>2673693.0000000005</v>
      </c>
      <c r="EC101" s="480">
        <v>0</v>
      </c>
      <c r="ED101" s="480">
        <v>0</v>
      </c>
      <c r="EE101" s="480">
        <v>360000</v>
      </c>
      <c r="EF101" s="480">
        <v>43200000</v>
      </c>
      <c r="EG101" s="1055">
        <v>20136600.000000004</v>
      </c>
      <c r="EH101" s="481">
        <v>318486300</v>
      </c>
      <c r="EI101" s="484">
        <v>46276</v>
      </c>
      <c r="EJ101" s="484">
        <v>46300</v>
      </c>
      <c r="EK101" s="666">
        <v>46276</v>
      </c>
      <c r="EL101" s="667">
        <v>46300</v>
      </c>
      <c r="EM101" s="663">
        <v>24</v>
      </c>
      <c r="EN101" s="277"/>
      <c r="EO101" s="386" t="s">
        <v>450</v>
      </c>
      <c r="EP101" s="408" t="s">
        <v>332</v>
      </c>
      <c r="EQ101" s="1057">
        <v>30</v>
      </c>
      <c r="ER101" s="410">
        <v>318</v>
      </c>
      <c r="ES101" s="245">
        <v>170</v>
      </c>
      <c r="ET101" s="245">
        <v>170</v>
      </c>
      <c r="EU101" s="245">
        <v>140</v>
      </c>
      <c r="EV101" s="411" t="s">
        <v>451</v>
      </c>
      <c r="EW101" s="412">
        <v>0.9</v>
      </c>
      <c r="EX101" s="413">
        <v>4</v>
      </c>
      <c r="EY101" s="414" t="s">
        <v>188</v>
      </c>
      <c r="EZ101" s="492">
        <v>0.9</v>
      </c>
      <c r="FA101" s="493">
        <v>4</v>
      </c>
      <c r="FB101" s="414" t="s">
        <v>189</v>
      </c>
      <c r="FC101" s="492"/>
      <c r="FD101" s="493"/>
      <c r="FE101" s="494" t="s">
        <v>189</v>
      </c>
      <c r="FF101" s="492"/>
      <c r="FG101" s="493"/>
      <c r="FH101" s="494" t="s">
        <v>189</v>
      </c>
      <c r="FI101" s="492"/>
      <c r="FJ101" s="495"/>
      <c r="FK101" s="289">
        <v>21</v>
      </c>
      <c r="FL101" s="497">
        <v>0.1099476439790576</v>
      </c>
      <c r="FM101" s="498" t="s">
        <v>452</v>
      </c>
      <c r="FN101" s="1031" t="s">
        <v>300</v>
      </c>
      <c r="FO101" s="564" t="s">
        <v>296</v>
      </c>
      <c r="FP101" s="965">
        <v>5579200</v>
      </c>
      <c r="FQ101" s="1058">
        <v>4100</v>
      </c>
      <c r="FR101" s="468">
        <v>0</v>
      </c>
      <c r="FS101" s="965">
        <v>143</v>
      </c>
      <c r="FT101" s="965">
        <v>182</v>
      </c>
      <c r="FU101" s="393">
        <v>126.24</v>
      </c>
      <c r="FV101" s="394">
        <v>44195.183776932827</v>
      </c>
      <c r="FW101" s="390">
        <v>39015.384615384617</v>
      </c>
      <c r="FX101" s="394">
        <v>30654.945054945056</v>
      </c>
      <c r="FY101" s="564">
        <v>24000</v>
      </c>
      <c r="FZ101" s="564">
        <v>62000</v>
      </c>
      <c r="GA101" s="965">
        <v>6712200.0000000009</v>
      </c>
      <c r="GB101" s="965">
        <v>3</v>
      </c>
      <c r="GC101" s="986">
        <v>131244946</v>
      </c>
      <c r="GD101" s="986">
        <v>184585500</v>
      </c>
      <c r="GE101" s="986">
        <v>147982546</v>
      </c>
      <c r="GF101" s="986">
        <v>184585500</v>
      </c>
      <c r="GG101" s="478">
        <v>16737600</v>
      </c>
      <c r="GH101" s="478">
        <v>0</v>
      </c>
      <c r="GI101" s="478">
        <v>0</v>
      </c>
      <c r="GJ101" s="736"/>
      <c r="GK101" s="736"/>
      <c r="GL101" s="736"/>
      <c r="GM101" s="480">
        <v>0</v>
      </c>
      <c r="GN101" s="480">
        <v>210000</v>
      </c>
      <c r="GO101" s="480">
        <v>48600000</v>
      </c>
      <c r="GP101" s="736">
        <v>3</v>
      </c>
      <c r="GQ101" s="736">
        <v>1</v>
      </c>
      <c r="GR101" s="966">
        <v>315830446</v>
      </c>
      <c r="GS101" s="1059">
        <v>-180895971</v>
      </c>
      <c r="GT101" s="1056" t="s">
        <v>175</v>
      </c>
      <c r="GU101" s="1060">
        <v>46276</v>
      </c>
      <c r="GV101" s="1060">
        <v>46300</v>
      </c>
      <c r="GW101" s="666">
        <v>46273</v>
      </c>
      <c r="GX101" s="667">
        <v>46300</v>
      </c>
      <c r="GY101" s="663">
        <v>27</v>
      </c>
      <c r="GZ101" s="556"/>
      <c r="HA101" s="557"/>
      <c r="HB101" s="557"/>
      <c r="HC101" s="557"/>
      <c r="HD101" s="405">
        <v>0</v>
      </c>
      <c r="HE101" s="403">
        <v>0</v>
      </c>
      <c r="HF101" s="403">
        <v>0</v>
      </c>
      <c r="HG101" s="403">
        <v>0</v>
      </c>
      <c r="HH101" s="400" t="s">
        <v>177</v>
      </c>
      <c r="HI101" s="400" t="s">
        <v>177</v>
      </c>
      <c r="HJ101" s="664">
        <v>144</v>
      </c>
      <c r="HK101" s="403">
        <v>144</v>
      </c>
      <c r="HL101" s="403">
        <v>144</v>
      </c>
      <c r="HM101" s="403">
        <v>144</v>
      </c>
      <c r="HN101" s="403">
        <v>144</v>
      </c>
      <c r="HO101" s="403">
        <v>144</v>
      </c>
      <c r="HP101" s="403">
        <v>174</v>
      </c>
      <c r="HQ101" s="403">
        <v>174</v>
      </c>
      <c r="HR101" s="403">
        <v>174</v>
      </c>
      <c r="HS101" s="404">
        <v>174</v>
      </c>
      <c r="HT101" s="405">
        <v>174</v>
      </c>
      <c r="HU101" s="403">
        <v>174</v>
      </c>
      <c r="HV101" s="403">
        <v>102</v>
      </c>
      <c r="HW101" s="403">
        <v>102</v>
      </c>
      <c r="HX101" s="403">
        <v>102</v>
      </c>
      <c r="HY101" s="403">
        <v>102</v>
      </c>
      <c r="HZ101" s="403">
        <v>30</v>
      </c>
      <c r="IA101" s="403">
        <v>30</v>
      </c>
      <c r="IB101" s="403">
        <v>30</v>
      </c>
      <c r="IC101" s="403">
        <v>30</v>
      </c>
      <c r="ID101" s="403">
        <v>144</v>
      </c>
      <c r="IE101" s="403">
        <v>144</v>
      </c>
      <c r="IF101" s="403">
        <v>144</v>
      </c>
      <c r="IG101" s="403">
        <v>144</v>
      </c>
      <c r="IH101" s="404">
        <v>144</v>
      </c>
      <c r="II101" s="603" t="s">
        <v>178</v>
      </c>
      <c r="IJ101" s="403">
        <v>0</v>
      </c>
      <c r="IK101" s="403">
        <v>0</v>
      </c>
      <c r="IL101" s="407">
        <v>0</v>
      </c>
      <c r="IM101" s="277"/>
      <c r="IN101" s="277" cm="1">
        <f t="array" ref="IN101">SUM(IF(ISNUMBER($HD101:$IL101),$HD101:$IL101, 0))</f>
        <v>3156</v>
      </c>
      <c r="IO101" s="426"/>
      <c r="IP101" s="427"/>
      <c r="IQ101" s="541"/>
      <c r="IR101" s="569">
        <f>VLOOKUP($E101,[1]アジアResults1031!$A$1:$CH$259,23,FALSE)</f>
        <v>3855179</v>
      </c>
      <c r="IS101" s="570">
        <f>VLOOKUP($E101,[1]アジアResults1031!$A$1:$CH$259,32,FALSE)</f>
        <v>144</v>
      </c>
      <c r="IT101" s="570">
        <f>KY101/(GY101-2)</f>
        <v>128.80000000000001</v>
      </c>
      <c r="IU101" s="570">
        <f>IR101/IT101</f>
        <v>29931.513975155278</v>
      </c>
      <c r="IV101" s="570">
        <f>VLOOKUP(E101,[1]アジアResults1031!$A$1:$CH$264,26,FALSE)</f>
        <v>17942</v>
      </c>
      <c r="IW101" s="570">
        <f>VLOOKUP(E101,[1]アジアResults1031!$A$1:$CH$264,27,FALSE)</f>
        <v>35648</v>
      </c>
      <c r="IX101" s="571">
        <f>VLOOKUP($E101,[1]アジアResults1031!$A$1:$CH$259,18,FALSE)</f>
        <v>1542200</v>
      </c>
      <c r="IY101" s="571">
        <f>VLOOKUP($E101,[1]アジアResults1031!$A$1:$CH$259,9,FALSE)</f>
        <v>1</v>
      </c>
      <c r="IZ101" s="570">
        <f>IR101*JF101</f>
        <v>96379475</v>
      </c>
      <c r="JA101" s="570">
        <f>IX101*JF101</f>
        <v>38555000</v>
      </c>
      <c r="JB101" s="570"/>
      <c r="JC101" s="570"/>
      <c r="JD101" s="572">
        <f>IFERROR(INDEX($JO$9:$KW$9, MATCH("準備", JO101:KW101, 0)), "")</f>
        <v>46275</v>
      </c>
      <c r="JE101" s="572" cm="1">
        <f t="array" ref="JE101">IF(COUNTIF(JO101:KW101,"*撤去*")=0,"",INDEX(JO$9:KW$9,1,MAX(IF(JO101:KW101="撤去",COLUMN(JO101:KW101)-COLUMN(JO101)+1))))</f>
        <v>46300</v>
      </c>
      <c r="JF101" s="573">
        <f>JE101-JD101</f>
        <v>25</v>
      </c>
      <c r="JG101" s="503">
        <v>5551700</v>
      </c>
      <c r="JH101" s="506">
        <v>4474800</v>
      </c>
      <c r="JO101" s="507"/>
      <c r="JP101" s="508"/>
      <c r="JQ101" s="508"/>
      <c r="JR101" s="508"/>
      <c r="JS101" s="508"/>
      <c r="JT101" s="508"/>
      <c r="JU101" s="400" t="s">
        <v>177</v>
      </c>
      <c r="JV101" s="400" t="s">
        <v>177</v>
      </c>
      <c r="JW101" s="508">
        <v>140</v>
      </c>
      <c r="JX101" s="508">
        <v>140</v>
      </c>
      <c r="JY101" s="508">
        <v>140</v>
      </c>
      <c r="JZ101" s="508">
        <v>140</v>
      </c>
      <c r="KA101" s="508">
        <v>140</v>
      </c>
      <c r="KB101" s="508">
        <v>140</v>
      </c>
      <c r="KC101" s="508">
        <v>140</v>
      </c>
      <c r="KD101" s="508">
        <v>140</v>
      </c>
      <c r="KE101" s="508">
        <v>140</v>
      </c>
      <c r="KF101" s="508">
        <v>140</v>
      </c>
      <c r="KG101" s="508">
        <v>140</v>
      </c>
      <c r="KH101" s="508">
        <v>140</v>
      </c>
      <c r="KI101" s="508">
        <v>140</v>
      </c>
      <c r="KJ101" s="508">
        <v>140</v>
      </c>
      <c r="KK101" s="508">
        <v>140</v>
      </c>
      <c r="KL101" s="508">
        <v>140</v>
      </c>
      <c r="KM101" s="508">
        <v>140</v>
      </c>
      <c r="KN101" s="508">
        <v>140</v>
      </c>
      <c r="KO101" s="508">
        <v>140</v>
      </c>
      <c r="KP101" s="508">
        <v>140</v>
      </c>
      <c r="KQ101" s="508">
        <v>140</v>
      </c>
      <c r="KR101" s="508">
        <v>140</v>
      </c>
      <c r="KS101" s="508">
        <v>140</v>
      </c>
      <c r="KT101" s="406" t="s">
        <v>178</v>
      </c>
      <c r="KU101" s="508"/>
      <c r="KV101" s="508"/>
      <c r="KW101" s="509"/>
      <c r="KX101" s="277"/>
      <c r="KY101" s="277" cm="1">
        <f t="array" ref="KY101">SUM(IF(ISNUMBER($JO101:$KW101),$JO101:$KW101, 0))</f>
        <v>3220</v>
      </c>
    </row>
    <row r="102" spans="1:398" ht="40" customHeight="1">
      <c r="B102" s="299"/>
      <c r="C102" s="241"/>
      <c r="D102" s="242"/>
      <c r="E102" s="243"/>
      <c r="F102" s="1054"/>
      <c r="G102" s="246"/>
      <c r="H102" s="246"/>
      <c r="I102" s="246">
        <v>0</v>
      </c>
      <c r="J102" s="246">
        <v>0</v>
      </c>
      <c r="K102" s="246"/>
      <c r="L102" s="246">
        <v>0</v>
      </c>
      <c r="M102" s="300"/>
      <c r="N102" s="251"/>
      <c r="O102" s="251"/>
      <c r="P102" s="300"/>
      <c r="Q102" s="251"/>
      <c r="R102" s="251"/>
      <c r="S102" s="251"/>
      <c r="T102" s="251"/>
      <c r="U102" s="301" t="s">
        <v>165</v>
      </c>
      <c r="V102" s="242"/>
      <c r="W102" s="242"/>
      <c r="X102" s="242"/>
      <c r="Y102" s="242"/>
      <c r="Z102" s="242"/>
      <c r="AA102" s="302" t="s">
        <v>453</v>
      </c>
      <c r="AB102" s="303" t="s">
        <v>332</v>
      </c>
      <c r="AC102" s="304">
        <v>144</v>
      </c>
      <c r="AD102" s="790"/>
      <c r="AE102" s="336"/>
      <c r="AF102" s="337"/>
      <c r="AG102" s="337"/>
      <c r="AH102" s="337"/>
      <c r="AI102" s="337"/>
      <c r="AJ102" s="337"/>
      <c r="AK102" s="337"/>
      <c r="AL102" s="337"/>
      <c r="AM102" s="337"/>
      <c r="AN102" s="337"/>
      <c r="AO102" s="337"/>
      <c r="AP102" s="337"/>
      <c r="AQ102" s="337"/>
      <c r="AR102" s="337"/>
      <c r="AS102" s="339"/>
      <c r="AT102" s="337"/>
      <c r="AU102" s="339"/>
      <c r="AV102" s="337"/>
      <c r="AW102" s="337"/>
      <c r="AX102" s="337"/>
      <c r="AY102" s="337"/>
      <c r="AZ102" s="611"/>
      <c r="BA102" s="611"/>
      <c r="BB102" s="611"/>
      <c r="BC102" s="611"/>
      <c r="BD102" s="611"/>
      <c r="BE102" s="611"/>
      <c r="BF102" s="611"/>
      <c r="BG102" s="611"/>
      <c r="BH102" s="611"/>
      <c r="BI102" s="611"/>
      <c r="BJ102" s="611"/>
      <c r="BK102" s="611"/>
      <c r="BL102" s="611"/>
      <c r="BM102" s="611"/>
      <c r="BN102" s="611"/>
      <c r="BO102" s="612"/>
      <c r="BP102" s="612"/>
      <c r="BQ102" s="612"/>
      <c r="BR102" s="619"/>
      <c r="BS102" s="613"/>
      <c r="BT102" s="614"/>
      <c r="BU102" s="614"/>
      <c r="BV102" s="615" t="str">
        <f>IFERROR(INDEX($HD$9:$II$9, MATCH("準備", CC102:DK102, 0)), "")</f>
        <v/>
      </c>
      <c r="BW102" s="615" t="str" cm="1">
        <f t="array" ref="BW102">IF(COUNTIF(CC102:DK102,"*撤去*")=0,"",INDEX(CC$9:DK$9,1,MAX(IF(CC102:DK102="撤去",COLUMN(CC102:DK102)-COLUMN(CC102)+1))))</f>
        <v/>
      </c>
      <c r="BX102" s="616"/>
      <c r="BY102" s="596"/>
      <c r="BZ102" s="597"/>
      <c r="CA102" s="597"/>
      <c r="CB102" s="597"/>
      <c r="CC102" s="271"/>
      <c r="CD102" s="272"/>
      <c r="CE102" s="272"/>
      <c r="CF102" s="272"/>
      <c r="CG102" s="272"/>
      <c r="CH102" s="272"/>
      <c r="CI102" s="272"/>
      <c r="CJ102" s="272"/>
      <c r="CK102" s="272"/>
      <c r="CL102" s="272"/>
      <c r="CM102" s="272"/>
      <c r="CN102" s="272"/>
      <c r="CO102" s="272"/>
      <c r="CP102" s="272"/>
      <c r="CQ102" s="274"/>
      <c r="CR102" s="275"/>
      <c r="CS102" s="271"/>
      <c r="CT102" s="272"/>
      <c r="CU102" s="272"/>
      <c r="CV102" s="272"/>
      <c r="CW102" s="272"/>
      <c r="CX102" s="272"/>
      <c r="CY102" s="272"/>
      <c r="CZ102" s="272"/>
      <c r="DA102" s="272"/>
      <c r="DB102" s="272"/>
      <c r="DC102" s="272"/>
      <c r="DD102" s="272"/>
      <c r="DE102" s="272"/>
      <c r="DF102" s="274"/>
      <c r="DG102" s="275"/>
      <c r="DH102" s="271"/>
      <c r="DI102" s="272"/>
      <c r="DJ102" s="272"/>
      <c r="DK102" s="276"/>
      <c r="DL102" s="277"/>
      <c r="DM102" s="277"/>
      <c r="DN102" s="277"/>
      <c r="DO102" s="277"/>
      <c r="DP102" s="277"/>
      <c r="DQ102" s="302" t="s">
        <v>453</v>
      </c>
      <c r="DR102" s="303" t="s">
        <v>332</v>
      </c>
      <c r="DS102" s="304">
        <v>144</v>
      </c>
      <c r="DT102" s="790"/>
      <c r="DU102" s="337"/>
      <c r="DV102" s="337"/>
      <c r="DW102" s="611"/>
      <c r="DX102" s="611"/>
      <c r="DY102" s="611"/>
      <c r="DZ102" s="611"/>
      <c r="EA102" s="611"/>
      <c r="EB102" s="611"/>
      <c r="EC102" s="611"/>
      <c r="ED102" s="611"/>
      <c r="EE102" s="611"/>
      <c r="EF102" s="611"/>
      <c r="EG102" s="612"/>
      <c r="EH102" s="612"/>
      <c r="EI102" s="614"/>
      <c r="EJ102" s="614"/>
      <c r="EK102" s="615" t="s">
        <v>165</v>
      </c>
      <c r="EL102" s="615" t="s">
        <v>165</v>
      </c>
      <c r="EM102" s="616"/>
      <c r="EN102" s="277"/>
      <c r="EO102" s="302" t="s">
        <v>453</v>
      </c>
      <c r="EP102" s="321" t="s">
        <v>332</v>
      </c>
      <c r="EQ102" s="357">
        <v>144</v>
      </c>
      <c r="ER102" s="939"/>
      <c r="ES102" s="939" t="e">
        <v>#N/A</v>
      </c>
      <c r="ET102" s="939"/>
      <c r="EU102" s="939"/>
      <c r="EV102" s="324" t="s">
        <v>454</v>
      </c>
      <c r="EW102" s="370">
        <v>1.1000000000000001</v>
      </c>
      <c r="EX102" s="371">
        <v>4</v>
      </c>
      <c r="EY102" s="372" t="s">
        <v>455</v>
      </c>
      <c r="EZ102" s="373">
        <v>5.3</v>
      </c>
      <c r="FA102" s="374">
        <v>15</v>
      </c>
      <c r="FB102" s="327" t="s">
        <v>456</v>
      </c>
      <c r="FC102" s="328">
        <v>15.6</v>
      </c>
      <c r="FD102" s="329">
        <v>30</v>
      </c>
      <c r="FE102" s="330" t="s">
        <v>189</v>
      </c>
      <c r="FF102" s="328"/>
      <c r="FG102" s="329"/>
      <c r="FH102" s="330" t="s">
        <v>189</v>
      </c>
      <c r="FI102" s="328"/>
      <c r="FJ102" s="331"/>
      <c r="FK102" s="289"/>
      <c r="FL102" s="290"/>
      <c r="FM102" s="349"/>
      <c r="FN102" s="336"/>
      <c r="FO102" s="337"/>
      <c r="FP102" s="337"/>
      <c r="FQ102" s="337"/>
      <c r="FR102" s="337"/>
      <c r="FS102" s="337"/>
      <c r="FT102" s="337"/>
      <c r="FU102" s="337"/>
      <c r="FV102" s="339"/>
      <c r="FW102" s="337"/>
      <c r="FX102" s="339"/>
      <c r="FY102" s="337"/>
      <c r="FZ102" s="337"/>
      <c r="GA102" s="337"/>
      <c r="GB102" s="337"/>
      <c r="GC102" s="611"/>
      <c r="GD102" s="611"/>
      <c r="GE102" s="611"/>
      <c r="GF102" s="611"/>
      <c r="GG102" s="611"/>
      <c r="GH102" s="611"/>
      <c r="GI102" s="611"/>
      <c r="GJ102" s="611"/>
      <c r="GK102" s="611"/>
      <c r="GL102" s="611"/>
      <c r="GM102" s="611"/>
      <c r="GN102" s="611"/>
      <c r="GO102" s="611"/>
      <c r="GP102" s="611"/>
      <c r="GQ102" s="611"/>
      <c r="GR102" s="612"/>
      <c r="GS102" s="612"/>
      <c r="GT102" s="613"/>
      <c r="GU102" s="614"/>
      <c r="GV102" s="614"/>
      <c r="GW102" s="615" t="s">
        <v>165</v>
      </c>
      <c r="GX102" s="615" t="s">
        <v>165</v>
      </c>
      <c r="GY102" s="616"/>
      <c r="GZ102" s="596"/>
      <c r="HA102" s="597"/>
      <c r="HB102" s="597"/>
      <c r="HC102" s="597"/>
      <c r="HD102" s="271"/>
      <c r="HE102" s="272"/>
      <c r="HF102" s="272"/>
      <c r="HG102" s="272"/>
      <c r="HH102" s="272"/>
      <c r="HI102" s="272"/>
      <c r="HJ102" s="272"/>
      <c r="HK102" s="272"/>
      <c r="HL102" s="272"/>
      <c r="HM102" s="272"/>
      <c r="HN102" s="272"/>
      <c r="HO102" s="272"/>
      <c r="HP102" s="272"/>
      <c r="HQ102" s="272"/>
      <c r="HR102" s="274"/>
      <c r="HS102" s="275"/>
      <c r="HT102" s="271"/>
      <c r="HU102" s="272"/>
      <c r="HV102" s="272"/>
      <c r="HW102" s="272"/>
      <c r="HX102" s="272"/>
      <c r="HY102" s="272"/>
      <c r="HZ102" s="272"/>
      <c r="IA102" s="272"/>
      <c r="IB102" s="272"/>
      <c r="IC102" s="272"/>
      <c r="ID102" s="272"/>
      <c r="IE102" s="272"/>
      <c r="IF102" s="272"/>
      <c r="IG102" s="274"/>
      <c r="IH102" s="275"/>
      <c r="II102" s="271"/>
      <c r="IJ102" s="272"/>
      <c r="IK102" s="272"/>
      <c r="IL102" s="276"/>
      <c r="IM102" s="277"/>
      <c r="IN102" s="277"/>
      <c r="IO102" s="333"/>
      <c r="IP102" s="334"/>
      <c r="IQ102" s="541"/>
      <c r="IR102" s="542"/>
      <c r="IS102" s="543"/>
      <c r="IT102" s="543"/>
      <c r="IU102" s="543"/>
      <c r="IV102" s="543"/>
      <c r="IW102" s="543"/>
      <c r="IX102" s="544"/>
      <c r="IY102" s="544"/>
      <c r="IZ102" s="543"/>
      <c r="JA102" s="543"/>
      <c r="JB102" s="543"/>
      <c r="JC102" s="543"/>
      <c r="JD102" s="545"/>
      <c r="JE102" s="545"/>
      <c r="JF102" s="546"/>
      <c r="JG102" s="503"/>
      <c r="JH102" s="506"/>
      <c r="JO102" s="507"/>
      <c r="JP102" s="508"/>
      <c r="JQ102" s="508"/>
      <c r="JR102" s="508"/>
      <c r="JS102" s="508"/>
      <c r="JT102" s="508"/>
      <c r="JU102" s="508"/>
      <c r="JV102" s="508"/>
      <c r="JW102" s="508"/>
      <c r="JX102" s="508"/>
      <c r="JY102" s="508"/>
      <c r="JZ102" s="508"/>
      <c r="KA102" s="508"/>
      <c r="KB102" s="508"/>
      <c r="KC102" s="508"/>
      <c r="KD102" s="508"/>
      <c r="KE102" s="508"/>
      <c r="KF102" s="508"/>
      <c r="KG102" s="508"/>
      <c r="KH102" s="508"/>
      <c r="KI102" s="508"/>
      <c r="KJ102" s="508"/>
      <c r="KK102" s="508"/>
      <c r="KL102" s="508"/>
      <c r="KM102" s="508"/>
      <c r="KN102" s="508"/>
      <c r="KO102" s="508"/>
      <c r="KP102" s="508"/>
      <c r="KQ102" s="508"/>
      <c r="KR102" s="508"/>
      <c r="KS102" s="508"/>
      <c r="KT102" s="508"/>
      <c r="KU102" s="508"/>
      <c r="KV102" s="508"/>
      <c r="KW102" s="509"/>
      <c r="KX102" s="277"/>
      <c r="KY102" s="277"/>
    </row>
    <row r="103" spans="1:398" s="1039" customFormat="1" ht="40" customHeight="1">
      <c r="A103" s="1"/>
      <c r="B103" s="299"/>
      <c r="C103" s="671"/>
      <c r="D103" s="445"/>
      <c r="E103" s="510" t="s">
        <v>165</v>
      </c>
      <c r="F103" s="1061"/>
      <c r="G103" s="512">
        <v>0</v>
      </c>
      <c r="H103" s="512">
        <v>0</v>
      </c>
      <c r="I103" s="512">
        <v>0</v>
      </c>
      <c r="J103" s="1038">
        <v>0</v>
      </c>
      <c r="K103" s="1038"/>
      <c r="L103" s="512">
        <v>0</v>
      </c>
      <c r="M103" s="513">
        <v>0</v>
      </c>
      <c r="N103" s="514">
        <v>0</v>
      </c>
      <c r="O103" s="514">
        <v>0</v>
      </c>
      <c r="P103" s="513">
        <v>0</v>
      </c>
      <c r="Q103" s="514">
        <v>0</v>
      </c>
      <c r="R103" s="514">
        <v>0</v>
      </c>
      <c r="S103" s="514">
        <v>0</v>
      </c>
      <c r="T103" s="514">
        <v>0</v>
      </c>
      <c r="U103" s="515" t="s">
        <v>165</v>
      </c>
      <c r="V103" s="445"/>
      <c r="W103" s="445"/>
      <c r="X103" s="445"/>
      <c r="Y103" s="445"/>
      <c r="Z103" s="445"/>
      <c r="AA103" s="763" t="s">
        <v>457</v>
      </c>
      <c r="AB103" s="447" t="s">
        <v>332</v>
      </c>
      <c r="AC103" s="448">
        <v>144</v>
      </c>
      <c r="AD103" s="516"/>
      <c r="AE103" s="655"/>
      <c r="AF103" s="656"/>
      <c r="AG103" s="656"/>
      <c r="AH103" s="656"/>
      <c r="AI103" s="656"/>
      <c r="AJ103" s="656"/>
      <c r="AK103" s="656"/>
      <c r="AL103" s="656"/>
      <c r="AM103" s="656"/>
      <c r="AN103" s="656"/>
      <c r="AO103" s="656"/>
      <c r="AP103" s="656"/>
      <c r="AQ103" s="656"/>
      <c r="AR103" s="656"/>
      <c r="AS103" s="767"/>
      <c r="AT103" s="656"/>
      <c r="AU103" s="767"/>
      <c r="AV103" s="656"/>
      <c r="AW103" s="656"/>
      <c r="AX103" s="656"/>
      <c r="AY103" s="656"/>
      <c r="AZ103" s="768"/>
      <c r="BA103" s="768"/>
      <c r="BB103" s="768"/>
      <c r="BC103" s="768"/>
      <c r="BD103" s="768"/>
      <c r="BE103" s="768"/>
      <c r="BF103" s="768"/>
      <c r="BG103" s="768"/>
      <c r="BH103" s="768"/>
      <c r="BI103" s="768"/>
      <c r="BJ103" s="768"/>
      <c r="BK103" s="768"/>
      <c r="BL103" s="768"/>
      <c r="BM103" s="768"/>
      <c r="BN103" s="768"/>
      <c r="BO103" s="769"/>
      <c r="BP103" s="769"/>
      <c r="BQ103" s="769"/>
      <c r="BR103" s="770"/>
      <c r="BS103" s="771"/>
      <c r="BT103" s="772"/>
      <c r="BU103" s="772"/>
      <c r="BV103" s="773" t="str">
        <f>IFERROR(INDEX($HD$9:$II$9, MATCH("準備", CC103:DK103, 0)), "")</f>
        <v/>
      </c>
      <c r="BW103" s="773" t="str" cm="1">
        <f t="array" ref="BW103">IF(COUNTIF(CC103:DK103,"*撤去*")=0,"",INDEX(CC$9:DK$9,1,MAX(IF(CC103:DK103="撤去",COLUMN(CC103:DK103)-COLUMN(CC103)+1))))</f>
        <v/>
      </c>
      <c r="BX103" s="774"/>
      <c r="BY103" s="360" t="s">
        <v>246</v>
      </c>
      <c r="BZ103" s="361" t="s">
        <v>247</v>
      </c>
      <c r="CA103" s="777"/>
      <c r="CB103" s="777"/>
      <c r="CC103" s="874"/>
      <c r="CD103" s="875"/>
      <c r="CE103" s="875"/>
      <c r="CF103" s="875"/>
      <c r="CG103" s="875"/>
      <c r="CH103" s="875"/>
      <c r="CI103" s="875"/>
      <c r="CJ103" s="363"/>
      <c r="CK103" s="363"/>
      <c r="CL103" s="363"/>
      <c r="CM103" s="363"/>
      <c r="CN103" s="363"/>
      <c r="CO103" s="363"/>
      <c r="CP103" s="363"/>
      <c r="CQ103" s="364"/>
      <c r="CR103" s="365"/>
      <c r="CS103" s="366"/>
      <c r="CT103" s="363"/>
      <c r="CU103" s="363"/>
      <c r="CV103" s="363"/>
      <c r="CW103" s="363"/>
      <c r="CX103" s="363"/>
      <c r="CY103" s="363"/>
      <c r="CZ103" s="363"/>
      <c r="DA103" s="363"/>
      <c r="DB103" s="363"/>
      <c r="DC103" s="363"/>
      <c r="DD103" s="363"/>
      <c r="DE103" s="363"/>
      <c r="DF103" s="364"/>
      <c r="DG103" s="365"/>
      <c r="DH103" s="366"/>
      <c r="DI103" s="875"/>
      <c r="DJ103" s="875"/>
      <c r="DK103" s="886"/>
      <c r="DL103" s="277"/>
      <c r="DM103" s="277"/>
      <c r="DN103" s="277"/>
      <c r="DO103" s="277"/>
      <c r="DP103" s="277"/>
      <c r="DQ103" s="763" t="s">
        <v>457</v>
      </c>
      <c r="DR103" s="447" t="s">
        <v>332</v>
      </c>
      <c r="DS103" s="448">
        <v>144</v>
      </c>
      <c r="DT103" s="516"/>
      <c r="DU103" s="656"/>
      <c r="DV103" s="656"/>
      <c r="DW103" s="768"/>
      <c r="DX103" s="768"/>
      <c r="DY103" s="768"/>
      <c r="DZ103" s="768"/>
      <c r="EA103" s="768"/>
      <c r="EB103" s="768"/>
      <c r="EC103" s="768"/>
      <c r="ED103" s="768"/>
      <c r="EE103" s="768"/>
      <c r="EF103" s="768"/>
      <c r="EG103" s="769"/>
      <c r="EH103" s="769"/>
      <c r="EI103" s="772"/>
      <c r="EJ103" s="772"/>
      <c r="EK103" s="773" t="s">
        <v>165</v>
      </c>
      <c r="EL103" s="773" t="s">
        <v>165</v>
      </c>
      <c r="EM103" s="774"/>
      <c r="EN103" s="277"/>
      <c r="EO103" s="763" t="s">
        <v>457</v>
      </c>
      <c r="EP103" s="450" t="s">
        <v>332</v>
      </c>
      <c r="EQ103" s="579">
        <v>144</v>
      </c>
      <c r="ER103" s="533"/>
      <c r="ES103" s="533" t="e">
        <v>#N/A</v>
      </c>
      <c r="ET103" s="533"/>
      <c r="EU103" s="533"/>
      <c r="EV103" s="452" t="s">
        <v>454</v>
      </c>
      <c r="EW103" s="453">
        <v>1.1000000000000001</v>
      </c>
      <c r="EX103" s="454">
        <v>4</v>
      </c>
      <c r="EY103" s="455" t="s">
        <v>455</v>
      </c>
      <c r="EZ103" s="456">
        <v>5.3</v>
      </c>
      <c r="FA103" s="457">
        <v>15</v>
      </c>
      <c r="FB103" s="455" t="s">
        <v>456</v>
      </c>
      <c r="FC103" s="456">
        <v>15.6</v>
      </c>
      <c r="FD103" s="457">
        <v>30</v>
      </c>
      <c r="FE103" s="458" t="s">
        <v>189</v>
      </c>
      <c r="FF103" s="456"/>
      <c r="FG103" s="457"/>
      <c r="FH103" s="458" t="s">
        <v>189</v>
      </c>
      <c r="FI103" s="456"/>
      <c r="FJ103" s="534"/>
      <c r="FK103" s="375"/>
      <c r="FL103" s="376"/>
      <c r="FM103" s="535"/>
      <c r="FN103" s="655"/>
      <c r="FO103" s="656"/>
      <c r="FP103" s="656"/>
      <c r="FQ103" s="656"/>
      <c r="FR103" s="656"/>
      <c r="FS103" s="656"/>
      <c r="FT103" s="656"/>
      <c r="FU103" s="656"/>
      <c r="FV103" s="767"/>
      <c r="FW103" s="656"/>
      <c r="FX103" s="767"/>
      <c r="FY103" s="656"/>
      <c r="FZ103" s="656"/>
      <c r="GA103" s="656"/>
      <c r="GB103" s="656"/>
      <c r="GC103" s="768"/>
      <c r="GD103" s="768"/>
      <c r="GE103" s="768"/>
      <c r="GF103" s="768"/>
      <c r="GG103" s="768"/>
      <c r="GH103" s="768"/>
      <c r="GI103" s="768"/>
      <c r="GJ103" s="768"/>
      <c r="GK103" s="768"/>
      <c r="GL103" s="768"/>
      <c r="GM103" s="768"/>
      <c r="GN103" s="768"/>
      <c r="GO103" s="768"/>
      <c r="GP103" s="768"/>
      <c r="GQ103" s="768"/>
      <c r="GR103" s="769"/>
      <c r="GS103" s="769"/>
      <c r="GT103" s="771"/>
      <c r="GU103" s="772"/>
      <c r="GV103" s="772"/>
      <c r="GW103" s="773" t="s">
        <v>165</v>
      </c>
      <c r="GX103" s="773" t="s">
        <v>165</v>
      </c>
      <c r="GY103" s="774"/>
      <c r="GZ103" s="943"/>
      <c r="HA103" s="777"/>
      <c r="HB103" s="777"/>
      <c r="HC103" s="777"/>
      <c r="HD103" s="874"/>
      <c r="HE103" s="875"/>
      <c r="HF103" s="875"/>
      <c r="HG103" s="875"/>
      <c r="HH103" s="875"/>
      <c r="HI103" s="875"/>
      <c r="HJ103" s="875"/>
      <c r="HK103" s="875"/>
      <c r="HL103" s="875"/>
      <c r="HM103" s="875"/>
      <c r="HN103" s="875"/>
      <c r="HO103" s="875"/>
      <c r="HP103" s="875"/>
      <c r="HQ103" s="875"/>
      <c r="HR103" s="779"/>
      <c r="HS103" s="884"/>
      <c r="HT103" s="874"/>
      <c r="HU103" s="875"/>
      <c r="HV103" s="875"/>
      <c r="HW103" s="875"/>
      <c r="HX103" s="875"/>
      <c r="HY103" s="875"/>
      <c r="HZ103" s="875"/>
      <c r="IA103" s="875"/>
      <c r="IB103" s="875"/>
      <c r="IC103" s="875"/>
      <c r="ID103" s="875"/>
      <c r="IE103" s="875"/>
      <c r="IF103" s="875"/>
      <c r="IG103" s="779"/>
      <c r="IH103" s="884"/>
      <c r="II103" s="874"/>
      <c r="IJ103" s="875"/>
      <c r="IK103" s="875"/>
      <c r="IL103" s="886"/>
      <c r="IM103" s="277"/>
      <c r="IN103" s="277"/>
      <c r="IO103" s="944"/>
      <c r="IP103" s="945"/>
      <c r="IQ103" s="541"/>
      <c r="IR103" s="542"/>
      <c r="IS103" s="543"/>
      <c r="IT103" s="543"/>
      <c r="IU103" s="543"/>
      <c r="IV103" s="543"/>
      <c r="IW103" s="543"/>
      <c r="IX103" s="544"/>
      <c r="IY103" s="544"/>
      <c r="IZ103" s="543"/>
      <c r="JA103" s="543"/>
      <c r="JB103" s="543"/>
      <c r="JC103" s="543"/>
      <c r="JD103" s="545"/>
      <c r="JE103" s="545"/>
      <c r="JF103" s="546"/>
      <c r="JG103" s="503"/>
      <c r="JH103" s="506"/>
      <c r="JI103" s="1"/>
      <c r="JJ103" s="1"/>
      <c r="JK103" s="1"/>
      <c r="JL103" s="1"/>
      <c r="JM103" s="1"/>
      <c r="JN103" s="1"/>
      <c r="JO103" s="507"/>
      <c r="JP103" s="508"/>
      <c r="JQ103" s="508"/>
      <c r="JR103" s="508"/>
      <c r="JS103" s="589"/>
      <c r="JT103" s="589"/>
      <c r="JU103" s="589"/>
      <c r="JV103" s="589"/>
      <c r="JW103" s="589"/>
      <c r="JX103" s="589"/>
      <c r="JY103" s="589"/>
      <c r="JZ103" s="589"/>
      <c r="KA103" s="589"/>
      <c r="KB103" s="589"/>
      <c r="KC103" s="589"/>
      <c r="KD103" s="589"/>
      <c r="KE103" s="589"/>
      <c r="KF103" s="589"/>
      <c r="KG103" s="589"/>
      <c r="KH103" s="589"/>
      <c r="KI103" s="589"/>
      <c r="KJ103" s="589"/>
      <c r="KK103" s="589"/>
      <c r="KL103" s="589"/>
      <c r="KM103" s="589"/>
      <c r="KN103" s="589"/>
      <c r="KO103" s="589"/>
      <c r="KP103" s="589"/>
      <c r="KQ103" s="589"/>
      <c r="KR103" s="589"/>
      <c r="KS103" s="589"/>
      <c r="KT103" s="589"/>
      <c r="KU103" s="589"/>
      <c r="KV103" s="589"/>
      <c r="KW103" s="590"/>
      <c r="KX103" s="277"/>
      <c r="KY103" s="277"/>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c r="MP103" s="1"/>
      <c r="MQ103" s="1"/>
      <c r="MR103" s="1"/>
      <c r="MS103" s="1"/>
      <c r="MT103" s="1"/>
      <c r="MU103" s="1"/>
      <c r="MV103" s="1"/>
      <c r="MW103" s="1"/>
      <c r="MX103" s="1"/>
      <c r="MY103" s="1"/>
      <c r="MZ103" s="1"/>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row>
    <row r="104" spans="1:398" s="1044" customFormat="1" ht="40" customHeight="1">
      <c r="A104" s="1"/>
      <c r="B104" s="299"/>
      <c r="C104" s="241"/>
      <c r="D104" s="378">
        <v>22</v>
      </c>
      <c r="E104" s="379">
        <v>210</v>
      </c>
      <c r="F104" s="1062" t="s">
        <v>458</v>
      </c>
      <c r="G104" s="381">
        <v>99</v>
      </c>
      <c r="H104" s="381">
        <v>128</v>
      </c>
      <c r="I104" s="381">
        <v>91</v>
      </c>
      <c r="J104" s="381">
        <v>125</v>
      </c>
      <c r="K104" s="245" t="s">
        <v>459</v>
      </c>
      <c r="L104" s="381">
        <v>114</v>
      </c>
      <c r="M104" s="383">
        <v>6</v>
      </c>
      <c r="N104" s="384" t="s">
        <v>170</v>
      </c>
      <c r="O104" s="384" t="s">
        <v>168</v>
      </c>
      <c r="P104" s="383">
        <v>76</v>
      </c>
      <c r="Q104" s="1041" t="s">
        <v>170</v>
      </c>
      <c r="R104" s="384" t="s">
        <v>170</v>
      </c>
      <c r="S104" s="384" t="s">
        <v>170</v>
      </c>
      <c r="T104" s="384" t="s">
        <v>416</v>
      </c>
      <c r="U104" s="385" t="s">
        <v>169</v>
      </c>
      <c r="V104" s="378" t="s">
        <v>172</v>
      </c>
      <c r="W104" s="378"/>
      <c r="X104" s="462" t="s">
        <v>292</v>
      </c>
      <c r="Y104" s="462" t="s">
        <v>292</v>
      </c>
      <c r="Z104" s="378"/>
      <c r="AA104" s="386" t="s">
        <v>460</v>
      </c>
      <c r="AB104" s="387" t="s">
        <v>195</v>
      </c>
      <c r="AC104" s="388">
        <v>130</v>
      </c>
      <c r="AD104" s="955">
        <f>SUM(AC104,AC105)</f>
        <v>130</v>
      </c>
      <c r="AE104" s="465" t="s">
        <v>295</v>
      </c>
      <c r="AF104" s="550" t="s">
        <v>296</v>
      </c>
      <c r="AG104" s="467">
        <f>'[1]0210_名鉄トヨタ　別紙1-1'!M25</f>
        <v>3848900.0000000005</v>
      </c>
      <c r="AH104" s="468">
        <f>FQ104</f>
        <v>2200</v>
      </c>
      <c r="AI104" s="468">
        <f>FR104</f>
        <v>1900</v>
      </c>
      <c r="AJ104" s="469">
        <v>0.98599999999999999</v>
      </c>
      <c r="AK104" s="551">
        <f>$AK$4</f>
        <v>26106</v>
      </c>
      <c r="AL104" s="552">
        <v>0.83</v>
      </c>
      <c r="AM104" s="551">
        <f>$AM$4</f>
        <v>24690</v>
      </c>
      <c r="AN104" s="468" t="s">
        <v>308</v>
      </c>
      <c r="AO104" s="551">
        <f>$AO$4</f>
        <v>2373</v>
      </c>
      <c r="AP104" s="467">
        <f>'[1]0210_名鉄トヨタ　別紙1-1'!K23</f>
        <v>97</v>
      </c>
      <c r="AQ104" s="467">
        <f>'[1]0210_名鉄トヨタ　別紙1-1'!AF23</f>
        <v>126</v>
      </c>
      <c r="AR104" s="474">
        <f>DM104/(BX104-2)</f>
        <v>115.55555555555556</v>
      </c>
      <c r="AS104" s="475">
        <f>AG104/AR104</f>
        <v>33307.788461538468</v>
      </c>
      <c r="AT104" s="476">
        <f>AG104/AP104</f>
        <v>39679.381443298975</v>
      </c>
      <c r="AU104" s="475">
        <f>AG104/AQ104</f>
        <v>30546.825396825399</v>
      </c>
      <c r="AV104" s="477">
        <v>26000</v>
      </c>
      <c r="AW104" s="477">
        <v>48000</v>
      </c>
      <c r="AX104" s="467">
        <f>'[1]0210_名鉄トヨタ　別紙1-2'!N21</f>
        <v>6944850.0000000009</v>
      </c>
      <c r="AY104" s="467">
        <f>'[1]0210_名鉄トヨタ　別紙1-2'!I18</f>
        <v>3</v>
      </c>
      <c r="AZ104" s="478">
        <f>'[1]0210_名鉄トヨタ　別紙1-1'!C27</f>
        <v>60750800</v>
      </c>
      <c r="BA104" s="478">
        <f>'[1]0210_名鉄トヨタ　別紙1-2'!O19</f>
        <v>114590025.00000001</v>
      </c>
      <c r="BB104" s="478">
        <f>AI104*DM104</f>
        <v>1976000</v>
      </c>
      <c r="BC104" s="478">
        <f>AH104*DM104</f>
        <v>2288000</v>
      </c>
      <c r="BD104" s="478">
        <f>AK104*DM104*0.6</f>
        <v>16290144</v>
      </c>
      <c r="BE104" s="478">
        <f>BD104-21000*DM104*0.6</f>
        <v>3186144</v>
      </c>
      <c r="BF104" s="478">
        <f>AM104*DM104*0.4</f>
        <v>10271040</v>
      </c>
      <c r="BG104" s="478">
        <f>BF104-0</f>
        <v>10271040</v>
      </c>
      <c r="BH104" s="478">
        <f>AO104*DM104*0.3</f>
        <v>740376</v>
      </c>
      <c r="BI104" s="480">
        <f>GJ104</f>
        <v>0</v>
      </c>
      <c r="BJ104" s="480">
        <f>GK104</f>
        <v>0</v>
      </c>
      <c r="BK104" s="480">
        <f>BM104*5000*BX104</f>
        <v>165000</v>
      </c>
      <c r="BL104" s="480">
        <f>1800000*BN104*BX104</f>
        <v>79200000</v>
      </c>
      <c r="BM104" s="480">
        <f>GP104</f>
        <v>3</v>
      </c>
      <c r="BN104" s="480">
        <f>GQ104</f>
        <v>4</v>
      </c>
      <c r="BO104" s="481"/>
      <c r="BP104" s="481">
        <f>SUM(AZ104,BA104,BI104,BO104)</f>
        <v>175340825</v>
      </c>
      <c r="BQ104" s="481">
        <f>BP104-GR104</f>
        <v>697400</v>
      </c>
      <c r="BR104" s="554"/>
      <c r="BS104" s="555" t="s">
        <v>175</v>
      </c>
      <c r="BT104" s="484">
        <f>GU104</f>
        <v>46279</v>
      </c>
      <c r="BU104" s="484">
        <f>GV104</f>
        <v>46295</v>
      </c>
      <c r="BV104" s="666">
        <f>IFERROR(INDEX($BY$9:$DH$9, MATCH("準備", BY104:DK104, 0)), "")</f>
        <v>46283</v>
      </c>
      <c r="BW104" s="667" cm="1">
        <f t="array" ref="BW104">IF(COUNTIF(BY104:DK104,"*撤去*")=0,"",INDEX(BY$9:DK$9,1,MAX(IF(CC104:DK104="撤去",COLUMN(CC104:DK104)-COLUMN(BY104)+1))))</f>
        <v>46294</v>
      </c>
      <c r="BX104" s="663">
        <f>BW104-BV104</f>
        <v>11</v>
      </c>
      <c r="BY104" s="556">
        <v>0</v>
      </c>
      <c r="BZ104" s="557">
        <v>0</v>
      </c>
      <c r="CA104" s="557">
        <v>0</v>
      </c>
      <c r="CB104" s="557">
        <v>0</v>
      </c>
      <c r="CC104" s="405">
        <v>0</v>
      </c>
      <c r="CD104" s="403">
        <v>0</v>
      </c>
      <c r="CE104" s="403">
        <v>0</v>
      </c>
      <c r="CF104" s="403">
        <v>0</v>
      </c>
      <c r="CG104" s="403">
        <v>0</v>
      </c>
      <c r="CH104" s="403">
        <v>0</v>
      </c>
      <c r="CI104" s="403">
        <v>0</v>
      </c>
      <c r="CJ104" s="403">
        <v>0</v>
      </c>
      <c r="CK104" s="403">
        <v>0</v>
      </c>
      <c r="CL104" s="403">
        <v>0</v>
      </c>
      <c r="CM104" s="403">
        <v>0</v>
      </c>
      <c r="CN104" s="403">
        <v>0</v>
      </c>
      <c r="CO104" s="403">
        <v>0</v>
      </c>
      <c r="CP104" s="403">
        <v>0</v>
      </c>
      <c r="CQ104" s="400" t="s">
        <v>177</v>
      </c>
      <c r="CR104" s="400" t="s">
        <v>177</v>
      </c>
      <c r="CS104" s="405">
        <v>130</v>
      </c>
      <c r="CT104" s="403">
        <v>130</v>
      </c>
      <c r="CU104" s="403">
        <v>130</v>
      </c>
      <c r="CV104" s="403">
        <v>130</v>
      </c>
      <c r="CW104" s="403">
        <v>130</v>
      </c>
      <c r="CX104" s="403">
        <v>130</v>
      </c>
      <c r="CY104" s="403">
        <v>130</v>
      </c>
      <c r="CZ104" s="403">
        <v>130</v>
      </c>
      <c r="DA104" s="403">
        <v>0</v>
      </c>
      <c r="DB104" s="406" t="s">
        <v>178</v>
      </c>
      <c r="DC104" s="403">
        <v>0</v>
      </c>
      <c r="DD104" s="403">
        <v>0</v>
      </c>
      <c r="DE104" s="403">
        <v>0</v>
      </c>
      <c r="DF104" s="403">
        <v>0</v>
      </c>
      <c r="DG104" s="404">
        <v>0</v>
      </c>
      <c r="DH104" s="405">
        <v>0</v>
      </c>
      <c r="DI104" s="403">
        <v>0</v>
      </c>
      <c r="DJ104" s="403">
        <v>0</v>
      </c>
      <c r="DK104" s="407">
        <v>0</v>
      </c>
      <c r="DL104" s="1016"/>
      <c r="DM104" s="277" cm="1">
        <f t="array" ref="DM104">SUM(IF(ISNUMBER($BY104:$DK104),$BY104:$DK104, 0))</f>
        <v>1040</v>
      </c>
      <c r="DN104" s="277">
        <v>1482</v>
      </c>
      <c r="DO104" s="277">
        <f>DM104*(BX104)/(BX104+1)</f>
        <v>953.33333333333337</v>
      </c>
      <c r="DP104" s="277"/>
      <c r="DQ104" s="386" t="s">
        <v>461</v>
      </c>
      <c r="DR104" s="387" t="s">
        <v>332</v>
      </c>
      <c r="DS104" s="388">
        <v>114</v>
      </c>
      <c r="DT104" s="955">
        <f>SUM(DS104,DS105)</f>
        <v>114</v>
      </c>
      <c r="DU104" s="467">
        <v>3848900.0000000005</v>
      </c>
      <c r="DV104" s="467">
        <v>6944850.0000000009</v>
      </c>
      <c r="DW104" s="478">
        <v>60750800</v>
      </c>
      <c r="DX104" s="478">
        <v>114590025.00000001</v>
      </c>
      <c r="DY104" s="478">
        <v>3032400</v>
      </c>
      <c r="DZ104" s="478">
        <v>24999105.599999998</v>
      </c>
      <c r="EA104" s="478">
        <v>15762096</v>
      </c>
      <c r="EB104" s="478">
        <v>1136192.3999999999</v>
      </c>
      <c r="EC104" s="480">
        <v>0</v>
      </c>
      <c r="ED104" s="480">
        <v>0</v>
      </c>
      <c r="EE104" s="480">
        <v>240000</v>
      </c>
      <c r="EF104" s="480">
        <v>115200000</v>
      </c>
      <c r="EG104" s="481"/>
      <c r="EH104" s="481">
        <v>175340825</v>
      </c>
      <c r="EI104" s="484">
        <v>46279</v>
      </c>
      <c r="EJ104" s="484">
        <v>46295</v>
      </c>
      <c r="EK104" s="666">
        <v>46279</v>
      </c>
      <c r="EL104" s="667">
        <v>46295</v>
      </c>
      <c r="EM104" s="663">
        <v>16</v>
      </c>
      <c r="EN104" s="277"/>
      <c r="EO104" s="386" t="s">
        <v>461</v>
      </c>
      <c r="EP104" s="408" t="s">
        <v>332</v>
      </c>
      <c r="EQ104" s="409">
        <v>114</v>
      </c>
      <c r="ER104" s="957">
        <v>114</v>
      </c>
      <c r="ES104" s="245">
        <v>110</v>
      </c>
      <c r="ET104" s="245">
        <v>110</v>
      </c>
      <c r="EU104" s="245">
        <v>116</v>
      </c>
      <c r="EV104" s="411" t="s">
        <v>451</v>
      </c>
      <c r="EW104" s="412">
        <v>1.4</v>
      </c>
      <c r="EX104" s="413">
        <v>5</v>
      </c>
      <c r="EY104" s="414" t="s">
        <v>188</v>
      </c>
      <c r="EZ104" s="492"/>
      <c r="FA104" s="493"/>
      <c r="FB104" s="414" t="s">
        <v>189</v>
      </c>
      <c r="FC104" s="492"/>
      <c r="FD104" s="493"/>
      <c r="FE104" s="494" t="s">
        <v>189</v>
      </c>
      <c r="FF104" s="492"/>
      <c r="FG104" s="493"/>
      <c r="FH104" s="494" t="s">
        <v>189</v>
      </c>
      <c r="FI104" s="492"/>
      <c r="FJ104" s="495"/>
      <c r="FK104" s="289">
        <v>22</v>
      </c>
      <c r="FL104" s="1042">
        <v>0.171875</v>
      </c>
      <c r="FM104" s="498" t="s">
        <v>462</v>
      </c>
      <c r="FN104" s="561" t="s">
        <v>300</v>
      </c>
      <c r="FO104" s="550" t="s">
        <v>296</v>
      </c>
      <c r="FP104" s="562">
        <v>3804900.0000000005</v>
      </c>
      <c r="FQ104" s="563">
        <v>2200</v>
      </c>
      <c r="FR104" s="468">
        <v>1900</v>
      </c>
      <c r="FS104" s="562">
        <v>91</v>
      </c>
      <c r="FT104" s="965">
        <v>125</v>
      </c>
      <c r="FU104" s="261">
        <v>114</v>
      </c>
      <c r="FV104" s="394">
        <v>33376.315789473687</v>
      </c>
      <c r="FW104" s="390">
        <v>41812.087912087918</v>
      </c>
      <c r="FX104" s="394">
        <v>30439.200000000004</v>
      </c>
      <c r="FY104" s="564">
        <v>25000</v>
      </c>
      <c r="FZ104" s="564">
        <v>60000</v>
      </c>
      <c r="GA104" s="562">
        <v>6944850.0000000009</v>
      </c>
      <c r="GB104" s="562">
        <v>3</v>
      </c>
      <c r="GC104" s="565">
        <v>60053400</v>
      </c>
      <c r="GD104" s="565">
        <v>114590025.00000001</v>
      </c>
      <c r="GE104" s="565">
        <v>60053400</v>
      </c>
      <c r="GF104" s="565">
        <v>114590025.00000001</v>
      </c>
      <c r="GG104" s="478">
        <v>0</v>
      </c>
      <c r="GH104" s="478">
        <v>0</v>
      </c>
      <c r="GI104" s="478">
        <v>1819440</v>
      </c>
      <c r="GJ104" s="566"/>
      <c r="GK104" s="566"/>
      <c r="GL104" s="566"/>
      <c r="GM104" s="480">
        <v>0</v>
      </c>
      <c r="GN104" s="480">
        <v>210000</v>
      </c>
      <c r="GO104" s="480">
        <v>115200000</v>
      </c>
      <c r="GP104" s="566">
        <v>3</v>
      </c>
      <c r="GQ104" s="566">
        <v>4</v>
      </c>
      <c r="GR104" s="966">
        <v>174643425</v>
      </c>
      <c r="GS104" s="567">
        <v>7153837.9999999851</v>
      </c>
      <c r="GT104" s="555" t="s">
        <v>175</v>
      </c>
      <c r="GU104" s="568">
        <v>46279</v>
      </c>
      <c r="GV104" s="568">
        <v>46295</v>
      </c>
      <c r="GW104" s="666">
        <v>46279</v>
      </c>
      <c r="GX104" s="667">
        <v>46295</v>
      </c>
      <c r="GY104" s="663">
        <v>16</v>
      </c>
      <c r="GZ104" s="556"/>
      <c r="HA104" s="557"/>
      <c r="HB104" s="557"/>
      <c r="HC104" s="557"/>
      <c r="HD104" s="405">
        <v>0</v>
      </c>
      <c r="HE104" s="403">
        <v>0</v>
      </c>
      <c r="HF104" s="403">
        <v>0</v>
      </c>
      <c r="HG104" s="403">
        <v>0</v>
      </c>
      <c r="HH104" s="403">
        <v>0</v>
      </c>
      <c r="HI104" s="403">
        <v>0</v>
      </c>
      <c r="HJ104" s="403">
        <v>0</v>
      </c>
      <c r="HK104" s="403">
        <v>0</v>
      </c>
      <c r="HL104" s="403">
        <v>0</v>
      </c>
      <c r="HM104" s="403">
        <v>0</v>
      </c>
      <c r="HN104" s="400" t="s">
        <v>177</v>
      </c>
      <c r="HO104" s="400" t="s">
        <v>177</v>
      </c>
      <c r="HP104" s="403">
        <v>114</v>
      </c>
      <c r="HQ104" s="664">
        <v>114</v>
      </c>
      <c r="HR104" s="1063">
        <v>114</v>
      </c>
      <c r="HS104" s="404">
        <v>114</v>
      </c>
      <c r="HT104" s="405">
        <v>114</v>
      </c>
      <c r="HU104" s="403">
        <v>114</v>
      </c>
      <c r="HV104" s="403">
        <v>114</v>
      </c>
      <c r="HW104" s="403">
        <v>114</v>
      </c>
      <c r="HX104" s="403">
        <v>114</v>
      </c>
      <c r="HY104" s="403">
        <v>114</v>
      </c>
      <c r="HZ104" s="403">
        <v>114</v>
      </c>
      <c r="IA104" s="403">
        <v>114</v>
      </c>
      <c r="IB104" s="403">
        <v>114</v>
      </c>
      <c r="IC104" s="403">
        <v>114</v>
      </c>
      <c r="ID104" s="406" t="s">
        <v>178</v>
      </c>
      <c r="IE104" s="403">
        <v>0</v>
      </c>
      <c r="IF104" s="403">
        <v>0</v>
      </c>
      <c r="IG104" s="403">
        <v>0</v>
      </c>
      <c r="IH104" s="404">
        <v>0</v>
      </c>
      <c r="II104" s="405">
        <v>0</v>
      </c>
      <c r="IJ104" s="403">
        <v>0</v>
      </c>
      <c r="IK104" s="403">
        <v>0</v>
      </c>
      <c r="IL104" s="407">
        <v>0</v>
      </c>
      <c r="IM104" s="1016"/>
      <c r="IN104" s="277" cm="1">
        <f t="array" ref="IN104">SUM(IF(ISNUMBER($HD104:$IL104),$HD104:$IL104, 0))</f>
        <v>1596</v>
      </c>
      <c r="IO104" s="1021"/>
      <c r="IP104" s="1022"/>
      <c r="IQ104" s="541"/>
      <c r="IR104" s="569">
        <f>VLOOKUP($E104,[1]アジアResults1031!$A$1:$CH$259,23,FALSE)</f>
        <v>4398277</v>
      </c>
      <c r="IS104" s="570">
        <f>VLOOKUP($E104,[1]アジアResults1031!$A$1:$CH$259,32,FALSE)</f>
        <v>99</v>
      </c>
      <c r="IT104" s="570">
        <f>KY104/(GY104-2)</f>
        <v>140.85714285714286</v>
      </c>
      <c r="IU104" s="570">
        <f>IR104/IT104</f>
        <v>31225.090263691684</v>
      </c>
      <c r="IV104" s="570">
        <f>VLOOKUP(E104,[1]アジアResults1031!$A$1:$CH$264,26,FALSE)</f>
        <v>32942</v>
      </c>
      <c r="IW104" s="570">
        <f>VLOOKUP(E104,[1]アジアResults1031!$A$1:$CH$264,27,FALSE)</f>
        <v>58824</v>
      </c>
      <c r="IX104" s="571">
        <f>VLOOKUP($E104,[1]アジアResults1031!$A$1:$CH$259,18,FALSE)</f>
        <v>5170000</v>
      </c>
      <c r="IY104" s="571">
        <f>VLOOKUP($E104,[1]アジアResults1031!$A$1:$CH$259,9,FALSE)</f>
        <v>4</v>
      </c>
      <c r="IZ104" s="570">
        <f>IR104*JF104</f>
        <v>83567263</v>
      </c>
      <c r="JA104" s="570">
        <f>IX104*JF104</f>
        <v>98230000</v>
      </c>
      <c r="JB104" s="570"/>
      <c r="JC104" s="570"/>
      <c r="JD104" s="572">
        <f>IFERROR(INDEX($JO$9:$KW$9, MATCH("準備", JO104:KW104, 0)), "")</f>
        <v>46274</v>
      </c>
      <c r="JE104" s="572" cm="1">
        <f t="array" ref="JE104">IF(COUNTIF(JO104:KW104,"*撤去*")=0,"",INDEX(JO$9:KW$9,1,MAX(IF(JO104:KW104="撤去",COLUMN(JO104:KW104)-COLUMN(JO104)+1))))</f>
        <v>46293</v>
      </c>
      <c r="JF104" s="573">
        <f>JE104-JD104</f>
        <v>19</v>
      </c>
      <c r="JG104" s="574">
        <v>3386900</v>
      </c>
      <c r="JH104" s="575">
        <v>6944850</v>
      </c>
      <c r="JI104" s="1"/>
      <c r="JJ104" s="1"/>
      <c r="JK104" s="1"/>
      <c r="JL104" s="1"/>
      <c r="JM104" s="1"/>
      <c r="JN104" s="1"/>
      <c r="JO104" s="507"/>
      <c r="JP104" s="508"/>
      <c r="JQ104" s="508"/>
      <c r="JR104" s="508"/>
      <c r="JS104" s="577"/>
      <c r="JT104" s="400" t="s">
        <v>177</v>
      </c>
      <c r="JU104" s="400" t="s">
        <v>177</v>
      </c>
      <c r="JV104" s="577">
        <v>116</v>
      </c>
      <c r="JW104" s="577">
        <v>116</v>
      </c>
      <c r="JX104" s="577">
        <v>116</v>
      </c>
      <c r="JY104" s="577">
        <v>116</v>
      </c>
      <c r="JZ104" s="577">
        <v>116</v>
      </c>
      <c r="KA104" s="577">
        <v>116</v>
      </c>
      <c r="KB104" s="577">
        <v>116</v>
      </c>
      <c r="KC104" s="577">
        <v>116</v>
      </c>
      <c r="KD104" s="577">
        <v>116</v>
      </c>
      <c r="KE104" s="577">
        <v>116</v>
      </c>
      <c r="KF104" s="577">
        <v>116</v>
      </c>
      <c r="KG104" s="577">
        <v>116</v>
      </c>
      <c r="KH104" s="577">
        <v>116</v>
      </c>
      <c r="KI104" s="577">
        <v>116</v>
      </c>
      <c r="KJ104" s="577">
        <v>116</v>
      </c>
      <c r="KK104" s="577">
        <v>116</v>
      </c>
      <c r="KL104" s="577">
        <v>116</v>
      </c>
      <c r="KM104" s="406" t="s">
        <v>178</v>
      </c>
      <c r="KN104" s="577"/>
      <c r="KO104" s="577"/>
      <c r="KP104" s="577"/>
      <c r="KQ104" s="577"/>
      <c r="KR104" s="577"/>
      <c r="KS104" s="577"/>
      <c r="KT104" s="577"/>
      <c r="KU104" s="577"/>
      <c r="KV104" s="577"/>
      <c r="KW104" s="578"/>
      <c r="KX104" s="1016"/>
      <c r="KY104" s="277" cm="1">
        <f t="array" ref="KY104">SUM(IF(ISNUMBER($JO104:$KW104),$JO104:$KW104, 0))</f>
        <v>1972</v>
      </c>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row>
    <row r="105" spans="1:398" ht="40" customHeight="1">
      <c r="B105" s="299"/>
      <c r="C105" s="241"/>
      <c r="D105" s="242"/>
      <c r="E105" s="243"/>
      <c r="F105" s="244"/>
      <c r="G105" s="246"/>
      <c r="H105" s="246"/>
      <c r="I105" s="246">
        <v>0</v>
      </c>
      <c r="J105" s="246">
        <v>0</v>
      </c>
      <c r="K105" s="246"/>
      <c r="L105" s="246">
        <v>0</v>
      </c>
      <c r="M105" s="300"/>
      <c r="N105" s="251"/>
      <c r="O105" s="251"/>
      <c r="P105" s="300"/>
      <c r="Q105" s="251"/>
      <c r="R105" s="251"/>
      <c r="S105" s="251"/>
      <c r="T105" s="251"/>
      <c r="U105" s="301" t="s">
        <v>165</v>
      </c>
      <c r="V105" s="242"/>
      <c r="W105" s="242"/>
      <c r="X105" s="242"/>
      <c r="Y105" s="242"/>
      <c r="Z105" s="242"/>
      <c r="AA105" s="302"/>
      <c r="AB105" s="303"/>
      <c r="AC105" s="304"/>
      <c r="AD105" s="790"/>
      <c r="AE105" s="336"/>
      <c r="AF105" s="337"/>
      <c r="AG105" s="337"/>
      <c r="AH105" s="337"/>
      <c r="AI105" s="337"/>
      <c r="AJ105" s="337"/>
      <c r="AK105" s="337"/>
      <c r="AL105" s="337"/>
      <c r="AM105" s="337"/>
      <c r="AN105" s="337"/>
      <c r="AO105" s="337"/>
      <c r="AP105" s="337"/>
      <c r="AQ105" s="337"/>
      <c r="AR105" s="337"/>
      <c r="AS105" s="339"/>
      <c r="AT105" s="337"/>
      <c r="AU105" s="339"/>
      <c r="AV105" s="337"/>
      <c r="AW105" s="337"/>
      <c r="AX105" s="337"/>
      <c r="AY105" s="337"/>
      <c r="AZ105" s="611"/>
      <c r="BA105" s="611"/>
      <c r="BB105" s="611"/>
      <c r="BC105" s="611"/>
      <c r="BD105" s="611"/>
      <c r="BE105" s="611"/>
      <c r="BF105" s="611"/>
      <c r="BG105" s="611"/>
      <c r="BH105" s="611"/>
      <c r="BI105" s="611"/>
      <c r="BJ105" s="611"/>
      <c r="BK105" s="611"/>
      <c r="BL105" s="611"/>
      <c r="BM105" s="611"/>
      <c r="BN105" s="611"/>
      <c r="BO105" s="337"/>
      <c r="BP105" s="337"/>
      <c r="BQ105" s="337"/>
      <c r="BR105" s="340"/>
      <c r="BS105" s="342"/>
      <c r="BT105" s="938"/>
      <c r="BU105" s="938"/>
      <c r="BV105" s="615" t="str">
        <f>IFERROR(INDEX($HD$9:$II$9, MATCH("準備", CC105:DK105, 0)), "")</f>
        <v/>
      </c>
      <c r="BW105" s="615" t="str" cm="1">
        <f t="array" ref="BW105">IF(COUNTIF(CC105:DK105,"*撤去*")=0,"",INDEX(CC$9:DK$9,1,MAX(IF(CC105:DK105="撤去",COLUMN(CC105:DK105)-COLUMN(CC105)+1))))</f>
        <v/>
      </c>
      <c r="BX105" s="616"/>
      <c r="BY105" s="596"/>
      <c r="BZ105" s="597"/>
      <c r="CA105" s="597"/>
      <c r="CB105" s="597"/>
      <c r="CC105" s="271"/>
      <c r="CD105" s="272"/>
      <c r="CE105" s="272"/>
      <c r="CF105" s="272"/>
      <c r="CG105" s="272"/>
      <c r="CH105" s="272"/>
      <c r="CI105" s="272"/>
      <c r="CJ105" s="272"/>
      <c r="CK105" s="272"/>
      <c r="CL105" s="272"/>
      <c r="CM105" s="272"/>
      <c r="CN105" s="272"/>
      <c r="CO105" s="272"/>
      <c r="CP105" s="272"/>
      <c r="CQ105" s="274"/>
      <c r="CR105" s="275"/>
      <c r="CS105" s="271"/>
      <c r="CT105" s="272"/>
      <c r="CU105" s="272"/>
      <c r="CV105" s="272"/>
      <c r="CW105" s="272"/>
      <c r="CX105" s="272"/>
      <c r="CY105" s="272"/>
      <c r="CZ105" s="272"/>
      <c r="DA105" s="272"/>
      <c r="DB105" s="272"/>
      <c r="DC105" s="272"/>
      <c r="DD105" s="272"/>
      <c r="DE105" s="272"/>
      <c r="DF105" s="274"/>
      <c r="DG105" s="275"/>
      <c r="DH105" s="271"/>
      <c r="DI105" s="272"/>
      <c r="DJ105" s="272"/>
      <c r="DK105" s="276"/>
      <c r="DL105" s="277"/>
      <c r="DM105" s="277"/>
      <c r="DN105" s="277"/>
      <c r="DO105" s="277"/>
      <c r="DP105" s="277"/>
      <c r="DQ105" s="302"/>
      <c r="DR105" s="303"/>
      <c r="DS105" s="304"/>
      <c r="DT105" s="790"/>
      <c r="DU105" s="337"/>
      <c r="DV105" s="337"/>
      <c r="DW105" s="611"/>
      <c r="DX105" s="611"/>
      <c r="DY105" s="611"/>
      <c r="DZ105" s="611"/>
      <c r="EA105" s="611"/>
      <c r="EB105" s="611"/>
      <c r="EC105" s="611"/>
      <c r="ED105" s="611"/>
      <c r="EE105" s="611"/>
      <c r="EF105" s="611"/>
      <c r="EG105" s="337"/>
      <c r="EH105" s="337"/>
      <c r="EI105" s="938"/>
      <c r="EJ105" s="938"/>
      <c r="EK105" s="615" t="s">
        <v>165</v>
      </c>
      <c r="EL105" s="615" t="s">
        <v>165</v>
      </c>
      <c r="EM105" s="616"/>
      <c r="EN105" s="277"/>
      <c r="EO105" s="302"/>
      <c r="EP105" s="321"/>
      <c r="EQ105" s="347"/>
      <c r="ER105" s="939"/>
      <c r="ES105" s="939" t="e">
        <v>#N/A</v>
      </c>
      <c r="ET105" s="939"/>
      <c r="EU105" s="939"/>
      <c r="EV105" s="324" t="s">
        <v>454</v>
      </c>
      <c r="EW105" s="370">
        <v>1.5</v>
      </c>
      <c r="EX105" s="371">
        <v>5</v>
      </c>
      <c r="EY105" s="372" t="s">
        <v>455</v>
      </c>
      <c r="EZ105" s="373">
        <v>5.7</v>
      </c>
      <c r="FA105" s="374">
        <v>15</v>
      </c>
      <c r="FB105" s="327" t="s">
        <v>456</v>
      </c>
      <c r="FC105" s="328">
        <v>16.100000000000001</v>
      </c>
      <c r="FD105" s="329">
        <v>30</v>
      </c>
      <c r="FE105" s="330" t="s">
        <v>189</v>
      </c>
      <c r="FF105" s="328"/>
      <c r="FG105" s="329"/>
      <c r="FH105" s="330" t="s">
        <v>189</v>
      </c>
      <c r="FI105" s="328"/>
      <c r="FJ105" s="331"/>
      <c r="FK105" s="289"/>
      <c r="FL105" s="290"/>
      <c r="FM105" s="349"/>
      <c r="FN105" s="336"/>
      <c r="FO105" s="337"/>
      <c r="FP105" s="337"/>
      <c r="FQ105" s="337"/>
      <c r="FR105" s="337"/>
      <c r="FS105" s="337"/>
      <c r="FT105" s="337"/>
      <c r="FU105" s="337"/>
      <c r="FV105" s="339"/>
      <c r="FW105" s="337"/>
      <c r="FX105" s="339"/>
      <c r="FY105" s="337"/>
      <c r="FZ105" s="337"/>
      <c r="GA105" s="337"/>
      <c r="GB105" s="337"/>
      <c r="GC105" s="611"/>
      <c r="GD105" s="611"/>
      <c r="GE105" s="611"/>
      <c r="GF105" s="611"/>
      <c r="GG105" s="611"/>
      <c r="GH105" s="611"/>
      <c r="GI105" s="611"/>
      <c r="GJ105" s="611"/>
      <c r="GK105" s="611"/>
      <c r="GL105" s="611"/>
      <c r="GM105" s="611"/>
      <c r="GN105" s="611"/>
      <c r="GO105" s="611"/>
      <c r="GP105" s="611"/>
      <c r="GQ105" s="611"/>
      <c r="GR105" s="337"/>
      <c r="GS105" s="337"/>
      <c r="GT105" s="342"/>
      <c r="GU105" s="938"/>
      <c r="GV105" s="938"/>
      <c r="GW105" s="615" t="s">
        <v>165</v>
      </c>
      <c r="GX105" s="615" t="s">
        <v>165</v>
      </c>
      <c r="GY105" s="616"/>
      <c r="GZ105" s="596"/>
      <c r="HA105" s="597"/>
      <c r="HB105" s="597"/>
      <c r="HC105" s="597"/>
      <c r="HD105" s="271"/>
      <c r="HE105" s="272"/>
      <c r="HF105" s="272"/>
      <c r="HG105" s="272"/>
      <c r="HH105" s="272"/>
      <c r="HI105" s="272"/>
      <c r="HJ105" s="272"/>
      <c r="HK105" s="272"/>
      <c r="HL105" s="272"/>
      <c r="HM105" s="272"/>
      <c r="HN105" s="272"/>
      <c r="HO105" s="272"/>
      <c r="HP105" s="272"/>
      <c r="HQ105" s="272"/>
      <c r="HR105" s="274"/>
      <c r="HS105" s="275"/>
      <c r="HT105" s="271"/>
      <c r="HU105" s="272"/>
      <c r="HV105" s="272"/>
      <c r="HW105" s="272"/>
      <c r="HX105" s="272"/>
      <c r="HY105" s="272"/>
      <c r="HZ105" s="272"/>
      <c r="IA105" s="272"/>
      <c r="IB105" s="272"/>
      <c r="IC105" s="272"/>
      <c r="ID105" s="272"/>
      <c r="IE105" s="272"/>
      <c r="IF105" s="272"/>
      <c r="IG105" s="274"/>
      <c r="IH105" s="275"/>
      <c r="II105" s="271"/>
      <c r="IJ105" s="272"/>
      <c r="IK105" s="272"/>
      <c r="IL105" s="276"/>
      <c r="IM105" s="277"/>
      <c r="IN105" s="277"/>
      <c r="IO105" s="333"/>
      <c r="IP105" s="334"/>
      <c r="IQ105" s="541"/>
      <c r="IR105" s="542"/>
      <c r="IS105" s="543"/>
      <c r="IT105" s="543"/>
      <c r="IU105" s="543"/>
      <c r="IV105" s="543"/>
      <c r="IW105" s="543"/>
      <c r="IX105" s="544"/>
      <c r="IY105" s="544"/>
      <c r="IZ105" s="543"/>
      <c r="JA105" s="543"/>
      <c r="JB105" s="543"/>
      <c r="JC105" s="543"/>
      <c r="JD105" s="545"/>
      <c r="JE105" s="545"/>
      <c r="JF105" s="546"/>
      <c r="JG105" s="503"/>
      <c r="JH105" s="506"/>
      <c r="JO105" s="507"/>
      <c r="JP105" s="508"/>
      <c r="JQ105" s="508"/>
      <c r="JR105" s="508"/>
      <c r="JS105" s="508"/>
      <c r="JT105" s="508"/>
      <c r="JU105" s="508"/>
      <c r="JV105" s="508"/>
      <c r="JW105" s="508"/>
      <c r="JX105" s="508"/>
      <c r="JY105" s="508"/>
      <c r="JZ105" s="508"/>
      <c r="KA105" s="508"/>
      <c r="KB105" s="508"/>
      <c r="KC105" s="508"/>
      <c r="KD105" s="508"/>
      <c r="KE105" s="508"/>
      <c r="KF105" s="508"/>
      <c r="KG105" s="508"/>
      <c r="KH105" s="508"/>
      <c r="KI105" s="508"/>
      <c r="KJ105" s="508"/>
      <c r="KK105" s="508"/>
      <c r="KL105" s="508"/>
      <c r="KM105" s="508"/>
      <c r="KN105" s="508"/>
      <c r="KO105" s="508"/>
      <c r="KP105" s="508"/>
      <c r="KQ105" s="508"/>
      <c r="KR105" s="508"/>
      <c r="KS105" s="508"/>
      <c r="KT105" s="508"/>
      <c r="KU105" s="508"/>
      <c r="KV105" s="508"/>
      <c r="KW105" s="509"/>
      <c r="KX105" s="277"/>
      <c r="KY105" s="277"/>
    </row>
    <row r="106" spans="1:398" s="547" customFormat="1" ht="40" customHeight="1" thickBot="1">
      <c r="A106" s="1"/>
      <c r="B106" s="299"/>
      <c r="C106" s="241"/>
      <c r="D106" s="445"/>
      <c r="E106" s="243" t="s">
        <v>165</v>
      </c>
      <c r="F106" s="1050"/>
      <c r="G106" s="246">
        <v>0</v>
      </c>
      <c r="H106" s="246">
        <v>0</v>
      </c>
      <c r="I106" s="246">
        <v>0</v>
      </c>
      <c r="J106" s="246">
        <v>0</v>
      </c>
      <c r="K106" s="246"/>
      <c r="L106" s="246">
        <v>0</v>
      </c>
      <c r="M106" s="300">
        <v>0</v>
      </c>
      <c r="N106" s="251">
        <v>0</v>
      </c>
      <c r="O106" s="251">
        <v>0</v>
      </c>
      <c r="P106" s="300">
        <v>0</v>
      </c>
      <c r="Q106" s="1051">
        <v>0</v>
      </c>
      <c r="R106" s="251">
        <v>0</v>
      </c>
      <c r="S106" s="251">
        <v>0</v>
      </c>
      <c r="T106" s="251">
        <v>0</v>
      </c>
      <c r="U106" s="301" t="s">
        <v>165</v>
      </c>
      <c r="V106" s="242"/>
      <c r="W106" s="242"/>
      <c r="X106" s="242"/>
      <c r="Y106" s="242"/>
      <c r="Z106" s="242"/>
      <c r="AA106" s="604"/>
      <c r="AB106" s="617"/>
      <c r="AC106" s="618"/>
      <c r="AD106" s="947"/>
      <c r="AE106" s="336"/>
      <c r="AF106" s="337"/>
      <c r="AG106" s="337"/>
      <c r="AH106" s="337"/>
      <c r="AI106" s="337"/>
      <c r="AJ106" s="337"/>
      <c r="AK106" s="337"/>
      <c r="AL106" s="337"/>
      <c r="AM106" s="337"/>
      <c r="AN106" s="656"/>
      <c r="AO106" s="656"/>
      <c r="AP106" s="656"/>
      <c r="AQ106" s="656"/>
      <c r="AR106" s="656"/>
      <c r="AS106" s="767"/>
      <c r="AT106" s="656"/>
      <c r="AU106" s="767"/>
      <c r="AV106" s="656"/>
      <c r="AW106" s="656"/>
      <c r="AX106" s="656"/>
      <c r="AY106" s="656"/>
      <c r="AZ106" s="768"/>
      <c r="BA106" s="768"/>
      <c r="BB106" s="768"/>
      <c r="BC106" s="768"/>
      <c r="BD106" s="768"/>
      <c r="BE106" s="768"/>
      <c r="BF106" s="768"/>
      <c r="BG106" s="768"/>
      <c r="BH106" s="768"/>
      <c r="BI106" s="768"/>
      <c r="BJ106" s="768"/>
      <c r="BK106" s="768"/>
      <c r="BL106" s="768"/>
      <c r="BM106" s="768"/>
      <c r="BN106" s="768"/>
      <c r="BO106" s="656"/>
      <c r="BP106" s="656"/>
      <c r="BQ106" s="656"/>
      <c r="BR106" s="940"/>
      <c r="BS106" s="941"/>
      <c r="BT106" s="942"/>
      <c r="BU106" s="942"/>
      <c r="BV106" s="773" t="str">
        <f>IFERROR(INDEX($HD$9:$II$9, MATCH("準備", CC106:DK106, 0)), "")</f>
        <v/>
      </c>
      <c r="BW106" s="773" t="str" cm="1">
        <f t="array" ref="BW106">IF(COUNTIF(CC106:DK106,"*撤去*")=0,"",INDEX(CC$9:DK$9,1,MAX(IF(CC106:DK106="撤去",COLUMN(CC106:DK106)-COLUMN(CC106)+1))))</f>
        <v/>
      </c>
      <c r="BX106" s="774"/>
      <c r="BY106" s="360" t="s">
        <v>246</v>
      </c>
      <c r="BZ106" s="361" t="s">
        <v>247</v>
      </c>
      <c r="CA106" s="777"/>
      <c r="CB106" s="777"/>
      <c r="CC106" s="874"/>
      <c r="CD106" s="875"/>
      <c r="CE106" s="875"/>
      <c r="CF106" s="875"/>
      <c r="CG106" s="875"/>
      <c r="CH106" s="875"/>
      <c r="CI106" s="875"/>
      <c r="CJ106" s="875"/>
      <c r="CK106" s="875"/>
      <c r="CL106" s="875"/>
      <c r="CM106" s="363"/>
      <c r="CN106" s="363"/>
      <c r="CO106" s="363"/>
      <c r="CP106" s="363"/>
      <c r="CQ106" s="364"/>
      <c r="CR106" s="365"/>
      <c r="CS106" s="366"/>
      <c r="CT106" s="363"/>
      <c r="CU106" s="363"/>
      <c r="CV106" s="363"/>
      <c r="CW106" s="363"/>
      <c r="CX106" s="363"/>
      <c r="CY106" s="363"/>
      <c r="CZ106" s="363"/>
      <c r="DA106" s="363"/>
      <c r="DB106" s="363"/>
      <c r="DC106" s="363"/>
      <c r="DD106" s="875"/>
      <c r="DE106" s="875"/>
      <c r="DF106" s="779"/>
      <c r="DG106" s="884"/>
      <c r="DH106" s="874"/>
      <c r="DI106" s="875"/>
      <c r="DJ106" s="875"/>
      <c r="DK106" s="886"/>
      <c r="DL106" s="1016"/>
      <c r="DM106" s="1016"/>
      <c r="DN106" s="1016"/>
      <c r="DO106" s="1016"/>
      <c r="DP106" s="1016"/>
      <c r="DQ106" s="763"/>
      <c r="DR106" s="764"/>
      <c r="DS106" s="765"/>
      <c r="DT106" s="947"/>
      <c r="DU106" s="656"/>
      <c r="DV106" s="656"/>
      <c r="DW106" s="768"/>
      <c r="DX106" s="768"/>
      <c r="DY106" s="768"/>
      <c r="DZ106" s="768"/>
      <c r="EA106" s="768"/>
      <c r="EB106" s="768"/>
      <c r="EC106" s="768"/>
      <c r="ED106" s="768"/>
      <c r="EE106" s="768"/>
      <c r="EF106" s="768"/>
      <c r="EG106" s="656"/>
      <c r="EH106" s="656"/>
      <c r="EI106" s="942"/>
      <c r="EJ106" s="942"/>
      <c r="EK106" s="773" t="s">
        <v>165</v>
      </c>
      <c r="EL106" s="773" t="s">
        <v>165</v>
      </c>
      <c r="EM106" s="774"/>
      <c r="EN106" s="1016"/>
      <c r="EO106" s="763"/>
      <c r="EP106" s="1032"/>
      <c r="EQ106" s="1033"/>
      <c r="ER106" s="952"/>
      <c r="ES106" s="952" t="e">
        <v>#N/A</v>
      </c>
      <c r="ET106" s="952"/>
      <c r="EU106" s="952"/>
      <c r="EV106" s="1027" t="s">
        <v>454</v>
      </c>
      <c r="EW106" s="453">
        <v>1.5</v>
      </c>
      <c r="EX106" s="454">
        <v>5</v>
      </c>
      <c r="EY106" s="455" t="s">
        <v>455</v>
      </c>
      <c r="EZ106" s="456">
        <v>5.7</v>
      </c>
      <c r="FA106" s="457">
        <v>15</v>
      </c>
      <c r="FB106" s="879" t="s">
        <v>456</v>
      </c>
      <c r="FC106" s="880">
        <v>16.100000000000001</v>
      </c>
      <c r="FD106" s="881">
        <v>30</v>
      </c>
      <c r="FE106" s="882" t="s">
        <v>189</v>
      </c>
      <c r="FF106" s="880"/>
      <c r="FG106" s="881"/>
      <c r="FH106" s="882" t="s">
        <v>189</v>
      </c>
      <c r="FI106" s="880"/>
      <c r="FJ106" s="883"/>
      <c r="FK106" s="375"/>
      <c r="FL106" s="1017"/>
      <c r="FM106" s="332"/>
      <c r="FN106" s="655"/>
      <c r="FO106" s="656"/>
      <c r="FP106" s="656"/>
      <c r="FQ106" s="656"/>
      <c r="FR106" s="656"/>
      <c r="FS106" s="656"/>
      <c r="FT106" s="656"/>
      <c r="FU106" s="656"/>
      <c r="FV106" s="767"/>
      <c r="FW106" s="656"/>
      <c r="FX106" s="767"/>
      <c r="FY106" s="656"/>
      <c r="FZ106" s="656"/>
      <c r="GA106" s="656"/>
      <c r="GB106" s="656"/>
      <c r="GC106" s="768"/>
      <c r="GD106" s="768"/>
      <c r="GE106" s="768"/>
      <c r="GF106" s="768"/>
      <c r="GG106" s="768"/>
      <c r="GH106" s="768"/>
      <c r="GI106" s="768"/>
      <c r="GJ106" s="768"/>
      <c r="GK106" s="768"/>
      <c r="GL106" s="768"/>
      <c r="GM106" s="768"/>
      <c r="GN106" s="768"/>
      <c r="GO106" s="768"/>
      <c r="GP106" s="768"/>
      <c r="GQ106" s="768"/>
      <c r="GR106" s="656"/>
      <c r="GS106" s="656"/>
      <c r="GT106" s="941"/>
      <c r="GU106" s="942"/>
      <c r="GV106" s="942"/>
      <c r="GW106" s="773" t="s">
        <v>165</v>
      </c>
      <c r="GX106" s="773" t="s">
        <v>165</v>
      </c>
      <c r="GY106" s="774"/>
      <c r="GZ106" s="943"/>
      <c r="HA106" s="777"/>
      <c r="HB106" s="777"/>
      <c r="HC106" s="777"/>
      <c r="HD106" s="874"/>
      <c r="HE106" s="875"/>
      <c r="HF106" s="875"/>
      <c r="HG106" s="875"/>
      <c r="HH106" s="875"/>
      <c r="HI106" s="875"/>
      <c r="HJ106" s="875"/>
      <c r="HK106" s="875"/>
      <c r="HL106" s="875"/>
      <c r="HM106" s="875"/>
      <c r="HN106" s="875"/>
      <c r="HO106" s="875"/>
      <c r="HP106" s="875"/>
      <c r="HQ106" s="875"/>
      <c r="HR106" s="779"/>
      <c r="HS106" s="884"/>
      <c r="HT106" s="874"/>
      <c r="HU106" s="875"/>
      <c r="HV106" s="875"/>
      <c r="HW106" s="875"/>
      <c r="HX106" s="875"/>
      <c r="HY106" s="875"/>
      <c r="HZ106" s="875"/>
      <c r="IA106" s="875"/>
      <c r="IB106" s="875"/>
      <c r="IC106" s="875"/>
      <c r="ID106" s="875"/>
      <c r="IE106" s="875"/>
      <c r="IF106" s="875"/>
      <c r="IG106" s="779"/>
      <c r="IH106" s="884"/>
      <c r="II106" s="874"/>
      <c r="IJ106" s="875"/>
      <c r="IK106" s="875"/>
      <c r="IL106" s="886"/>
      <c r="IM106" s="1016"/>
      <c r="IN106" s="1016"/>
      <c r="IO106" s="1047"/>
      <c r="IP106" s="1048"/>
      <c r="IQ106" s="541"/>
      <c r="IR106" s="581"/>
      <c r="IS106" s="582"/>
      <c r="IT106" s="582"/>
      <c r="IU106" s="582"/>
      <c r="IV106" s="582"/>
      <c r="IW106" s="582"/>
      <c r="IX106" s="583"/>
      <c r="IY106" s="583"/>
      <c r="IZ106" s="582"/>
      <c r="JA106" s="582"/>
      <c r="JB106" s="582"/>
      <c r="JC106" s="582"/>
      <c r="JD106" s="584"/>
      <c r="JE106" s="584"/>
      <c r="JF106" s="585"/>
      <c r="JG106" s="586"/>
      <c r="JH106" s="587"/>
      <c r="JI106" s="1"/>
      <c r="JJ106" s="1"/>
      <c r="JK106" s="1"/>
      <c r="JL106" s="1"/>
      <c r="JM106" s="1"/>
      <c r="JN106" s="1"/>
      <c r="JO106" s="507"/>
      <c r="JP106" s="508"/>
      <c r="JQ106" s="508"/>
      <c r="JR106" s="508"/>
      <c r="JS106" s="729"/>
      <c r="JT106" s="729"/>
      <c r="JU106" s="729"/>
      <c r="JV106" s="729"/>
      <c r="JW106" s="729"/>
      <c r="JX106" s="729"/>
      <c r="JY106" s="729"/>
      <c r="JZ106" s="729"/>
      <c r="KA106" s="729"/>
      <c r="KB106" s="729"/>
      <c r="KC106" s="729"/>
      <c r="KD106" s="729"/>
      <c r="KE106" s="729"/>
      <c r="KF106" s="729"/>
      <c r="KG106" s="729"/>
      <c r="KH106" s="729"/>
      <c r="KI106" s="729"/>
      <c r="KJ106" s="729"/>
      <c r="KK106" s="729"/>
      <c r="KL106" s="729"/>
      <c r="KM106" s="729"/>
      <c r="KN106" s="729"/>
      <c r="KO106" s="729"/>
      <c r="KP106" s="729"/>
      <c r="KQ106" s="729"/>
      <c r="KR106" s="729"/>
      <c r="KS106" s="729"/>
      <c r="KT106" s="729"/>
      <c r="KU106" s="729"/>
      <c r="KV106" s="729"/>
      <c r="KW106" s="730"/>
      <c r="KX106" s="1016"/>
      <c r="KY106" s="1016"/>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row>
    <row r="107" spans="1:398" ht="40" customHeight="1">
      <c r="B107" s="299"/>
      <c r="C107" s="241"/>
      <c r="D107" s="242">
        <v>23</v>
      </c>
      <c r="E107" s="379">
        <v>200</v>
      </c>
      <c r="F107" s="1064" t="s">
        <v>463</v>
      </c>
      <c r="G107" s="381"/>
      <c r="H107" s="381"/>
      <c r="I107" s="381"/>
      <c r="J107" s="381"/>
      <c r="K107" s="381"/>
      <c r="L107" s="381"/>
      <c r="M107" s="383"/>
      <c r="N107" s="384"/>
      <c r="O107" s="384"/>
      <c r="P107" s="383"/>
      <c r="Q107" s="1041"/>
      <c r="R107" s="384"/>
      <c r="S107" s="384"/>
      <c r="T107" s="384"/>
      <c r="U107" s="385"/>
      <c r="V107" s="378"/>
      <c r="W107" s="378"/>
      <c r="X107" s="378"/>
      <c r="Y107" s="378"/>
      <c r="Z107" s="378"/>
      <c r="AA107" s="386" t="s">
        <v>464</v>
      </c>
      <c r="AB107" s="387" t="s">
        <v>465</v>
      </c>
      <c r="AC107" s="388">
        <v>65</v>
      </c>
      <c r="AD107" s="955">
        <f>SUM(AC107,AC108)</f>
        <v>65</v>
      </c>
      <c r="AE107" s="640"/>
      <c r="AF107" s="641"/>
      <c r="AG107" s="731">
        <f>'[1]0200_アットイン豊田市駅　別紙1-1'!M20</f>
        <v>2581700</v>
      </c>
      <c r="AH107" s="732"/>
      <c r="AI107" s="732"/>
      <c r="AJ107" s="732"/>
      <c r="AK107" s="551">
        <f>$AK$4</f>
        <v>26106</v>
      </c>
      <c r="AL107" s="552">
        <v>0.83</v>
      </c>
      <c r="AM107" s="551">
        <f>$AM$4</f>
        <v>24690</v>
      </c>
      <c r="AN107" s="468" t="s">
        <v>308</v>
      </c>
      <c r="AO107" s="551">
        <f>$AO$4</f>
        <v>2373</v>
      </c>
      <c r="AP107" s="732">
        <f>'[1]0200_アットイン豊田市駅　別紙1-1'!K18</f>
        <v>122</v>
      </c>
      <c r="AQ107" s="732">
        <f>'[1]0200_アットイン豊田市駅　別紙1-1'!AF18</f>
        <v>134</v>
      </c>
      <c r="AR107" s="733"/>
      <c r="AS107" s="263"/>
      <c r="AT107" s="258"/>
      <c r="AU107" s="263"/>
      <c r="AV107" s="258"/>
      <c r="AW107" s="732"/>
      <c r="AX107" s="732">
        <v>0</v>
      </c>
      <c r="AY107" s="732">
        <v>0</v>
      </c>
      <c r="AZ107" s="963">
        <f>'[1]0200_アットイン豊田市駅　別紙1-1'!C22</f>
        <v>28137802</v>
      </c>
      <c r="BA107" s="963">
        <v>0</v>
      </c>
      <c r="BB107" s="963"/>
      <c r="BC107" s="963"/>
      <c r="BD107" s="478">
        <f>AK107*DM107*0.6</f>
        <v>8145072</v>
      </c>
      <c r="BE107" s="478">
        <f>BD107-21000*DM107*0.6</f>
        <v>1593072</v>
      </c>
      <c r="BF107" s="478">
        <f>AM107*DM107*0.4</f>
        <v>5135520</v>
      </c>
      <c r="BG107" s="478">
        <f>BF107-0</f>
        <v>5135520</v>
      </c>
      <c r="BH107" s="478">
        <f>AO107*DM107*0.3</f>
        <v>370188</v>
      </c>
      <c r="BI107" s="963"/>
      <c r="BJ107" s="963"/>
      <c r="BK107" s="735">
        <f>BM107*5000*BX107</f>
        <v>110000</v>
      </c>
      <c r="BL107" s="735">
        <f>1800000*BN107*BX107</f>
        <v>0</v>
      </c>
      <c r="BM107" s="736">
        <v>2</v>
      </c>
      <c r="BN107" s="736">
        <f>GQ107</f>
        <v>0</v>
      </c>
      <c r="BO107" s="732"/>
      <c r="BP107" s="481">
        <f>SUM(AZ107,BA107,BI107,BO107)</f>
        <v>28137802</v>
      </c>
      <c r="BQ107" s="258"/>
      <c r="BR107" s="1065"/>
      <c r="BS107" s="1066"/>
      <c r="BT107" s="269">
        <f>'[1]0200_アットイン豊田市駅　別紙1-1'!B8</f>
        <v>46283</v>
      </c>
      <c r="BU107" s="1067">
        <f>'[1]0200_アットイン豊田市駅　別紙1-1'!G8</f>
        <v>46294</v>
      </c>
      <c r="BV107" s="666">
        <f>IFERROR(INDEX($BY$9:$DH$9, MATCH("準備", BY107:DK107, 0)), "")</f>
        <v>46283</v>
      </c>
      <c r="BW107" s="667" cm="1">
        <f t="array" ref="BW107">IF(COUNTIF(BY107:DK107,"*撤去*")=0,"",INDEX(BY$9:DK$9,1,MAX(IF(CC107:DK107="撤去",COLUMN(CC107:DK107)-COLUMN(BY107)+1))))</f>
        <v>46294</v>
      </c>
      <c r="BX107" s="663">
        <f>BW107-BV107</f>
        <v>11</v>
      </c>
      <c r="BY107" s="596"/>
      <c r="BZ107" s="597"/>
      <c r="CA107" s="597"/>
      <c r="CB107" s="597"/>
      <c r="CC107" s="750"/>
      <c r="CD107" s="274"/>
      <c r="CE107" s="274"/>
      <c r="CF107" s="274"/>
      <c r="CG107" s="274"/>
      <c r="CH107" s="274"/>
      <c r="CI107" s="274"/>
      <c r="CJ107" s="274"/>
      <c r="CK107" s="274"/>
      <c r="CL107" s="274"/>
      <c r="CM107" s="752"/>
      <c r="CN107" s="752"/>
      <c r="CO107" s="751"/>
      <c r="CP107" s="751"/>
      <c r="CQ107" s="400" t="s">
        <v>177</v>
      </c>
      <c r="CR107" s="400" t="s">
        <v>177</v>
      </c>
      <c r="CS107" s="754">
        <v>65</v>
      </c>
      <c r="CT107" s="751">
        <v>65</v>
      </c>
      <c r="CU107" s="751">
        <v>65</v>
      </c>
      <c r="CV107" s="751">
        <v>65</v>
      </c>
      <c r="CW107" s="751">
        <v>65</v>
      </c>
      <c r="CX107" s="751">
        <v>65</v>
      </c>
      <c r="CY107" s="751">
        <v>65</v>
      </c>
      <c r="CZ107" s="751">
        <v>65</v>
      </c>
      <c r="DA107" s="403">
        <v>0</v>
      </c>
      <c r="DB107" s="406" t="s">
        <v>178</v>
      </c>
      <c r="DC107" s="752"/>
      <c r="DD107" s="274"/>
      <c r="DE107" s="274"/>
      <c r="DF107" s="274"/>
      <c r="DG107" s="275"/>
      <c r="DH107" s="750"/>
      <c r="DI107" s="274"/>
      <c r="DJ107" s="274"/>
      <c r="DK107" s="276"/>
      <c r="DL107" s="1016"/>
      <c r="DM107" s="277" cm="1">
        <f t="array" ref="DM107">SUM(IF(ISNUMBER($BY107:$DK107),$BY107:$DK107, 0))</f>
        <v>520</v>
      </c>
      <c r="DN107" s="277">
        <v>3180</v>
      </c>
      <c r="DO107" s="277">
        <f>DM107*(BX107)/(BX107+1)</f>
        <v>476.66666666666669</v>
      </c>
      <c r="DP107" s="277"/>
      <c r="DQ107" s="1016"/>
      <c r="DR107" s="1016"/>
      <c r="DS107" s="1016"/>
      <c r="DT107" s="1016"/>
      <c r="DU107" s="1016"/>
      <c r="DV107" s="1016"/>
      <c r="DW107" s="1016"/>
      <c r="DX107" s="1016"/>
      <c r="DY107" s="1016"/>
      <c r="DZ107" s="1016"/>
      <c r="EA107" s="1016"/>
      <c r="EB107" s="1016"/>
      <c r="EC107" s="1016"/>
      <c r="ED107" s="1016"/>
      <c r="EE107" s="1016"/>
      <c r="EF107" s="1016"/>
      <c r="EG107" s="1016"/>
      <c r="EH107" s="1016"/>
      <c r="EI107" s="1016"/>
      <c r="EJ107" s="1016"/>
      <c r="EK107" s="1016"/>
      <c r="EL107" s="1016"/>
      <c r="EM107" s="1016"/>
      <c r="EN107" s="1016"/>
      <c r="EO107" s="604"/>
      <c r="EP107" s="605"/>
      <c r="EQ107" s="878"/>
      <c r="ER107" s="952"/>
      <c r="ES107" s="952"/>
      <c r="ET107" s="952"/>
      <c r="EU107" s="952"/>
      <c r="EV107" s="608"/>
      <c r="EW107" s="609"/>
      <c r="EX107" s="610"/>
      <c r="EY107" s="442"/>
      <c r="EZ107" s="440"/>
      <c r="FA107" s="441"/>
      <c r="FB107" s="442"/>
      <c r="FC107" s="440"/>
      <c r="FD107" s="441"/>
      <c r="FE107" s="443"/>
      <c r="FF107" s="440"/>
      <c r="FG107" s="441"/>
      <c r="FH107" s="443"/>
      <c r="FI107" s="440"/>
      <c r="FJ107" s="444"/>
      <c r="FK107" s="289"/>
      <c r="FL107" s="1017"/>
      <c r="FM107" s="349"/>
      <c r="FN107" s="336"/>
      <c r="FO107" s="337"/>
      <c r="FP107" s="337"/>
      <c r="FQ107" s="337"/>
      <c r="FR107" s="337"/>
      <c r="FS107" s="337"/>
      <c r="FT107" s="337"/>
      <c r="FU107" s="337"/>
      <c r="FV107" s="339"/>
      <c r="FW107" s="337"/>
      <c r="FX107" s="339"/>
      <c r="FY107" s="337"/>
      <c r="FZ107" s="337"/>
      <c r="GA107" s="337"/>
      <c r="GB107" s="337"/>
      <c r="GC107" s="611"/>
      <c r="GD107" s="611"/>
      <c r="GE107" s="611"/>
      <c r="GF107" s="611"/>
      <c r="GG107" s="611"/>
      <c r="GH107" s="611"/>
      <c r="GI107" s="611"/>
      <c r="GJ107" s="611"/>
      <c r="GK107" s="611"/>
      <c r="GL107" s="611"/>
      <c r="GM107" s="611"/>
      <c r="GN107" s="611"/>
      <c r="GO107" s="611"/>
      <c r="GP107" s="611"/>
      <c r="GQ107" s="611"/>
      <c r="GR107" s="337"/>
      <c r="GS107" s="337"/>
      <c r="GT107" s="342"/>
      <c r="GU107" s="938"/>
      <c r="GV107" s="938"/>
      <c r="GW107" s="615"/>
      <c r="GX107" s="615"/>
      <c r="GY107" s="616"/>
      <c r="GZ107" s="596"/>
      <c r="HA107" s="597"/>
      <c r="HB107" s="597"/>
      <c r="HC107" s="597"/>
      <c r="HD107" s="750"/>
      <c r="HE107" s="274"/>
      <c r="HF107" s="274"/>
      <c r="HG107" s="274"/>
      <c r="HH107" s="274"/>
      <c r="HI107" s="274"/>
      <c r="HJ107" s="274"/>
      <c r="HK107" s="274"/>
      <c r="HL107" s="274"/>
      <c r="HM107" s="274"/>
      <c r="HN107" s="272"/>
      <c r="HO107" s="272"/>
      <c r="HP107" s="274"/>
      <c r="HQ107" s="274"/>
      <c r="HR107" s="274"/>
      <c r="HS107" s="275"/>
      <c r="HT107" s="750"/>
      <c r="HU107" s="274"/>
      <c r="HV107" s="274"/>
      <c r="HW107" s="274"/>
      <c r="HX107" s="274"/>
      <c r="HY107" s="274"/>
      <c r="HZ107" s="274"/>
      <c r="IA107" s="274"/>
      <c r="IB107" s="274"/>
      <c r="IC107" s="274"/>
      <c r="ID107" s="272"/>
      <c r="IE107" s="274"/>
      <c r="IF107" s="274"/>
      <c r="IG107" s="274"/>
      <c r="IH107" s="275"/>
      <c r="II107" s="750"/>
      <c r="IJ107" s="274"/>
      <c r="IK107" s="274"/>
      <c r="IL107" s="276"/>
      <c r="IM107" s="1016"/>
      <c r="IN107" s="1016"/>
      <c r="IO107" s="1047"/>
      <c r="IP107" s="1048"/>
      <c r="IQ107" s="541"/>
      <c r="IR107" s="542"/>
      <c r="IS107" s="543"/>
      <c r="IT107" s="543"/>
      <c r="IU107" s="543"/>
      <c r="IV107" s="543"/>
      <c r="IW107" s="543"/>
      <c r="IX107" s="544"/>
      <c r="IY107" s="544"/>
      <c r="IZ107" s="543"/>
      <c r="JA107" s="543"/>
      <c r="JB107" s="543"/>
      <c r="JC107" s="543"/>
      <c r="JD107" s="545"/>
      <c r="JE107" s="545"/>
      <c r="JF107" s="546"/>
      <c r="JG107" s="503"/>
      <c r="JH107" s="506"/>
      <c r="JO107" s="507"/>
      <c r="JP107" s="508"/>
      <c r="JQ107" s="508"/>
      <c r="JR107" s="508"/>
      <c r="JS107" s="508"/>
      <c r="JT107" s="508"/>
      <c r="JU107" s="508"/>
      <c r="JV107" s="508"/>
      <c r="JW107" s="508"/>
      <c r="JX107" s="508"/>
      <c r="JY107" s="508"/>
      <c r="JZ107" s="508"/>
      <c r="KA107" s="508"/>
      <c r="KB107" s="508"/>
      <c r="KC107" s="508"/>
      <c r="KD107" s="508"/>
      <c r="KE107" s="508"/>
      <c r="KF107" s="508"/>
      <c r="KG107" s="508"/>
      <c r="KH107" s="508"/>
      <c r="KI107" s="508"/>
      <c r="KJ107" s="508"/>
      <c r="KK107" s="508"/>
      <c r="KL107" s="508"/>
      <c r="KM107" s="508"/>
      <c r="KN107" s="508"/>
      <c r="KO107" s="508"/>
      <c r="KP107" s="508"/>
      <c r="KQ107" s="508"/>
      <c r="KR107" s="508"/>
      <c r="KS107" s="508"/>
      <c r="KT107" s="508"/>
      <c r="KU107" s="508"/>
      <c r="KV107" s="508"/>
      <c r="KW107" s="509"/>
      <c r="KX107" s="1016"/>
      <c r="KY107" s="1016"/>
    </row>
    <row r="108" spans="1:398" ht="40" customHeight="1">
      <c r="B108" s="299"/>
      <c r="C108" s="241"/>
      <c r="D108" s="242"/>
      <c r="E108" s="243"/>
      <c r="F108" s="1050"/>
      <c r="G108" s="246"/>
      <c r="H108" s="246"/>
      <c r="I108" s="246"/>
      <c r="J108" s="246"/>
      <c r="K108" s="246"/>
      <c r="L108" s="246"/>
      <c r="M108" s="300"/>
      <c r="N108" s="251"/>
      <c r="O108" s="251"/>
      <c r="P108" s="300"/>
      <c r="Q108" s="1051"/>
      <c r="R108" s="251"/>
      <c r="S108" s="251"/>
      <c r="T108" s="251"/>
      <c r="U108" s="301"/>
      <c r="V108" s="242"/>
      <c r="W108" s="242"/>
      <c r="X108" s="242"/>
      <c r="Y108" s="242"/>
      <c r="Z108" s="242"/>
      <c r="AA108" s="604"/>
      <c r="AB108" s="617"/>
      <c r="AC108" s="618"/>
      <c r="AD108" s="947"/>
      <c r="AE108" s="336"/>
      <c r="AF108" s="337"/>
      <c r="AG108" s="337"/>
      <c r="AH108" s="337"/>
      <c r="AI108" s="337"/>
      <c r="AJ108" s="337"/>
      <c r="AK108" s="337"/>
      <c r="AL108" s="337"/>
      <c r="AM108" s="337"/>
      <c r="AN108" s="337"/>
      <c r="AO108" s="337"/>
      <c r="AP108" s="337"/>
      <c r="AQ108" s="337"/>
      <c r="AR108" s="337"/>
      <c r="AS108" s="339"/>
      <c r="AT108" s="337"/>
      <c r="AU108" s="339"/>
      <c r="AV108" s="337"/>
      <c r="AW108" s="337"/>
      <c r="AX108" s="337"/>
      <c r="AY108" s="337"/>
      <c r="AZ108" s="611"/>
      <c r="BA108" s="611"/>
      <c r="BB108" s="611"/>
      <c r="BC108" s="611"/>
      <c r="BD108" s="611"/>
      <c r="BE108" s="611"/>
      <c r="BF108" s="611"/>
      <c r="BG108" s="611"/>
      <c r="BH108" s="611"/>
      <c r="BI108" s="611"/>
      <c r="BJ108" s="611"/>
      <c r="BK108" s="611"/>
      <c r="BL108" s="611"/>
      <c r="BM108" s="611"/>
      <c r="BN108" s="611"/>
      <c r="BO108" s="337"/>
      <c r="BP108" s="337"/>
      <c r="BQ108" s="337"/>
      <c r="BR108" s="340"/>
      <c r="BS108" s="342"/>
      <c r="BT108" s="938"/>
      <c r="BU108" s="938"/>
      <c r="BV108" s="615"/>
      <c r="BW108" s="615"/>
      <c r="BX108" s="616"/>
      <c r="BY108" s="360" t="s">
        <v>246</v>
      </c>
      <c r="BZ108" s="361" t="s">
        <v>247</v>
      </c>
      <c r="CA108" s="597"/>
      <c r="CB108" s="597"/>
      <c r="CC108" s="750"/>
      <c r="CD108" s="274"/>
      <c r="CE108" s="274"/>
      <c r="CF108" s="274"/>
      <c r="CG108" s="274"/>
      <c r="CH108" s="274"/>
      <c r="CI108" s="274"/>
      <c r="CJ108" s="274"/>
      <c r="CK108" s="274"/>
      <c r="CL108" s="274"/>
      <c r="CM108" s="756"/>
      <c r="CN108" s="756"/>
      <c r="CO108" s="755"/>
      <c r="CP108" s="755"/>
      <c r="CQ108" s="755"/>
      <c r="CR108" s="757"/>
      <c r="CS108" s="758"/>
      <c r="CT108" s="755"/>
      <c r="CU108" s="755"/>
      <c r="CV108" s="755"/>
      <c r="CW108" s="755"/>
      <c r="CX108" s="755"/>
      <c r="CY108" s="755"/>
      <c r="CZ108" s="755"/>
      <c r="DA108" s="755"/>
      <c r="DB108" s="755"/>
      <c r="DC108" s="756"/>
      <c r="DD108" s="274"/>
      <c r="DE108" s="274"/>
      <c r="DF108" s="274"/>
      <c r="DG108" s="275"/>
      <c r="DH108" s="750"/>
      <c r="DI108" s="274"/>
      <c r="DJ108" s="274"/>
      <c r="DK108" s="276"/>
      <c r="DL108" s="1016"/>
      <c r="DM108" s="1016"/>
      <c r="DN108" s="1016"/>
      <c r="DO108" s="1016"/>
      <c r="DP108" s="1016"/>
      <c r="DQ108" s="1016"/>
      <c r="DR108" s="1016"/>
      <c r="DS108" s="1016"/>
      <c r="DT108" s="1016"/>
      <c r="DU108" s="1016"/>
      <c r="DV108" s="1016"/>
      <c r="DW108" s="1016"/>
      <c r="DX108" s="1016"/>
      <c r="DY108" s="1016"/>
      <c r="DZ108" s="1016"/>
      <c r="EA108" s="1016"/>
      <c r="EB108" s="1016"/>
      <c r="EC108" s="1016"/>
      <c r="ED108" s="1016"/>
      <c r="EE108" s="1016"/>
      <c r="EF108" s="1016"/>
      <c r="EG108" s="1016"/>
      <c r="EH108" s="1016"/>
      <c r="EI108" s="1016"/>
      <c r="EJ108" s="1016"/>
      <c r="EK108" s="1016"/>
      <c r="EL108" s="1016"/>
      <c r="EM108" s="1016"/>
      <c r="EN108" s="1016"/>
      <c r="EO108" s="604"/>
      <c r="EP108" s="605"/>
      <c r="EQ108" s="878"/>
      <c r="ER108" s="952"/>
      <c r="ES108" s="952"/>
      <c r="ET108" s="952"/>
      <c r="EU108" s="952"/>
      <c r="EV108" s="608"/>
      <c r="EW108" s="609"/>
      <c r="EX108" s="610"/>
      <c r="EY108" s="442"/>
      <c r="EZ108" s="440"/>
      <c r="FA108" s="441"/>
      <c r="FB108" s="442"/>
      <c r="FC108" s="440"/>
      <c r="FD108" s="441"/>
      <c r="FE108" s="443"/>
      <c r="FF108" s="440"/>
      <c r="FG108" s="441"/>
      <c r="FH108" s="443"/>
      <c r="FI108" s="440"/>
      <c r="FJ108" s="444"/>
      <c r="FK108" s="289"/>
      <c r="FL108" s="1017"/>
      <c r="FM108" s="349"/>
      <c r="FN108" s="336"/>
      <c r="FO108" s="337"/>
      <c r="FP108" s="337"/>
      <c r="FQ108" s="337"/>
      <c r="FR108" s="337"/>
      <c r="FS108" s="337"/>
      <c r="FT108" s="337"/>
      <c r="FU108" s="337"/>
      <c r="FV108" s="339"/>
      <c r="FW108" s="337"/>
      <c r="FX108" s="339"/>
      <c r="FY108" s="337"/>
      <c r="FZ108" s="337"/>
      <c r="GA108" s="337"/>
      <c r="GB108" s="337"/>
      <c r="GC108" s="611"/>
      <c r="GD108" s="611"/>
      <c r="GE108" s="611"/>
      <c r="GF108" s="611"/>
      <c r="GG108" s="611"/>
      <c r="GH108" s="611"/>
      <c r="GI108" s="611"/>
      <c r="GJ108" s="611"/>
      <c r="GK108" s="611"/>
      <c r="GL108" s="611"/>
      <c r="GM108" s="611"/>
      <c r="GN108" s="611"/>
      <c r="GO108" s="611"/>
      <c r="GP108" s="611"/>
      <c r="GQ108" s="611"/>
      <c r="GR108" s="337"/>
      <c r="GS108" s="337"/>
      <c r="GT108" s="342"/>
      <c r="GU108" s="938"/>
      <c r="GV108" s="938"/>
      <c r="GW108" s="615"/>
      <c r="GX108" s="615"/>
      <c r="GY108" s="616"/>
      <c r="GZ108" s="596"/>
      <c r="HA108" s="597"/>
      <c r="HB108" s="597"/>
      <c r="HC108" s="597"/>
      <c r="HD108" s="750"/>
      <c r="HE108" s="274"/>
      <c r="HF108" s="274"/>
      <c r="HG108" s="274"/>
      <c r="HH108" s="274"/>
      <c r="HI108" s="274"/>
      <c r="HJ108" s="274"/>
      <c r="HK108" s="274"/>
      <c r="HL108" s="274"/>
      <c r="HM108" s="274"/>
      <c r="HN108" s="272"/>
      <c r="HO108" s="272"/>
      <c r="HP108" s="274"/>
      <c r="HQ108" s="274"/>
      <c r="HR108" s="274"/>
      <c r="HS108" s="275"/>
      <c r="HT108" s="750"/>
      <c r="HU108" s="274"/>
      <c r="HV108" s="274"/>
      <c r="HW108" s="274"/>
      <c r="HX108" s="274"/>
      <c r="HY108" s="274"/>
      <c r="HZ108" s="274"/>
      <c r="IA108" s="274"/>
      <c r="IB108" s="274"/>
      <c r="IC108" s="274"/>
      <c r="ID108" s="272"/>
      <c r="IE108" s="274"/>
      <c r="IF108" s="274"/>
      <c r="IG108" s="274"/>
      <c r="IH108" s="275"/>
      <c r="II108" s="750"/>
      <c r="IJ108" s="274"/>
      <c r="IK108" s="274"/>
      <c r="IL108" s="276"/>
      <c r="IM108" s="1016"/>
      <c r="IN108" s="1016"/>
      <c r="IO108" s="1047"/>
      <c r="IP108" s="1048"/>
      <c r="IQ108" s="541"/>
      <c r="IR108" s="542"/>
      <c r="IS108" s="543"/>
      <c r="IT108" s="543"/>
      <c r="IU108" s="543"/>
      <c r="IV108" s="543"/>
      <c r="IW108" s="543"/>
      <c r="IX108" s="544"/>
      <c r="IY108" s="544"/>
      <c r="IZ108" s="543"/>
      <c r="JA108" s="543"/>
      <c r="JB108" s="543"/>
      <c r="JC108" s="543"/>
      <c r="JD108" s="545"/>
      <c r="JE108" s="545"/>
      <c r="JF108" s="546"/>
      <c r="JG108" s="503"/>
      <c r="JH108" s="506"/>
      <c r="JO108" s="507"/>
      <c r="JP108" s="508"/>
      <c r="JQ108" s="508"/>
      <c r="JR108" s="508"/>
      <c r="JS108" s="508"/>
      <c r="JT108" s="508"/>
      <c r="JU108" s="508"/>
      <c r="JV108" s="508"/>
      <c r="JW108" s="508"/>
      <c r="JX108" s="508"/>
      <c r="JY108" s="508"/>
      <c r="JZ108" s="508"/>
      <c r="KA108" s="508"/>
      <c r="KB108" s="508"/>
      <c r="KC108" s="508"/>
      <c r="KD108" s="508"/>
      <c r="KE108" s="508"/>
      <c r="KF108" s="508"/>
      <c r="KG108" s="508"/>
      <c r="KH108" s="508"/>
      <c r="KI108" s="508"/>
      <c r="KJ108" s="508"/>
      <c r="KK108" s="508"/>
      <c r="KL108" s="508"/>
      <c r="KM108" s="508"/>
      <c r="KN108" s="508"/>
      <c r="KO108" s="508"/>
      <c r="KP108" s="508"/>
      <c r="KQ108" s="508"/>
      <c r="KR108" s="508"/>
      <c r="KS108" s="508"/>
      <c r="KT108" s="508"/>
      <c r="KU108" s="508"/>
      <c r="KV108" s="508"/>
      <c r="KW108" s="509"/>
      <c r="KX108" s="1016"/>
      <c r="KY108" s="1016"/>
    </row>
    <row r="109" spans="1:398" ht="40" customHeight="1">
      <c r="B109" s="299"/>
      <c r="C109" s="242"/>
      <c r="D109" s="378"/>
      <c r="E109" s="379">
        <v>3025</v>
      </c>
      <c r="F109" s="1068" t="s">
        <v>466</v>
      </c>
      <c r="G109" s="381">
        <v>42</v>
      </c>
      <c r="H109" s="381">
        <v>126</v>
      </c>
      <c r="I109" s="381">
        <v>42</v>
      </c>
      <c r="J109" s="381">
        <v>110</v>
      </c>
      <c r="K109" s="245" t="s">
        <v>467</v>
      </c>
      <c r="L109" s="381">
        <v>110</v>
      </c>
      <c r="M109" s="383">
        <v>13</v>
      </c>
      <c r="N109" s="384" t="s">
        <v>167</v>
      </c>
      <c r="O109" s="1069" t="s">
        <v>167</v>
      </c>
      <c r="P109" s="383" t="s">
        <v>167</v>
      </c>
      <c r="Q109" s="1041" t="s">
        <v>167</v>
      </c>
      <c r="R109" s="384" t="s">
        <v>167</v>
      </c>
      <c r="S109" s="384" t="s">
        <v>167</v>
      </c>
      <c r="T109" s="384" t="s">
        <v>167</v>
      </c>
      <c r="U109" s="385" t="s">
        <v>169</v>
      </c>
      <c r="V109" s="378" t="s">
        <v>172</v>
      </c>
      <c r="W109" s="378"/>
      <c r="X109" s="378"/>
      <c r="Y109" s="378"/>
      <c r="Z109" s="378"/>
      <c r="AA109" s="887" t="s">
        <v>275</v>
      </c>
      <c r="AB109" s="387"/>
      <c r="AC109" s="388"/>
      <c r="AD109" s="955"/>
      <c r="AE109" s="465" t="s">
        <v>295</v>
      </c>
      <c r="AF109" s="625" t="s">
        <v>323</v>
      </c>
      <c r="AG109" s="391">
        <f>'[1]3025_トヨタスポーツセンター'!G28</f>
        <v>3261192</v>
      </c>
      <c r="AH109" s="461">
        <f>FQ109</f>
        <v>0</v>
      </c>
      <c r="AI109" s="468">
        <f>FR109</f>
        <v>4100</v>
      </c>
      <c r="AJ109" s="469">
        <f>AK109/AT109</f>
        <v>0.3988725594813185</v>
      </c>
      <c r="AK109" s="461">
        <v>32520</v>
      </c>
      <c r="AL109" s="469">
        <f>AM109/AT109</f>
        <v>0.3988725594813185</v>
      </c>
      <c r="AM109" s="461">
        <v>32520</v>
      </c>
      <c r="AN109" s="626" t="s">
        <v>308</v>
      </c>
      <c r="AO109" s="461">
        <v>1074</v>
      </c>
      <c r="AP109" s="391">
        <f>'[1]3025_トヨタスポーツセンター'!F26</f>
        <v>40</v>
      </c>
      <c r="AQ109" s="391">
        <v>120</v>
      </c>
      <c r="AR109" s="474" t="e">
        <f>DM109/(BX109-2)</f>
        <v>#VALUE!</v>
      </c>
      <c r="AS109" s="394" t="e">
        <f>AG109/AR109</f>
        <v>#VALUE!</v>
      </c>
      <c r="AT109" s="390">
        <f>AG109/AP109</f>
        <v>81529.8</v>
      </c>
      <c r="AU109" s="394">
        <f>AG109/AQ109</f>
        <v>27176.6</v>
      </c>
      <c r="AV109" s="395">
        <v>26000</v>
      </c>
      <c r="AW109" s="395">
        <v>48000</v>
      </c>
      <c r="AX109" s="391">
        <f>GA109</f>
        <v>84704</v>
      </c>
      <c r="AY109" s="391">
        <f>GB109</f>
        <v>5</v>
      </c>
      <c r="AZ109" s="1070">
        <f>AG109*AQ109</f>
        <v>391343040</v>
      </c>
      <c r="BA109" s="1070">
        <f>GD109</f>
        <v>1397616</v>
      </c>
      <c r="BB109" s="478">
        <f>AI109*DM109</f>
        <v>0</v>
      </c>
      <c r="BC109" s="986">
        <f>AH109*DM109</f>
        <v>0</v>
      </c>
      <c r="BD109" s="986">
        <f>AK109*DM109*0.6</f>
        <v>0</v>
      </c>
      <c r="BE109" s="986">
        <f>BD109-21000*DM109*0.6</f>
        <v>0</v>
      </c>
      <c r="BF109" s="986">
        <f>AM109*DM109*0.4</f>
        <v>0</v>
      </c>
      <c r="BG109" s="986">
        <f>BF109-0</f>
        <v>0</v>
      </c>
      <c r="BH109" s="478">
        <f>AO109*DM109*0.3</f>
        <v>0</v>
      </c>
      <c r="BI109" s="1071">
        <f>GJ109</f>
        <v>0</v>
      </c>
      <c r="BJ109" s="736">
        <f>GK109</f>
        <v>0</v>
      </c>
      <c r="BK109" s="1072"/>
      <c r="BL109" s="480"/>
      <c r="BM109" s="736">
        <v>2</v>
      </c>
      <c r="BN109" s="736">
        <v>0</v>
      </c>
      <c r="BO109" s="396"/>
      <c r="BP109" s="396">
        <f>SUM(AZ109,BA109,BI109,BO109)</f>
        <v>392740656</v>
      </c>
      <c r="BQ109" s="396">
        <f>BP109-GR109</f>
        <v>380472000</v>
      </c>
      <c r="BR109" s="397"/>
      <c r="BS109" s="1073" t="s">
        <v>175</v>
      </c>
      <c r="BT109" s="1074"/>
      <c r="BU109" s="1074"/>
      <c r="BV109" s="666" t="str">
        <f>IFERROR(INDEX($BY$9:$DH$9, MATCH("準備", BY109:DK109, 0)), "")</f>
        <v/>
      </c>
      <c r="BW109" s="667" t="str" cm="1">
        <f t="array" ref="BW109">IF(COUNTIF(BY109:DK109,"*撤去*")=0,"",INDEX(BY$9:DK$9,1,MAX(IF(CC109:DK109="撤去",COLUMN(CC109:DK109)-COLUMN(BY109)+1))))</f>
        <v/>
      </c>
      <c r="BX109" s="663" t="e">
        <f>BW109-BV109</f>
        <v>#VALUE!</v>
      </c>
      <c r="BY109" s="556">
        <v>0</v>
      </c>
      <c r="BZ109" s="557">
        <v>0</v>
      </c>
      <c r="CA109" s="557">
        <v>0</v>
      </c>
      <c r="CB109" s="557">
        <v>0</v>
      </c>
      <c r="CC109" s="405">
        <v>0</v>
      </c>
      <c r="CD109" s="403">
        <v>0</v>
      </c>
      <c r="CE109" s="403">
        <v>0</v>
      </c>
      <c r="CF109" s="403">
        <v>0</v>
      </c>
      <c r="CG109" s="403">
        <v>0</v>
      </c>
      <c r="CH109" s="403">
        <v>0</v>
      </c>
      <c r="CI109" s="403">
        <v>0</v>
      </c>
      <c r="CJ109" s="403">
        <v>0</v>
      </c>
      <c r="CK109" s="403">
        <v>0</v>
      </c>
      <c r="CL109" s="403">
        <v>0</v>
      </c>
      <c r="CM109" s="403">
        <v>0</v>
      </c>
      <c r="CN109" s="403">
        <v>0</v>
      </c>
      <c r="CO109" s="403">
        <v>0</v>
      </c>
      <c r="CP109" s="403">
        <v>0</v>
      </c>
      <c r="CQ109" s="403">
        <v>0</v>
      </c>
      <c r="CR109" s="403">
        <v>0</v>
      </c>
      <c r="CS109" s="403">
        <v>0</v>
      </c>
      <c r="CT109" s="403">
        <v>0</v>
      </c>
      <c r="CU109" s="403">
        <v>0</v>
      </c>
      <c r="CV109" s="403">
        <v>0</v>
      </c>
      <c r="CW109" s="403">
        <v>0</v>
      </c>
      <c r="CX109" s="403">
        <v>0</v>
      </c>
      <c r="CY109" s="403">
        <v>0</v>
      </c>
      <c r="CZ109" s="403">
        <v>0</v>
      </c>
      <c r="DA109" s="403">
        <v>0</v>
      </c>
      <c r="DB109" s="403">
        <v>0</v>
      </c>
      <c r="DC109" s="403">
        <v>0</v>
      </c>
      <c r="DD109" s="403">
        <v>0</v>
      </c>
      <c r="DE109" s="403">
        <v>0</v>
      </c>
      <c r="DF109" s="403">
        <v>0</v>
      </c>
      <c r="DG109" s="404">
        <v>0</v>
      </c>
      <c r="DH109" s="405">
        <v>0</v>
      </c>
      <c r="DI109" s="403">
        <v>0</v>
      </c>
      <c r="DJ109" s="403">
        <v>0</v>
      </c>
      <c r="DK109" s="407">
        <v>0</v>
      </c>
      <c r="DL109" s="1016"/>
      <c r="DM109" s="277" cm="1">
        <f t="array" ref="DM109">SUM(IF(ISNUMBER($BY109:$DK109),$BY109:$DK109, 0))</f>
        <v>0</v>
      </c>
      <c r="DN109" s="277">
        <v>1430</v>
      </c>
      <c r="DO109" s="277" t="e">
        <f>DM109*(BX109)/(BX109+1)</f>
        <v>#VALUE!</v>
      </c>
      <c r="DP109" s="277"/>
      <c r="DQ109" s="386" t="s">
        <v>468</v>
      </c>
      <c r="DR109" s="387" t="s">
        <v>332</v>
      </c>
      <c r="DS109" s="388">
        <v>110</v>
      </c>
      <c r="DT109" s="955">
        <f>SUM(DS109,DS110)</f>
        <v>110</v>
      </c>
      <c r="DU109" s="259">
        <v>3261192</v>
      </c>
      <c r="DV109" s="259">
        <v>84704</v>
      </c>
      <c r="DW109" s="1075">
        <v>52179072</v>
      </c>
      <c r="DX109" s="1075">
        <v>1397616</v>
      </c>
      <c r="DY109" s="478">
        <v>6314000</v>
      </c>
      <c r="DZ109" s="565">
        <v>30048480</v>
      </c>
      <c r="EA109" s="565">
        <v>20032320</v>
      </c>
      <c r="EB109" s="478">
        <v>496188</v>
      </c>
      <c r="EC109" s="566">
        <v>0</v>
      </c>
      <c r="ED109" s="566">
        <v>0</v>
      </c>
      <c r="EE109" s="480">
        <v>160000</v>
      </c>
      <c r="EF109" s="480">
        <v>0</v>
      </c>
      <c r="EG109" s="265"/>
      <c r="EH109" s="396">
        <v>53576688</v>
      </c>
      <c r="EI109" s="1076"/>
      <c r="EJ109" s="1076"/>
      <c r="EK109" s="1035">
        <v>46279</v>
      </c>
      <c r="EL109" s="1036">
        <v>46295</v>
      </c>
      <c r="EM109" s="1037">
        <v>16</v>
      </c>
      <c r="EN109" s="277"/>
      <c r="EO109" s="386" t="s">
        <v>468</v>
      </c>
      <c r="EP109" s="408" t="s">
        <v>332</v>
      </c>
      <c r="EQ109" s="985">
        <v>110</v>
      </c>
      <c r="ER109" s="958">
        <v>110</v>
      </c>
      <c r="ES109" s="245">
        <v>110</v>
      </c>
      <c r="ET109" s="245">
        <v>110</v>
      </c>
      <c r="EU109" s="245">
        <v>110</v>
      </c>
      <c r="EV109" s="411" t="s">
        <v>451</v>
      </c>
      <c r="EW109" s="412">
        <v>10.6</v>
      </c>
      <c r="EX109" s="413">
        <v>20</v>
      </c>
      <c r="EY109" s="414" t="s">
        <v>188</v>
      </c>
      <c r="EZ109" s="492">
        <v>10.6</v>
      </c>
      <c r="FA109" s="493">
        <v>20</v>
      </c>
      <c r="FB109" s="414" t="s">
        <v>189</v>
      </c>
      <c r="FC109" s="492"/>
      <c r="FD109" s="493"/>
      <c r="FE109" s="494" t="s">
        <v>189</v>
      </c>
      <c r="FF109" s="492"/>
      <c r="FG109" s="493"/>
      <c r="FH109" s="494" t="s">
        <v>189</v>
      </c>
      <c r="FI109" s="492"/>
      <c r="FJ109" s="495"/>
      <c r="FK109" s="289">
        <v>16</v>
      </c>
      <c r="FL109" s="1042">
        <v>0.12698412698412698</v>
      </c>
      <c r="FM109" s="498" t="s">
        <v>469</v>
      </c>
      <c r="FN109" s="292" t="s">
        <v>399</v>
      </c>
      <c r="FO109" s="258" t="s">
        <v>470</v>
      </c>
      <c r="FP109" s="259">
        <v>679440</v>
      </c>
      <c r="FQ109" s="563">
        <v>0</v>
      </c>
      <c r="FR109" s="468">
        <v>4100</v>
      </c>
      <c r="FS109" s="259">
        <v>42</v>
      </c>
      <c r="FT109" s="391">
        <v>110</v>
      </c>
      <c r="FU109" s="261">
        <v>110</v>
      </c>
      <c r="FV109" s="263">
        <v>6176.727272727273</v>
      </c>
      <c r="FW109" s="390">
        <v>16177.142857142857</v>
      </c>
      <c r="FX109" s="394">
        <v>6176.727272727273</v>
      </c>
      <c r="FY109" s="264">
        <v>11765</v>
      </c>
      <c r="FZ109" s="264">
        <v>17648</v>
      </c>
      <c r="GA109" s="259">
        <v>84704</v>
      </c>
      <c r="GB109" s="259">
        <v>5</v>
      </c>
      <c r="GC109" s="1075">
        <v>10871040</v>
      </c>
      <c r="GD109" s="1075">
        <v>1397616</v>
      </c>
      <c r="GE109" s="1075">
        <v>10871040</v>
      </c>
      <c r="GF109" s="1075">
        <v>1397616</v>
      </c>
      <c r="GG109" s="478">
        <v>0</v>
      </c>
      <c r="GH109" s="478">
        <v>0</v>
      </c>
      <c r="GI109" s="478">
        <v>3788400</v>
      </c>
      <c r="GJ109" s="566"/>
      <c r="GK109" s="566"/>
      <c r="GL109" s="566"/>
      <c r="GM109" s="480">
        <v>0</v>
      </c>
      <c r="GN109" s="480">
        <v>140000</v>
      </c>
      <c r="GO109" s="480">
        <v>0</v>
      </c>
      <c r="GP109" s="566">
        <v>2</v>
      </c>
      <c r="GQ109" s="566">
        <v>0</v>
      </c>
      <c r="GR109" s="396">
        <v>12268656</v>
      </c>
      <c r="GS109" s="265">
        <v>6834944</v>
      </c>
      <c r="GT109" s="1077" t="s">
        <v>175</v>
      </c>
      <c r="GU109" s="1076"/>
      <c r="GV109" s="1076"/>
      <c r="GW109" s="1035">
        <v>46279</v>
      </c>
      <c r="GX109" s="1036">
        <v>46295</v>
      </c>
      <c r="GY109" s="1037">
        <v>16</v>
      </c>
      <c r="GZ109" s="596"/>
      <c r="HA109" s="597"/>
      <c r="HB109" s="597"/>
      <c r="HC109" s="597"/>
      <c r="HD109" s="405">
        <v>0</v>
      </c>
      <c r="HE109" s="403">
        <v>0</v>
      </c>
      <c r="HF109" s="403">
        <v>0</v>
      </c>
      <c r="HG109" s="403">
        <v>0</v>
      </c>
      <c r="HH109" s="403">
        <v>0</v>
      </c>
      <c r="HI109" s="403">
        <v>0</v>
      </c>
      <c r="HJ109" s="403">
        <v>0</v>
      </c>
      <c r="HK109" s="403">
        <v>0</v>
      </c>
      <c r="HL109" s="403">
        <v>0</v>
      </c>
      <c r="HM109" s="403">
        <v>0</v>
      </c>
      <c r="HN109" s="400" t="s">
        <v>177</v>
      </c>
      <c r="HO109" s="400" t="s">
        <v>177</v>
      </c>
      <c r="HP109" s="403">
        <v>110</v>
      </c>
      <c r="HQ109" s="403">
        <v>110</v>
      </c>
      <c r="HR109" s="1063">
        <v>110</v>
      </c>
      <c r="HS109" s="1078">
        <v>110</v>
      </c>
      <c r="HT109" s="405">
        <v>110</v>
      </c>
      <c r="HU109" s="403">
        <v>110</v>
      </c>
      <c r="HV109" s="403">
        <v>110</v>
      </c>
      <c r="HW109" s="403">
        <v>110</v>
      </c>
      <c r="HX109" s="403">
        <v>110</v>
      </c>
      <c r="HY109" s="403">
        <v>110</v>
      </c>
      <c r="HZ109" s="403">
        <v>110</v>
      </c>
      <c r="IA109" s="403">
        <v>110</v>
      </c>
      <c r="IB109" s="403">
        <v>110</v>
      </c>
      <c r="IC109" s="403">
        <v>110</v>
      </c>
      <c r="ID109" s="406" t="s">
        <v>178</v>
      </c>
      <c r="IE109" s="403">
        <v>0</v>
      </c>
      <c r="IF109" s="403">
        <v>0</v>
      </c>
      <c r="IG109" s="403">
        <v>0</v>
      </c>
      <c r="IH109" s="404">
        <v>0</v>
      </c>
      <c r="II109" s="405">
        <v>0</v>
      </c>
      <c r="IJ109" s="403">
        <v>0</v>
      </c>
      <c r="IK109" s="403">
        <v>0</v>
      </c>
      <c r="IL109" s="407">
        <v>0</v>
      </c>
      <c r="IM109" s="1016"/>
      <c r="IN109" s="277" cm="1">
        <f t="array" ref="IN109">SUM(IF(ISNUMBER($HD109:$IL109),$HD109:$IL109, 0))</f>
        <v>1540</v>
      </c>
      <c r="IO109" s="1021"/>
      <c r="IP109" s="1022"/>
      <c r="IQ109" s="541"/>
      <c r="IR109" s="569">
        <f>VLOOKUP($E109,[1]アジアResults1031!$A$1:$CH$259,23,FALSE)</f>
        <v>679440</v>
      </c>
      <c r="IS109" s="570">
        <f>VLOOKUP($E109,[1]アジアResults1031!$A$1:$CH$259,32,FALSE)</f>
        <v>42</v>
      </c>
      <c r="IT109" s="570">
        <f>KY109/(GY109-2)</f>
        <v>180.71428571428572</v>
      </c>
      <c r="IU109" s="570">
        <f>IR109/IT109</f>
        <v>3759.7470355731225</v>
      </c>
      <c r="IV109" s="570">
        <f>VLOOKUP(E109,[1]アジアResults1031!$A$1:$CH$264,26,FALSE)</f>
        <v>11765</v>
      </c>
      <c r="IW109" s="570">
        <f>VLOOKUP(E109,[1]アジアResults1031!$A$1:$CH$264,27,FALSE)</f>
        <v>17648</v>
      </c>
      <c r="IX109" s="571">
        <f>VLOOKUP($E109,[1]アジアResults1031!$A$1:$CH$259,18,FALSE)</f>
        <v>84704</v>
      </c>
      <c r="IY109" s="571">
        <f>VLOOKUP($E109,[1]アジアResults1031!$A$1:$CH$259,9,FALSE)</f>
        <v>5</v>
      </c>
      <c r="IZ109" s="570">
        <f>IR109*JF109</f>
        <v>16986000</v>
      </c>
      <c r="JA109" s="570">
        <f>IX109*JF109</f>
        <v>2117600</v>
      </c>
      <c r="JB109" s="570"/>
      <c r="JC109" s="570"/>
      <c r="JD109" s="572">
        <f>IFERROR(INDEX($JO$9:$KW$9, MATCH("準備", JO109:KW109, 0)), "")</f>
        <v>46275</v>
      </c>
      <c r="JE109" s="572" cm="1">
        <f t="array" ref="JE109">IF(COUNTIF(JO109:KW109,"*撤去*")=0,"",INDEX(JO$9:KW$9,1,MAX(IF(JO109:KW109="撤去",COLUMN(JO109:KW109)-COLUMN(JO109)+1))))</f>
        <v>46300</v>
      </c>
      <c r="JF109" s="573">
        <f>JE109-JD109</f>
        <v>25</v>
      </c>
      <c r="JG109" s="503">
        <v>1714515</v>
      </c>
      <c r="JH109" s="506">
        <v>84704</v>
      </c>
      <c r="JO109" s="507"/>
      <c r="JP109" s="508"/>
      <c r="JQ109" s="508"/>
      <c r="JR109" s="508"/>
      <c r="JS109" s="508"/>
      <c r="JT109" s="508"/>
      <c r="JU109" s="400" t="s">
        <v>177</v>
      </c>
      <c r="JV109" s="400" t="s">
        <v>177</v>
      </c>
      <c r="JW109" s="508">
        <v>110</v>
      </c>
      <c r="JX109" s="508">
        <v>110</v>
      </c>
      <c r="JY109" s="508">
        <v>110</v>
      </c>
      <c r="JZ109" s="508">
        <v>110</v>
      </c>
      <c r="KA109" s="508">
        <v>110</v>
      </c>
      <c r="KB109" s="508">
        <v>110</v>
      </c>
      <c r="KC109" s="508">
        <v>110</v>
      </c>
      <c r="KD109" s="508">
        <v>110</v>
      </c>
      <c r="KE109" s="508">
        <v>110</v>
      </c>
      <c r="KF109" s="508">
        <v>110</v>
      </c>
      <c r="KG109" s="508">
        <v>110</v>
      </c>
      <c r="KH109" s="508">
        <v>110</v>
      </c>
      <c r="KI109" s="508">
        <v>110</v>
      </c>
      <c r="KJ109" s="508">
        <v>110</v>
      </c>
      <c r="KK109" s="508">
        <v>110</v>
      </c>
      <c r="KL109" s="508">
        <v>110</v>
      </c>
      <c r="KM109" s="508">
        <v>110</v>
      </c>
      <c r="KN109" s="508">
        <v>110</v>
      </c>
      <c r="KO109" s="508">
        <v>110</v>
      </c>
      <c r="KP109" s="508">
        <v>110</v>
      </c>
      <c r="KQ109" s="508">
        <v>110</v>
      </c>
      <c r="KR109" s="508">
        <v>110</v>
      </c>
      <c r="KS109" s="508">
        <v>110</v>
      </c>
      <c r="KT109" s="406" t="s">
        <v>178</v>
      </c>
      <c r="KU109" s="508"/>
      <c r="KV109" s="508"/>
      <c r="KW109" s="509"/>
      <c r="KX109" s="1016"/>
      <c r="KY109" s="277" cm="1">
        <f t="array" ref="KY109">SUM(IF(ISNUMBER($JO109:$KW109),$JO109:$KW109, 0))</f>
        <v>2530</v>
      </c>
    </row>
    <row r="110" spans="1:398" s="547" customFormat="1" ht="40" customHeight="1" thickBot="1">
      <c r="A110" s="1"/>
      <c r="B110" s="299"/>
      <c r="C110" s="671"/>
      <c r="D110" s="242"/>
      <c r="E110" s="243" t="s">
        <v>165</v>
      </c>
      <c r="F110" s="1079"/>
      <c r="G110" s="246">
        <v>0</v>
      </c>
      <c r="H110" s="246">
        <v>0</v>
      </c>
      <c r="I110" s="246">
        <v>0</v>
      </c>
      <c r="J110" s="246">
        <v>0</v>
      </c>
      <c r="K110" s="246"/>
      <c r="L110" s="246">
        <v>0</v>
      </c>
      <c r="M110" s="300">
        <v>0</v>
      </c>
      <c r="N110" s="251">
        <v>0</v>
      </c>
      <c r="O110" s="1080" t="s">
        <v>471</v>
      </c>
      <c r="P110" s="300"/>
      <c r="Q110" s="1051"/>
      <c r="R110" s="251"/>
      <c r="S110" s="251"/>
      <c r="T110" s="251"/>
      <c r="U110" s="301"/>
      <c r="V110" s="242"/>
      <c r="W110" s="242"/>
      <c r="X110" s="242"/>
      <c r="Y110" s="242"/>
      <c r="Z110" s="242"/>
      <c r="AA110" s="604"/>
      <c r="AB110" s="617" t="s">
        <v>170</v>
      </c>
      <c r="AC110" s="618">
        <v>0</v>
      </c>
      <c r="AD110" s="947"/>
      <c r="AE110" s="336"/>
      <c r="AF110" s="337"/>
      <c r="AG110" s="337"/>
      <c r="AH110" s="337"/>
      <c r="AI110" s="337"/>
      <c r="AJ110" s="337"/>
      <c r="AK110" s="337"/>
      <c r="AL110" s="337"/>
      <c r="AM110" s="337"/>
      <c r="AN110" s="337"/>
      <c r="AO110" s="337"/>
      <c r="AP110" s="337"/>
      <c r="AQ110" s="337"/>
      <c r="AR110" s="337"/>
      <c r="AS110" s="339"/>
      <c r="AT110" s="337"/>
      <c r="AU110" s="339"/>
      <c r="AV110" s="337"/>
      <c r="AW110" s="337"/>
      <c r="AX110" s="337"/>
      <c r="AY110" s="337"/>
      <c r="AZ110" s="611"/>
      <c r="BA110" s="611"/>
      <c r="BB110" s="611"/>
      <c r="BC110" s="611"/>
      <c r="BD110" s="611"/>
      <c r="BE110" s="611"/>
      <c r="BF110" s="611"/>
      <c r="BG110" s="611"/>
      <c r="BH110" s="611"/>
      <c r="BI110" s="611"/>
      <c r="BJ110" s="611"/>
      <c r="BK110" s="611"/>
      <c r="BL110" s="611"/>
      <c r="BM110" s="611"/>
      <c r="BN110" s="611"/>
      <c r="BO110" s="337"/>
      <c r="BP110" s="337"/>
      <c r="BQ110" s="337"/>
      <c r="BR110" s="340"/>
      <c r="BS110" s="342"/>
      <c r="BT110" s="938"/>
      <c r="BU110" s="938"/>
      <c r="BV110" s="615" t="str">
        <f>IFERROR(INDEX($HD$9:$II$9, MATCH("準備", CC110:DK110, 0)), "")</f>
        <v/>
      </c>
      <c r="BW110" s="615" t="str" cm="1">
        <f t="array" ref="BW110">IF(COUNTIF(CC110:DK110,"*撤去*")=0,"",INDEX(CC$9:DK$9,1,MAX(IF(CC110:DK110="撤去",COLUMN(CC110:DK110)-COLUMN(CC110)+1))))</f>
        <v/>
      </c>
      <c r="BX110" s="616"/>
      <c r="BY110" s="820" t="s">
        <v>246</v>
      </c>
      <c r="BZ110" s="821" t="s">
        <v>247</v>
      </c>
      <c r="CA110" s="597"/>
      <c r="CB110" s="597"/>
      <c r="CC110" s="271"/>
      <c r="CD110" s="272"/>
      <c r="CE110" s="272"/>
      <c r="CF110" s="272"/>
      <c r="CG110" s="272"/>
      <c r="CH110" s="272"/>
      <c r="CI110" s="272"/>
      <c r="CJ110" s="272"/>
      <c r="CK110" s="272"/>
      <c r="CL110" s="272"/>
      <c r="CM110" s="363"/>
      <c r="CN110" s="363"/>
      <c r="CO110" s="363"/>
      <c r="CP110" s="363"/>
      <c r="CQ110" s="364"/>
      <c r="CR110" s="365"/>
      <c r="CS110" s="366"/>
      <c r="CT110" s="363"/>
      <c r="CU110" s="363"/>
      <c r="CV110" s="363"/>
      <c r="CW110" s="363"/>
      <c r="CX110" s="363"/>
      <c r="CY110" s="363"/>
      <c r="CZ110" s="363"/>
      <c r="DA110" s="363"/>
      <c r="DB110" s="363"/>
      <c r="DC110" s="363"/>
      <c r="DD110" s="272"/>
      <c r="DE110" s="272"/>
      <c r="DF110" s="274"/>
      <c r="DG110" s="275"/>
      <c r="DH110" s="271"/>
      <c r="DI110" s="272"/>
      <c r="DJ110" s="272"/>
      <c r="DK110" s="276"/>
      <c r="DL110" s="1016"/>
      <c r="DM110" s="1016"/>
      <c r="DN110" s="1016"/>
      <c r="DO110" s="1016"/>
      <c r="DP110" s="1016"/>
      <c r="DQ110" s="604"/>
      <c r="DR110" s="617" t="s">
        <v>170</v>
      </c>
      <c r="DS110" s="618">
        <v>0</v>
      </c>
      <c r="DT110" s="947"/>
      <c r="DU110" s="337"/>
      <c r="DV110" s="337"/>
      <c r="DW110" s="611"/>
      <c r="DX110" s="611"/>
      <c r="DY110" s="611"/>
      <c r="DZ110" s="611"/>
      <c r="EA110" s="611"/>
      <c r="EB110" s="611"/>
      <c r="EC110" s="611"/>
      <c r="ED110" s="611"/>
      <c r="EE110" s="611"/>
      <c r="EF110" s="611"/>
      <c r="EG110" s="337"/>
      <c r="EH110" s="337"/>
      <c r="EI110" s="938"/>
      <c r="EJ110" s="938"/>
      <c r="EK110" s="615" t="s">
        <v>165</v>
      </c>
      <c r="EL110" s="615" t="s">
        <v>165</v>
      </c>
      <c r="EM110" s="616"/>
      <c r="EN110" s="1016"/>
      <c r="EO110" s="604"/>
      <c r="EP110" s="605" t="s">
        <v>170</v>
      </c>
      <c r="EQ110" s="878">
        <v>0</v>
      </c>
      <c r="ER110" s="952"/>
      <c r="ES110" s="952" t="e">
        <v>#N/A</v>
      </c>
      <c r="ET110" s="952"/>
      <c r="EU110" s="952"/>
      <c r="EV110" s="608" t="s">
        <v>170</v>
      </c>
      <c r="EW110" s="370"/>
      <c r="EX110" s="371"/>
      <c r="EY110" s="442" t="s">
        <v>170</v>
      </c>
      <c r="EZ110" s="373"/>
      <c r="FA110" s="374"/>
      <c r="FB110" s="442" t="s">
        <v>170</v>
      </c>
      <c r="FC110" s="440"/>
      <c r="FD110" s="441"/>
      <c r="FE110" s="443" t="s">
        <v>170</v>
      </c>
      <c r="FF110" s="440"/>
      <c r="FG110" s="441"/>
      <c r="FH110" s="443" t="s">
        <v>170</v>
      </c>
      <c r="FI110" s="440"/>
      <c r="FJ110" s="444"/>
      <c r="FK110" s="289"/>
      <c r="FL110" s="1017"/>
      <c r="FM110" s="332"/>
      <c r="FN110" s="336"/>
      <c r="FO110" s="337"/>
      <c r="FP110" s="337"/>
      <c r="FQ110" s="337"/>
      <c r="FR110" s="337"/>
      <c r="FS110" s="337"/>
      <c r="FT110" s="337"/>
      <c r="FU110" s="337"/>
      <c r="FV110" s="339"/>
      <c r="FW110" s="337"/>
      <c r="FX110" s="339"/>
      <c r="FY110" s="337"/>
      <c r="FZ110" s="337"/>
      <c r="GA110" s="337"/>
      <c r="GB110" s="337"/>
      <c r="GC110" s="611"/>
      <c r="GD110" s="611"/>
      <c r="GE110" s="611"/>
      <c r="GF110" s="611"/>
      <c r="GG110" s="611"/>
      <c r="GH110" s="611"/>
      <c r="GI110" s="611"/>
      <c r="GJ110" s="611"/>
      <c r="GK110" s="611"/>
      <c r="GL110" s="611"/>
      <c r="GM110" s="611"/>
      <c r="GN110" s="611"/>
      <c r="GO110" s="611"/>
      <c r="GP110" s="611"/>
      <c r="GQ110" s="611"/>
      <c r="GR110" s="337"/>
      <c r="GS110" s="337"/>
      <c r="GT110" s="342"/>
      <c r="GU110" s="938"/>
      <c r="GV110" s="938"/>
      <c r="GW110" s="615" t="s">
        <v>165</v>
      </c>
      <c r="GX110" s="615" t="s">
        <v>165</v>
      </c>
      <c r="GY110" s="616"/>
      <c r="GZ110" s="596"/>
      <c r="HA110" s="597"/>
      <c r="HB110" s="597"/>
      <c r="HC110" s="597"/>
      <c r="HD110" s="271"/>
      <c r="HE110" s="272"/>
      <c r="HF110" s="272"/>
      <c r="HG110" s="272"/>
      <c r="HH110" s="272"/>
      <c r="HI110" s="272"/>
      <c r="HJ110" s="272"/>
      <c r="HK110" s="272"/>
      <c r="HL110" s="272"/>
      <c r="HM110" s="272"/>
      <c r="HN110" s="272"/>
      <c r="HO110" s="272"/>
      <c r="HP110" s="272"/>
      <c r="HQ110" s="272"/>
      <c r="HR110" s="274"/>
      <c r="HS110" s="275"/>
      <c r="HT110" s="271"/>
      <c r="HU110" s="272"/>
      <c r="HV110" s="272"/>
      <c r="HW110" s="272"/>
      <c r="HX110" s="272"/>
      <c r="HY110" s="272"/>
      <c r="HZ110" s="272"/>
      <c r="IA110" s="272"/>
      <c r="IB110" s="272"/>
      <c r="IC110" s="272"/>
      <c r="ID110" s="272"/>
      <c r="IE110" s="272"/>
      <c r="IF110" s="272"/>
      <c r="IG110" s="274"/>
      <c r="IH110" s="275"/>
      <c r="II110" s="271"/>
      <c r="IJ110" s="272"/>
      <c r="IK110" s="272"/>
      <c r="IL110" s="276"/>
      <c r="IM110" s="1016"/>
      <c r="IN110" s="1016"/>
      <c r="IO110" s="1029"/>
      <c r="IP110" s="1030"/>
      <c r="IQ110" s="541"/>
      <c r="IR110" s="542"/>
      <c r="IS110" s="543"/>
      <c r="IT110" s="543"/>
      <c r="IU110" s="543"/>
      <c r="IV110" s="543"/>
      <c r="IW110" s="543"/>
      <c r="IX110" s="544"/>
      <c r="IY110" s="544"/>
      <c r="IZ110" s="543"/>
      <c r="JA110" s="543"/>
      <c r="JB110" s="543"/>
      <c r="JC110" s="543"/>
      <c r="JD110" s="545"/>
      <c r="JE110" s="545"/>
      <c r="JF110" s="546"/>
      <c r="JG110" s="503"/>
      <c r="JH110" s="506"/>
      <c r="JI110" s="1"/>
      <c r="JJ110" s="1"/>
      <c r="JK110" s="1"/>
      <c r="JL110" s="1"/>
      <c r="JM110" s="1"/>
      <c r="JN110" s="1"/>
      <c r="JO110" s="507"/>
      <c r="JP110" s="508"/>
      <c r="JQ110" s="508"/>
      <c r="JR110" s="508"/>
      <c r="JS110" s="729"/>
      <c r="JT110" s="729"/>
      <c r="JU110" s="729"/>
      <c r="JV110" s="729"/>
      <c r="JW110" s="729"/>
      <c r="JX110" s="729"/>
      <c r="JY110" s="729"/>
      <c r="JZ110" s="729"/>
      <c r="KA110" s="729"/>
      <c r="KB110" s="729"/>
      <c r="KC110" s="729"/>
      <c r="KD110" s="729"/>
      <c r="KE110" s="729"/>
      <c r="KF110" s="729"/>
      <c r="KG110" s="729"/>
      <c r="KH110" s="729"/>
      <c r="KI110" s="729"/>
      <c r="KJ110" s="729"/>
      <c r="KK110" s="729"/>
      <c r="KL110" s="729"/>
      <c r="KM110" s="729"/>
      <c r="KN110" s="729"/>
      <c r="KO110" s="729"/>
      <c r="KP110" s="729"/>
      <c r="KQ110" s="729"/>
      <c r="KR110" s="729"/>
      <c r="KS110" s="729"/>
      <c r="KT110" s="729"/>
      <c r="KU110" s="729"/>
      <c r="KV110" s="729"/>
      <c r="KW110" s="730"/>
      <c r="KX110" s="1016"/>
      <c r="KY110" s="1016"/>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row>
    <row r="111" spans="1:398" ht="40" hidden="1" customHeight="1" thickBot="1">
      <c r="B111" s="1081" t="s">
        <v>472</v>
      </c>
      <c r="C111" s="1082" t="s">
        <v>473</v>
      </c>
      <c r="D111" s="1083"/>
      <c r="E111" s="835">
        <v>1015</v>
      </c>
      <c r="F111" s="1084" t="s">
        <v>474</v>
      </c>
      <c r="G111" s="1085">
        <v>30</v>
      </c>
      <c r="H111" s="1085">
        <v>60</v>
      </c>
      <c r="I111" s="1085">
        <v>0</v>
      </c>
      <c r="J111" s="1085">
        <v>0</v>
      </c>
      <c r="K111" s="1086" t="s">
        <v>475</v>
      </c>
      <c r="L111" s="1087"/>
      <c r="M111" s="1088">
        <v>16</v>
      </c>
      <c r="N111" s="1089" t="s">
        <v>167</v>
      </c>
      <c r="O111" s="1089" t="s">
        <v>168</v>
      </c>
      <c r="P111" s="1088">
        <v>120</v>
      </c>
      <c r="Q111" s="1090" t="s">
        <v>170</v>
      </c>
      <c r="R111" s="1089" t="s">
        <v>169</v>
      </c>
      <c r="S111" s="1089" t="s">
        <v>167</v>
      </c>
      <c r="T111" s="1089" t="s">
        <v>476</v>
      </c>
      <c r="U111" s="835" t="s">
        <v>169</v>
      </c>
      <c r="V111" s="1083" t="s">
        <v>172</v>
      </c>
      <c r="W111" s="1083"/>
      <c r="X111" s="1083"/>
      <c r="Y111" s="1083"/>
      <c r="Z111" s="1083"/>
      <c r="AA111" s="1091"/>
      <c r="AB111" s="1092"/>
      <c r="AC111" s="1093">
        <v>0</v>
      </c>
      <c r="AD111" s="1094"/>
      <c r="AE111" s="1095"/>
      <c r="AF111" s="1096"/>
      <c r="AG111" s="1097"/>
      <c r="AH111" s="1097"/>
      <c r="AI111" s="1097"/>
      <c r="AJ111" s="1097"/>
      <c r="AK111" s="1097"/>
      <c r="AL111" s="1097"/>
      <c r="AM111" s="1097"/>
      <c r="AN111" s="1097"/>
      <c r="AO111" s="1097"/>
      <c r="AP111" s="1097"/>
      <c r="AQ111" s="1097"/>
      <c r="AR111" s="1098"/>
      <c r="AS111" s="1099"/>
      <c r="AT111" s="1100"/>
      <c r="AU111" s="1099"/>
      <c r="AV111" s="1096"/>
      <c r="AW111" s="1096"/>
      <c r="AX111" s="1101"/>
      <c r="AY111" s="1097"/>
      <c r="AZ111" s="1102"/>
      <c r="BA111" s="1102"/>
      <c r="BB111" s="1102"/>
      <c r="BC111" s="1102"/>
      <c r="BD111" s="1102"/>
      <c r="BE111" s="1102"/>
      <c r="BF111" s="1102"/>
      <c r="BG111" s="1102"/>
      <c r="BH111" s="1102"/>
      <c r="BI111" s="1102"/>
      <c r="BJ111" s="1102"/>
      <c r="BK111" s="1102"/>
      <c r="BL111" s="1102"/>
      <c r="BM111" s="1102"/>
      <c r="BN111" s="1102"/>
      <c r="BO111" s="1097"/>
      <c r="BP111" s="1097"/>
      <c r="BQ111" s="1097"/>
      <c r="BR111" s="1103"/>
      <c r="BS111" s="1104"/>
      <c r="BT111" s="1105"/>
      <c r="BU111" s="1105"/>
      <c r="BV111" s="1106"/>
      <c r="BW111" s="1106"/>
      <c r="BX111" s="1107"/>
      <c r="BY111" s="864"/>
      <c r="BZ111" s="865"/>
      <c r="CA111" s="865"/>
      <c r="CB111" s="865"/>
      <c r="CC111" s="866"/>
      <c r="CD111" s="867"/>
      <c r="CE111" s="867"/>
      <c r="CF111" s="867"/>
      <c r="CG111" s="867"/>
      <c r="CH111" s="867"/>
      <c r="CI111" s="867"/>
      <c r="CJ111" s="867"/>
      <c r="CK111" s="867"/>
      <c r="CL111" s="867"/>
      <c r="CM111" s="1013"/>
      <c r="CN111" s="1013"/>
      <c r="CO111" s="913"/>
      <c r="CP111" s="976"/>
      <c r="CQ111" s="976"/>
      <c r="CR111" s="1014"/>
      <c r="CS111" s="975"/>
      <c r="CT111" s="976"/>
      <c r="CU111" s="976"/>
      <c r="CV111" s="976"/>
      <c r="CW111" s="976"/>
      <c r="CX111" s="976"/>
      <c r="CY111" s="976"/>
      <c r="CZ111" s="976"/>
      <c r="DA111" s="976"/>
      <c r="DB111" s="976"/>
      <c r="DC111" s="976"/>
      <c r="DD111" s="867"/>
      <c r="DE111" s="867"/>
      <c r="DF111" s="867"/>
      <c r="DG111" s="1108"/>
      <c r="DH111" s="866"/>
      <c r="DI111" s="867"/>
      <c r="DJ111" s="867"/>
      <c r="DK111" s="871"/>
      <c r="DL111" s="1016"/>
      <c r="DM111" s="277" cm="1">
        <f t="array" ref="DM111">SUM(IF(ISNUMBER($BY111:$DK111),$BY111:$DK111, 0))</f>
        <v>0</v>
      </c>
      <c r="DN111" s="277"/>
      <c r="DO111" s="277"/>
      <c r="DP111" s="277"/>
      <c r="DQ111" s="277"/>
      <c r="DR111" s="277"/>
      <c r="DS111" s="277"/>
      <c r="DT111" s="277"/>
      <c r="DU111" s="277"/>
      <c r="DV111" s="277"/>
      <c r="DW111" s="277"/>
      <c r="DX111" s="277"/>
      <c r="DY111" s="277"/>
      <c r="DZ111" s="277"/>
      <c r="EA111" s="277"/>
      <c r="EB111" s="277"/>
      <c r="EC111" s="277"/>
      <c r="ED111" s="277"/>
      <c r="EE111" s="277"/>
      <c r="EF111" s="277"/>
      <c r="EG111" s="277"/>
      <c r="EH111" s="277"/>
      <c r="EI111" s="277"/>
      <c r="EJ111" s="277"/>
      <c r="EK111" s="277"/>
      <c r="EL111" s="277"/>
      <c r="EM111" s="277"/>
      <c r="EN111" s="277"/>
      <c r="EO111" s="843"/>
      <c r="EP111" s="916"/>
      <c r="EQ111" s="1109">
        <v>0</v>
      </c>
      <c r="ER111" s="1110"/>
      <c r="ES111" s="245" t="s">
        <v>165</v>
      </c>
      <c r="ET111" s="245">
        <v>81</v>
      </c>
      <c r="EU111" s="245" t="s">
        <v>165</v>
      </c>
      <c r="EV111" s="919" t="s">
        <v>477</v>
      </c>
      <c r="EW111" s="920">
        <v>20.9</v>
      </c>
      <c r="EX111" s="921">
        <v>33</v>
      </c>
      <c r="EY111" s="922" t="s">
        <v>478</v>
      </c>
      <c r="EZ111" s="923">
        <v>18.8</v>
      </c>
      <c r="FA111" s="924">
        <v>32</v>
      </c>
      <c r="FB111" s="922" t="s">
        <v>189</v>
      </c>
      <c r="FC111" s="923"/>
      <c r="FD111" s="924"/>
      <c r="FE111" s="925" t="s">
        <v>189</v>
      </c>
      <c r="FF111" s="923"/>
      <c r="FG111" s="924"/>
      <c r="FH111" s="925" t="s">
        <v>189</v>
      </c>
      <c r="FI111" s="923"/>
      <c r="FJ111" s="926"/>
      <c r="FK111" s="1111">
        <v>39</v>
      </c>
      <c r="FL111" s="1112">
        <v>0.1449814126394052</v>
      </c>
      <c r="FM111" s="928" t="s">
        <v>479</v>
      </c>
      <c r="FN111" s="1095"/>
      <c r="FO111" s="1096"/>
      <c r="FP111" s="1097"/>
      <c r="FQ111" s="1097"/>
      <c r="FR111" s="1097"/>
      <c r="FS111" s="1097"/>
      <c r="FT111" s="1097"/>
      <c r="FU111" s="1097"/>
      <c r="FV111" s="1099"/>
      <c r="FW111" s="641"/>
      <c r="FX111" s="642"/>
      <c r="FY111" s="1096"/>
      <c r="FZ111" s="1096"/>
      <c r="GA111" s="1101"/>
      <c r="GB111" s="1097"/>
      <c r="GC111" s="1102"/>
      <c r="GD111" s="1102"/>
      <c r="GE111" s="1102"/>
      <c r="GF111" s="1102"/>
      <c r="GG111" s="1102"/>
      <c r="GH111" s="1102"/>
      <c r="GI111" s="1102"/>
      <c r="GJ111" s="1102"/>
      <c r="GK111" s="1102"/>
      <c r="GL111" s="1102"/>
      <c r="GM111" s="1102"/>
      <c r="GN111" s="1102"/>
      <c r="GO111" s="1102"/>
      <c r="GP111" s="1102"/>
      <c r="GQ111" s="1102"/>
      <c r="GR111" s="1097"/>
      <c r="GS111" s="1097"/>
      <c r="GT111" s="1104"/>
      <c r="GU111" s="1105"/>
      <c r="GV111" s="1105"/>
      <c r="GW111" s="1106"/>
      <c r="GX111" s="1106"/>
      <c r="GY111" s="1107"/>
      <c r="GZ111" s="864"/>
      <c r="HA111" s="865"/>
      <c r="HB111" s="865"/>
      <c r="HC111" s="865"/>
      <c r="HD111" s="866"/>
      <c r="HE111" s="867"/>
      <c r="HF111" s="867"/>
      <c r="HG111" s="867"/>
      <c r="HH111" s="867"/>
      <c r="HI111" s="867"/>
      <c r="HJ111" s="867"/>
      <c r="HK111" s="867"/>
      <c r="HL111" s="867"/>
      <c r="HM111" s="867"/>
      <c r="HN111" s="1113"/>
      <c r="HO111" s="1113"/>
      <c r="HP111" s="912"/>
      <c r="HQ111" s="867"/>
      <c r="HR111" s="867"/>
      <c r="HS111" s="869"/>
      <c r="HT111" s="866"/>
      <c r="HU111" s="867"/>
      <c r="HV111" s="867"/>
      <c r="HW111" s="867"/>
      <c r="HX111" s="867"/>
      <c r="HY111" s="867"/>
      <c r="HZ111" s="867"/>
      <c r="IA111" s="867"/>
      <c r="IB111" s="867"/>
      <c r="IC111" s="867"/>
      <c r="ID111" s="867"/>
      <c r="IE111" s="867"/>
      <c r="IF111" s="867"/>
      <c r="IG111" s="867"/>
      <c r="IH111" s="1108"/>
      <c r="II111" s="866"/>
      <c r="IJ111" s="867"/>
      <c r="IK111" s="867"/>
      <c r="IL111" s="871"/>
      <c r="IM111" s="1016"/>
      <c r="IN111" s="277" cm="1">
        <f t="array" ref="IN111">SUM(IF(ISNUMBER($HD111:$IL111),$HD111:$IL111, 0))</f>
        <v>0</v>
      </c>
      <c r="IO111" s="1047"/>
      <c r="IP111" s="1048"/>
      <c r="IQ111" s="541"/>
      <c r="IR111" s="930">
        <v>0</v>
      </c>
      <c r="IS111" s="931"/>
      <c r="IT111" s="931"/>
      <c r="IU111" s="931"/>
      <c r="IV111" s="931"/>
      <c r="IW111" s="931"/>
      <c r="IX111" s="932">
        <v>0</v>
      </c>
      <c r="IY111" s="932"/>
      <c r="IZ111" s="931">
        <v>0</v>
      </c>
      <c r="JA111" s="935">
        <v>0</v>
      </c>
      <c r="JB111" s="931"/>
      <c r="JC111" s="931"/>
      <c r="JD111" s="933"/>
      <c r="JE111" s="933"/>
      <c r="JF111" s="934"/>
      <c r="JG111" s="935"/>
      <c r="JH111" s="936"/>
      <c r="JO111" s="507"/>
      <c r="JP111" s="508"/>
      <c r="JQ111" s="508"/>
      <c r="JR111" s="508"/>
      <c r="JS111" s="508"/>
      <c r="JT111" s="508"/>
      <c r="JU111" s="508"/>
      <c r="JV111" s="508"/>
      <c r="JW111" s="508"/>
      <c r="JX111" s="400" t="s">
        <v>177</v>
      </c>
      <c r="JY111" s="400" t="s">
        <v>177</v>
      </c>
      <c r="JZ111" s="508">
        <v>252</v>
      </c>
      <c r="KA111" s="508">
        <v>252</v>
      </c>
      <c r="KB111" s="508">
        <v>252</v>
      </c>
      <c r="KC111" s="508">
        <v>252</v>
      </c>
      <c r="KD111" s="508">
        <v>252</v>
      </c>
      <c r="KE111" s="508">
        <v>252</v>
      </c>
      <c r="KF111" s="508">
        <v>252</v>
      </c>
      <c r="KG111" s="508">
        <v>252</v>
      </c>
      <c r="KH111" s="508">
        <v>252</v>
      </c>
      <c r="KI111" s="508">
        <v>252</v>
      </c>
      <c r="KJ111" s="508">
        <v>252</v>
      </c>
      <c r="KK111" s="508">
        <v>252</v>
      </c>
      <c r="KL111" s="508">
        <v>252</v>
      </c>
      <c r="KM111" s="508">
        <v>252</v>
      </c>
      <c r="KN111" s="508">
        <v>252</v>
      </c>
      <c r="KO111" s="508">
        <v>252</v>
      </c>
      <c r="KP111" s="508">
        <v>252</v>
      </c>
      <c r="KQ111" s="508">
        <v>252</v>
      </c>
      <c r="KR111" s="508">
        <v>252</v>
      </c>
      <c r="KS111" s="406" t="s">
        <v>178</v>
      </c>
      <c r="KT111" s="508"/>
      <c r="KU111" s="508"/>
      <c r="KV111" s="508"/>
      <c r="KW111" s="509"/>
      <c r="KX111" s="1016"/>
      <c r="KY111" s="277" cm="1">
        <f t="array" ref="KY111">SUM(IF(ISNUMBER($JO111:$KW111),$JO111:$KW111, 0))</f>
        <v>4788</v>
      </c>
    </row>
    <row r="112" spans="1:398" s="547" customFormat="1" ht="40" hidden="1" customHeight="1">
      <c r="A112" s="1"/>
      <c r="B112" s="1114"/>
      <c r="C112" s="1115"/>
      <c r="D112" s="1116"/>
      <c r="E112" s="243" t="s">
        <v>165</v>
      </c>
      <c r="F112" s="1117"/>
      <c r="G112" s="1118">
        <v>0</v>
      </c>
      <c r="H112" s="1118">
        <v>0</v>
      </c>
      <c r="I112" s="1118">
        <v>0</v>
      </c>
      <c r="J112" s="1118">
        <v>0</v>
      </c>
      <c r="K112" s="1119"/>
      <c r="L112" s="1119"/>
      <c r="M112" s="1120">
        <v>0</v>
      </c>
      <c r="N112" s="1121">
        <v>0</v>
      </c>
      <c r="O112" s="1121">
        <v>0</v>
      </c>
      <c r="P112" s="1120">
        <v>0</v>
      </c>
      <c r="Q112" s="1122">
        <v>0</v>
      </c>
      <c r="R112" s="1121">
        <v>0</v>
      </c>
      <c r="S112" s="1121">
        <v>0</v>
      </c>
      <c r="T112" s="1121">
        <v>0</v>
      </c>
      <c r="U112" s="243" t="s">
        <v>165</v>
      </c>
      <c r="V112" s="1116"/>
      <c r="W112" s="1116"/>
      <c r="X112" s="1116"/>
      <c r="Y112" s="1116"/>
      <c r="Z112" s="1116"/>
      <c r="AA112" s="1123"/>
      <c r="AB112" s="1124" t="s">
        <v>170</v>
      </c>
      <c r="AC112" s="1125">
        <v>0</v>
      </c>
      <c r="AD112" s="1126"/>
      <c r="AE112" s="336"/>
      <c r="AF112" s="337"/>
      <c r="AG112" s="337"/>
      <c r="AH112" s="337"/>
      <c r="AI112" s="337"/>
      <c r="AJ112" s="337"/>
      <c r="AK112" s="337"/>
      <c r="AL112" s="337"/>
      <c r="AM112" s="337"/>
      <c r="AN112" s="337"/>
      <c r="AO112" s="337"/>
      <c r="AP112" s="337"/>
      <c r="AQ112" s="337"/>
      <c r="AR112" s="337"/>
      <c r="AS112" s="339"/>
      <c r="AT112" s="337"/>
      <c r="AU112" s="339"/>
      <c r="AV112" s="337"/>
      <c r="AW112" s="337"/>
      <c r="AX112" s="337"/>
      <c r="AY112" s="337"/>
      <c r="AZ112" s="611"/>
      <c r="BA112" s="611"/>
      <c r="BB112" s="611"/>
      <c r="BC112" s="611"/>
      <c r="BD112" s="611"/>
      <c r="BE112" s="611"/>
      <c r="BF112" s="611"/>
      <c r="BG112" s="611"/>
      <c r="BH112" s="611"/>
      <c r="BI112" s="611"/>
      <c r="BJ112" s="611"/>
      <c r="BK112" s="611"/>
      <c r="BL112" s="611"/>
      <c r="BM112" s="611"/>
      <c r="BN112" s="611"/>
      <c r="BO112" s="337"/>
      <c r="BP112" s="337"/>
      <c r="BQ112" s="337"/>
      <c r="BR112" s="340"/>
      <c r="BS112" s="342"/>
      <c r="BT112" s="938"/>
      <c r="BU112" s="938"/>
      <c r="BV112" s="615" t="str">
        <f>IFERROR(INDEX($HD$9:$II$9, MATCH("準備", CC112:DK112, 0)), "")</f>
        <v/>
      </c>
      <c r="BW112" s="615" t="str" cm="1">
        <f t="array" ref="BW112">IF(COUNTIF(CC112:DK112,"*撤去*")=0,"",INDEX(CC$9:DK$9,1,MAX(IF(CC112:DK112="撤去",COLUMN(CC112:DK112)-COLUMN(CC112)+1))))</f>
        <v/>
      </c>
      <c r="BX112" s="616"/>
      <c r="BY112" s="596"/>
      <c r="BZ112" s="597"/>
      <c r="CA112" s="597"/>
      <c r="CB112" s="597"/>
      <c r="CC112" s="271"/>
      <c r="CD112" s="272"/>
      <c r="CE112" s="272"/>
      <c r="CF112" s="272"/>
      <c r="CG112" s="272"/>
      <c r="CH112" s="272"/>
      <c r="CI112" s="272"/>
      <c r="CJ112" s="272"/>
      <c r="CK112" s="272"/>
      <c r="CL112" s="1127"/>
      <c r="CM112" s="1127"/>
      <c r="CN112" s="622"/>
      <c r="CO112" s="622"/>
      <c r="CP112" s="622"/>
      <c r="CQ112" s="657"/>
      <c r="CR112" s="658"/>
      <c r="CS112" s="621"/>
      <c r="CT112" s="622"/>
      <c r="CU112" s="622"/>
      <c r="CV112" s="622"/>
      <c r="CW112" s="622"/>
      <c r="CX112" s="622"/>
      <c r="CY112" s="622"/>
      <c r="CZ112" s="622"/>
      <c r="DA112" s="622"/>
      <c r="DB112" s="622"/>
      <c r="DC112" s="622"/>
      <c r="DD112" s="622"/>
      <c r="DE112" s="622"/>
      <c r="DF112" s="657"/>
      <c r="DG112" s="1128"/>
      <c r="DH112" s="271"/>
      <c r="DI112" s="272"/>
      <c r="DJ112" s="272"/>
      <c r="DK112" s="276"/>
      <c r="DL112" s="1016"/>
      <c r="DM112" s="1016"/>
      <c r="DN112" s="1016"/>
      <c r="DO112" s="1016"/>
      <c r="DP112" s="1016"/>
      <c r="DQ112" s="1016"/>
      <c r="DR112" s="1016"/>
      <c r="DS112" s="1016"/>
      <c r="DT112" s="1016"/>
      <c r="DU112" s="1016"/>
      <c r="DV112" s="1016"/>
      <c r="DW112" s="1016"/>
      <c r="DX112" s="1016"/>
      <c r="DY112" s="1016"/>
      <c r="DZ112" s="1016"/>
      <c r="EA112" s="1016"/>
      <c r="EB112" s="1016"/>
      <c r="EC112" s="1016"/>
      <c r="ED112" s="1016"/>
      <c r="EE112" s="1016"/>
      <c r="EF112" s="1016"/>
      <c r="EG112" s="1016"/>
      <c r="EH112" s="1016"/>
      <c r="EI112" s="1016"/>
      <c r="EJ112" s="1016"/>
      <c r="EK112" s="1016"/>
      <c r="EL112" s="1016"/>
      <c r="EM112" s="1016"/>
      <c r="EN112" s="1016"/>
      <c r="EO112" s="604"/>
      <c r="EP112" s="605" t="s">
        <v>170</v>
      </c>
      <c r="EQ112" s="878">
        <v>0</v>
      </c>
      <c r="ER112" s="952"/>
      <c r="ES112" s="952" t="e">
        <v>#N/A</v>
      </c>
      <c r="ET112" s="952"/>
      <c r="EU112" s="952"/>
      <c r="EV112" s="608" t="s">
        <v>170</v>
      </c>
      <c r="EW112" s="370"/>
      <c r="EX112" s="371"/>
      <c r="EY112" s="442" t="s">
        <v>170</v>
      </c>
      <c r="EZ112" s="373"/>
      <c r="FA112" s="374"/>
      <c r="FB112" s="442" t="s">
        <v>170</v>
      </c>
      <c r="FC112" s="440"/>
      <c r="FD112" s="441"/>
      <c r="FE112" s="443" t="s">
        <v>170</v>
      </c>
      <c r="FF112" s="440"/>
      <c r="FG112" s="441"/>
      <c r="FH112" s="443" t="s">
        <v>170</v>
      </c>
      <c r="FI112" s="440"/>
      <c r="FJ112" s="444"/>
      <c r="FK112" s="289"/>
      <c r="FL112" s="1017"/>
      <c r="FM112" s="332"/>
      <c r="FN112" s="336"/>
      <c r="FO112" s="337"/>
      <c r="FP112" s="337"/>
      <c r="FQ112" s="337"/>
      <c r="FR112" s="337"/>
      <c r="FS112" s="337"/>
      <c r="FT112" s="337"/>
      <c r="FU112" s="337"/>
      <c r="FV112" s="339"/>
      <c r="FW112" s="337"/>
      <c r="FX112" s="339"/>
      <c r="FY112" s="337"/>
      <c r="FZ112" s="337"/>
      <c r="GA112" s="337"/>
      <c r="GB112" s="337"/>
      <c r="GC112" s="611"/>
      <c r="GD112" s="611"/>
      <c r="GE112" s="611"/>
      <c r="GF112" s="611"/>
      <c r="GG112" s="611"/>
      <c r="GH112" s="611"/>
      <c r="GI112" s="611"/>
      <c r="GJ112" s="611"/>
      <c r="GK112" s="611"/>
      <c r="GL112" s="611"/>
      <c r="GM112" s="611"/>
      <c r="GN112" s="611"/>
      <c r="GO112" s="611"/>
      <c r="GP112" s="611"/>
      <c r="GQ112" s="611"/>
      <c r="GR112" s="337"/>
      <c r="GS112" s="337"/>
      <c r="GT112" s="342"/>
      <c r="GU112" s="938"/>
      <c r="GV112" s="938"/>
      <c r="GW112" s="615"/>
      <c r="GX112" s="615"/>
      <c r="GY112" s="616"/>
      <c r="GZ112" s="596"/>
      <c r="HA112" s="597"/>
      <c r="HB112" s="597"/>
      <c r="HC112" s="597"/>
      <c r="HD112" s="271"/>
      <c r="HE112" s="272"/>
      <c r="HF112" s="272"/>
      <c r="HG112" s="272"/>
      <c r="HH112" s="272"/>
      <c r="HI112" s="272"/>
      <c r="HJ112" s="272"/>
      <c r="HK112" s="272"/>
      <c r="HL112" s="272"/>
      <c r="HM112" s="272"/>
      <c r="HN112" s="272"/>
      <c r="HO112" s="272"/>
      <c r="HP112" s="272"/>
      <c r="HQ112" s="272"/>
      <c r="HR112" s="274"/>
      <c r="HS112" s="275"/>
      <c r="HT112" s="271"/>
      <c r="HU112" s="272"/>
      <c r="HV112" s="272"/>
      <c r="HW112" s="272"/>
      <c r="HX112" s="272"/>
      <c r="HY112" s="272"/>
      <c r="HZ112" s="272"/>
      <c r="IA112" s="272"/>
      <c r="IB112" s="272"/>
      <c r="IC112" s="272"/>
      <c r="ID112" s="272"/>
      <c r="IE112" s="272"/>
      <c r="IF112" s="272"/>
      <c r="IG112" s="274"/>
      <c r="IH112" s="275"/>
      <c r="II112" s="271"/>
      <c r="IJ112" s="272"/>
      <c r="IK112" s="272"/>
      <c r="IL112" s="276"/>
      <c r="IM112" s="1016"/>
      <c r="IN112" s="1016"/>
      <c r="IO112" s="1047"/>
      <c r="IP112" s="1048"/>
      <c r="IQ112" s="541"/>
      <c r="IR112" s="542"/>
      <c r="IS112" s="543"/>
      <c r="IT112" s="543"/>
      <c r="IU112" s="543"/>
      <c r="IV112" s="543"/>
      <c r="IW112" s="543"/>
      <c r="IX112" s="544"/>
      <c r="IY112" s="544"/>
      <c r="IZ112" s="543"/>
      <c r="JA112" s="543"/>
      <c r="JB112" s="543"/>
      <c r="JC112" s="543"/>
      <c r="JD112" s="545"/>
      <c r="JE112" s="545"/>
      <c r="JF112" s="546"/>
      <c r="JG112" s="503"/>
      <c r="JH112" s="506"/>
      <c r="JI112" s="1"/>
      <c r="JJ112" s="1"/>
      <c r="JK112" s="1"/>
      <c r="JL112" s="1"/>
      <c r="JM112" s="1"/>
      <c r="JN112" s="1"/>
      <c r="JO112" s="507"/>
      <c r="JP112" s="508"/>
      <c r="JQ112" s="508"/>
      <c r="JR112" s="508"/>
      <c r="JS112" s="729"/>
      <c r="JT112" s="729"/>
      <c r="JU112" s="729"/>
      <c r="JV112" s="729"/>
      <c r="JW112" s="729"/>
      <c r="JX112" s="729"/>
      <c r="JY112" s="729"/>
      <c r="JZ112" s="729"/>
      <c r="KA112" s="729"/>
      <c r="KB112" s="729"/>
      <c r="KC112" s="729"/>
      <c r="KD112" s="729"/>
      <c r="KE112" s="729"/>
      <c r="KF112" s="729"/>
      <c r="KG112" s="729"/>
      <c r="KH112" s="729"/>
      <c r="KI112" s="729"/>
      <c r="KJ112" s="729"/>
      <c r="KK112" s="729"/>
      <c r="KL112" s="729"/>
      <c r="KM112" s="729"/>
      <c r="KN112" s="729"/>
      <c r="KO112" s="729"/>
      <c r="KP112" s="729"/>
      <c r="KQ112" s="729"/>
      <c r="KR112" s="729"/>
      <c r="KS112" s="729"/>
      <c r="KT112" s="729"/>
      <c r="KU112" s="729"/>
      <c r="KV112" s="729"/>
      <c r="KW112" s="730"/>
      <c r="KX112" s="1016"/>
      <c r="KY112" s="1016"/>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row>
    <row r="113" spans="1:398" ht="40" customHeight="1">
      <c r="B113" s="299"/>
      <c r="C113" s="241"/>
      <c r="D113" s="378">
        <v>24</v>
      </c>
      <c r="E113" s="379">
        <v>20</v>
      </c>
      <c r="F113" s="1064" t="s">
        <v>480</v>
      </c>
      <c r="G113" s="1129"/>
      <c r="H113" s="1129"/>
      <c r="I113" s="1129"/>
      <c r="J113" s="1129"/>
      <c r="K113" s="382"/>
      <c r="L113" s="382"/>
      <c r="M113" s="383"/>
      <c r="N113" s="384"/>
      <c r="O113" s="384"/>
      <c r="P113" s="383"/>
      <c r="Q113" s="1041"/>
      <c r="R113" s="384"/>
      <c r="S113" s="384"/>
      <c r="T113" s="384"/>
      <c r="U113" s="385"/>
      <c r="V113" s="378"/>
      <c r="W113" s="378"/>
      <c r="X113" s="378"/>
      <c r="Y113" s="378"/>
      <c r="Z113" s="378"/>
      <c r="AA113" s="386" t="s">
        <v>349</v>
      </c>
      <c r="AB113" s="387"/>
      <c r="AC113" s="388">
        <v>108</v>
      </c>
      <c r="AD113" s="955">
        <f>SUM(AC113,AC114)</f>
        <v>108</v>
      </c>
      <c r="AE113" s="390"/>
      <c r="AF113" s="390"/>
      <c r="AG113" s="390">
        <f>'[1]0020_あいち健康プラザ　別紙1-1'!I20</f>
        <v>413820.00000000006</v>
      </c>
      <c r="AH113" s="390"/>
      <c r="AI113" s="390"/>
      <c r="AJ113" s="390"/>
      <c r="AK113" s="468"/>
      <c r="AL113" s="552">
        <v>0.83</v>
      </c>
      <c r="AM113" s="468"/>
      <c r="AN113" s="468"/>
      <c r="AO113" s="468"/>
      <c r="AP113" s="390"/>
      <c r="AQ113" s="390"/>
      <c r="AR113" s="390"/>
      <c r="AS113" s="394"/>
      <c r="AT113" s="390"/>
      <c r="AU113" s="394"/>
      <c r="AV113" s="390"/>
      <c r="AW113" s="390"/>
      <c r="AX113" s="390">
        <f>'[1]0020_あいち健康プラザ　別紙1-2'!O16</f>
        <v>9080500</v>
      </c>
      <c r="AY113" s="390">
        <v>1</v>
      </c>
      <c r="AZ113" s="734">
        <f>'[1]0020_あいち健康プラザ　別紙1-1'!D22</f>
        <v>10345500</v>
      </c>
      <c r="BA113" s="734">
        <f>'[1]0020_あいち健康プラザ　別紙1-2'!O16</f>
        <v>9080500</v>
      </c>
      <c r="BB113" s="734"/>
      <c r="BC113" s="734"/>
      <c r="BD113" s="478">
        <f>AK113*DM113*0.6</f>
        <v>0</v>
      </c>
      <c r="BE113" s="478">
        <f>BD113-21000*DM113*0.6</f>
        <v>-29937600</v>
      </c>
      <c r="BF113" s="478">
        <f>AM113*DM113*0.4</f>
        <v>0</v>
      </c>
      <c r="BG113" s="478">
        <f>BF113-0</f>
        <v>0</v>
      </c>
      <c r="BH113" s="478">
        <f>AO113*DM113*0.3</f>
        <v>0</v>
      </c>
      <c r="BI113" s="963">
        <f>'[1]0020_あいち健康プラザ　別紙1-1'!AB17</f>
        <v>356250</v>
      </c>
      <c r="BJ113" s="963"/>
      <c r="BK113" s="735">
        <f>BM113*5000*BX113</f>
        <v>1250000</v>
      </c>
      <c r="BL113" s="735">
        <f>1800000*BN113*BX113</f>
        <v>0</v>
      </c>
      <c r="BM113" s="736">
        <v>10</v>
      </c>
      <c r="BN113" s="736">
        <f>GQ113</f>
        <v>0</v>
      </c>
      <c r="BO113" s="732"/>
      <c r="BP113" s="481">
        <f>SUM(AZ113,BA113,BI113,BO113)</f>
        <v>19782250</v>
      </c>
      <c r="BQ113" s="732"/>
      <c r="BR113" s="1130"/>
      <c r="BS113" s="401"/>
      <c r="BT113" s="269"/>
      <c r="BU113" s="1067"/>
      <c r="BV113" s="666">
        <f>IFERROR(INDEX($BY$9:$DH$9, MATCH("準備", BY113:DK113, 0)), "")</f>
        <v>46276</v>
      </c>
      <c r="BW113" s="667" cm="1">
        <f t="array" ref="BW113">IF(COUNTIF(BY113:DK113,"*撤去*")=0,"",INDEX(BY$9:DK$9,1,MAX(IF(CC113:DK113="撤去",COLUMN(CC113:DK113)-COLUMN(BY113)+1))))</f>
        <v>46301</v>
      </c>
      <c r="BX113" s="663">
        <f>BW113-BV113</f>
        <v>25</v>
      </c>
      <c r="BY113" s="556"/>
      <c r="BZ113" s="486"/>
      <c r="CA113" s="486"/>
      <c r="CB113" s="486"/>
      <c r="CC113" s="405"/>
      <c r="CD113" s="403"/>
      <c r="CE113" s="403"/>
      <c r="CF113" s="403"/>
      <c r="CG113" s="403"/>
      <c r="CH113" s="403">
        <v>0</v>
      </c>
      <c r="CI113" s="403">
        <v>0</v>
      </c>
      <c r="CJ113" s="400" t="s">
        <v>177</v>
      </c>
      <c r="CK113" s="400" t="s">
        <v>177</v>
      </c>
      <c r="CL113" s="403">
        <v>108</v>
      </c>
      <c r="CM113" s="403">
        <v>108</v>
      </c>
      <c r="CN113" s="403">
        <v>108</v>
      </c>
      <c r="CO113" s="403">
        <v>108</v>
      </c>
      <c r="CP113" s="403">
        <v>108</v>
      </c>
      <c r="CQ113" s="403">
        <v>108</v>
      </c>
      <c r="CR113" s="403">
        <v>108</v>
      </c>
      <c r="CS113" s="403">
        <v>108</v>
      </c>
      <c r="CT113" s="403">
        <v>108</v>
      </c>
      <c r="CU113" s="403">
        <v>108</v>
      </c>
      <c r="CV113" s="403">
        <v>108</v>
      </c>
      <c r="CW113" s="403">
        <v>108</v>
      </c>
      <c r="CX113" s="403">
        <v>108</v>
      </c>
      <c r="CY113" s="403">
        <v>108</v>
      </c>
      <c r="CZ113" s="403">
        <v>108</v>
      </c>
      <c r="DA113" s="403">
        <v>108</v>
      </c>
      <c r="DB113" s="403">
        <v>108</v>
      </c>
      <c r="DC113" s="403">
        <v>108</v>
      </c>
      <c r="DD113" s="403">
        <v>108</v>
      </c>
      <c r="DE113" s="403">
        <v>108</v>
      </c>
      <c r="DF113" s="403">
        <v>108</v>
      </c>
      <c r="DG113" s="403">
        <v>108</v>
      </c>
      <c r="DH113" s="405">
        <v>0</v>
      </c>
      <c r="DI113" s="406" t="s">
        <v>178</v>
      </c>
      <c r="DJ113" s="403"/>
      <c r="DK113" s="407"/>
      <c r="DL113" s="1016"/>
      <c r="DM113" s="277" cm="1">
        <f t="array" ref="DM113">SUM(IF(ISNUMBER($BY113:$DK113),$BY113:$DK113, 0))</f>
        <v>2376</v>
      </c>
      <c r="DN113" s="277">
        <v>1482</v>
      </c>
      <c r="DO113" s="277">
        <f>DM113*(BX113)/(BX113+1)</f>
        <v>2284.6153846153848</v>
      </c>
      <c r="DP113" s="277"/>
      <c r="DQ113" s="1016"/>
      <c r="DR113" s="1016"/>
      <c r="DS113" s="1016"/>
      <c r="DT113" s="1016"/>
      <c r="DU113" s="1016"/>
      <c r="DV113" s="1016"/>
      <c r="DW113" s="1016"/>
      <c r="DX113" s="1016"/>
      <c r="DY113" s="1016"/>
      <c r="DZ113" s="1016"/>
      <c r="EA113" s="1016"/>
      <c r="EB113" s="1016"/>
      <c r="EC113" s="1016"/>
      <c r="ED113" s="1016"/>
      <c r="EE113" s="1016"/>
      <c r="EF113" s="1016"/>
      <c r="EG113" s="1016"/>
      <c r="EH113" s="1016"/>
      <c r="EI113" s="1016"/>
      <c r="EJ113" s="1016"/>
      <c r="EK113" s="1016"/>
      <c r="EL113" s="1016"/>
      <c r="EM113" s="1016"/>
      <c r="EN113" s="1016"/>
      <c r="EO113" s="604"/>
      <c r="EP113" s="605"/>
      <c r="EQ113" s="878"/>
      <c r="ER113" s="952"/>
      <c r="ES113" s="952"/>
      <c r="ET113" s="952"/>
      <c r="EU113" s="952"/>
      <c r="EV113" s="608"/>
      <c r="EW113" s="609"/>
      <c r="EX113" s="610"/>
      <c r="EY113" s="442"/>
      <c r="EZ113" s="440"/>
      <c r="FA113" s="441"/>
      <c r="FB113" s="442"/>
      <c r="FC113" s="440"/>
      <c r="FD113" s="441"/>
      <c r="FE113" s="443"/>
      <c r="FF113" s="440"/>
      <c r="FG113" s="441"/>
      <c r="FH113" s="443"/>
      <c r="FI113" s="440"/>
      <c r="FJ113" s="444"/>
      <c r="FK113" s="289"/>
      <c r="FL113" s="1017"/>
      <c r="FM113" s="349"/>
      <c r="FN113" s="336"/>
      <c r="FO113" s="337"/>
      <c r="FP113" s="337"/>
      <c r="FQ113" s="337"/>
      <c r="FR113" s="337"/>
      <c r="FS113" s="337"/>
      <c r="FT113" s="337"/>
      <c r="FU113" s="337"/>
      <c r="FV113" s="339"/>
      <c r="FW113" s="337"/>
      <c r="FX113" s="339"/>
      <c r="FY113" s="337"/>
      <c r="FZ113" s="337"/>
      <c r="GA113" s="337"/>
      <c r="GB113" s="337"/>
      <c r="GC113" s="611"/>
      <c r="GD113" s="611"/>
      <c r="GE113" s="611"/>
      <c r="GF113" s="611"/>
      <c r="GG113" s="611"/>
      <c r="GH113" s="611"/>
      <c r="GI113" s="611"/>
      <c r="GJ113" s="611"/>
      <c r="GK113" s="611"/>
      <c r="GL113" s="611"/>
      <c r="GM113" s="611"/>
      <c r="GN113" s="611"/>
      <c r="GO113" s="611"/>
      <c r="GP113" s="611"/>
      <c r="GQ113" s="611"/>
      <c r="GR113" s="337"/>
      <c r="GS113" s="337"/>
      <c r="GT113" s="342"/>
      <c r="GU113" s="938"/>
      <c r="GV113" s="938"/>
      <c r="GW113" s="615"/>
      <c r="GX113" s="615"/>
      <c r="GY113" s="616"/>
      <c r="GZ113" s="596"/>
      <c r="HA113" s="597"/>
      <c r="HB113" s="597"/>
      <c r="HC113" s="597"/>
      <c r="HD113" s="750"/>
      <c r="HE113" s="274"/>
      <c r="HF113" s="274"/>
      <c r="HG113" s="274"/>
      <c r="HH113" s="274"/>
      <c r="HI113" s="274"/>
      <c r="HJ113" s="274"/>
      <c r="HK113" s="274"/>
      <c r="HL113" s="274"/>
      <c r="HM113" s="274"/>
      <c r="HN113" s="272"/>
      <c r="HO113" s="272"/>
      <c r="HP113" s="274"/>
      <c r="HQ113" s="274"/>
      <c r="HR113" s="274"/>
      <c r="HS113" s="275"/>
      <c r="HT113" s="750"/>
      <c r="HU113" s="274"/>
      <c r="HV113" s="274"/>
      <c r="HW113" s="274"/>
      <c r="HX113" s="274"/>
      <c r="HY113" s="274"/>
      <c r="HZ113" s="274"/>
      <c r="IA113" s="274"/>
      <c r="IB113" s="274"/>
      <c r="IC113" s="274"/>
      <c r="ID113" s="274"/>
      <c r="IE113" s="274"/>
      <c r="IF113" s="274"/>
      <c r="IG113" s="274"/>
      <c r="IH113" s="275"/>
      <c r="II113" s="750"/>
      <c r="IJ113" s="274"/>
      <c r="IK113" s="274"/>
      <c r="IL113" s="276"/>
      <c r="IM113" s="1016"/>
      <c r="IN113" s="1016"/>
      <c r="IO113" s="1047"/>
      <c r="IP113" s="1048"/>
      <c r="IQ113" s="541"/>
      <c r="IR113" s="542"/>
      <c r="IS113" s="543"/>
      <c r="IT113" s="543"/>
      <c r="IU113" s="543"/>
      <c r="IV113" s="543"/>
      <c r="IW113" s="543"/>
      <c r="IX113" s="544"/>
      <c r="IY113" s="544"/>
      <c r="IZ113" s="543"/>
      <c r="JA113" s="543"/>
      <c r="JB113" s="543"/>
      <c r="JC113" s="543"/>
      <c r="JD113" s="545"/>
      <c r="JE113" s="545"/>
      <c r="JF113" s="546"/>
      <c r="JG113" s="503"/>
      <c r="JH113" s="506"/>
      <c r="JO113" s="507"/>
      <c r="JP113" s="508"/>
      <c r="JQ113" s="508"/>
      <c r="JR113" s="508"/>
      <c r="JS113" s="508"/>
      <c r="JT113" s="508"/>
      <c r="JU113" s="508"/>
      <c r="JV113" s="508"/>
      <c r="JW113" s="508"/>
      <c r="JX113" s="508"/>
      <c r="JY113" s="508"/>
      <c r="JZ113" s="508"/>
      <c r="KA113" s="508"/>
      <c r="KB113" s="508"/>
      <c r="KC113" s="508"/>
      <c r="KD113" s="508"/>
      <c r="KE113" s="508"/>
      <c r="KF113" s="508"/>
      <c r="KG113" s="508"/>
      <c r="KH113" s="508"/>
      <c r="KI113" s="508"/>
      <c r="KJ113" s="508"/>
      <c r="KK113" s="508"/>
      <c r="KL113" s="508"/>
      <c r="KM113" s="508"/>
      <c r="KN113" s="508"/>
      <c r="KO113" s="508"/>
      <c r="KP113" s="508"/>
      <c r="KQ113" s="508"/>
      <c r="KR113" s="508"/>
      <c r="KS113" s="508"/>
      <c r="KT113" s="508"/>
      <c r="KU113" s="508"/>
      <c r="KV113" s="508"/>
      <c r="KW113" s="509"/>
      <c r="KX113" s="1016"/>
      <c r="KY113" s="1016"/>
    </row>
    <row r="114" spans="1:398" ht="40" customHeight="1" thickBot="1">
      <c r="B114" s="299"/>
      <c r="C114" s="241"/>
      <c r="D114" s="800"/>
      <c r="E114" s="801"/>
      <c r="F114" s="1131"/>
      <c r="G114" s="1132"/>
      <c r="H114" s="1132"/>
      <c r="I114" s="1132"/>
      <c r="J114" s="1132"/>
      <c r="K114" s="1133"/>
      <c r="L114" s="1133"/>
      <c r="M114" s="804"/>
      <c r="N114" s="805"/>
      <c r="O114" s="805"/>
      <c r="P114" s="804"/>
      <c r="Q114" s="1134"/>
      <c r="R114" s="805"/>
      <c r="S114" s="805"/>
      <c r="T114" s="805"/>
      <c r="U114" s="806"/>
      <c r="V114" s="800"/>
      <c r="W114" s="800"/>
      <c r="X114" s="800"/>
      <c r="Y114" s="800"/>
      <c r="Z114" s="800"/>
      <c r="AA114" s="807"/>
      <c r="AB114" s="808" t="s">
        <v>170</v>
      </c>
      <c r="AC114" s="809">
        <v>0</v>
      </c>
      <c r="AD114" s="1135"/>
      <c r="AE114" s="1136"/>
      <c r="AF114" s="1136"/>
      <c r="AG114" s="811"/>
      <c r="AH114" s="811"/>
      <c r="AI114" s="811"/>
      <c r="AJ114" s="811"/>
      <c r="AK114" s="811"/>
      <c r="AL114" s="811"/>
      <c r="AM114" s="811"/>
      <c r="AN114" s="811"/>
      <c r="AO114" s="811"/>
      <c r="AP114" s="811"/>
      <c r="AQ114" s="811"/>
      <c r="AR114" s="811"/>
      <c r="AS114" s="812"/>
      <c r="AT114" s="811"/>
      <c r="AU114" s="812"/>
      <c r="AV114" s="811"/>
      <c r="AW114" s="811"/>
      <c r="AX114" s="811"/>
      <c r="AY114" s="811"/>
      <c r="AZ114" s="813"/>
      <c r="BA114" s="813"/>
      <c r="BB114" s="813"/>
      <c r="BC114" s="813"/>
      <c r="BD114" s="813"/>
      <c r="BE114" s="813"/>
      <c r="BF114" s="813"/>
      <c r="BG114" s="813"/>
      <c r="BH114" s="813"/>
      <c r="BI114" s="813"/>
      <c r="BJ114" s="813"/>
      <c r="BK114" s="813"/>
      <c r="BL114" s="813"/>
      <c r="BM114" s="813"/>
      <c r="BN114" s="813"/>
      <c r="BO114" s="811"/>
      <c r="BP114" s="811"/>
      <c r="BQ114" s="811"/>
      <c r="BR114" s="992"/>
      <c r="BS114" s="993"/>
      <c r="BT114" s="994"/>
      <c r="BU114" s="994"/>
      <c r="BV114" s="818"/>
      <c r="BW114" s="818"/>
      <c r="BX114" s="819"/>
      <c r="BY114" s="1007"/>
      <c r="BZ114" s="716"/>
      <c r="CA114" s="716"/>
      <c r="CB114" s="716"/>
      <c r="CC114" s="1137"/>
      <c r="CD114" s="719"/>
      <c r="CE114" s="719"/>
      <c r="CF114" s="719"/>
      <c r="CG114" s="719"/>
      <c r="CH114" s="719"/>
      <c r="CI114" s="719"/>
      <c r="CJ114" s="719"/>
      <c r="CK114" s="719"/>
      <c r="CL114" s="1138"/>
      <c r="CM114" s="1138"/>
      <c r="CN114" s="906"/>
      <c r="CO114" s="906"/>
      <c r="CP114" s="906"/>
      <c r="CQ114" s="906"/>
      <c r="CR114" s="1139"/>
      <c r="CS114" s="1139"/>
      <c r="CT114" s="906"/>
      <c r="CU114" s="906"/>
      <c r="CV114" s="906"/>
      <c r="CW114" s="906"/>
      <c r="CX114" s="906"/>
      <c r="CY114" s="906"/>
      <c r="CZ114" s="906"/>
      <c r="DA114" s="906"/>
      <c r="DB114" s="906"/>
      <c r="DC114" s="906"/>
      <c r="DD114" s="906"/>
      <c r="DE114" s="906"/>
      <c r="DF114" s="906"/>
      <c r="DG114" s="1140"/>
      <c r="DH114" s="1137"/>
      <c r="DI114" s="718"/>
      <c r="DJ114" s="719"/>
      <c r="DK114" s="721"/>
      <c r="DL114" s="1016"/>
      <c r="DM114" s="1016"/>
      <c r="DN114" s="1016"/>
      <c r="DO114" s="1016"/>
      <c r="DP114" s="1016"/>
      <c r="DQ114" s="1016"/>
      <c r="DR114" s="1016"/>
      <c r="DS114" s="1016"/>
      <c r="DT114" s="1016"/>
      <c r="DU114" s="1016"/>
      <c r="DV114" s="1016"/>
      <c r="DW114" s="1016"/>
      <c r="DX114" s="1016"/>
      <c r="DY114" s="1016"/>
      <c r="DZ114" s="1016"/>
      <c r="EA114" s="1016"/>
      <c r="EB114" s="1016"/>
      <c r="EC114" s="1016"/>
      <c r="ED114" s="1016"/>
      <c r="EE114" s="1016"/>
      <c r="EF114" s="1016"/>
      <c r="EG114" s="1016"/>
      <c r="EH114" s="1016"/>
      <c r="EI114" s="1016"/>
      <c r="EJ114" s="1016"/>
      <c r="EK114" s="1016"/>
      <c r="EL114" s="1016"/>
      <c r="EM114" s="1016"/>
      <c r="EN114" s="1016"/>
      <c r="EO114" s="604"/>
      <c r="EP114" s="605"/>
      <c r="EQ114" s="878"/>
      <c r="ER114" s="952"/>
      <c r="ES114" s="952"/>
      <c r="ET114" s="952"/>
      <c r="EU114" s="952"/>
      <c r="EV114" s="608"/>
      <c r="EW114" s="609"/>
      <c r="EX114" s="610"/>
      <c r="EY114" s="442"/>
      <c r="EZ114" s="440"/>
      <c r="FA114" s="441"/>
      <c r="FB114" s="442"/>
      <c r="FC114" s="440"/>
      <c r="FD114" s="441"/>
      <c r="FE114" s="443"/>
      <c r="FF114" s="440"/>
      <c r="FG114" s="441"/>
      <c r="FH114" s="443"/>
      <c r="FI114" s="440"/>
      <c r="FJ114" s="444"/>
      <c r="FK114" s="289"/>
      <c r="FL114" s="1017"/>
      <c r="FM114" s="349"/>
      <c r="FN114" s="336"/>
      <c r="FO114" s="337"/>
      <c r="FP114" s="337"/>
      <c r="FQ114" s="337"/>
      <c r="FR114" s="337"/>
      <c r="FS114" s="337"/>
      <c r="FT114" s="337"/>
      <c r="FU114" s="337"/>
      <c r="FV114" s="339"/>
      <c r="FW114" s="337"/>
      <c r="FX114" s="339"/>
      <c r="FY114" s="337"/>
      <c r="FZ114" s="337"/>
      <c r="GA114" s="337"/>
      <c r="GB114" s="337"/>
      <c r="GC114" s="611"/>
      <c r="GD114" s="611"/>
      <c r="GE114" s="611"/>
      <c r="GF114" s="611"/>
      <c r="GG114" s="611"/>
      <c r="GH114" s="611"/>
      <c r="GI114" s="611"/>
      <c r="GJ114" s="611"/>
      <c r="GK114" s="611"/>
      <c r="GL114" s="611"/>
      <c r="GM114" s="611"/>
      <c r="GN114" s="611"/>
      <c r="GO114" s="611"/>
      <c r="GP114" s="611"/>
      <c r="GQ114" s="611"/>
      <c r="GR114" s="337"/>
      <c r="GS114" s="337"/>
      <c r="GT114" s="342"/>
      <c r="GU114" s="938"/>
      <c r="GV114" s="938"/>
      <c r="GW114" s="615"/>
      <c r="GX114" s="615"/>
      <c r="GY114" s="616"/>
      <c r="GZ114" s="596"/>
      <c r="HA114" s="597"/>
      <c r="HB114" s="597"/>
      <c r="HC114" s="597"/>
      <c r="HD114" s="750"/>
      <c r="HE114" s="274"/>
      <c r="HF114" s="274"/>
      <c r="HG114" s="274"/>
      <c r="HH114" s="274"/>
      <c r="HI114" s="274"/>
      <c r="HJ114" s="274"/>
      <c r="HK114" s="274"/>
      <c r="HL114" s="274"/>
      <c r="HM114" s="274"/>
      <c r="HN114" s="272"/>
      <c r="HO114" s="272"/>
      <c r="HP114" s="274"/>
      <c r="HQ114" s="274"/>
      <c r="HR114" s="274"/>
      <c r="HS114" s="275"/>
      <c r="HT114" s="750"/>
      <c r="HU114" s="274"/>
      <c r="HV114" s="274"/>
      <c r="HW114" s="274"/>
      <c r="HX114" s="274"/>
      <c r="HY114" s="274"/>
      <c r="HZ114" s="274"/>
      <c r="IA114" s="274"/>
      <c r="IB114" s="274"/>
      <c r="IC114" s="274"/>
      <c r="ID114" s="274"/>
      <c r="IE114" s="274"/>
      <c r="IF114" s="274"/>
      <c r="IG114" s="274"/>
      <c r="IH114" s="275"/>
      <c r="II114" s="750"/>
      <c r="IJ114" s="274"/>
      <c r="IK114" s="274"/>
      <c r="IL114" s="276"/>
      <c r="IM114" s="1016"/>
      <c r="IN114" s="1016"/>
      <c r="IO114" s="1047"/>
      <c r="IP114" s="1048"/>
      <c r="IQ114" s="541"/>
      <c r="IR114" s="542"/>
      <c r="IS114" s="543"/>
      <c r="IT114" s="543"/>
      <c r="IU114" s="543"/>
      <c r="IV114" s="543"/>
      <c r="IW114" s="543"/>
      <c r="IX114" s="544"/>
      <c r="IY114" s="544"/>
      <c r="IZ114" s="543"/>
      <c r="JA114" s="543"/>
      <c r="JB114" s="543"/>
      <c r="JC114" s="543"/>
      <c r="JD114" s="545"/>
      <c r="JE114" s="545"/>
      <c r="JF114" s="546"/>
      <c r="JG114" s="503"/>
      <c r="JH114" s="506"/>
      <c r="JO114" s="507"/>
      <c r="JP114" s="508"/>
      <c r="JQ114" s="508"/>
      <c r="JR114" s="508"/>
      <c r="JS114" s="508"/>
      <c r="JT114" s="508"/>
      <c r="JU114" s="508"/>
      <c r="JV114" s="508"/>
      <c r="JW114" s="508"/>
      <c r="JX114" s="508"/>
      <c r="JY114" s="508"/>
      <c r="JZ114" s="508"/>
      <c r="KA114" s="508"/>
      <c r="KB114" s="508"/>
      <c r="KC114" s="508"/>
      <c r="KD114" s="508"/>
      <c r="KE114" s="508"/>
      <c r="KF114" s="508"/>
      <c r="KG114" s="508"/>
      <c r="KH114" s="508"/>
      <c r="KI114" s="508"/>
      <c r="KJ114" s="508"/>
      <c r="KK114" s="508"/>
      <c r="KL114" s="508"/>
      <c r="KM114" s="508"/>
      <c r="KN114" s="508"/>
      <c r="KO114" s="508"/>
      <c r="KP114" s="508"/>
      <c r="KQ114" s="508"/>
      <c r="KR114" s="508"/>
      <c r="KS114" s="508"/>
      <c r="KT114" s="508"/>
      <c r="KU114" s="508"/>
      <c r="KV114" s="508"/>
      <c r="KW114" s="509"/>
      <c r="KX114" s="1016"/>
      <c r="KY114" s="1016"/>
    </row>
    <row r="115" spans="1:398" ht="40" customHeight="1">
      <c r="B115" s="832" t="s">
        <v>472</v>
      </c>
      <c r="C115" s="833" t="s">
        <v>473</v>
      </c>
      <c r="D115" s="242"/>
      <c r="E115" s="243">
        <v>252</v>
      </c>
      <c r="F115" s="1141" t="s">
        <v>481</v>
      </c>
      <c r="G115" s="1142">
        <v>70</v>
      </c>
      <c r="H115" s="1142">
        <v>227</v>
      </c>
      <c r="I115" s="1142">
        <v>74</v>
      </c>
      <c r="J115" s="1142">
        <v>215</v>
      </c>
      <c r="K115" s="245" t="s">
        <v>482</v>
      </c>
      <c r="L115" s="246">
        <v>291</v>
      </c>
      <c r="M115" s="300">
        <v>8</v>
      </c>
      <c r="N115" s="251" t="s">
        <v>318</v>
      </c>
      <c r="O115" s="251" t="s">
        <v>168</v>
      </c>
      <c r="P115" s="300">
        <v>96</v>
      </c>
      <c r="Q115" s="1051" t="s">
        <v>170</v>
      </c>
      <c r="R115" s="251" t="s">
        <v>170</v>
      </c>
      <c r="S115" s="251" t="s">
        <v>170</v>
      </c>
      <c r="T115" s="251" t="s">
        <v>416</v>
      </c>
      <c r="U115" s="301" t="s">
        <v>169</v>
      </c>
      <c r="V115" s="242" t="s">
        <v>172</v>
      </c>
      <c r="W115" s="242"/>
      <c r="X115" s="592" t="s">
        <v>292</v>
      </c>
      <c r="Y115" s="592" t="s">
        <v>292</v>
      </c>
      <c r="Z115" s="242"/>
      <c r="AA115" s="1143" t="s">
        <v>275</v>
      </c>
      <c r="AB115" s="278"/>
      <c r="AC115" s="279"/>
      <c r="AD115" s="1144"/>
      <c r="AE115" s="1145" t="s">
        <v>175</v>
      </c>
      <c r="AF115" s="550" t="s">
        <v>296</v>
      </c>
      <c r="AG115" s="896">
        <f>'[1]0252_ホテル平野屋　別紙1-1'!M25</f>
        <v>6081900.0000000009</v>
      </c>
      <c r="AH115" s="1146">
        <v>2200</v>
      </c>
      <c r="AI115" s="1146">
        <f>4100-AH115</f>
        <v>1900</v>
      </c>
      <c r="AJ115" s="1147">
        <v>0.98599999999999999</v>
      </c>
      <c r="AK115" s="1148">
        <f>$AK$4</f>
        <v>26106</v>
      </c>
      <c r="AL115" s="1149">
        <v>0.83</v>
      </c>
      <c r="AM115" s="1148">
        <f>$AM$4</f>
        <v>24690</v>
      </c>
      <c r="AN115" s="1146" t="s">
        <v>308</v>
      </c>
      <c r="AO115" s="1148">
        <f>$AO$4</f>
        <v>2373</v>
      </c>
      <c r="AP115" s="896">
        <f>'[1]0252_ホテル平野屋　別紙1-1'!K23</f>
        <v>74</v>
      </c>
      <c r="AQ115" s="896">
        <f>'[1]0252_ホテル平野屋　別紙1-1'!AF23</f>
        <v>215</v>
      </c>
      <c r="AR115" s="1150" t="e">
        <f>DM115/(BX115-2)</f>
        <v>#VALUE!</v>
      </c>
      <c r="AS115" s="263" t="e">
        <f>AG115/AR115</f>
        <v>#VALUE!</v>
      </c>
      <c r="AT115" s="258">
        <f>AG115/AP115</f>
        <v>82187.837837837855</v>
      </c>
      <c r="AU115" s="263">
        <f>AG115/AQ115</f>
        <v>28287.906976744191</v>
      </c>
      <c r="AV115" s="1151">
        <v>26000</v>
      </c>
      <c r="AW115" s="1151">
        <v>48000</v>
      </c>
      <c r="AX115" s="896">
        <f>'[1]0252_ホテル平野屋　別紙1-2'!N29</f>
        <v>1100000</v>
      </c>
      <c r="AY115" s="896">
        <f>'[1]0252_ホテル平野屋　別紙1-2'!I26</f>
        <v>9</v>
      </c>
      <c r="AZ115" s="1152">
        <f>'[1]0252_ホテル平野屋　別紙1-1'!C27</f>
        <v>115889400</v>
      </c>
      <c r="BA115" s="1152">
        <f>'[1]0252_ホテル平野屋　別紙1-2'!O27</f>
        <v>22550000</v>
      </c>
      <c r="BB115" s="1152">
        <f>AI115*DM115</f>
        <v>0</v>
      </c>
      <c r="BC115" s="1152">
        <f>AH115*DM115</f>
        <v>0</v>
      </c>
      <c r="BD115" s="1152">
        <f>AK115*DM115*0.6</f>
        <v>0</v>
      </c>
      <c r="BE115" s="1152">
        <f>BD115-21000*DM115*0.6</f>
        <v>0</v>
      </c>
      <c r="BF115" s="1152">
        <f>AM115*DM115*0.4</f>
        <v>0</v>
      </c>
      <c r="BG115" s="1152">
        <f>BF115-0</f>
        <v>0</v>
      </c>
      <c r="BH115" s="565">
        <f>AO115*DM115*0.3</f>
        <v>0</v>
      </c>
      <c r="BI115" s="1153">
        <f>150*DM115</f>
        <v>0</v>
      </c>
      <c r="BJ115" s="566">
        <f>GK115</f>
        <v>0</v>
      </c>
      <c r="BK115" s="1154"/>
      <c r="BL115" s="1154"/>
      <c r="BM115" s="1155">
        <f>GP115</f>
        <v>5</v>
      </c>
      <c r="BN115" s="1154">
        <f>GQ115</f>
        <v>1</v>
      </c>
      <c r="BO115" s="1156">
        <f>GD115</f>
        <v>22550000</v>
      </c>
      <c r="BP115" s="896">
        <f>SUM(AZ115,BA115,BI115,BO115)</f>
        <v>160989400</v>
      </c>
      <c r="BQ115" s="1156">
        <f>BP115-GR115</f>
        <v>21764300</v>
      </c>
      <c r="BR115" s="554"/>
      <c r="BS115" s="1012" t="s">
        <v>301</v>
      </c>
      <c r="BT115" s="1157">
        <f>GU115</f>
        <v>46279</v>
      </c>
      <c r="BU115" s="1157">
        <f>GV115</f>
        <v>46299</v>
      </c>
      <c r="BV115" s="1035" t="str">
        <f>IFERROR(INDEX($BY$9:$DH$9, MATCH("準備", BY115:DK115, 0)), "")</f>
        <v/>
      </c>
      <c r="BW115" s="1036" t="str" cm="1">
        <f t="array" ref="BW115">IF(COUNTIF(BY115:DK115,"*撤去*")=0,"",INDEX(BY$9:DK$9,1,MAX(IF(CC115:DK115="撤去",COLUMN(CC115:DK115)-COLUMN(BY115)+1))))</f>
        <v/>
      </c>
      <c r="BX115" s="1037" t="e">
        <f>BW115-BV115</f>
        <v>#VALUE!</v>
      </c>
      <c r="BY115" s="596"/>
      <c r="BZ115" s="597"/>
      <c r="CA115" s="597"/>
      <c r="CB115" s="597"/>
      <c r="CC115" s="975"/>
      <c r="CD115" s="976"/>
      <c r="CE115" s="976"/>
      <c r="CF115" s="976"/>
      <c r="CG115" s="976"/>
      <c r="CH115" s="976"/>
      <c r="CI115" s="976"/>
      <c r="CJ115" s="976"/>
      <c r="CK115" s="976"/>
      <c r="CL115" s="976"/>
      <c r="CM115" s="976">
        <v>0</v>
      </c>
      <c r="CN115" s="976">
        <v>0</v>
      </c>
      <c r="CO115" s="976">
        <v>0</v>
      </c>
      <c r="CP115" s="976">
        <v>0</v>
      </c>
      <c r="CQ115" s="976">
        <v>0</v>
      </c>
      <c r="CR115" s="976">
        <v>0</v>
      </c>
      <c r="CS115" s="976">
        <v>0</v>
      </c>
      <c r="CT115" s="976">
        <v>0</v>
      </c>
      <c r="CU115" s="976">
        <v>0</v>
      </c>
      <c r="CV115" s="976">
        <v>0</v>
      </c>
      <c r="CW115" s="976">
        <v>0</v>
      </c>
      <c r="CX115" s="976">
        <v>0</v>
      </c>
      <c r="CY115" s="976">
        <v>0</v>
      </c>
      <c r="CZ115" s="976">
        <v>0</v>
      </c>
      <c r="DA115" s="976">
        <v>0</v>
      </c>
      <c r="DB115" s="976">
        <v>0</v>
      </c>
      <c r="DC115" s="976">
        <v>0</v>
      </c>
      <c r="DD115" s="976">
        <v>0</v>
      </c>
      <c r="DE115" s="976">
        <v>0</v>
      </c>
      <c r="DF115" s="976">
        <v>0</v>
      </c>
      <c r="DG115" s="976">
        <v>0</v>
      </c>
      <c r="DH115" s="975"/>
      <c r="DI115" s="913"/>
      <c r="DJ115" s="976"/>
      <c r="DK115" s="981"/>
      <c r="DL115" s="1158"/>
      <c r="DM115" s="277" cm="1">
        <f t="array" ref="DM115">SUM(IF(ISNUMBER($BY115:$DK115),$BY115:$DK115, 0))</f>
        <v>0</v>
      </c>
      <c r="DN115" s="277">
        <v>1632</v>
      </c>
      <c r="DO115" s="277" t="e">
        <f>DM115*(BX115)/(BX115+1)</f>
        <v>#VALUE!</v>
      </c>
      <c r="DP115" s="277"/>
      <c r="DQ115" s="1159" t="s">
        <v>483</v>
      </c>
      <c r="DR115" s="916" t="s">
        <v>484</v>
      </c>
      <c r="DS115" s="917">
        <v>96</v>
      </c>
      <c r="DT115" s="1160">
        <f>SUM(DS115,DS116)</f>
        <v>96</v>
      </c>
      <c r="DU115" s="473">
        <v>6081900.0000000009</v>
      </c>
      <c r="DV115" s="473">
        <v>1100000</v>
      </c>
      <c r="DW115" s="855">
        <v>115889400</v>
      </c>
      <c r="DX115" s="855">
        <v>22550000</v>
      </c>
      <c r="DY115" s="855">
        <v>3283200</v>
      </c>
      <c r="DZ115" s="855">
        <v>27066700.800000001</v>
      </c>
      <c r="EA115" s="855">
        <v>17065728</v>
      </c>
      <c r="EB115" s="1161">
        <v>1230163.2</v>
      </c>
      <c r="EC115" s="1162">
        <v>259200</v>
      </c>
      <c r="ED115" s="1163">
        <v>0</v>
      </c>
      <c r="EE115" s="856">
        <v>500000</v>
      </c>
      <c r="EF115" s="856">
        <v>36000000</v>
      </c>
      <c r="EG115" s="857">
        <v>22550000</v>
      </c>
      <c r="EH115" s="473">
        <v>161248600</v>
      </c>
      <c r="EI115" s="860">
        <v>46279</v>
      </c>
      <c r="EJ115" s="860">
        <v>46299</v>
      </c>
      <c r="EK115" s="1164">
        <v>46279</v>
      </c>
      <c r="EL115" s="1165">
        <v>46299</v>
      </c>
      <c r="EM115" s="863">
        <v>20</v>
      </c>
      <c r="EN115" s="277"/>
      <c r="EO115" s="843" t="s">
        <v>485</v>
      </c>
      <c r="EP115" s="916" t="s">
        <v>484</v>
      </c>
      <c r="EQ115" s="1166">
        <v>291</v>
      </c>
      <c r="ER115" s="1167">
        <v>291</v>
      </c>
      <c r="ES115" s="838" t="s">
        <v>165</v>
      </c>
      <c r="ET115" s="838">
        <v>210</v>
      </c>
      <c r="EU115" s="838">
        <v>188</v>
      </c>
      <c r="EV115" s="919" t="s">
        <v>477</v>
      </c>
      <c r="EW115" s="920">
        <v>20.6</v>
      </c>
      <c r="EX115" s="921">
        <v>32</v>
      </c>
      <c r="EY115" s="922" t="s">
        <v>478</v>
      </c>
      <c r="EZ115" s="923">
        <v>18.5</v>
      </c>
      <c r="FA115" s="924">
        <v>32</v>
      </c>
      <c r="FB115" s="922" t="s">
        <v>189</v>
      </c>
      <c r="FC115" s="923"/>
      <c r="FD115" s="924"/>
      <c r="FE115" s="925" t="s">
        <v>189</v>
      </c>
      <c r="FF115" s="923"/>
      <c r="FG115" s="924"/>
      <c r="FH115" s="925" t="s">
        <v>189</v>
      </c>
      <c r="FI115" s="923"/>
      <c r="FJ115" s="926"/>
      <c r="FK115" s="1111">
        <v>21</v>
      </c>
      <c r="FL115" s="1112">
        <v>0.25609756097560976</v>
      </c>
      <c r="FM115" s="928" t="s">
        <v>486</v>
      </c>
      <c r="FN115" s="1168" t="s">
        <v>300</v>
      </c>
      <c r="FO115" s="848" t="s">
        <v>296</v>
      </c>
      <c r="FP115" s="872">
        <v>6081900.0000000009</v>
      </c>
      <c r="FQ115" s="1169">
        <v>2200</v>
      </c>
      <c r="FR115" s="468">
        <v>1900</v>
      </c>
      <c r="FS115" s="872">
        <v>74</v>
      </c>
      <c r="FT115" s="872">
        <v>215</v>
      </c>
      <c r="FU115" s="1170">
        <v>291</v>
      </c>
      <c r="FV115" s="1171">
        <v>20900.000000000004</v>
      </c>
      <c r="FW115" s="390">
        <v>82187.837837837855</v>
      </c>
      <c r="FX115" s="394">
        <v>28287.906976744191</v>
      </c>
      <c r="FY115" s="1172">
        <v>38187</v>
      </c>
      <c r="FZ115" s="1172">
        <v>38187</v>
      </c>
      <c r="GA115" s="872">
        <v>1100000</v>
      </c>
      <c r="GB115" s="872">
        <v>9</v>
      </c>
      <c r="GC115" s="1161">
        <v>115889400</v>
      </c>
      <c r="GD115" s="1161">
        <v>22550000</v>
      </c>
      <c r="GE115" s="1161">
        <v>115889400</v>
      </c>
      <c r="GF115" s="1161">
        <v>22550000</v>
      </c>
      <c r="GG115" s="478">
        <v>0</v>
      </c>
      <c r="GH115" s="478">
        <v>0</v>
      </c>
      <c r="GI115" s="478">
        <v>5971320</v>
      </c>
      <c r="GJ115" s="1161">
        <v>785700</v>
      </c>
      <c r="GK115" s="1163"/>
      <c r="GL115" s="566"/>
      <c r="GM115" s="480">
        <v>0</v>
      </c>
      <c r="GN115" s="480">
        <v>350000</v>
      </c>
      <c r="GO115" s="480">
        <v>36000000</v>
      </c>
      <c r="GP115" s="1163">
        <v>5</v>
      </c>
      <c r="GQ115" s="1163">
        <v>1</v>
      </c>
      <c r="GR115" s="1173">
        <v>139225100</v>
      </c>
      <c r="GS115" s="1173">
        <v>-30300824</v>
      </c>
      <c r="GT115" s="1174" t="s">
        <v>301</v>
      </c>
      <c r="GU115" s="1175">
        <v>46279</v>
      </c>
      <c r="GV115" s="1175">
        <v>46299</v>
      </c>
      <c r="GW115" s="1164">
        <v>46279</v>
      </c>
      <c r="GX115" s="1165">
        <v>46299</v>
      </c>
      <c r="GY115" s="863">
        <v>20</v>
      </c>
      <c r="GZ115" s="864"/>
      <c r="HA115" s="865"/>
      <c r="HB115" s="865"/>
      <c r="HC115" s="865"/>
      <c r="HD115" s="866">
        <v>0</v>
      </c>
      <c r="HE115" s="867">
        <v>0</v>
      </c>
      <c r="HF115" s="867">
        <v>0</v>
      </c>
      <c r="HG115" s="867">
        <v>0</v>
      </c>
      <c r="HH115" s="867">
        <v>0</v>
      </c>
      <c r="HI115" s="867">
        <v>0</v>
      </c>
      <c r="HJ115" s="867">
        <v>0</v>
      </c>
      <c r="HK115" s="867">
        <v>0</v>
      </c>
      <c r="HL115" s="867">
        <v>0</v>
      </c>
      <c r="HM115" s="867">
        <v>0</v>
      </c>
      <c r="HN115" s="868" t="s">
        <v>177</v>
      </c>
      <c r="HO115" s="868" t="s">
        <v>177</v>
      </c>
      <c r="HP115" s="867">
        <v>291</v>
      </c>
      <c r="HQ115" s="867">
        <v>291</v>
      </c>
      <c r="HR115" s="867">
        <v>291</v>
      </c>
      <c r="HS115" s="869">
        <v>291</v>
      </c>
      <c r="HT115" s="866">
        <v>291</v>
      </c>
      <c r="HU115" s="867">
        <v>291</v>
      </c>
      <c r="HV115" s="867">
        <v>291</v>
      </c>
      <c r="HW115" s="867">
        <v>291</v>
      </c>
      <c r="HX115" s="867">
        <v>291</v>
      </c>
      <c r="HY115" s="867">
        <v>291</v>
      </c>
      <c r="HZ115" s="867">
        <v>291</v>
      </c>
      <c r="IA115" s="867">
        <v>291</v>
      </c>
      <c r="IB115" s="867">
        <v>291</v>
      </c>
      <c r="IC115" s="867">
        <v>291</v>
      </c>
      <c r="ID115" s="867">
        <v>291</v>
      </c>
      <c r="IE115" s="867">
        <v>291</v>
      </c>
      <c r="IF115" s="867">
        <v>291</v>
      </c>
      <c r="IG115" s="867">
        <v>291</v>
      </c>
      <c r="IH115" s="1176" t="s">
        <v>178</v>
      </c>
      <c r="II115" s="866">
        <v>0</v>
      </c>
      <c r="IJ115" s="867">
        <v>0</v>
      </c>
      <c r="IK115" s="867">
        <v>0</v>
      </c>
      <c r="IL115" s="871">
        <v>0</v>
      </c>
      <c r="IM115" s="1158"/>
      <c r="IN115" s="1177" cm="1">
        <f t="array" ref="IN115">SUM(IF(ISNUMBER($HD115:$IL115),$HD115:$IL115, 0))</f>
        <v>5238</v>
      </c>
      <c r="IO115" s="1178"/>
      <c r="IP115" s="1179"/>
      <c r="IQ115" s="1180"/>
      <c r="IR115" s="930">
        <f>VLOOKUP($E115,[1]アジアResults1031!$A$1:$CH$259,23,FALSE)</f>
        <v>1836118</v>
      </c>
      <c r="IS115" s="931">
        <f>VLOOKUP($E115,[1]アジアResults1031!$A$1:$CH$259,32,FALSE)</f>
        <v>61</v>
      </c>
      <c r="IT115" s="931">
        <f>KY115/(GY115-2)</f>
        <v>177.55555555555554</v>
      </c>
      <c r="IU115" s="931">
        <f>IR115/IT115</f>
        <v>10341.090112640803</v>
      </c>
      <c r="IV115" s="931">
        <f>VLOOKUP(E115,[1]アジアResults1031!$A$1:$CH$264,26,FALSE)</f>
        <v>14118</v>
      </c>
      <c r="IW115" s="931">
        <f>VLOOKUP(E115,[1]アジアResults1031!$A$1:$CH$264,27,FALSE)</f>
        <v>41412</v>
      </c>
      <c r="IX115" s="932">
        <f>VLOOKUP($E115,[1]アジアResults1031!$A$1:$CH$259,18,FALSE)</f>
        <v>3855386</v>
      </c>
      <c r="IY115" s="932">
        <f>VLOOKUP($E115,[1]アジアResults1031!$A$1:$CH$259,9,FALSE)</f>
        <v>9</v>
      </c>
      <c r="IZ115" s="931">
        <f>IR115*JF115</f>
        <v>34886242</v>
      </c>
      <c r="JA115" s="931">
        <f>IX115*JF115</f>
        <v>73252334</v>
      </c>
      <c r="JB115" s="931"/>
      <c r="JC115" s="931"/>
      <c r="JD115" s="933">
        <f>IFERROR(INDEX($JO$9:$KW$9, MATCH("準備", JO115:KW115, 0)), "")</f>
        <v>46281</v>
      </c>
      <c r="JE115" s="933" cm="1">
        <f t="array" ref="JE115">IF(COUNTIF(JO115:KW115,"*撤去*")=0,"",INDEX(JO$9:KW$9,1,MAX(IF(JO115:KW115="撤去",COLUMN(JO115:KW115)-COLUMN(JO115)+1))))</f>
        <v>46300</v>
      </c>
      <c r="JF115" s="934">
        <f>JE115-JD115</f>
        <v>19</v>
      </c>
      <c r="JG115" s="935">
        <v>1689116</v>
      </c>
      <c r="JH115" s="936">
        <v>1734123</v>
      </c>
      <c r="JI115" s="1181"/>
      <c r="JJ115" s="1181"/>
      <c r="JK115" s="1181"/>
      <c r="JL115" s="1181"/>
      <c r="JM115" s="1181"/>
      <c r="JN115" s="1181"/>
      <c r="JO115" s="1182"/>
      <c r="JP115" s="1183"/>
      <c r="JQ115" s="1183"/>
      <c r="JR115" s="1184"/>
      <c r="JS115" s="1184"/>
      <c r="JT115" s="1185"/>
      <c r="JU115" s="1185"/>
      <c r="JV115" s="1185"/>
      <c r="JW115" s="1185"/>
      <c r="JX115" s="1185"/>
      <c r="JY115" s="1185"/>
      <c r="JZ115" s="1185"/>
      <c r="KA115" s="400" t="s">
        <v>177</v>
      </c>
      <c r="KB115" s="400" t="s">
        <v>177</v>
      </c>
      <c r="KC115" s="1185">
        <v>188</v>
      </c>
      <c r="KD115" s="1185">
        <v>188</v>
      </c>
      <c r="KE115" s="1185">
        <v>188</v>
      </c>
      <c r="KF115" s="1185">
        <v>188</v>
      </c>
      <c r="KG115" s="1185">
        <v>188</v>
      </c>
      <c r="KH115" s="1185">
        <v>188</v>
      </c>
      <c r="KI115" s="1185">
        <v>188</v>
      </c>
      <c r="KJ115" s="1185">
        <v>188</v>
      </c>
      <c r="KK115" s="1185">
        <v>188</v>
      </c>
      <c r="KL115" s="1185">
        <v>188</v>
      </c>
      <c r="KM115" s="1185">
        <v>188</v>
      </c>
      <c r="KN115" s="1185">
        <v>188</v>
      </c>
      <c r="KO115" s="1185">
        <v>188</v>
      </c>
      <c r="KP115" s="1185">
        <v>188</v>
      </c>
      <c r="KQ115" s="1185">
        <v>188</v>
      </c>
      <c r="KR115" s="1185">
        <v>188</v>
      </c>
      <c r="KS115" s="1185">
        <v>188</v>
      </c>
      <c r="KT115" s="406" t="s">
        <v>178</v>
      </c>
      <c r="KU115" s="1184"/>
      <c r="KV115" s="1184"/>
      <c r="KW115" s="1186"/>
      <c r="KX115" s="1187"/>
      <c r="KY115" s="277" cm="1">
        <f t="array" ref="KY115">SUM(IF(ISNUMBER($JO115:$KW115),$JO115:$KW115, 0))</f>
        <v>3196</v>
      </c>
      <c r="KZ115" s="1181"/>
      <c r="LA115" s="1181"/>
      <c r="LB115" s="1181"/>
      <c r="LC115" s="1181"/>
    </row>
    <row r="116" spans="1:398" s="547" customFormat="1" ht="40" customHeight="1" thickBot="1">
      <c r="A116" s="1"/>
      <c r="B116" s="299"/>
      <c r="C116" s="241"/>
      <c r="D116" s="445"/>
      <c r="E116" s="510" t="s">
        <v>165</v>
      </c>
      <c r="F116" s="1023"/>
      <c r="G116" s="512">
        <v>0</v>
      </c>
      <c r="H116" s="512">
        <v>0</v>
      </c>
      <c r="I116" s="512">
        <v>0</v>
      </c>
      <c r="J116" s="512">
        <v>0</v>
      </c>
      <c r="K116" s="512"/>
      <c r="L116" s="512">
        <v>0</v>
      </c>
      <c r="M116" s="513">
        <v>0</v>
      </c>
      <c r="N116" s="514">
        <v>0</v>
      </c>
      <c r="O116" s="514">
        <v>0</v>
      </c>
      <c r="P116" s="513">
        <v>0</v>
      </c>
      <c r="Q116" s="1045">
        <v>0</v>
      </c>
      <c r="R116" s="514">
        <v>0</v>
      </c>
      <c r="S116" s="514">
        <v>0</v>
      </c>
      <c r="T116" s="514">
        <v>0</v>
      </c>
      <c r="U116" s="515" t="s">
        <v>165</v>
      </c>
      <c r="V116" s="445"/>
      <c r="W116" s="445"/>
      <c r="X116" s="445"/>
      <c r="Y116" s="445"/>
      <c r="Z116" s="445"/>
      <c r="AA116" s="1188"/>
      <c r="AB116" s="1189"/>
      <c r="AC116" s="1190"/>
      <c r="AD116" s="1191"/>
      <c r="AE116" s="655"/>
      <c r="AF116" s="656"/>
      <c r="AG116" s="656"/>
      <c r="AH116" s="656"/>
      <c r="AI116" s="656"/>
      <c r="AJ116" s="656"/>
      <c r="AK116" s="656"/>
      <c r="AL116" s="656"/>
      <c r="AM116" s="656"/>
      <c r="AN116" s="656"/>
      <c r="AO116" s="656"/>
      <c r="AP116" s="656"/>
      <c r="AQ116" s="656"/>
      <c r="AR116" s="656"/>
      <c r="AS116" s="767"/>
      <c r="AT116" s="656"/>
      <c r="AU116" s="767"/>
      <c r="AV116" s="656"/>
      <c r="AW116" s="656"/>
      <c r="AX116" s="656"/>
      <c r="AY116" s="656"/>
      <c r="AZ116" s="768"/>
      <c r="BA116" s="768"/>
      <c r="BB116" s="768"/>
      <c r="BC116" s="768"/>
      <c r="BD116" s="768"/>
      <c r="BE116" s="768"/>
      <c r="BF116" s="768"/>
      <c r="BG116" s="768"/>
      <c r="BH116" s="768"/>
      <c r="BI116" s="768"/>
      <c r="BJ116" s="768"/>
      <c r="BK116" s="768"/>
      <c r="BL116" s="768"/>
      <c r="BM116" s="768"/>
      <c r="BN116" s="768"/>
      <c r="BO116" s="656"/>
      <c r="BP116" s="656"/>
      <c r="BQ116" s="656"/>
      <c r="BR116" s="940"/>
      <c r="BS116" s="941"/>
      <c r="BT116" s="942"/>
      <c r="BU116" s="942"/>
      <c r="BV116" s="773" t="str">
        <f>IFERROR(INDEX($HD$9:$II$9, MATCH("準備", CC116:DK116, 0)), "")</f>
        <v/>
      </c>
      <c r="BW116" s="773" t="str" cm="1">
        <f t="array" ref="BW116">IF(COUNTIF(CC116:DK116,"*撤去*")=0,"",INDEX(CC$9:DK$9,1,MAX(IF(CC116:DK116="撤去",COLUMN(CC116:DK116)-COLUMN(CC116)+1))))</f>
        <v/>
      </c>
      <c r="BX116" s="774"/>
      <c r="BY116" s="360" t="s">
        <v>246</v>
      </c>
      <c r="BZ116" s="361" t="s">
        <v>247</v>
      </c>
      <c r="CA116" s="777"/>
      <c r="CB116" s="777"/>
      <c r="CC116" s="874"/>
      <c r="CD116" s="875"/>
      <c r="CE116" s="875"/>
      <c r="CF116" s="875"/>
      <c r="CG116" s="875"/>
      <c r="CH116" s="875"/>
      <c r="CI116" s="875"/>
      <c r="CJ116" s="875"/>
      <c r="CK116" s="875"/>
      <c r="CL116" s="363"/>
      <c r="CM116" s="363"/>
      <c r="CN116" s="363"/>
      <c r="CO116" s="363"/>
      <c r="CP116" s="363"/>
      <c r="CQ116" s="364"/>
      <c r="CR116" s="365"/>
      <c r="CS116" s="366"/>
      <c r="CT116" s="363"/>
      <c r="CU116" s="363"/>
      <c r="CV116" s="363"/>
      <c r="CW116" s="363"/>
      <c r="CX116" s="363"/>
      <c r="CY116" s="363"/>
      <c r="CZ116" s="363"/>
      <c r="DA116" s="363"/>
      <c r="DB116" s="363"/>
      <c r="DC116" s="363"/>
      <c r="DD116" s="363"/>
      <c r="DE116" s="363"/>
      <c r="DF116" s="364"/>
      <c r="DG116" s="365"/>
      <c r="DH116" s="271"/>
      <c r="DI116" s="875"/>
      <c r="DJ116" s="875"/>
      <c r="DK116" s="886"/>
      <c r="DL116" s="1016"/>
      <c r="DM116" s="1016"/>
      <c r="DN116" s="1016"/>
      <c r="DO116" s="1016"/>
      <c r="DP116" s="1016"/>
      <c r="DQ116" s="1188"/>
      <c r="DR116" s="1189"/>
      <c r="DS116" s="1190"/>
      <c r="DT116" s="1191"/>
      <c r="DU116" s="656"/>
      <c r="DV116" s="656"/>
      <c r="DW116" s="768"/>
      <c r="DX116" s="768"/>
      <c r="DY116" s="768"/>
      <c r="DZ116" s="768"/>
      <c r="EA116" s="768"/>
      <c r="EB116" s="768"/>
      <c r="EC116" s="768"/>
      <c r="ED116" s="768"/>
      <c r="EE116" s="768"/>
      <c r="EF116" s="768"/>
      <c r="EG116" s="656"/>
      <c r="EH116" s="656"/>
      <c r="EI116" s="942"/>
      <c r="EJ116" s="942"/>
      <c r="EK116" s="773" t="s">
        <v>165</v>
      </c>
      <c r="EL116" s="773" t="s">
        <v>165</v>
      </c>
      <c r="EM116" s="774"/>
      <c r="EN116" s="1016"/>
      <c r="EO116" s="763"/>
      <c r="EP116" s="1032" t="s">
        <v>170</v>
      </c>
      <c r="EQ116" s="1033">
        <v>0</v>
      </c>
      <c r="ER116" s="1046"/>
      <c r="ES116" s="1046" t="e">
        <v>#N/A</v>
      </c>
      <c r="ET116" s="1046"/>
      <c r="EU116" s="1046"/>
      <c r="EV116" s="1027" t="s">
        <v>170</v>
      </c>
      <c r="EW116" s="453"/>
      <c r="EX116" s="454"/>
      <c r="EY116" s="879" t="s">
        <v>170</v>
      </c>
      <c r="EZ116" s="456"/>
      <c r="FA116" s="457"/>
      <c r="FB116" s="879" t="s">
        <v>170</v>
      </c>
      <c r="FC116" s="880"/>
      <c r="FD116" s="881"/>
      <c r="FE116" s="882" t="s">
        <v>170</v>
      </c>
      <c r="FF116" s="880"/>
      <c r="FG116" s="881"/>
      <c r="FH116" s="882" t="s">
        <v>170</v>
      </c>
      <c r="FI116" s="880"/>
      <c r="FJ116" s="883"/>
      <c r="FK116" s="375"/>
      <c r="FL116" s="1028"/>
      <c r="FM116" s="535"/>
      <c r="FN116" s="655"/>
      <c r="FO116" s="656"/>
      <c r="FP116" s="656"/>
      <c r="FQ116" s="656"/>
      <c r="FR116" s="656"/>
      <c r="FS116" s="656"/>
      <c r="FT116" s="656"/>
      <c r="FU116" s="656"/>
      <c r="FV116" s="767"/>
      <c r="FW116" s="656"/>
      <c r="FX116" s="767"/>
      <c r="FY116" s="656"/>
      <c r="FZ116" s="656"/>
      <c r="GA116" s="656"/>
      <c r="GB116" s="656"/>
      <c r="GC116" s="768"/>
      <c r="GD116" s="768"/>
      <c r="GE116" s="768"/>
      <c r="GF116" s="768"/>
      <c r="GG116" s="768"/>
      <c r="GH116" s="768"/>
      <c r="GI116" s="768"/>
      <c r="GJ116" s="768"/>
      <c r="GK116" s="768"/>
      <c r="GL116" s="768"/>
      <c r="GM116" s="768"/>
      <c r="GN116" s="768"/>
      <c r="GO116" s="768"/>
      <c r="GP116" s="768"/>
      <c r="GQ116" s="768"/>
      <c r="GR116" s="656"/>
      <c r="GS116" s="656"/>
      <c r="GT116" s="941"/>
      <c r="GU116" s="942"/>
      <c r="GV116" s="942"/>
      <c r="GW116" s="773" t="s">
        <v>165</v>
      </c>
      <c r="GX116" s="773" t="s">
        <v>165</v>
      </c>
      <c r="GY116" s="774"/>
      <c r="GZ116" s="943"/>
      <c r="HA116" s="777"/>
      <c r="HB116" s="777"/>
      <c r="HC116" s="777"/>
      <c r="HD116" s="874"/>
      <c r="HE116" s="875"/>
      <c r="HF116" s="875"/>
      <c r="HG116" s="875"/>
      <c r="HH116" s="875"/>
      <c r="HI116" s="875"/>
      <c r="HJ116" s="875"/>
      <c r="HK116" s="875"/>
      <c r="HL116" s="875"/>
      <c r="HM116" s="875"/>
      <c r="HN116" s="875"/>
      <c r="HO116" s="875"/>
      <c r="HP116" s="875"/>
      <c r="HQ116" s="875"/>
      <c r="HR116" s="779"/>
      <c r="HS116" s="884"/>
      <c r="HT116" s="874"/>
      <c r="HU116" s="875"/>
      <c r="HV116" s="875"/>
      <c r="HW116" s="875"/>
      <c r="HX116" s="875"/>
      <c r="HY116" s="875"/>
      <c r="HZ116" s="875"/>
      <c r="IA116" s="875"/>
      <c r="IB116" s="875"/>
      <c r="IC116" s="875"/>
      <c r="ID116" s="875"/>
      <c r="IE116" s="875"/>
      <c r="IF116" s="875"/>
      <c r="IG116" s="779"/>
      <c r="IH116" s="884"/>
      <c r="II116" s="271"/>
      <c r="IJ116" s="875"/>
      <c r="IK116" s="875"/>
      <c r="IL116" s="886"/>
      <c r="IM116" s="1016"/>
      <c r="IN116" s="1016"/>
      <c r="IO116" s="1029"/>
      <c r="IP116" s="1030"/>
      <c r="IQ116" s="541"/>
      <c r="IR116" s="581"/>
      <c r="IS116" s="582"/>
      <c r="IT116" s="582"/>
      <c r="IU116" s="582"/>
      <c r="IV116" s="582"/>
      <c r="IW116" s="582"/>
      <c r="IX116" s="583"/>
      <c r="IY116" s="583"/>
      <c r="IZ116" s="582"/>
      <c r="JA116" s="582"/>
      <c r="JB116" s="582"/>
      <c r="JC116" s="582"/>
      <c r="JD116" s="584"/>
      <c r="JE116" s="584"/>
      <c r="JF116" s="585"/>
      <c r="JG116" s="586"/>
      <c r="JH116" s="587"/>
      <c r="JI116" s="1"/>
      <c r="JJ116" s="1"/>
      <c r="JK116" s="1"/>
      <c r="JL116" s="1"/>
      <c r="JM116" s="1"/>
      <c r="JN116" s="1"/>
      <c r="JO116" s="507"/>
      <c r="JP116" s="508"/>
      <c r="JQ116" s="508"/>
      <c r="JR116" s="508"/>
      <c r="JS116" s="729"/>
      <c r="JT116" s="729"/>
      <c r="JU116" s="729"/>
      <c r="JV116" s="729"/>
      <c r="JW116" s="729"/>
      <c r="JX116" s="729"/>
      <c r="JY116" s="729"/>
      <c r="JZ116" s="729"/>
      <c r="KA116" s="729"/>
      <c r="KB116" s="729"/>
      <c r="KC116" s="729"/>
      <c r="KD116" s="729"/>
      <c r="KE116" s="729"/>
      <c r="KF116" s="729"/>
      <c r="KG116" s="729"/>
      <c r="KH116" s="729"/>
      <c r="KI116" s="729"/>
      <c r="KJ116" s="729"/>
      <c r="KK116" s="729"/>
      <c r="KL116" s="729"/>
      <c r="KM116" s="729"/>
      <c r="KN116" s="729"/>
      <c r="KO116" s="729"/>
      <c r="KP116" s="729"/>
      <c r="KQ116" s="729"/>
      <c r="KR116" s="729"/>
      <c r="KS116" s="729"/>
      <c r="KT116" s="729"/>
      <c r="KU116" s="729"/>
      <c r="KV116" s="729"/>
      <c r="KW116" s="730"/>
      <c r="KX116" s="1016"/>
      <c r="KY116" s="1016"/>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row>
    <row r="117" spans="1:398" ht="40" customHeight="1">
      <c r="B117" s="299"/>
      <c r="C117" s="241"/>
      <c r="D117" s="378">
        <v>25</v>
      </c>
      <c r="E117" s="379">
        <v>245</v>
      </c>
      <c r="F117" s="1040" t="s">
        <v>487</v>
      </c>
      <c r="G117" s="381">
        <v>100</v>
      </c>
      <c r="H117" s="381">
        <v>200</v>
      </c>
      <c r="I117" s="381">
        <v>100</v>
      </c>
      <c r="J117" s="381">
        <v>208</v>
      </c>
      <c r="K117" s="245" t="s">
        <v>488</v>
      </c>
      <c r="L117" s="381">
        <v>216</v>
      </c>
      <c r="M117" s="383">
        <v>0</v>
      </c>
      <c r="N117" s="384" t="s">
        <v>318</v>
      </c>
      <c r="O117" s="384" t="s">
        <v>168</v>
      </c>
      <c r="P117" s="383">
        <v>216</v>
      </c>
      <c r="Q117" s="1041" t="s">
        <v>170</v>
      </c>
      <c r="R117" s="384" t="s">
        <v>170</v>
      </c>
      <c r="S117" s="384" t="s">
        <v>169</v>
      </c>
      <c r="T117" s="384" t="s">
        <v>355</v>
      </c>
      <c r="U117" s="385" t="s">
        <v>169</v>
      </c>
      <c r="V117" s="378" t="s">
        <v>172</v>
      </c>
      <c r="W117" s="378"/>
      <c r="X117" s="592" t="s">
        <v>292</v>
      </c>
      <c r="Y117" s="592" t="s">
        <v>292</v>
      </c>
      <c r="Z117" s="242"/>
      <c r="AA117" s="253" t="s">
        <v>489</v>
      </c>
      <c r="AB117" s="278" t="s">
        <v>473</v>
      </c>
      <c r="AC117" s="279">
        <v>213</v>
      </c>
      <c r="AD117" s="952">
        <f>SUM(AC117,AC118)</f>
        <v>213</v>
      </c>
      <c r="AE117" s="465" t="s">
        <v>295</v>
      </c>
      <c r="AF117" s="466" t="s">
        <v>296</v>
      </c>
      <c r="AG117" s="467">
        <f>FP117</f>
        <v>6714400.0000000009</v>
      </c>
      <c r="AH117" s="468">
        <f>FQ117</f>
        <v>2090</v>
      </c>
      <c r="AI117" s="468">
        <f>FR117</f>
        <v>2010</v>
      </c>
      <c r="AJ117" s="469">
        <f>AK117/AT117</f>
        <v>0.37598296199213627</v>
      </c>
      <c r="AK117" s="468">
        <f>22950*1.1</f>
        <v>25245.000000000004</v>
      </c>
      <c r="AL117" s="469">
        <f>AM117/AT117</f>
        <v>0.48877785058977707</v>
      </c>
      <c r="AM117" s="468">
        <f>29835*1.1</f>
        <v>32818.5</v>
      </c>
      <c r="AN117" s="626" t="s">
        <v>297</v>
      </c>
      <c r="AO117" s="468">
        <f>3000*1.1</f>
        <v>3300.0000000000005</v>
      </c>
      <c r="AP117" s="467">
        <f t="shared" ref="AP117:AQ117" si="9">FS117</f>
        <v>100</v>
      </c>
      <c r="AQ117" s="467">
        <f t="shared" si="9"/>
        <v>208</v>
      </c>
      <c r="AR117" s="474">
        <f>DM117/(BX117-2)</f>
        <v>195.25</v>
      </c>
      <c r="AS117" s="475">
        <f>AG117/AR117</f>
        <v>34388.732394366205</v>
      </c>
      <c r="AT117" s="476">
        <f>AG117/AP117</f>
        <v>67144.000000000015</v>
      </c>
      <c r="AU117" s="475">
        <f>AG117/AQ117</f>
        <v>32280.769230769234</v>
      </c>
      <c r="AV117" s="477">
        <v>26000</v>
      </c>
      <c r="AW117" s="477">
        <v>48000</v>
      </c>
      <c r="AX117" s="467">
        <f>GA117</f>
        <v>902000.00000000012</v>
      </c>
      <c r="AY117" s="467">
        <f>GB117</f>
        <v>6</v>
      </c>
      <c r="AZ117" s="478">
        <f>GC117</f>
        <v>93374600.000000015</v>
      </c>
      <c r="BA117" s="478">
        <f>GD117</f>
        <v>12628000.000000002</v>
      </c>
      <c r="BB117" s="478"/>
      <c r="BC117" s="478">
        <f>AH117*DM117</f>
        <v>4896870</v>
      </c>
      <c r="BD117" s="479">
        <v>33961840</v>
      </c>
      <c r="BE117" s="479"/>
      <c r="BF117" s="479">
        <v>33929280</v>
      </c>
      <c r="BG117" s="479">
        <v>33929280</v>
      </c>
      <c r="BH117" s="479">
        <v>2376000</v>
      </c>
      <c r="BI117" s="480">
        <f>GJ117</f>
        <v>0</v>
      </c>
      <c r="BJ117" s="480">
        <f>GK117</f>
        <v>0</v>
      </c>
      <c r="BK117" s="480">
        <f>BM117*5000*BX117</f>
        <v>140000</v>
      </c>
      <c r="BL117" s="480">
        <f>1800000*BN117*BX117</f>
        <v>25200000</v>
      </c>
      <c r="BM117" s="480">
        <f>GP117</f>
        <v>2</v>
      </c>
      <c r="BN117" s="480">
        <f>GQ117</f>
        <v>1</v>
      </c>
      <c r="BO117" s="481"/>
      <c r="BP117" s="481">
        <f>SUM(AZ117,BA117,BI117,BO117)</f>
        <v>106002600.00000001</v>
      </c>
      <c r="BQ117" s="481">
        <f>BP117-GR117</f>
        <v>0</v>
      </c>
      <c r="BR117" s="554"/>
      <c r="BS117" s="1012" t="s">
        <v>175</v>
      </c>
      <c r="BT117" s="484">
        <f>GU117</f>
        <v>46286</v>
      </c>
      <c r="BU117" s="484">
        <f>GV117</f>
        <v>46300</v>
      </c>
      <c r="BV117" s="666">
        <f>IFERROR(INDEX($BY$9:$DH$9, MATCH("準備", BY117:DK117, 0)), "")</f>
        <v>46286</v>
      </c>
      <c r="BW117" s="667" cm="1">
        <f t="array" ref="BW117">IF(COUNTIF(BY117:DK117,"*撤去*")=0,"",INDEX(BY$9:DK$9,1,MAX(IF(CC117:DK117="撤去",COLUMN(CC117:DK117)-COLUMN(BY117)+1))))</f>
        <v>46300</v>
      </c>
      <c r="BX117" s="663">
        <f>BW117-BV117</f>
        <v>14</v>
      </c>
      <c r="BY117" s="556">
        <v>0</v>
      </c>
      <c r="BZ117" s="557">
        <v>0</v>
      </c>
      <c r="CA117" s="557">
        <v>0</v>
      </c>
      <c r="CB117" s="557">
        <v>0</v>
      </c>
      <c r="CC117" s="405">
        <v>0</v>
      </c>
      <c r="CD117" s="403">
        <v>0</v>
      </c>
      <c r="CE117" s="403">
        <v>0</v>
      </c>
      <c r="CF117" s="403">
        <v>0</v>
      </c>
      <c r="CG117" s="403">
        <v>0</v>
      </c>
      <c r="CH117" s="403">
        <v>0</v>
      </c>
      <c r="CI117" s="403">
        <v>0</v>
      </c>
      <c r="CJ117" s="403">
        <v>0</v>
      </c>
      <c r="CK117" s="403">
        <v>0</v>
      </c>
      <c r="CL117" s="976">
        <v>0</v>
      </c>
      <c r="CM117" s="976">
        <v>0</v>
      </c>
      <c r="CN117" s="976">
        <v>0</v>
      </c>
      <c r="CO117" s="976">
        <v>0</v>
      </c>
      <c r="CP117" s="976">
        <v>0</v>
      </c>
      <c r="CQ117" s="976">
        <v>0</v>
      </c>
      <c r="CR117" s="1014">
        <v>0</v>
      </c>
      <c r="CS117" s="975">
        <v>0</v>
      </c>
      <c r="CT117" s="1192" t="s">
        <v>177</v>
      </c>
      <c r="CU117" s="1192" t="s">
        <v>177</v>
      </c>
      <c r="CV117" s="976">
        <v>213</v>
      </c>
      <c r="CW117" s="976">
        <v>213</v>
      </c>
      <c r="CX117" s="976">
        <v>213</v>
      </c>
      <c r="CY117" s="976">
        <v>213</v>
      </c>
      <c r="CZ117" s="976">
        <v>213</v>
      </c>
      <c r="DA117" s="976">
        <v>213</v>
      </c>
      <c r="DB117" s="976">
        <v>213</v>
      </c>
      <c r="DC117" s="976">
        <v>213</v>
      </c>
      <c r="DD117" s="976">
        <v>213</v>
      </c>
      <c r="DE117" s="976">
        <v>213</v>
      </c>
      <c r="DF117" s="976">
        <v>213</v>
      </c>
      <c r="DG117" s="404">
        <v>0</v>
      </c>
      <c r="DH117" s="603" t="s">
        <v>178</v>
      </c>
      <c r="DI117" s="403">
        <v>0</v>
      </c>
      <c r="DJ117" s="403">
        <v>0</v>
      </c>
      <c r="DK117" s="407">
        <v>0</v>
      </c>
      <c r="DL117" s="1016"/>
      <c r="DM117" s="277" cm="1">
        <f t="array" ref="DM117">SUM(IF(ISNUMBER($BY117:$DK117),$BY117:$DK117, 0))</f>
        <v>2343</v>
      </c>
      <c r="DN117" s="277">
        <v>2200</v>
      </c>
      <c r="DO117" s="277">
        <f>DM117*(BX117)/(BX117+1)</f>
        <v>2186.8000000000002</v>
      </c>
      <c r="DP117" s="277"/>
      <c r="DQ117" s="253" t="s">
        <v>490</v>
      </c>
      <c r="DR117" s="278" t="s">
        <v>473</v>
      </c>
      <c r="DS117" s="279">
        <v>200</v>
      </c>
      <c r="DT117" s="952">
        <f>SUM(DS117,DS118)</f>
        <v>200</v>
      </c>
      <c r="DU117" s="467">
        <v>6714400.0000000009</v>
      </c>
      <c r="DV117" s="467">
        <v>902000.00000000012</v>
      </c>
      <c r="DW117" s="478">
        <v>93374600.000000015</v>
      </c>
      <c r="DX117" s="478">
        <v>12628000.000000002</v>
      </c>
      <c r="DY117" s="478">
        <v>4824000</v>
      </c>
      <c r="DZ117" s="478">
        <v>36352800</v>
      </c>
      <c r="EA117" s="478">
        <v>31505760</v>
      </c>
      <c r="EB117" s="478">
        <v>2376000</v>
      </c>
      <c r="EC117" s="480">
        <v>0</v>
      </c>
      <c r="ED117" s="480">
        <v>0</v>
      </c>
      <c r="EE117" s="480">
        <v>140000</v>
      </c>
      <c r="EF117" s="480">
        <v>25200000</v>
      </c>
      <c r="EG117" s="481"/>
      <c r="EH117" s="481">
        <v>106002600.00000001</v>
      </c>
      <c r="EI117" s="484">
        <v>46286</v>
      </c>
      <c r="EJ117" s="484">
        <v>46300</v>
      </c>
      <c r="EK117" s="666">
        <v>46286</v>
      </c>
      <c r="EL117" s="667">
        <v>46300</v>
      </c>
      <c r="EM117" s="663">
        <v>14</v>
      </c>
      <c r="EN117" s="277"/>
      <c r="EO117" s="386" t="s">
        <v>490</v>
      </c>
      <c r="EP117" s="408" t="s">
        <v>473</v>
      </c>
      <c r="EQ117" s="985">
        <v>216</v>
      </c>
      <c r="ER117" s="958">
        <v>216</v>
      </c>
      <c r="ES117" s="245">
        <v>216</v>
      </c>
      <c r="ET117" s="245">
        <v>216</v>
      </c>
      <c r="EU117" s="245">
        <v>187</v>
      </c>
      <c r="EV117" s="411" t="s">
        <v>491</v>
      </c>
      <c r="EW117" s="412">
        <v>0</v>
      </c>
      <c r="EX117" s="413">
        <v>1</v>
      </c>
      <c r="EY117" s="414" t="s">
        <v>188</v>
      </c>
      <c r="EZ117" s="492">
        <v>0</v>
      </c>
      <c r="FA117" s="493">
        <v>1</v>
      </c>
      <c r="FB117" s="414" t="s">
        <v>189</v>
      </c>
      <c r="FC117" s="492"/>
      <c r="FD117" s="493"/>
      <c r="FE117" s="494" t="s">
        <v>189</v>
      </c>
      <c r="FF117" s="492"/>
      <c r="FG117" s="493"/>
      <c r="FH117" s="494" t="s">
        <v>189</v>
      </c>
      <c r="FI117" s="492"/>
      <c r="FJ117" s="495"/>
      <c r="FK117" s="289">
        <v>-16</v>
      </c>
      <c r="FL117" s="1042">
        <v>-0.08</v>
      </c>
      <c r="FM117" s="498" t="s">
        <v>492</v>
      </c>
      <c r="FN117" s="561" t="s">
        <v>300</v>
      </c>
      <c r="FO117" s="466" t="s">
        <v>296</v>
      </c>
      <c r="FP117" s="562">
        <v>6714400.0000000009</v>
      </c>
      <c r="FQ117" s="563">
        <v>2090</v>
      </c>
      <c r="FR117" s="468">
        <v>2010</v>
      </c>
      <c r="FS117" s="562">
        <v>100</v>
      </c>
      <c r="FT117" s="965">
        <v>208</v>
      </c>
      <c r="FU117" s="261">
        <v>216</v>
      </c>
      <c r="FV117" s="394">
        <v>33572.000000000007</v>
      </c>
      <c r="FW117" s="390">
        <v>67144.000000000015</v>
      </c>
      <c r="FX117" s="394">
        <v>32280.769230769234</v>
      </c>
      <c r="FY117" s="564">
        <v>63500</v>
      </c>
      <c r="FZ117" s="564">
        <v>88000</v>
      </c>
      <c r="GA117" s="562">
        <v>902000.00000000012</v>
      </c>
      <c r="GB117" s="562">
        <v>6</v>
      </c>
      <c r="GC117" s="565">
        <v>93374600.000000015</v>
      </c>
      <c r="GD117" s="565">
        <v>12628000.000000002</v>
      </c>
      <c r="GE117" s="565">
        <v>93374600.000000015</v>
      </c>
      <c r="GF117" s="565">
        <v>12628000.000000002</v>
      </c>
      <c r="GG117" s="478">
        <v>0</v>
      </c>
      <c r="GH117" s="478">
        <v>0</v>
      </c>
      <c r="GI117" s="478">
        <v>3125952</v>
      </c>
      <c r="GJ117" s="566"/>
      <c r="GK117" s="566"/>
      <c r="GL117" s="566"/>
      <c r="GM117" s="480">
        <v>0</v>
      </c>
      <c r="GN117" s="480">
        <v>140000</v>
      </c>
      <c r="GO117" s="480">
        <v>25200000</v>
      </c>
      <c r="GP117" s="566">
        <v>2</v>
      </c>
      <c r="GQ117" s="566">
        <v>1</v>
      </c>
      <c r="GR117" s="966">
        <v>106002600.00000001</v>
      </c>
      <c r="GS117" s="1019">
        <v>-3275248.0000000168</v>
      </c>
      <c r="GT117" s="1012" t="s">
        <v>175</v>
      </c>
      <c r="GU117" s="1020">
        <v>46286</v>
      </c>
      <c r="GV117" s="1020">
        <v>46300</v>
      </c>
      <c r="GW117" s="666">
        <v>46286</v>
      </c>
      <c r="GX117" s="667">
        <v>46300</v>
      </c>
      <c r="GY117" s="663">
        <v>14</v>
      </c>
      <c r="GZ117" s="556"/>
      <c r="HA117" s="557"/>
      <c r="HB117" s="557"/>
      <c r="HC117" s="557"/>
      <c r="HD117" s="405">
        <v>0</v>
      </c>
      <c r="HE117" s="403">
        <v>0</v>
      </c>
      <c r="HF117" s="403">
        <v>0</v>
      </c>
      <c r="HG117" s="403">
        <v>0</v>
      </c>
      <c r="HH117" s="403">
        <v>0</v>
      </c>
      <c r="HI117" s="403">
        <v>0</v>
      </c>
      <c r="HJ117" s="403">
        <v>0</v>
      </c>
      <c r="HK117" s="403">
        <v>0</v>
      </c>
      <c r="HL117" s="403">
        <v>0</v>
      </c>
      <c r="HM117" s="403">
        <v>0</v>
      </c>
      <c r="HN117" s="403">
        <v>0</v>
      </c>
      <c r="HO117" s="403">
        <v>0</v>
      </c>
      <c r="HP117" s="403">
        <v>0</v>
      </c>
      <c r="HQ117" s="403">
        <v>0</v>
      </c>
      <c r="HR117" s="403">
        <v>0</v>
      </c>
      <c r="HS117" s="404">
        <v>0</v>
      </c>
      <c r="HT117" s="405">
        <v>0</v>
      </c>
      <c r="HU117" s="400" t="s">
        <v>177</v>
      </c>
      <c r="HV117" s="400" t="s">
        <v>177</v>
      </c>
      <c r="HW117" s="403">
        <v>216</v>
      </c>
      <c r="HX117" s="403">
        <v>216</v>
      </c>
      <c r="HY117" s="403">
        <v>216</v>
      </c>
      <c r="HZ117" s="403">
        <v>216</v>
      </c>
      <c r="IA117" s="403">
        <v>216</v>
      </c>
      <c r="IB117" s="403">
        <v>216</v>
      </c>
      <c r="IC117" s="403">
        <v>216</v>
      </c>
      <c r="ID117" s="403">
        <v>216</v>
      </c>
      <c r="IE117" s="403">
        <v>216</v>
      </c>
      <c r="IF117" s="403">
        <v>216</v>
      </c>
      <c r="IG117" s="403">
        <v>216</v>
      </c>
      <c r="IH117" s="404">
        <v>216</v>
      </c>
      <c r="II117" s="603" t="s">
        <v>178</v>
      </c>
      <c r="IJ117" s="403">
        <v>0</v>
      </c>
      <c r="IK117" s="403">
        <v>0</v>
      </c>
      <c r="IL117" s="407">
        <v>0</v>
      </c>
      <c r="IM117" s="1016"/>
      <c r="IN117" s="277" cm="1">
        <f t="array" ref="IN117">SUM(IF(ISNUMBER($HD117:$IL117),$HD117:$IL117, 0))</f>
        <v>2592</v>
      </c>
      <c r="IO117" s="1021"/>
      <c r="IP117" s="1022"/>
      <c r="IQ117" s="541"/>
      <c r="IR117" s="569">
        <f>VLOOKUP($E117,[1]アジアResults1031!$A$1:$CH$259,23,FALSE)</f>
        <v>7337668</v>
      </c>
      <c r="IS117" s="570">
        <f>VLOOKUP($E117,[1]アジアResults1031!$A$1:$CH$259,32,FALSE)</f>
        <v>100</v>
      </c>
      <c r="IT117" s="570">
        <f>KY117/(GY117-2)</f>
        <v>187</v>
      </c>
      <c r="IU117" s="1193">
        <f>IR117/200</f>
        <v>36688.339999999997</v>
      </c>
      <c r="IV117" s="570">
        <f>VLOOKUP(E117,[1]アジアResults1031!$A$1:$CH$264,26,FALSE)</f>
        <v>64706</v>
      </c>
      <c r="IW117" s="570">
        <f>VLOOKUP(E117,[1]アジアResults1031!$A$1:$CH$264,27,FALSE)</f>
        <v>76471</v>
      </c>
      <c r="IX117" s="571">
        <f>VLOOKUP($E117,[1]アジアResults1031!$A$1:$CH$259,18,FALSE)</f>
        <v>0</v>
      </c>
      <c r="IY117" s="571">
        <f>VLOOKUP($E117,[1]アジアResults1031!$A$1:$CH$259,9,FALSE)</f>
        <v>0</v>
      </c>
      <c r="IZ117" s="570">
        <f>IR117*JF117</f>
        <v>102727352</v>
      </c>
      <c r="JA117" s="570">
        <f>IX117*JF117</f>
        <v>0</v>
      </c>
      <c r="JB117" s="570"/>
      <c r="JC117" s="570"/>
      <c r="JD117" s="572">
        <f>IFERROR(INDEX($JO$9:$KW$9, MATCH("準備", JO117:KW117, 0)), "")</f>
        <v>46286</v>
      </c>
      <c r="JE117" s="572" cm="1">
        <f t="array" ref="JE117">IF(COUNTIF(JO117:KW117,"*撤去*")=0,"",INDEX(JO$9:KW$9,1,MAX(IF(JO117:KW117="撤去",COLUMN(JO117:KW117)-COLUMN(JO117)+1))))</f>
        <v>46300</v>
      </c>
      <c r="JF117" s="573">
        <f>JE117-JD117</f>
        <v>14</v>
      </c>
      <c r="JG117" s="503">
        <v>7210500</v>
      </c>
      <c r="JH117" s="506">
        <v>451000</v>
      </c>
      <c r="JO117" s="507"/>
      <c r="JP117" s="508"/>
      <c r="JQ117" s="508"/>
      <c r="JR117" s="508"/>
      <c r="JS117" s="508"/>
      <c r="JT117" s="508"/>
      <c r="JU117" s="508"/>
      <c r="JV117" s="508"/>
      <c r="JW117" s="508"/>
      <c r="JX117" s="508"/>
      <c r="JY117" s="508"/>
      <c r="JZ117" s="508"/>
      <c r="KA117" s="508"/>
      <c r="KB117" s="508"/>
      <c r="KC117" s="508"/>
      <c r="KD117" s="508"/>
      <c r="KE117" s="508"/>
      <c r="KF117" s="400" t="s">
        <v>177</v>
      </c>
      <c r="KG117" s="400" t="s">
        <v>177</v>
      </c>
      <c r="KH117" s="508">
        <v>187</v>
      </c>
      <c r="KI117" s="508">
        <v>187</v>
      </c>
      <c r="KJ117" s="508">
        <v>187</v>
      </c>
      <c r="KK117" s="508">
        <v>187</v>
      </c>
      <c r="KL117" s="508">
        <v>187</v>
      </c>
      <c r="KM117" s="508">
        <v>187</v>
      </c>
      <c r="KN117" s="508">
        <v>187</v>
      </c>
      <c r="KO117" s="508">
        <v>187</v>
      </c>
      <c r="KP117" s="508">
        <v>187</v>
      </c>
      <c r="KQ117" s="508">
        <v>187</v>
      </c>
      <c r="KR117" s="508">
        <v>187</v>
      </c>
      <c r="KS117" s="508">
        <v>187</v>
      </c>
      <c r="KT117" s="406" t="s">
        <v>178</v>
      </c>
      <c r="KU117" s="508"/>
      <c r="KV117" s="508"/>
      <c r="KW117" s="509"/>
      <c r="KX117" s="1016"/>
      <c r="KY117" s="277" cm="1">
        <f t="array" ref="KY117">SUM(IF(ISNUMBER($JO117:$KW117),$JO117:$KW117, 0))</f>
        <v>2244</v>
      </c>
    </row>
    <row r="118" spans="1:398" s="547" customFormat="1" ht="40" customHeight="1" thickBot="1">
      <c r="A118" s="1"/>
      <c r="B118" s="299"/>
      <c r="C118" s="241"/>
      <c r="D118" s="445"/>
      <c r="E118" s="510" t="s">
        <v>165</v>
      </c>
      <c r="F118" s="1023"/>
      <c r="G118" s="512">
        <v>0</v>
      </c>
      <c r="H118" s="512">
        <v>0</v>
      </c>
      <c r="I118" s="512">
        <v>0</v>
      </c>
      <c r="J118" s="512">
        <v>0</v>
      </c>
      <c r="K118" s="512"/>
      <c r="L118" s="512">
        <v>0</v>
      </c>
      <c r="M118" s="513">
        <v>0</v>
      </c>
      <c r="N118" s="514">
        <v>0</v>
      </c>
      <c r="O118" s="514">
        <v>0</v>
      </c>
      <c r="P118" s="513">
        <v>0</v>
      </c>
      <c r="Q118" s="1045">
        <v>0</v>
      </c>
      <c r="R118" s="514">
        <v>0</v>
      </c>
      <c r="S118" s="514">
        <v>0</v>
      </c>
      <c r="T118" s="514">
        <v>0</v>
      </c>
      <c r="U118" s="515" t="s">
        <v>165</v>
      </c>
      <c r="V118" s="445"/>
      <c r="W118" s="445"/>
      <c r="X118" s="445"/>
      <c r="Y118" s="445"/>
      <c r="Z118" s="445"/>
      <c r="AA118" s="1188"/>
      <c r="AB118" s="1189" t="s">
        <v>170</v>
      </c>
      <c r="AC118" s="1190">
        <v>0</v>
      </c>
      <c r="AD118" s="1191"/>
      <c r="AE118" s="655"/>
      <c r="AF118" s="656"/>
      <c r="AG118" s="656"/>
      <c r="AH118" s="656"/>
      <c r="AI118" s="656"/>
      <c r="AJ118" s="656"/>
      <c r="AK118" s="656"/>
      <c r="AL118" s="656"/>
      <c r="AM118" s="656"/>
      <c r="AN118" s="656"/>
      <c r="AO118" s="656"/>
      <c r="AP118" s="656"/>
      <c r="AQ118" s="656"/>
      <c r="AR118" s="656"/>
      <c r="AS118" s="767"/>
      <c r="AT118" s="656"/>
      <c r="AU118" s="767"/>
      <c r="AV118" s="656"/>
      <c r="AW118" s="656"/>
      <c r="AX118" s="656"/>
      <c r="AY118" s="656"/>
      <c r="AZ118" s="768"/>
      <c r="BA118" s="768"/>
      <c r="BB118" s="768"/>
      <c r="BC118" s="768"/>
      <c r="BD118" s="768"/>
      <c r="BE118" s="768"/>
      <c r="BF118" s="768"/>
      <c r="BG118" s="768"/>
      <c r="BH118" s="768"/>
      <c r="BI118" s="768"/>
      <c r="BJ118" s="768"/>
      <c r="BK118" s="768"/>
      <c r="BL118" s="768"/>
      <c r="BM118" s="768"/>
      <c r="BN118" s="768"/>
      <c r="BO118" s="656"/>
      <c r="BP118" s="656"/>
      <c r="BQ118" s="656"/>
      <c r="BR118" s="940"/>
      <c r="BS118" s="941"/>
      <c r="BT118" s="942"/>
      <c r="BU118" s="942"/>
      <c r="BV118" s="773" t="str">
        <f>IFERROR(INDEX($HD$9:$II$9, MATCH("準備", CC118:DK118, 0)), "")</f>
        <v/>
      </c>
      <c r="BW118" s="773" t="str" cm="1">
        <f t="array" ref="BW118">IF(COUNTIF(CC118:DK118,"*撤去*")=0,"",INDEX(CC$9:DK$9,1,MAX(IF(CC118:DK118="撤去",COLUMN(CC118:DK118)-COLUMN(CC118)+1))))</f>
        <v/>
      </c>
      <c r="BX118" s="774"/>
      <c r="BY118" s="360" t="s">
        <v>246</v>
      </c>
      <c r="BZ118" s="361" t="s">
        <v>247</v>
      </c>
      <c r="CA118" s="777"/>
      <c r="CB118" s="777"/>
      <c r="CC118" s="874"/>
      <c r="CD118" s="875"/>
      <c r="CE118" s="875"/>
      <c r="CF118" s="875"/>
      <c r="CG118" s="875"/>
      <c r="CH118" s="875"/>
      <c r="CI118" s="875"/>
      <c r="CJ118" s="875"/>
      <c r="CK118" s="875"/>
      <c r="CL118" s="875"/>
      <c r="CM118" s="875"/>
      <c r="CN118" s="875"/>
      <c r="CO118" s="875"/>
      <c r="CP118" s="875"/>
      <c r="CQ118" s="779"/>
      <c r="CR118" s="884"/>
      <c r="CS118" s="874"/>
      <c r="CT118" s="363"/>
      <c r="CU118" s="363"/>
      <c r="CV118" s="363"/>
      <c r="CW118" s="363"/>
      <c r="CX118" s="363"/>
      <c r="CY118" s="363"/>
      <c r="CZ118" s="363"/>
      <c r="DA118" s="363"/>
      <c r="DB118" s="363"/>
      <c r="DC118" s="363"/>
      <c r="DD118" s="363"/>
      <c r="DE118" s="363"/>
      <c r="DF118" s="364"/>
      <c r="DG118" s="365"/>
      <c r="DH118" s="366"/>
      <c r="DI118" s="875"/>
      <c r="DJ118" s="875"/>
      <c r="DK118" s="886"/>
      <c r="DL118" s="1016"/>
      <c r="DM118" s="1016"/>
      <c r="DN118" s="1016"/>
      <c r="DO118" s="1016"/>
      <c r="DP118" s="1016"/>
      <c r="DQ118" s="1188"/>
      <c r="DR118" s="1189" t="s">
        <v>170</v>
      </c>
      <c r="DS118" s="1190">
        <v>0</v>
      </c>
      <c r="DT118" s="1191"/>
      <c r="DU118" s="656"/>
      <c r="DV118" s="656"/>
      <c r="DW118" s="768"/>
      <c r="DX118" s="768"/>
      <c r="DY118" s="768"/>
      <c r="DZ118" s="768"/>
      <c r="EA118" s="768"/>
      <c r="EB118" s="768"/>
      <c r="EC118" s="768"/>
      <c r="ED118" s="768"/>
      <c r="EE118" s="768"/>
      <c r="EF118" s="768"/>
      <c r="EG118" s="656"/>
      <c r="EH118" s="656"/>
      <c r="EI118" s="942"/>
      <c r="EJ118" s="942"/>
      <c r="EK118" s="773" t="s">
        <v>165</v>
      </c>
      <c r="EL118" s="773" t="s">
        <v>165</v>
      </c>
      <c r="EM118" s="774"/>
      <c r="EN118" s="1016"/>
      <c r="EO118" s="763"/>
      <c r="EP118" s="1032" t="s">
        <v>170</v>
      </c>
      <c r="EQ118" s="1033">
        <v>0</v>
      </c>
      <c r="ER118" s="1046"/>
      <c r="ES118" s="1046" t="e">
        <v>#N/A</v>
      </c>
      <c r="ET118" s="1046"/>
      <c r="EU118" s="1046"/>
      <c r="EV118" s="1027" t="s">
        <v>170</v>
      </c>
      <c r="EW118" s="453"/>
      <c r="EX118" s="454"/>
      <c r="EY118" s="879" t="s">
        <v>170</v>
      </c>
      <c r="EZ118" s="456"/>
      <c r="FA118" s="457"/>
      <c r="FB118" s="879" t="s">
        <v>170</v>
      </c>
      <c r="FC118" s="880"/>
      <c r="FD118" s="881"/>
      <c r="FE118" s="882" t="s">
        <v>170</v>
      </c>
      <c r="FF118" s="880"/>
      <c r="FG118" s="881"/>
      <c r="FH118" s="882" t="s">
        <v>170</v>
      </c>
      <c r="FI118" s="880"/>
      <c r="FJ118" s="883"/>
      <c r="FK118" s="375"/>
      <c r="FL118" s="1028"/>
      <c r="FM118" s="535"/>
      <c r="FN118" s="655"/>
      <c r="FO118" s="656"/>
      <c r="FP118" s="656"/>
      <c r="FQ118" s="656"/>
      <c r="FR118" s="656"/>
      <c r="FS118" s="656"/>
      <c r="FT118" s="656"/>
      <c r="FU118" s="656"/>
      <c r="FV118" s="767"/>
      <c r="FW118" s="656"/>
      <c r="FX118" s="767"/>
      <c r="FY118" s="656"/>
      <c r="FZ118" s="656"/>
      <c r="GA118" s="656"/>
      <c r="GB118" s="656"/>
      <c r="GC118" s="768"/>
      <c r="GD118" s="768"/>
      <c r="GE118" s="768"/>
      <c r="GF118" s="768"/>
      <c r="GG118" s="768"/>
      <c r="GH118" s="768"/>
      <c r="GI118" s="768"/>
      <c r="GJ118" s="768"/>
      <c r="GK118" s="768"/>
      <c r="GL118" s="768"/>
      <c r="GM118" s="768"/>
      <c r="GN118" s="768"/>
      <c r="GO118" s="768"/>
      <c r="GP118" s="768"/>
      <c r="GQ118" s="768"/>
      <c r="GR118" s="656"/>
      <c r="GS118" s="656"/>
      <c r="GT118" s="941"/>
      <c r="GU118" s="942"/>
      <c r="GV118" s="942"/>
      <c r="GW118" s="773" t="s">
        <v>165</v>
      </c>
      <c r="GX118" s="773" t="s">
        <v>165</v>
      </c>
      <c r="GY118" s="774"/>
      <c r="GZ118" s="943"/>
      <c r="HA118" s="777"/>
      <c r="HB118" s="777"/>
      <c r="HC118" s="777"/>
      <c r="HD118" s="874"/>
      <c r="HE118" s="875"/>
      <c r="HF118" s="875"/>
      <c r="HG118" s="875"/>
      <c r="HH118" s="875"/>
      <c r="HI118" s="875"/>
      <c r="HJ118" s="875"/>
      <c r="HK118" s="875"/>
      <c r="HL118" s="875"/>
      <c r="HM118" s="875"/>
      <c r="HN118" s="875"/>
      <c r="HO118" s="875"/>
      <c r="HP118" s="875"/>
      <c r="HQ118" s="875"/>
      <c r="HR118" s="779"/>
      <c r="HS118" s="884"/>
      <c r="HT118" s="874"/>
      <c r="HU118" s="875"/>
      <c r="HV118" s="875"/>
      <c r="HW118" s="875"/>
      <c r="HX118" s="875"/>
      <c r="HY118" s="875"/>
      <c r="HZ118" s="875"/>
      <c r="IA118" s="875"/>
      <c r="IB118" s="875"/>
      <c r="IC118" s="875"/>
      <c r="ID118" s="875"/>
      <c r="IE118" s="875"/>
      <c r="IF118" s="875"/>
      <c r="IG118" s="779"/>
      <c r="IH118" s="884"/>
      <c r="II118" s="271"/>
      <c r="IJ118" s="875"/>
      <c r="IK118" s="875"/>
      <c r="IL118" s="886"/>
      <c r="IM118" s="1016"/>
      <c r="IN118" s="1016"/>
      <c r="IO118" s="1029"/>
      <c r="IP118" s="1030"/>
      <c r="IQ118" s="541"/>
      <c r="IR118" s="542"/>
      <c r="IS118" s="543"/>
      <c r="IT118" s="543"/>
      <c r="IU118" s="543"/>
      <c r="IV118" s="543"/>
      <c r="IW118" s="543"/>
      <c r="IX118" s="544"/>
      <c r="IY118" s="544"/>
      <c r="IZ118" s="543"/>
      <c r="JA118" s="543"/>
      <c r="JB118" s="543"/>
      <c r="JC118" s="543"/>
      <c r="JD118" s="545"/>
      <c r="JE118" s="545"/>
      <c r="JF118" s="546"/>
      <c r="JG118" s="503"/>
      <c r="JH118" s="506"/>
      <c r="JI118" s="1"/>
      <c r="JJ118" s="1"/>
      <c r="JK118" s="1"/>
      <c r="JL118" s="1"/>
      <c r="JM118" s="1"/>
      <c r="JN118" s="1"/>
      <c r="JO118" s="507"/>
      <c r="JP118" s="508"/>
      <c r="JQ118" s="508"/>
      <c r="JR118" s="508"/>
      <c r="JS118" s="729"/>
      <c r="JT118" s="729"/>
      <c r="JU118" s="729"/>
      <c r="JV118" s="729"/>
      <c r="JW118" s="729"/>
      <c r="JX118" s="729"/>
      <c r="JY118" s="729"/>
      <c r="JZ118" s="729"/>
      <c r="KA118" s="729"/>
      <c r="KB118" s="729"/>
      <c r="KC118" s="729"/>
      <c r="KD118" s="729"/>
      <c r="KE118" s="729"/>
      <c r="KF118" s="729"/>
      <c r="KG118" s="729"/>
      <c r="KH118" s="729"/>
      <c r="KI118" s="729"/>
      <c r="KJ118" s="729"/>
      <c r="KK118" s="729"/>
      <c r="KL118" s="729"/>
      <c r="KM118" s="729"/>
      <c r="KN118" s="729"/>
      <c r="KO118" s="729"/>
      <c r="KP118" s="729"/>
      <c r="KQ118" s="729"/>
      <c r="KR118" s="729"/>
      <c r="KS118" s="729"/>
      <c r="KT118" s="729"/>
      <c r="KU118" s="729"/>
      <c r="KV118" s="729"/>
      <c r="KW118" s="730"/>
      <c r="KX118" s="1016"/>
      <c r="KY118" s="1016"/>
      <c r="KZ118" s="1"/>
      <c r="LA118" s="1"/>
      <c r="LB118" s="1"/>
      <c r="LC118" s="1"/>
      <c r="LD118" s="1"/>
      <c r="LE118" s="1"/>
      <c r="LF118" s="1"/>
      <c r="LG118" s="1"/>
      <c r="LH118" s="1"/>
      <c r="LI118" s="1"/>
      <c r="LJ118" s="1"/>
      <c r="LK118" s="1"/>
      <c r="LL118" s="1"/>
      <c r="LM118" s="1"/>
      <c r="LN118" s="1"/>
      <c r="LO118" s="1"/>
      <c r="LP118" s="1"/>
      <c r="LQ118" s="1"/>
      <c r="LR118" s="1"/>
      <c r="LS118" s="1"/>
      <c r="LT118" s="1"/>
      <c r="LU118" s="1"/>
      <c r="LV118" s="1"/>
      <c r="LW118" s="1"/>
      <c r="LX118" s="1"/>
      <c r="LY118" s="1"/>
      <c r="LZ118" s="1"/>
      <c r="MA118" s="1"/>
      <c r="MB118" s="1"/>
      <c r="MC118" s="1"/>
      <c r="MD118" s="1"/>
      <c r="ME118" s="1"/>
      <c r="MF118" s="1"/>
      <c r="MG118" s="1"/>
      <c r="MH118" s="1"/>
      <c r="MI118" s="1"/>
      <c r="MJ118" s="1"/>
      <c r="MK118" s="1"/>
      <c r="ML118" s="1"/>
      <c r="MM118" s="1"/>
      <c r="MN118" s="1"/>
      <c r="MO118" s="1"/>
      <c r="MP118" s="1"/>
      <c r="MQ118" s="1"/>
      <c r="MR118" s="1"/>
      <c r="MS118" s="1"/>
      <c r="MT118" s="1"/>
      <c r="MU118" s="1"/>
      <c r="MV118" s="1"/>
      <c r="MW118" s="1"/>
      <c r="MX118" s="1"/>
      <c r="MY118" s="1"/>
      <c r="MZ118" s="1"/>
      <c r="NA118" s="1"/>
      <c r="NB118" s="1"/>
      <c r="NC118" s="1"/>
      <c r="ND118" s="1"/>
      <c r="NE118" s="1"/>
      <c r="NF118" s="1"/>
      <c r="NG118" s="1"/>
      <c r="NH118" s="1"/>
      <c r="NI118" s="1"/>
      <c r="NJ118" s="1"/>
      <c r="NK118" s="1"/>
      <c r="NL118" s="1"/>
      <c r="NM118" s="1"/>
      <c r="NN118" s="1"/>
      <c r="NO118" s="1"/>
      <c r="NP118" s="1"/>
      <c r="NQ118" s="1"/>
      <c r="NR118" s="1"/>
      <c r="NS118" s="1"/>
      <c r="NT118" s="1"/>
      <c r="NU118" s="1"/>
      <c r="NV118" s="1"/>
      <c r="NW118" s="1"/>
      <c r="NX118" s="1"/>
      <c r="NY118" s="1"/>
      <c r="NZ118" s="1"/>
      <c r="OA118" s="1"/>
      <c r="OB118" s="1"/>
      <c r="OC118" s="1"/>
      <c r="OD118" s="1"/>
      <c r="OE118" s="1"/>
      <c r="OF118" s="1"/>
      <c r="OG118" s="1"/>
      <c r="OH118" s="1"/>
    </row>
    <row r="119" spans="1:398" ht="40" customHeight="1">
      <c r="B119" s="299"/>
      <c r="C119" s="241"/>
      <c r="D119" s="378">
        <v>26</v>
      </c>
      <c r="E119" s="243">
        <v>261</v>
      </c>
      <c r="F119" s="1141" t="s">
        <v>493</v>
      </c>
      <c r="G119" s="246">
        <v>82</v>
      </c>
      <c r="H119" s="246">
        <v>203</v>
      </c>
      <c r="I119" s="246">
        <v>73</v>
      </c>
      <c r="J119" s="246">
        <v>209</v>
      </c>
      <c r="K119" s="245" t="s">
        <v>494</v>
      </c>
      <c r="L119" s="246">
        <v>204</v>
      </c>
      <c r="M119" s="300">
        <v>18</v>
      </c>
      <c r="N119" s="251" t="s">
        <v>318</v>
      </c>
      <c r="O119" s="251" t="s">
        <v>168</v>
      </c>
      <c r="P119" s="300">
        <v>200</v>
      </c>
      <c r="Q119" s="1051" t="s">
        <v>170</v>
      </c>
      <c r="R119" s="251" t="s">
        <v>170</v>
      </c>
      <c r="S119" s="251" t="s">
        <v>170</v>
      </c>
      <c r="T119" s="251" t="s">
        <v>495</v>
      </c>
      <c r="U119" s="301" t="s">
        <v>169</v>
      </c>
      <c r="V119" s="242" t="s">
        <v>172</v>
      </c>
      <c r="W119" s="242"/>
      <c r="X119" s="592" t="s">
        <v>292</v>
      </c>
      <c r="Y119" s="592" t="s">
        <v>292</v>
      </c>
      <c r="Z119" s="242"/>
      <c r="AA119" s="386" t="s">
        <v>496</v>
      </c>
      <c r="AB119" s="408" t="s">
        <v>473</v>
      </c>
      <c r="AC119" s="985">
        <v>163</v>
      </c>
      <c r="AD119" s="958">
        <f>SUM(AC119,AC120)</f>
        <v>163</v>
      </c>
      <c r="AE119" s="257" t="s">
        <v>175</v>
      </c>
      <c r="AF119" s="564" t="s">
        <v>296</v>
      </c>
      <c r="AG119" s="467">
        <f>FP119</f>
        <v>4600200</v>
      </c>
      <c r="AH119" s="468">
        <f>FQ119</f>
        <v>3300</v>
      </c>
      <c r="AI119" s="468">
        <f>FR119</f>
        <v>800</v>
      </c>
      <c r="AJ119" s="469">
        <f>AK119/AT119</f>
        <v>0.38402678144428509</v>
      </c>
      <c r="AK119" s="468">
        <f>22000*1.1</f>
        <v>24200.000000000004</v>
      </c>
      <c r="AL119" s="469">
        <f>AM119/AT119</f>
        <v>0.31420373027259685</v>
      </c>
      <c r="AM119" s="468">
        <f>18000*1.1</f>
        <v>19800</v>
      </c>
      <c r="AN119" s="626" t="s">
        <v>308</v>
      </c>
      <c r="AO119" s="468">
        <f>1300*1.1</f>
        <v>1430.0000000000002</v>
      </c>
      <c r="AP119" s="467">
        <f t="shared" ref="AP119:AQ119" si="10">FS119</f>
        <v>73</v>
      </c>
      <c r="AQ119" s="467">
        <f t="shared" si="10"/>
        <v>209</v>
      </c>
      <c r="AR119" s="474">
        <f>DM119/(BX119-2)</f>
        <v>142.625</v>
      </c>
      <c r="AS119" s="475">
        <f>AG119/AR119</f>
        <v>32253.812445223488</v>
      </c>
      <c r="AT119" s="476">
        <f>AG119/AP119</f>
        <v>63016.438356164384</v>
      </c>
      <c r="AU119" s="475">
        <f>AG119/AQ119</f>
        <v>22010.526315789473</v>
      </c>
      <c r="AV119" s="477">
        <v>26000</v>
      </c>
      <c r="AW119" s="477">
        <v>48000</v>
      </c>
      <c r="AX119" s="467">
        <f>GA119</f>
        <v>924000.00000000012</v>
      </c>
      <c r="AY119" s="467">
        <f>GB119</f>
        <v>3</v>
      </c>
      <c r="AZ119" s="478">
        <f>AG119*BX119</f>
        <v>46002000</v>
      </c>
      <c r="BA119" s="478">
        <f>AX119*(BX119+0.5)</f>
        <v>9702000.0000000019</v>
      </c>
      <c r="BB119" s="478"/>
      <c r="BC119" s="478">
        <f>AH119*DM119</f>
        <v>3765300</v>
      </c>
      <c r="BD119" s="479">
        <v>7319400.0000000009</v>
      </c>
      <c r="BE119" s="479"/>
      <c r="BF119" s="479">
        <v>6949800.0000000009</v>
      </c>
      <c r="BG119" s="479">
        <v>6949800.0000000009</v>
      </c>
      <c r="BH119" s="479">
        <v>373230.00000000006</v>
      </c>
      <c r="BI119" s="480">
        <f>150*DM119</f>
        <v>171150</v>
      </c>
      <c r="BJ119" s="480">
        <f>GK119</f>
        <v>0</v>
      </c>
      <c r="BK119" s="480">
        <f>BM119*5000*BX119</f>
        <v>200000</v>
      </c>
      <c r="BL119" s="480">
        <f>1800000*BN119*BX119</f>
        <v>18000000</v>
      </c>
      <c r="BM119" s="480">
        <f>GP119</f>
        <v>4</v>
      </c>
      <c r="BN119" s="480">
        <f>GQ119</f>
        <v>1</v>
      </c>
      <c r="BO119" s="481">
        <f>GD119-BA119</f>
        <v>4620000</v>
      </c>
      <c r="BP119" s="481">
        <f>SUM(AZ119,BA119,BI119,BO119)</f>
        <v>60495150</v>
      </c>
      <c r="BQ119" s="481">
        <f>BP119-GR119</f>
        <v>-20170950</v>
      </c>
      <c r="BR119" s="594"/>
      <c r="BS119" s="1056" t="s">
        <v>175</v>
      </c>
      <c r="BT119" s="484">
        <f>GU119</f>
        <v>46279</v>
      </c>
      <c r="BU119" s="484">
        <f>'[1]0261_ホテル竹島　別紙1-1'!G8</f>
        <v>46289</v>
      </c>
      <c r="BV119" s="666">
        <f>IFERROR(INDEX($BY$9:$DH$9, MATCH("準備", BY119:DK119, 0)), "")</f>
        <v>46279</v>
      </c>
      <c r="BW119" s="667" cm="1">
        <f t="array" ref="BW119">IF(COUNTIF(BY119:DK119,"*撤去*")=0,"",INDEX(BY$9:DK$9,1,MAX(IF(CC119:DK119="撤去",COLUMN(CC119:DK119)-COLUMN(BY119)+1))))</f>
        <v>46289</v>
      </c>
      <c r="BX119" s="663">
        <f>BW119-BV119</f>
        <v>10</v>
      </c>
      <c r="BY119" s="556">
        <v>0</v>
      </c>
      <c r="BZ119" s="557">
        <v>0</v>
      </c>
      <c r="CA119" s="557">
        <v>0</v>
      </c>
      <c r="CB119" s="557">
        <v>0</v>
      </c>
      <c r="CC119" s="405">
        <v>0</v>
      </c>
      <c r="CD119" s="403">
        <v>0</v>
      </c>
      <c r="CE119" s="403">
        <v>0</v>
      </c>
      <c r="CF119" s="403">
        <v>0</v>
      </c>
      <c r="CG119" s="403">
        <v>0</v>
      </c>
      <c r="CH119" s="403">
        <v>0</v>
      </c>
      <c r="CI119" s="403">
        <v>0</v>
      </c>
      <c r="CJ119" s="403">
        <v>0</v>
      </c>
      <c r="CK119" s="403">
        <v>0</v>
      </c>
      <c r="CL119" s="403">
        <v>0</v>
      </c>
      <c r="CM119" s="400" t="s">
        <v>177</v>
      </c>
      <c r="CN119" s="400" t="s">
        <v>177</v>
      </c>
      <c r="CO119" s="403">
        <v>163</v>
      </c>
      <c r="CP119" s="403">
        <v>163</v>
      </c>
      <c r="CQ119" s="403">
        <v>163</v>
      </c>
      <c r="CR119" s="404">
        <v>163</v>
      </c>
      <c r="CS119" s="405">
        <v>163</v>
      </c>
      <c r="CT119" s="403">
        <v>163</v>
      </c>
      <c r="CU119" s="403">
        <v>163</v>
      </c>
      <c r="CV119" s="403">
        <v>0</v>
      </c>
      <c r="CW119" s="406" t="s">
        <v>178</v>
      </c>
      <c r="CX119" s="403">
        <v>0</v>
      </c>
      <c r="CY119" s="403">
        <v>0</v>
      </c>
      <c r="CZ119" s="403">
        <v>0</v>
      </c>
      <c r="DA119" s="403">
        <v>0</v>
      </c>
      <c r="DB119" s="403">
        <v>0</v>
      </c>
      <c r="DC119" s="403">
        <v>0</v>
      </c>
      <c r="DD119" s="403">
        <v>0</v>
      </c>
      <c r="DE119" s="403">
        <v>0</v>
      </c>
      <c r="DF119" s="403">
        <v>0</v>
      </c>
      <c r="DG119" s="404">
        <v>0</v>
      </c>
      <c r="DH119" s="405">
        <v>0</v>
      </c>
      <c r="DI119" s="403">
        <v>0</v>
      </c>
      <c r="DJ119" s="403">
        <v>0</v>
      </c>
      <c r="DK119" s="407">
        <v>0</v>
      </c>
      <c r="DL119" s="1016"/>
      <c r="DM119" s="277" cm="1">
        <f t="array" ref="DM119">SUM(IF(ISNUMBER($BY119:$DK119),$BY119:$DK119, 0))</f>
        <v>1141</v>
      </c>
      <c r="DN119" s="277">
        <v>768</v>
      </c>
      <c r="DO119" s="277">
        <f>DM119*(BX119)/(BX119+1)</f>
        <v>1037.2727272727273</v>
      </c>
      <c r="DP119" s="277"/>
      <c r="DQ119" s="386" t="s">
        <v>497</v>
      </c>
      <c r="DR119" s="408" t="s">
        <v>473</v>
      </c>
      <c r="DS119" s="985">
        <v>96</v>
      </c>
      <c r="DT119" s="958">
        <f>SUM(DS119,DS120)</f>
        <v>96</v>
      </c>
      <c r="DU119" s="467">
        <v>4600200</v>
      </c>
      <c r="DV119" s="467">
        <v>924000.00000000012</v>
      </c>
      <c r="DW119" s="478">
        <v>50602200</v>
      </c>
      <c r="DX119" s="478">
        <v>10626000.000000002</v>
      </c>
      <c r="DY119" s="478">
        <v>691200</v>
      </c>
      <c r="DZ119" s="478">
        <v>12545280.000000002</v>
      </c>
      <c r="EA119" s="478">
        <v>6842880</v>
      </c>
      <c r="EB119" s="478">
        <v>370656.00000000006</v>
      </c>
      <c r="EC119" s="480">
        <v>129600</v>
      </c>
      <c r="ED119" s="480">
        <v>0</v>
      </c>
      <c r="EE119" s="480">
        <v>220000</v>
      </c>
      <c r="EF119" s="480">
        <v>19800000</v>
      </c>
      <c r="EG119" s="481">
        <v>3696000</v>
      </c>
      <c r="EH119" s="481">
        <v>65053800</v>
      </c>
      <c r="EI119" s="484">
        <v>46279</v>
      </c>
      <c r="EJ119" s="484">
        <v>46294</v>
      </c>
      <c r="EK119" s="666">
        <v>46279</v>
      </c>
      <c r="EL119" s="667">
        <v>46290</v>
      </c>
      <c r="EM119" s="663">
        <v>11</v>
      </c>
      <c r="EN119" s="277"/>
      <c r="EO119" s="386" t="s">
        <v>497</v>
      </c>
      <c r="EP119" s="408" t="s">
        <v>473</v>
      </c>
      <c r="EQ119" s="985">
        <v>96</v>
      </c>
      <c r="ER119" s="958">
        <v>204</v>
      </c>
      <c r="ES119" s="245">
        <v>204</v>
      </c>
      <c r="ET119" s="245">
        <v>204</v>
      </c>
      <c r="EU119" s="245">
        <v>145</v>
      </c>
      <c r="EV119" s="411" t="s">
        <v>498</v>
      </c>
      <c r="EW119" s="412">
        <v>1.2</v>
      </c>
      <c r="EX119" s="413">
        <v>3</v>
      </c>
      <c r="EY119" s="414" t="s">
        <v>499</v>
      </c>
      <c r="EZ119" s="492">
        <v>7.5</v>
      </c>
      <c r="FA119" s="493">
        <v>14</v>
      </c>
      <c r="FB119" s="414" t="s">
        <v>500</v>
      </c>
      <c r="FC119" s="492">
        <v>3.6</v>
      </c>
      <c r="FD119" s="493">
        <v>8</v>
      </c>
      <c r="FE119" s="494" t="s">
        <v>189</v>
      </c>
      <c r="FF119" s="492"/>
      <c r="FG119" s="493"/>
      <c r="FH119" s="494" t="s">
        <v>189</v>
      </c>
      <c r="FI119" s="492"/>
      <c r="FJ119" s="495"/>
      <c r="FK119" s="1194">
        <v>-1</v>
      </c>
      <c r="FL119" s="1195">
        <v>-4.9261083743842365E-3</v>
      </c>
      <c r="FM119" s="291" t="s">
        <v>501</v>
      </c>
      <c r="FN119" s="1031" t="s">
        <v>300</v>
      </c>
      <c r="FO119" s="564" t="s">
        <v>296</v>
      </c>
      <c r="FP119" s="965">
        <v>4600200</v>
      </c>
      <c r="FQ119" s="461">
        <v>3300</v>
      </c>
      <c r="FR119" s="468">
        <v>800</v>
      </c>
      <c r="FS119" s="965">
        <v>73</v>
      </c>
      <c r="FT119" s="965">
        <v>209</v>
      </c>
      <c r="FU119" s="393">
        <v>157.84615384615384</v>
      </c>
      <c r="FV119" s="394">
        <v>29143.567251461991</v>
      </c>
      <c r="FW119" s="390">
        <v>63016.438356164384</v>
      </c>
      <c r="FX119" s="394">
        <v>22010.526315789473</v>
      </c>
      <c r="FY119" s="1196">
        <v>20000</v>
      </c>
      <c r="FZ119" s="1196">
        <v>92000</v>
      </c>
      <c r="GA119" s="965">
        <v>924000.00000000012</v>
      </c>
      <c r="GB119" s="965">
        <v>3</v>
      </c>
      <c r="GC119" s="986">
        <v>66036300</v>
      </c>
      <c r="GD119" s="986">
        <v>14322000.000000002</v>
      </c>
      <c r="GE119" s="986">
        <v>66036300</v>
      </c>
      <c r="GF119" s="986">
        <v>14322000.000000002</v>
      </c>
      <c r="GG119" s="478">
        <v>0</v>
      </c>
      <c r="GH119" s="478">
        <v>0</v>
      </c>
      <c r="GI119" s="478">
        <v>984960</v>
      </c>
      <c r="GJ119" s="986">
        <v>307800</v>
      </c>
      <c r="GK119" s="736"/>
      <c r="GL119" s="736"/>
      <c r="GM119" s="480">
        <v>0</v>
      </c>
      <c r="GN119" s="480">
        <v>280000</v>
      </c>
      <c r="GO119" s="480">
        <v>27000000</v>
      </c>
      <c r="GP119" s="736">
        <v>4</v>
      </c>
      <c r="GQ119" s="736">
        <v>1</v>
      </c>
      <c r="GR119" s="966">
        <v>80666100</v>
      </c>
      <c r="GS119" s="1059">
        <v>1171112.9999999981</v>
      </c>
      <c r="GT119" s="1056" t="s">
        <v>175</v>
      </c>
      <c r="GU119" s="1060">
        <v>46279</v>
      </c>
      <c r="GV119" s="1060">
        <v>46294</v>
      </c>
      <c r="GW119" s="666">
        <v>46279</v>
      </c>
      <c r="GX119" s="667">
        <v>46294</v>
      </c>
      <c r="GY119" s="663">
        <v>15</v>
      </c>
      <c r="GZ119" s="556"/>
      <c r="HA119" s="557"/>
      <c r="HB119" s="557"/>
      <c r="HC119" s="557"/>
      <c r="HD119" s="405">
        <v>0</v>
      </c>
      <c r="HE119" s="403">
        <v>0</v>
      </c>
      <c r="HF119" s="403">
        <v>0</v>
      </c>
      <c r="HG119" s="403">
        <v>0</v>
      </c>
      <c r="HH119" s="403">
        <v>0</v>
      </c>
      <c r="HI119" s="403">
        <v>0</v>
      </c>
      <c r="HJ119" s="403">
        <v>0</v>
      </c>
      <c r="HK119" s="403">
        <v>0</v>
      </c>
      <c r="HL119" s="403">
        <v>0</v>
      </c>
      <c r="HM119" s="403">
        <v>0</v>
      </c>
      <c r="HN119" s="400" t="s">
        <v>177</v>
      </c>
      <c r="HO119" s="400" t="s">
        <v>177</v>
      </c>
      <c r="HP119" s="403">
        <v>96</v>
      </c>
      <c r="HQ119" s="403">
        <v>96</v>
      </c>
      <c r="HR119" s="403">
        <v>204</v>
      </c>
      <c r="HS119" s="404">
        <v>204</v>
      </c>
      <c r="HT119" s="405">
        <v>204</v>
      </c>
      <c r="HU119" s="403">
        <v>204</v>
      </c>
      <c r="HV119" s="403">
        <v>204</v>
      </c>
      <c r="HW119" s="403">
        <v>204</v>
      </c>
      <c r="HX119" s="403">
        <v>204</v>
      </c>
      <c r="HY119" s="403">
        <v>108</v>
      </c>
      <c r="HZ119" s="403">
        <v>108</v>
      </c>
      <c r="IA119" s="403">
        <v>108</v>
      </c>
      <c r="IB119" s="403">
        <v>108</v>
      </c>
      <c r="IC119" s="406" t="s">
        <v>178</v>
      </c>
      <c r="ID119" s="403">
        <v>0</v>
      </c>
      <c r="IE119" s="403">
        <v>0</v>
      </c>
      <c r="IF119" s="403">
        <v>0</v>
      </c>
      <c r="IG119" s="403">
        <v>0</v>
      </c>
      <c r="IH119" s="404">
        <v>0</v>
      </c>
      <c r="II119" s="405">
        <v>0</v>
      </c>
      <c r="IJ119" s="403">
        <v>0</v>
      </c>
      <c r="IK119" s="403">
        <v>0</v>
      </c>
      <c r="IL119" s="407">
        <v>0</v>
      </c>
      <c r="IM119" s="1016"/>
      <c r="IN119" s="277" cm="1">
        <f t="array" ref="IN119">SUM(IF(ISNUMBER($HD119:$IL119),$HD119:$IL119, 0))</f>
        <v>2052</v>
      </c>
      <c r="IO119" s="1047"/>
      <c r="IP119" s="1048"/>
      <c r="IQ119" s="541"/>
      <c r="IR119" s="569">
        <f>VLOOKUP($E119,[1]アジアResults1031!$A$1:$CH$259,23,FALSE)</f>
        <v>3882353</v>
      </c>
      <c r="IS119" s="570">
        <f>VLOOKUP($E119,[1]アジアResults1031!$A$1:$CH$259,32,FALSE)</f>
        <v>82</v>
      </c>
      <c r="IT119" s="570">
        <f>KY119/(GY119-2)</f>
        <v>138.53846153846155</v>
      </c>
      <c r="IU119" s="570">
        <f>IR119/IT119</f>
        <v>28023.647418101053</v>
      </c>
      <c r="IV119" s="739">
        <v>27320</v>
      </c>
      <c r="IW119" s="739">
        <v>27320</v>
      </c>
      <c r="IX119" s="571">
        <v>0</v>
      </c>
      <c r="IY119" s="571">
        <f>VLOOKUP($E119,[1]アジアResults1031!$A$1:$CH$259,9,FALSE)</f>
        <v>0</v>
      </c>
      <c r="IZ119" s="570">
        <f>IR119*JF119</f>
        <v>81529413</v>
      </c>
      <c r="JA119" s="1197">
        <f>IX119*JF119</f>
        <v>0</v>
      </c>
      <c r="JB119" s="1197"/>
      <c r="JC119" s="1197"/>
      <c r="JD119" s="572">
        <f>IFERROR(INDEX($JO$9:$KW$9, MATCH("準備", JO119:KW119, 0)), "")</f>
        <v>46279</v>
      </c>
      <c r="JE119" s="572" cm="1">
        <f t="array" ref="JE119">IF(COUNTIF(JO119:KW119,"*撤去*")=0,"",INDEX(JO$9:KW$9,1,MAX(IF(JO119:KW119="撤去",COLUMN(JO119:KW119)-COLUMN(JO119)+1))))</f>
        <v>46300</v>
      </c>
      <c r="JF119" s="573">
        <f>JE119-JD119</f>
        <v>21</v>
      </c>
      <c r="JG119" s="574">
        <v>3882353</v>
      </c>
      <c r="JH119" s="575">
        <v>2606235</v>
      </c>
      <c r="JO119" s="507"/>
      <c r="JP119" s="508"/>
      <c r="JQ119" s="508"/>
      <c r="JR119" s="508"/>
      <c r="JS119" s="508"/>
      <c r="JT119" s="508"/>
      <c r="JU119" s="508"/>
      <c r="JV119" s="508"/>
      <c r="JW119" s="508"/>
      <c r="JX119" s="508"/>
      <c r="JY119" s="400" t="s">
        <v>177</v>
      </c>
      <c r="JZ119" s="400" t="s">
        <v>177</v>
      </c>
      <c r="KA119" s="508">
        <v>83</v>
      </c>
      <c r="KB119" s="508">
        <v>83</v>
      </c>
      <c r="KC119" s="508">
        <v>145</v>
      </c>
      <c r="KD119" s="508">
        <v>145</v>
      </c>
      <c r="KE119" s="508">
        <v>145</v>
      </c>
      <c r="KF119" s="508">
        <v>145</v>
      </c>
      <c r="KG119" s="508">
        <v>145</v>
      </c>
      <c r="KH119" s="508">
        <v>145</v>
      </c>
      <c r="KI119" s="508">
        <v>145</v>
      </c>
      <c r="KJ119" s="508">
        <v>62</v>
      </c>
      <c r="KK119" s="508">
        <v>62</v>
      </c>
      <c r="KL119" s="508">
        <v>62</v>
      </c>
      <c r="KM119" s="508">
        <v>62</v>
      </c>
      <c r="KN119" s="508">
        <v>62</v>
      </c>
      <c r="KO119" s="508">
        <v>62</v>
      </c>
      <c r="KP119" s="508">
        <v>62</v>
      </c>
      <c r="KQ119" s="508">
        <v>62</v>
      </c>
      <c r="KR119" s="508">
        <v>62</v>
      </c>
      <c r="KS119" s="508">
        <v>62</v>
      </c>
      <c r="KT119" s="406" t="s">
        <v>178</v>
      </c>
      <c r="KU119" s="508"/>
      <c r="KV119" s="508"/>
      <c r="KW119" s="509"/>
      <c r="KX119" s="1016"/>
      <c r="KY119" s="277" cm="1">
        <f t="array" ref="KY119">SUM(IF(ISNUMBER($JO119:$KW119),$JO119:$KW119, 0))</f>
        <v>1801</v>
      </c>
    </row>
    <row r="120" spans="1:398" s="1039" customFormat="1" ht="40" customHeight="1">
      <c r="A120" s="1"/>
      <c r="B120" s="299"/>
      <c r="C120" s="242"/>
      <c r="D120" s="445"/>
      <c r="E120" s="510" t="s">
        <v>165</v>
      </c>
      <c r="F120" s="1023"/>
      <c r="G120" s="512" t="s">
        <v>165</v>
      </c>
      <c r="H120" s="512" t="s">
        <v>165</v>
      </c>
      <c r="I120" s="512">
        <v>0</v>
      </c>
      <c r="J120" s="512">
        <v>0</v>
      </c>
      <c r="K120" s="245" t="e">
        <v>#N/A</v>
      </c>
      <c r="L120" s="512">
        <v>0</v>
      </c>
      <c r="M120" s="513" t="s">
        <v>165</v>
      </c>
      <c r="N120" s="514" t="s">
        <v>165</v>
      </c>
      <c r="O120" s="514" t="s">
        <v>165</v>
      </c>
      <c r="P120" s="513" t="s">
        <v>165</v>
      </c>
      <c r="Q120" s="1045" t="s">
        <v>165</v>
      </c>
      <c r="R120" s="514" t="s">
        <v>165</v>
      </c>
      <c r="S120" s="514" t="s">
        <v>165</v>
      </c>
      <c r="T120" s="514" t="s">
        <v>165</v>
      </c>
      <c r="U120" s="515"/>
      <c r="V120" s="445"/>
      <c r="W120" s="445"/>
      <c r="X120" s="445"/>
      <c r="Y120" s="445"/>
      <c r="Z120" s="445"/>
      <c r="AA120" s="1188"/>
      <c r="AB120" s="1189"/>
      <c r="AC120" s="1190"/>
      <c r="AD120" s="1191"/>
      <c r="AE120" s="655"/>
      <c r="AF120" s="656"/>
      <c r="AG120" s="1198"/>
      <c r="AH120" s="1198"/>
      <c r="AI120" s="1198"/>
      <c r="AJ120" s="1198"/>
      <c r="AK120" s="1198"/>
      <c r="AL120" s="1198"/>
      <c r="AM120" s="1198"/>
      <c r="AN120" s="1198"/>
      <c r="AO120" s="1198"/>
      <c r="AP120" s="1198"/>
      <c r="AQ120" s="1198"/>
      <c r="AR120" s="1198"/>
      <c r="AS120" s="767"/>
      <c r="AT120" s="656"/>
      <c r="AU120" s="767"/>
      <c r="AV120" s="656"/>
      <c r="AW120" s="656"/>
      <c r="AX120" s="656"/>
      <c r="AY120" s="656"/>
      <c r="AZ120" s="768"/>
      <c r="BA120" s="768"/>
      <c r="BB120" s="768"/>
      <c r="BC120" s="768"/>
      <c r="BD120" s="768"/>
      <c r="BE120" s="768"/>
      <c r="BF120" s="768"/>
      <c r="BG120" s="768"/>
      <c r="BH120" s="768"/>
      <c r="BI120" s="768"/>
      <c r="BJ120" s="768"/>
      <c r="BK120" s="768"/>
      <c r="BL120" s="768"/>
      <c r="BM120" s="768"/>
      <c r="BN120" s="768"/>
      <c r="BO120" s="656"/>
      <c r="BP120" s="656"/>
      <c r="BQ120" s="656"/>
      <c r="BR120" s="940"/>
      <c r="BS120" s="941"/>
      <c r="BT120" s="942"/>
      <c r="BU120" s="942"/>
      <c r="BV120" s="773" t="str">
        <f>IFERROR(INDEX($HD$9:$II$9, MATCH("準備", CC120:DK120, 0)), "")</f>
        <v/>
      </c>
      <c r="BW120" s="773" t="str" cm="1">
        <f t="array" ref="BW120">IF(COUNTIF(CC120:DK120,"*撤去*")=0,"",INDEX(CC$9:DK$9,1,MAX(IF(CC120:DK120="撤去",COLUMN(CC120:DK120)-COLUMN(CC120)+1))))</f>
        <v/>
      </c>
      <c r="BX120" s="774"/>
      <c r="BY120" s="360" t="s">
        <v>246</v>
      </c>
      <c r="BZ120" s="361" t="s">
        <v>247</v>
      </c>
      <c r="CA120" s="777"/>
      <c r="CB120" s="777"/>
      <c r="CC120" s="874"/>
      <c r="CD120" s="875"/>
      <c r="CE120" s="875"/>
      <c r="CF120" s="875"/>
      <c r="CG120" s="875"/>
      <c r="CH120" s="875"/>
      <c r="CI120" s="875"/>
      <c r="CJ120" s="875"/>
      <c r="CK120" s="875"/>
      <c r="CL120" s="875"/>
      <c r="CM120" s="363"/>
      <c r="CN120" s="363"/>
      <c r="CO120" s="363"/>
      <c r="CP120" s="363"/>
      <c r="CQ120" s="364"/>
      <c r="CR120" s="365"/>
      <c r="CS120" s="366"/>
      <c r="CT120" s="363"/>
      <c r="CU120" s="363"/>
      <c r="CV120" s="363"/>
      <c r="CW120" s="363"/>
      <c r="CX120" s="363"/>
      <c r="CY120" s="875"/>
      <c r="CZ120" s="875"/>
      <c r="DA120" s="875"/>
      <c r="DB120" s="875"/>
      <c r="DC120" s="875"/>
      <c r="DD120" s="875"/>
      <c r="DE120" s="875"/>
      <c r="DF120" s="779"/>
      <c r="DG120" s="275"/>
      <c r="DH120" s="874"/>
      <c r="DI120" s="875"/>
      <c r="DJ120" s="875"/>
      <c r="DK120" s="886"/>
      <c r="DL120" s="1016"/>
      <c r="DM120" s="1016"/>
      <c r="DN120" s="1016"/>
      <c r="DO120" s="1016"/>
      <c r="DP120" s="1016"/>
      <c r="DQ120" s="1188"/>
      <c r="DR120" s="1189"/>
      <c r="DS120" s="1190"/>
      <c r="DT120" s="1191"/>
      <c r="DU120" s="1198"/>
      <c r="DV120" s="656"/>
      <c r="DW120" s="768"/>
      <c r="DX120" s="768"/>
      <c r="DY120" s="768"/>
      <c r="DZ120" s="768"/>
      <c r="EA120" s="768"/>
      <c r="EB120" s="768"/>
      <c r="EC120" s="768"/>
      <c r="ED120" s="768"/>
      <c r="EE120" s="768"/>
      <c r="EF120" s="768"/>
      <c r="EG120" s="656"/>
      <c r="EH120" s="656"/>
      <c r="EI120" s="942"/>
      <c r="EJ120" s="942"/>
      <c r="EK120" s="773" t="s">
        <v>165</v>
      </c>
      <c r="EL120" s="773" t="s">
        <v>165</v>
      </c>
      <c r="EM120" s="774"/>
      <c r="EN120" s="1016"/>
      <c r="EO120" s="763" t="s">
        <v>502</v>
      </c>
      <c r="EP120" s="1032" t="s">
        <v>503</v>
      </c>
      <c r="EQ120" s="1033">
        <v>108</v>
      </c>
      <c r="ER120" s="1046"/>
      <c r="ES120" s="245" t="e">
        <v>#N/A</v>
      </c>
      <c r="ET120" s="245"/>
      <c r="EU120" s="245"/>
      <c r="EV120" s="1027" t="s">
        <v>504</v>
      </c>
      <c r="EW120" s="1199">
        <v>21.2</v>
      </c>
      <c r="EX120" s="1200">
        <v>36</v>
      </c>
      <c r="EY120" s="879" t="s">
        <v>188</v>
      </c>
      <c r="EZ120" s="880">
        <v>23</v>
      </c>
      <c r="FA120" s="881">
        <v>40</v>
      </c>
      <c r="FB120" s="879" t="s">
        <v>189</v>
      </c>
      <c r="FC120" s="880"/>
      <c r="FD120" s="881"/>
      <c r="FE120" s="882" t="s">
        <v>189</v>
      </c>
      <c r="FF120" s="880"/>
      <c r="FG120" s="881"/>
      <c r="FH120" s="882" t="s">
        <v>189</v>
      </c>
      <c r="FI120" s="880"/>
      <c r="FJ120" s="883"/>
      <c r="FK120" s="375"/>
      <c r="FL120" s="1028"/>
      <c r="FM120" s="535"/>
      <c r="FN120" s="655"/>
      <c r="FO120" s="656"/>
      <c r="FP120" s="1198"/>
      <c r="FQ120" s="1198"/>
      <c r="FR120" s="1198"/>
      <c r="FS120" s="1198"/>
      <c r="FT120" s="1198"/>
      <c r="FU120" s="1198"/>
      <c r="FV120" s="767"/>
      <c r="FW120" s="656"/>
      <c r="FX120" s="767"/>
      <c r="FY120" s="656"/>
      <c r="FZ120" s="656"/>
      <c r="GA120" s="656"/>
      <c r="GB120" s="656"/>
      <c r="GC120" s="768"/>
      <c r="GD120" s="768"/>
      <c r="GE120" s="768"/>
      <c r="GF120" s="768"/>
      <c r="GG120" s="768"/>
      <c r="GH120" s="768"/>
      <c r="GI120" s="768"/>
      <c r="GJ120" s="768"/>
      <c r="GK120" s="768"/>
      <c r="GL120" s="768"/>
      <c r="GM120" s="768"/>
      <c r="GN120" s="768"/>
      <c r="GO120" s="768"/>
      <c r="GP120" s="768"/>
      <c r="GQ120" s="768"/>
      <c r="GR120" s="656"/>
      <c r="GS120" s="656"/>
      <c r="GT120" s="941"/>
      <c r="GU120" s="942"/>
      <c r="GV120" s="942"/>
      <c r="GW120" s="773" t="s">
        <v>165</v>
      </c>
      <c r="GX120" s="773" t="s">
        <v>165</v>
      </c>
      <c r="GY120" s="774"/>
      <c r="GZ120" s="943"/>
      <c r="HA120" s="777"/>
      <c r="HB120" s="777"/>
      <c r="HC120" s="777"/>
      <c r="HD120" s="874"/>
      <c r="HE120" s="875"/>
      <c r="HF120" s="875"/>
      <c r="HG120" s="875"/>
      <c r="HH120" s="875"/>
      <c r="HI120" s="875"/>
      <c r="HJ120" s="875"/>
      <c r="HK120" s="875"/>
      <c r="HL120" s="875"/>
      <c r="HM120" s="875"/>
      <c r="HN120" s="1201"/>
      <c r="HO120" s="1201"/>
      <c r="HP120" s="875"/>
      <c r="HQ120" s="875"/>
      <c r="HR120" s="779"/>
      <c r="HS120" s="884"/>
      <c r="HT120" s="874"/>
      <c r="HU120" s="875"/>
      <c r="HV120" s="875"/>
      <c r="HW120" s="875"/>
      <c r="HX120" s="875"/>
      <c r="HY120" s="875"/>
      <c r="HZ120" s="875"/>
      <c r="IA120" s="875"/>
      <c r="IB120" s="875"/>
      <c r="IC120" s="875"/>
      <c r="ID120" s="875"/>
      <c r="IE120" s="875"/>
      <c r="IF120" s="875"/>
      <c r="IG120" s="779"/>
      <c r="IH120" s="275"/>
      <c r="II120" s="874"/>
      <c r="IJ120" s="875"/>
      <c r="IK120" s="875"/>
      <c r="IL120" s="886"/>
      <c r="IM120" s="1016"/>
      <c r="IN120" s="1016"/>
      <c r="IO120" s="1029"/>
      <c r="IP120" s="1030"/>
      <c r="IQ120" s="541"/>
      <c r="IR120" s="581"/>
      <c r="IS120" s="582"/>
      <c r="IT120" s="582"/>
      <c r="IU120" s="582"/>
      <c r="IV120" s="582"/>
      <c r="IW120" s="582"/>
      <c r="IX120" s="583"/>
      <c r="IY120" s="583"/>
      <c r="IZ120" s="582"/>
      <c r="JA120" s="582"/>
      <c r="JB120" s="582"/>
      <c r="JC120" s="582"/>
      <c r="JD120" s="584"/>
      <c r="JE120" s="584"/>
      <c r="JF120" s="585"/>
      <c r="JG120" s="586"/>
      <c r="JH120" s="587"/>
      <c r="JI120" s="1"/>
      <c r="JJ120" s="1"/>
      <c r="JK120" s="1"/>
      <c r="JL120" s="1"/>
      <c r="JM120" s="1"/>
      <c r="JN120" s="1"/>
      <c r="JO120" s="507"/>
      <c r="JP120" s="508"/>
      <c r="JQ120" s="508"/>
      <c r="JR120" s="508"/>
      <c r="JS120" s="589"/>
      <c r="JT120" s="589"/>
      <c r="JU120" s="589"/>
      <c r="JV120" s="589"/>
      <c r="JW120" s="589"/>
      <c r="JX120" s="589"/>
      <c r="JY120" s="589"/>
      <c r="JZ120" s="589"/>
      <c r="KA120" s="589"/>
      <c r="KB120" s="589"/>
      <c r="KC120" s="589"/>
      <c r="KD120" s="589"/>
      <c r="KE120" s="589"/>
      <c r="KF120" s="589"/>
      <c r="KG120" s="589"/>
      <c r="KH120" s="589"/>
      <c r="KI120" s="589"/>
      <c r="KJ120" s="589"/>
      <c r="KK120" s="589"/>
      <c r="KL120" s="589"/>
      <c r="KM120" s="589"/>
      <c r="KN120" s="589"/>
      <c r="KO120" s="589"/>
      <c r="KP120" s="589"/>
      <c r="KQ120" s="589"/>
      <c r="KR120" s="589"/>
      <c r="KS120" s="589"/>
      <c r="KT120" s="589"/>
      <c r="KU120" s="589"/>
      <c r="KV120" s="589"/>
      <c r="KW120" s="590"/>
      <c r="KX120" s="1016"/>
      <c r="KY120" s="1016"/>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row>
    <row r="121" spans="1:398" ht="40" customHeight="1">
      <c r="B121" s="299"/>
      <c r="C121" s="242"/>
      <c r="D121" s="378">
        <v>27</v>
      </c>
      <c r="E121" s="379">
        <v>249</v>
      </c>
      <c r="F121" s="1040" t="s">
        <v>505</v>
      </c>
      <c r="G121" s="381">
        <v>101</v>
      </c>
      <c r="H121" s="381">
        <v>245</v>
      </c>
      <c r="I121" s="381">
        <v>104</v>
      </c>
      <c r="J121" s="381">
        <v>237</v>
      </c>
      <c r="K121" s="245" t="s">
        <v>506</v>
      </c>
      <c r="L121" s="381">
        <v>180</v>
      </c>
      <c r="M121" s="383">
        <v>20</v>
      </c>
      <c r="N121" s="384" t="s">
        <v>318</v>
      </c>
      <c r="O121" s="384" t="s">
        <v>168</v>
      </c>
      <c r="P121" s="383">
        <v>100</v>
      </c>
      <c r="Q121" s="1041" t="s">
        <v>170</v>
      </c>
      <c r="R121" s="384" t="s">
        <v>169</v>
      </c>
      <c r="S121" s="384" t="s">
        <v>169</v>
      </c>
      <c r="T121" s="384" t="s">
        <v>306</v>
      </c>
      <c r="U121" s="385" t="s">
        <v>169</v>
      </c>
      <c r="V121" s="378" t="s">
        <v>507</v>
      </c>
      <c r="W121" s="378"/>
      <c r="X121" s="462" t="s">
        <v>292</v>
      </c>
      <c r="Y121" s="462" t="s">
        <v>292</v>
      </c>
      <c r="Z121" s="378"/>
      <c r="AA121" s="386" t="s">
        <v>508</v>
      </c>
      <c r="AB121" s="408" t="s">
        <v>509</v>
      </c>
      <c r="AC121" s="985">
        <v>243</v>
      </c>
      <c r="AD121" s="958">
        <f>SUM(AC121,AC122)</f>
        <v>243</v>
      </c>
      <c r="AE121" s="257" t="s">
        <v>175</v>
      </c>
      <c r="AF121" s="550" t="s">
        <v>296</v>
      </c>
      <c r="AG121" s="467">
        <f>FP121</f>
        <v>6083000.0000000009</v>
      </c>
      <c r="AH121" s="468">
        <f>FQ121</f>
        <v>4100</v>
      </c>
      <c r="AI121" s="468">
        <f>FR121</f>
        <v>0</v>
      </c>
      <c r="AJ121" s="469">
        <v>0.98599999999999999</v>
      </c>
      <c r="AK121" s="551">
        <f>$AK$4</f>
        <v>26106</v>
      </c>
      <c r="AL121" s="552">
        <v>0.83</v>
      </c>
      <c r="AM121" s="551">
        <f>$AM$4</f>
        <v>24690</v>
      </c>
      <c r="AN121" s="468" t="s">
        <v>308</v>
      </c>
      <c r="AO121" s="551">
        <f>$AO$4</f>
        <v>2373</v>
      </c>
      <c r="AP121" s="467">
        <f t="shared" ref="AP121:AQ121" si="11">FS121</f>
        <v>104</v>
      </c>
      <c r="AQ121" s="467">
        <f t="shared" si="11"/>
        <v>237</v>
      </c>
      <c r="AR121" s="474">
        <f>DM121/(BX121-2)</f>
        <v>229.5</v>
      </c>
      <c r="AS121" s="475">
        <f>AG121/AR121</f>
        <v>26505.446623093685</v>
      </c>
      <c r="AT121" s="476">
        <f>AG121/AP121</f>
        <v>58490.384615384624</v>
      </c>
      <c r="AU121" s="475">
        <f>AG121/AQ121</f>
        <v>25666.666666666672</v>
      </c>
      <c r="AV121" s="477">
        <v>26000</v>
      </c>
      <c r="AW121" s="477">
        <v>48000</v>
      </c>
      <c r="AX121" s="467">
        <f>GA121</f>
        <v>1155000</v>
      </c>
      <c r="AY121" s="467">
        <f>GB121</f>
        <v>5</v>
      </c>
      <c r="AZ121" s="478">
        <f>AG121*BX121</f>
        <v>121660000.00000001</v>
      </c>
      <c r="BA121" s="478">
        <f>AX121*(BX121+0.5)</f>
        <v>23677500</v>
      </c>
      <c r="BB121" s="478">
        <f>AI121*DM121</f>
        <v>0</v>
      </c>
      <c r="BC121" s="478">
        <f>AH121*DM121</f>
        <v>16937100</v>
      </c>
      <c r="BD121" s="478">
        <f>AK121*DM121*0.6</f>
        <v>64706331.599999994</v>
      </c>
      <c r="BE121" s="478">
        <f>BD121-21000*DM121*0.6</f>
        <v>12655731.599999994</v>
      </c>
      <c r="BF121" s="478">
        <f>AM121*DM121*0.4</f>
        <v>40797756</v>
      </c>
      <c r="BG121" s="478">
        <f>BF121-0</f>
        <v>40797756</v>
      </c>
      <c r="BH121" s="478">
        <f>AO121*DM121*0.3</f>
        <v>2940858.9</v>
      </c>
      <c r="BI121" s="480">
        <f>150*DM121</f>
        <v>619650</v>
      </c>
      <c r="BJ121" s="480">
        <f>GK121</f>
        <v>0</v>
      </c>
      <c r="BK121" s="480">
        <f>BM121*5000*BX121</f>
        <v>400000</v>
      </c>
      <c r="BL121" s="480">
        <f>1800000*BN121*BX121</f>
        <v>36000000</v>
      </c>
      <c r="BM121" s="480">
        <f>GP121</f>
        <v>4</v>
      </c>
      <c r="BN121" s="480">
        <f>GQ121</f>
        <v>1</v>
      </c>
      <c r="BO121" s="481"/>
      <c r="BP121" s="481">
        <f>SUM(AZ121,BA121,BI121,BO121)</f>
        <v>145957150</v>
      </c>
      <c r="BQ121" s="481">
        <f>BP121-GR121</f>
        <v>52552850</v>
      </c>
      <c r="BR121" s="554"/>
      <c r="BS121" s="1012" t="s">
        <v>301</v>
      </c>
      <c r="BT121" s="484">
        <f>'[1]0249_明山荘　別紙1-1'!B8</f>
        <v>46279</v>
      </c>
      <c r="BU121" s="484">
        <f>'[1]0249_明山荘　別紙1-1'!G8</f>
        <v>46299</v>
      </c>
      <c r="BV121" s="1035">
        <f>IFERROR(INDEX($BY$9:$DH$9, MATCH("準備", BY121:DK121, 0)), "")</f>
        <v>46279</v>
      </c>
      <c r="BW121" s="667" cm="1">
        <f t="array" ref="BW121">IF(COUNTIF(BY121:DK121,"*撤去*")=0,"",INDEX(BY$9:DK$9,1,MAX(IF(CC121:DK121="撤去",COLUMN(CC121:DK121)-COLUMN(BY121)+1))))</f>
        <v>46299</v>
      </c>
      <c r="BX121" s="1202">
        <f>BW121-BV121</f>
        <v>20</v>
      </c>
      <c r="BY121" s="596">
        <v>0</v>
      </c>
      <c r="BZ121" s="597">
        <v>0</v>
      </c>
      <c r="CA121" s="597">
        <v>0</v>
      </c>
      <c r="CB121" s="597">
        <v>0</v>
      </c>
      <c r="CC121" s="405">
        <v>0</v>
      </c>
      <c r="CD121" s="403">
        <v>0</v>
      </c>
      <c r="CE121" s="403">
        <v>0</v>
      </c>
      <c r="CF121" s="403">
        <v>0</v>
      </c>
      <c r="CG121" s="403">
        <v>0</v>
      </c>
      <c r="CH121" s="403">
        <v>0</v>
      </c>
      <c r="CI121" s="403">
        <v>0</v>
      </c>
      <c r="CJ121" s="403">
        <v>0</v>
      </c>
      <c r="CK121" s="403">
        <v>0</v>
      </c>
      <c r="CL121" s="403">
        <v>0</v>
      </c>
      <c r="CM121" s="400" t="s">
        <v>177</v>
      </c>
      <c r="CN121" s="400" t="s">
        <v>177</v>
      </c>
      <c r="CO121" s="664">
        <v>243</v>
      </c>
      <c r="CP121" s="664">
        <v>243</v>
      </c>
      <c r="CQ121" s="403">
        <v>243</v>
      </c>
      <c r="CR121" s="404">
        <v>243</v>
      </c>
      <c r="CS121" s="405">
        <v>243</v>
      </c>
      <c r="CT121" s="403">
        <v>243</v>
      </c>
      <c r="CU121" s="403">
        <v>243</v>
      </c>
      <c r="CV121" s="403">
        <v>243</v>
      </c>
      <c r="CW121" s="403">
        <v>243</v>
      </c>
      <c r="CX121" s="403">
        <v>243</v>
      </c>
      <c r="CY121" s="403">
        <v>243</v>
      </c>
      <c r="CZ121" s="403">
        <v>243</v>
      </c>
      <c r="DA121" s="403">
        <v>243</v>
      </c>
      <c r="DB121" s="403">
        <v>243</v>
      </c>
      <c r="DC121" s="403">
        <v>243</v>
      </c>
      <c r="DD121" s="403">
        <v>243</v>
      </c>
      <c r="DE121" s="403">
        <v>243</v>
      </c>
      <c r="DF121" s="403">
        <v>0</v>
      </c>
      <c r="DG121" s="951" t="s">
        <v>178</v>
      </c>
      <c r="DH121" s="405">
        <v>0</v>
      </c>
      <c r="DI121" s="403">
        <v>0</v>
      </c>
      <c r="DJ121" s="403">
        <v>0</v>
      </c>
      <c r="DK121" s="407">
        <v>0</v>
      </c>
      <c r="DL121" s="1016"/>
      <c r="DM121" s="277" cm="1">
        <f t="array" ref="DM121">SUM(IF(ISNUMBER($BY121:$DK121),$BY121:$DK121, 0))</f>
        <v>4131</v>
      </c>
      <c r="DN121" s="277">
        <v>3315</v>
      </c>
      <c r="DO121" s="277">
        <f>DM121*(BX121)/(BX121+1)</f>
        <v>3934.2857142857142</v>
      </c>
      <c r="DP121" s="277"/>
      <c r="DQ121" s="386" t="s">
        <v>510</v>
      </c>
      <c r="DR121" s="408" t="s">
        <v>484</v>
      </c>
      <c r="DS121" s="985">
        <v>195</v>
      </c>
      <c r="DT121" s="958">
        <f>SUM(DS121,DS122)</f>
        <v>195</v>
      </c>
      <c r="DU121" s="467">
        <v>6083000.0000000009</v>
      </c>
      <c r="DV121" s="467">
        <v>1155000</v>
      </c>
      <c r="DW121" s="478">
        <v>121660000.00000001</v>
      </c>
      <c r="DX121" s="478">
        <v>23677500</v>
      </c>
      <c r="DY121" s="478">
        <v>0</v>
      </c>
      <c r="DZ121" s="478">
        <v>54979236</v>
      </c>
      <c r="EA121" s="478">
        <v>34664760</v>
      </c>
      <c r="EB121" s="478">
        <v>2498769</v>
      </c>
      <c r="EC121" s="480">
        <v>526500</v>
      </c>
      <c r="ED121" s="480">
        <v>0</v>
      </c>
      <c r="EE121" s="480">
        <v>400000</v>
      </c>
      <c r="EF121" s="480">
        <v>36000000</v>
      </c>
      <c r="EG121" s="481"/>
      <c r="EH121" s="481">
        <v>145864000</v>
      </c>
      <c r="EI121" s="484">
        <v>46281</v>
      </c>
      <c r="EJ121" s="484">
        <v>46294</v>
      </c>
      <c r="EK121" s="1035">
        <v>46279</v>
      </c>
      <c r="EL121" s="667">
        <v>46299</v>
      </c>
      <c r="EM121" s="1202">
        <v>20</v>
      </c>
      <c r="EN121" s="277"/>
      <c r="EO121" s="386" t="s">
        <v>511</v>
      </c>
      <c r="EP121" s="408" t="s">
        <v>503</v>
      </c>
      <c r="EQ121" s="985">
        <v>180</v>
      </c>
      <c r="ER121" s="958">
        <v>180</v>
      </c>
      <c r="ES121" s="245">
        <v>180</v>
      </c>
      <c r="ET121" s="245">
        <v>180</v>
      </c>
      <c r="EU121" s="245" t="s">
        <v>165</v>
      </c>
      <c r="EV121" s="411" t="s">
        <v>504</v>
      </c>
      <c r="EW121" s="412">
        <v>23.3</v>
      </c>
      <c r="EX121" s="413">
        <v>41</v>
      </c>
      <c r="EY121" s="414" t="s">
        <v>188</v>
      </c>
      <c r="EZ121" s="492">
        <v>20.100000000000001</v>
      </c>
      <c r="FA121" s="493">
        <v>35</v>
      </c>
      <c r="FB121" s="414" t="s">
        <v>189</v>
      </c>
      <c r="FC121" s="492"/>
      <c r="FD121" s="493"/>
      <c r="FE121" s="494" t="s">
        <v>189</v>
      </c>
      <c r="FF121" s="492"/>
      <c r="FG121" s="493"/>
      <c r="FH121" s="494" t="s">
        <v>189</v>
      </c>
      <c r="FI121" s="492"/>
      <c r="FJ121" s="495"/>
      <c r="FK121" s="289">
        <v>65</v>
      </c>
      <c r="FL121" s="1042">
        <v>0.26530612244897961</v>
      </c>
      <c r="FM121" s="349" t="s">
        <v>512</v>
      </c>
      <c r="FN121" s="561" t="s">
        <v>300</v>
      </c>
      <c r="FO121" s="550" t="s">
        <v>296</v>
      </c>
      <c r="FP121" s="562">
        <v>6083000.0000000009</v>
      </c>
      <c r="FQ121" s="1203">
        <v>4100</v>
      </c>
      <c r="FR121" s="468">
        <v>0</v>
      </c>
      <c r="FS121" s="562">
        <v>104</v>
      </c>
      <c r="FT121" s="965">
        <v>237</v>
      </c>
      <c r="FU121" s="261">
        <v>180</v>
      </c>
      <c r="FV121" s="263">
        <v>33794.444444444453</v>
      </c>
      <c r="FW121" s="390">
        <v>58490.384615384624</v>
      </c>
      <c r="FX121" s="394">
        <v>25666.666666666672</v>
      </c>
      <c r="FY121" s="550">
        <v>11000</v>
      </c>
      <c r="FZ121" s="550">
        <v>94000</v>
      </c>
      <c r="GA121" s="562">
        <v>1155000</v>
      </c>
      <c r="GB121" s="562">
        <v>5</v>
      </c>
      <c r="GC121" s="565">
        <v>77514800</v>
      </c>
      <c r="GD121" s="565">
        <v>15592500.000000002</v>
      </c>
      <c r="GE121" s="565">
        <v>77514800</v>
      </c>
      <c r="GF121" s="565">
        <v>15592500.000000002</v>
      </c>
      <c r="GG121" s="478">
        <v>0</v>
      </c>
      <c r="GH121" s="478">
        <v>0</v>
      </c>
      <c r="GI121" s="478">
        <v>0</v>
      </c>
      <c r="GJ121" s="986">
        <v>297000</v>
      </c>
      <c r="GK121" s="566"/>
      <c r="GL121" s="566"/>
      <c r="GM121" s="480">
        <v>0</v>
      </c>
      <c r="GN121" s="480">
        <v>280000</v>
      </c>
      <c r="GO121" s="480">
        <v>23400000</v>
      </c>
      <c r="GP121" s="566">
        <v>4</v>
      </c>
      <c r="GQ121" s="566">
        <v>1</v>
      </c>
      <c r="GR121" s="966">
        <v>93404300</v>
      </c>
      <c r="GS121" s="1019">
        <v>-93107300</v>
      </c>
      <c r="GT121" s="1012" t="s">
        <v>301</v>
      </c>
      <c r="GU121" s="1020">
        <v>46281</v>
      </c>
      <c r="GV121" s="1020">
        <v>46294</v>
      </c>
      <c r="GW121" s="1035">
        <v>46281</v>
      </c>
      <c r="GX121" s="667">
        <v>46294</v>
      </c>
      <c r="GY121" s="1037">
        <v>13</v>
      </c>
      <c r="GZ121" s="596"/>
      <c r="HA121" s="597"/>
      <c r="HB121" s="597"/>
      <c r="HC121" s="597"/>
      <c r="HD121" s="405">
        <v>0</v>
      </c>
      <c r="HE121" s="403">
        <v>0</v>
      </c>
      <c r="HF121" s="403">
        <v>0</v>
      </c>
      <c r="HG121" s="403">
        <v>0</v>
      </c>
      <c r="HH121" s="403">
        <v>0</v>
      </c>
      <c r="HI121" s="403">
        <v>0</v>
      </c>
      <c r="HJ121" s="403">
        <v>0</v>
      </c>
      <c r="HK121" s="403">
        <v>0</v>
      </c>
      <c r="HL121" s="403">
        <v>0</v>
      </c>
      <c r="HM121" s="403">
        <v>0</v>
      </c>
      <c r="HN121" s="403">
        <v>0</v>
      </c>
      <c r="HO121" s="403">
        <v>0</v>
      </c>
      <c r="HP121" s="400" t="s">
        <v>177</v>
      </c>
      <c r="HQ121" s="400" t="s">
        <v>177</v>
      </c>
      <c r="HR121" s="403">
        <v>180</v>
      </c>
      <c r="HS121" s="404">
        <v>180</v>
      </c>
      <c r="HT121" s="405">
        <v>180</v>
      </c>
      <c r="HU121" s="403">
        <v>180</v>
      </c>
      <c r="HV121" s="403">
        <v>180</v>
      </c>
      <c r="HW121" s="403">
        <v>180</v>
      </c>
      <c r="HX121" s="403">
        <v>180</v>
      </c>
      <c r="HY121" s="403">
        <v>180</v>
      </c>
      <c r="HZ121" s="403">
        <v>180</v>
      </c>
      <c r="IA121" s="403">
        <v>180</v>
      </c>
      <c r="IB121" s="403">
        <v>180</v>
      </c>
      <c r="IC121" s="406" t="s">
        <v>178</v>
      </c>
      <c r="ID121" s="403">
        <v>0</v>
      </c>
      <c r="IE121" s="403">
        <v>0</v>
      </c>
      <c r="IF121" s="403">
        <v>0</v>
      </c>
      <c r="IG121" s="403">
        <v>0</v>
      </c>
      <c r="IH121" s="404">
        <v>0</v>
      </c>
      <c r="II121" s="405">
        <v>0</v>
      </c>
      <c r="IJ121" s="403">
        <v>0</v>
      </c>
      <c r="IK121" s="403">
        <v>0</v>
      </c>
      <c r="IL121" s="407">
        <v>0</v>
      </c>
      <c r="IM121" s="1016"/>
      <c r="IN121" s="277" cm="1">
        <f t="array" ref="IN121">SUM(IF(ISNUMBER($HD121:$IL121),$HD121:$IL121, 0))</f>
        <v>1980</v>
      </c>
      <c r="IO121" s="1047"/>
      <c r="IP121" s="1048"/>
      <c r="IQ121" s="541"/>
      <c r="IR121" s="500">
        <v>0</v>
      </c>
      <c r="IS121" s="501"/>
      <c r="IT121" s="501"/>
      <c r="IU121" s="501"/>
      <c r="IV121" s="501"/>
      <c r="IW121" s="501"/>
      <c r="IX121" s="502">
        <v>0</v>
      </c>
      <c r="IY121" s="502"/>
      <c r="IZ121" s="501">
        <v>0</v>
      </c>
      <c r="JA121" s="503">
        <v>0</v>
      </c>
      <c r="JB121" s="501"/>
      <c r="JC121" s="501"/>
      <c r="JD121" s="504"/>
      <c r="JE121" s="504"/>
      <c r="JF121" s="505"/>
      <c r="JG121" s="503">
        <v>1298047</v>
      </c>
      <c r="JH121" s="506">
        <v>634679</v>
      </c>
      <c r="JO121" s="507"/>
      <c r="JP121" s="508"/>
      <c r="JQ121" s="508"/>
      <c r="JR121" s="508"/>
      <c r="JS121" s="508"/>
      <c r="JT121" s="508"/>
      <c r="JU121" s="508"/>
      <c r="JV121" s="508"/>
      <c r="JW121" s="508"/>
      <c r="JX121" s="508"/>
      <c r="JY121" s="508"/>
      <c r="JZ121" s="508"/>
      <c r="KA121" s="508"/>
      <c r="KB121" s="508"/>
      <c r="KC121" s="508"/>
      <c r="KD121" s="508"/>
      <c r="KE121" s="508"/>
      <c r="KF121" s="508"/>
      <c r="KG121" s="508"/>
      <c r="KH121" s="508"/>
      <c r="KI121" s="508"/>
      <c r="KJ121" s="508"/>
      <c r="KK121" s="508"/>
      <c r="KL121" s="508"/>
      <c r="KM121" s="508"/>
      <c r="KN121" s="508"/>
      <c r="KO121" s="508"/>
      <c r="KP121" s="508"/>
      <c r="KQ121" s="508"/>
      <c r="KR121" s="508"/>
      <c r="KS121" s="508"/>
      <c r="KT121" s="508"/>
      <c r="KU121" s="508"/>
      <c r="KV121" s="508"/>
      <c r="KW121" s="509"/>
      <c r="KX121" s="1016"/>
      <c r="KY121" s="277" cm="1">
        <f t="array" ref="KY121">SUM(IF(ISNUMBER($JO121:$KW121),$JO121:$KW121, 0))</f>
        <v>0</v>
      </c>
    </row>
    <row r="122" spans="1:398" ht="40" customHeight="1">
      <c r="B122" s="299"/>
      <c r="C122" s="241"/>
      <c r="D122" s="445"/>
      <c r="E122" s="510" t="s">
        <v>165</v>
      </c>
      <c r="F122" s="1023"/>
      <c r="G122" s="512">
        <v>0</v>
      </c>
      <c r="H122" s="512">
        <v>0</v>
      </c>
      <c r="I122" s="512">
        <v>0</v>
      </c>
      <c r="J122" s="512">
        <v>0</v>
      </c>
      <c r="K122" s="512"/>
      <c r="L122" s="512">
        <v>0</v>
      </c>
      <c r="M122" s="513">
        <v>0</v>
      </c>
      <c r="N122" s="514">
        <v>0</v>
      </c>
      <c r="O122" s="514">
        <v>0</v>
      </c>
      <c r="P122" s="513">
        <v>0</v>
      </c>
      <c r="Q122" s="1045">
        <v>0</v>
      </c>
      <c r="R122" s="514">
        <v>0</v>
      </c>
      <c r="S122" s="514">
        <v>0</v>
      </c>
      <c r="T122" s="514">
        <v>0</v>
      </c>
      <c r="U122" s="515" t="s">
        <v>165</v>
      </c>
      <c r="V122" s="445"/>
      <c r="W122" s="445"/>
      <c r="X122" s="445"/>
      <c r="Y122" s="445"/>
      <c r="Z122" s="445"/>
      <c r="AA122" s="763"/>
      <c r="AB122" s="1032" t="s">
        <v>170</v>
      </c>
      <c r="AC122" s="1033">
        <v>0</v>
      </c>
      <c r="AD122" s="1046"/>
      <c r="AE122" s="336"/>
      <c r="AF122" s="337"/>
      <c r="AG122" s="337"/>
      <c r="AH122" s="337"/>
      <c r="AI122" s="337"/>
      <c r="AJ122" s="337"/>
      <c r="AK122" s="337"/>
      <c r="AL122" s="337"/>
      <c r="AM122" s="337"/>
      <c r="AN122" s="337"/>
      <c r="AO122" s="337"/>
      <c r="AP122" s="337"/>
      <c r="AQ122" s="337"/>
      <c r="AR122" s="337"/>
      <c r="AS122" s="339"/>
      <c r="AT122" s="337"/>
      <c r="AU122" s="339"/>
      <c r="AV122" s="337"/>
      <c r="AW122" s="337"/>
      <c r="AX122" s="337"/>
      <c r="AY122" s="337"/>
      <c r="AZ122" s="611"/>
      <c r="BA122" s="611"/>
      <c r="BB122" s="611"/>
      <c r="BC122" s="611"/>
      <c r="BD122" s="611"/>
      <c r="BE122" s="611"/>
      <c r="BF122" s="611"/>
      <c r="BG122" s="611"/>
      <c r="BH122" s="611"/>
      <c r="BI122" s="611"/>
      <c r="BJ122" s="611"/>
      <c r="BK122" s="611"/>
      <c r="BL122" s="611"/>
      <c r="BM122" s="611"/>
      <c r="BN122" s="611"/>
      <c r="BO122" s="337"/>
      <c r="BP122" s="337"/>
      <c r="BQ122" s="337"/>
      <c r="BR122" s="340"/>
      <c r="BS122" s="342"/>
      <c r="BT122" s="938"/>
      <c r="BU122" s="938"/>
      <c r="BV122" s="615" t="str">
        <f>IFERROR(INDEX($HD$9:$II$9, MATCH("準備", CC122:DK122, 0)), "")</f>
        <v/>
      </c>
      <c r="BW122" s="615" t="str" cm="1">
        <f t="array" ref="BW122">IF(COUNTIF(CC122:DK122,"*撤去*")=0,"",INDEX(CC$9:DK$9,1,MAX(IF(CC122:DK122="撤去",COLUMN(CC122:DK122)-COLUMN(CC122)+1))))</f>
        <v/>
      </c>
      <c r="BX122" s="616"/>
      <c r="BY122" s="360" t="s">
        <v>246</v>
      </c>
      <c r="BZ122" s="1204" t="s">
        <v>247</v>
      </c>
      <c r="CA122" s="597"/>
      <c r="CB122" s="597"/>
      <c r="CC122" s="750"/>
      <c r="CD122" s="274"/>
      <c r="CE122" s="274"/>
      <c r="CF122" s="274"/>
      <c r="CG122" s="274"/>
      <c r="CH122" s="274"/>
      <c r="CI122" s="274"/>
      <c r="CJ122" s="274"/>
      <c r="CK122" s="274"/>
      <c r="CL122" s="274"/>
      <c r="CM122" s="682">
        <v>0</v>
      </c>
      <c r="CN122" s="682">
        <v>0</v>
      </c>
      <c r="CO122" s="682">
        <v>0</v>
      </c>
      <c r="CP122" s="682">
        <v>0</v>
      </c>
      <c r="CQ122" s="683">
        <v>0</v>
      </c>
      <c r="CR122" s="684">
        <v>0</v>
      </c>
      <c r="CS122" s="685">
        <v>0</v>
      </c>
      <c r="CT122" s="682">
        <v>0</v>
      </c>
      <c r="CU122" s="682">
        <v>0</v>
      </c>
      <c r="CV122" s="682">
        <v>0</v>
      </c>
      <c r="CW122" s="682">
        <v>0</v>
      </c>
      <c r="CX122" s="682">
        <v>0</v>
      </c>
      <c r="CY122" s="682">
        <v>0</v>
      </c>
      <c r="CZ122" s="682">
        <v>0</v>
      </c>
      <c r="DA122" s="682">
        <v>0</v>
      </c>
      <c r="DB122" s="682">
        <v>0</v>
      </c>
      <c r="DC122" s="682">
        <v>0</v>
      </c>
      <c r="DD122" s="682">
        <v>0</v>
      </c>
      <c r="DE122" s="682">
        <v>0</v>
      </c>
      <c r="DF122" s="683">
        <v>0</v>
      </c>
      <c r="DG122" s="684">
        <v>0</v>
      </c>
      <c r="DH122" s="750"/>
      <c r="DI122" s="274"/>
      <c r="DJ122" s="274"/>
      <c r="DK122" s="276"/>
      <c r="DL122" s="1016"/>
      <c r="DM122" s="1016"/>
      <c r="DN122" s="1016"/>
      <c r="DO122" s="1016"/>
      <c r="DP122" s="1016"/>
      <c r="DQ122" s="763"/>
      <c r="DR122" s="1032" t="s">
        <v>170</v>
      </c>
      <c r="DS122" s="1033">
        <v>0</v>
      </c>
      <c r="DT122" s="1046"/>
      <c r="DU122" s="337"/>
      <c r="DV122" s="337"/>
      <c r="DW122" s="611"/>
      <c r="DX122" s="611"/>
      <c r="DY122" s="611"/>
      <c r="DZ122" s="611"/>
      <c r="EA122" s="611"/>
      <c r="EB122" s="611"/>
      <c r="EC122" s="611"/>
      <c r="ED122" s="611"/>
      <c r="EE122" s="611"/>
      <c r="EF122" s="611"/>
      <c r="EG122" s="337"/>
      <c r="EH122" s="337"/>
      <c r="EI122" s="938"/>
      <c r="EJ122" s="938"/>
      <c r="EK122" s="615" t="s">
        <v>165</v>
      </c>
      <c r="EL122" s="615" t="s">
        <v>165</v>
      </c>
      <c r="EM122" s="616"/>
      <c r="EN122" s="1016"/>
      <c r="EO122" s="763"/>
      <c r="EP122" s="1032" t="s">
        <v>170</v>
      </c>
      <c r="EQ122" s="1033">
        <v>0</v>
      </c>
      <c r="ER122" s="1046"/>
      <c r="ES122" s="1046" t="e">
        <v>#N/A</v>
      </c>
      <c r="ET122" s="1046"/>
      <c r="EU122" s="1046"/>
      <c r="EV122" s="1027" t="s">
        <v>170</v>
      </c>
      <c r="EW122" s="453"/>
      <c r="EX122" s="454"/>
      <c r="EY122" s="879" t="s">
        <v>170</v>
      </c>
      <c r="EZ122" s="456"/>
      <c r="FA122" s="457"/>
      <c r="FB122" s="879" t="s">
        <v>170</v>
      </c>
      <c r="FC122" s="880"/>
      <c r="FD122" s="881"/>
      <c r="FE122" s="882" t="s">
        <v>170</v>
      </c>
      <c r="FF122" s="880"/>
      <c r="FG122" s="881"/>
      <c r="FH122" s="882" t="s">
        <v>170</v>
      </c>
      <c r="FI122" s="880"/>
      <c r="FJ122" s="883"/>
      <c r="FK122" s="375"/>
      <c r="FL122" s="1028"/>
      <c r="FM122" s="349"/>
      <c r="FN122" s="336"/>
      <c r="FO122" s="337"/>
      <c r="FP122" s="337"/>
      <c r="FQ122" s="337"/>
      <c r="FR122" s="337"/>
      <c r="FS122" s="337"/>
      <c r="FT122" s="337"/>
      <c r="FU122" s="337"/>
      <c r="FV122" s="339"/>
      <c r="FW122" s="337"/>
      <c r="FX122" s="339"/>
      <c r="FY122" s="337"/>
      <c r="FZ122" s="337"/>
      <c r="GA122" s="337"/>
      <c r="GB122" s="337"/>
      <c r="GC122" s="611"/>
      <c r="GD122" s="611"/>
      <c r="GE122" s="611"/>
      <c r="GF122" s="611"/>
      <c r="GG122" s="611"/>
      <c r="GH122" s="611"/>
      <c r="GI122" s="611"/>
      <c r="GJ122" s="611"/>
      <c r="GK122" s="611"/>
      <c r="GL122" s="611"/>
      <c r="GM122" s="611"/>
      <c r="GN122" s="611"/>
      <c r="GO122" s="611"/>
      <c r="GP122" s="611"/>
      <c r="GQ122" s="611"/>
      <c r="GR122" s="337"/>
      <c r="GS122" s="337"/>
      <c r="GT122" s="342"/>
      <c r="GU122" s="938"/>
      <c r="GV122" s="938"/>
      <c r="GW122" s="615" t="s">
        <v>165</v>
      </c>
      <c r="GX122" s="615" t="s">
        <v>165</v>
      </c>
      <c r="GY122" s="616"/>
      <c r="GZ122" s="596"/>
      <c r="HA122" s="597"/>
      <c r="HB122" s="597"/>
      <c r="HC122" s="597"/>
      <c r="HD122" s="750"/>
      <c r="HE122" s="274"/>
      <c r="HF122" s="274"/>
      <c r="HG122" s="274"/>
      <c r="HH122" s="274"/>
      <c r="HI122" s="274"/>
      <c r="HJ122" s="274"/>
      <c r="HK122" s="274"/>
      <c r="HL122" s="274"/>
      <c r="HM122" s="274"/>
      <c r="HN122" s="274"/>
      <c r="HO122" s="274"/>
      <c r="HP122" s="274"/>
      <c r="HQ122" s="274"/>
      <c r="HR122" s="274"/>
      <c r="HS122" s="275"/>
      <c r="HT122" s="750"/>
      <c r="HU122" s="274"/>
      <c r="HV122" s="274"/>
      <c r="HW122" s="274"/>
      <c r="HX122" s="274"/>
      <c r="HY122" s="274"/>
      <c r="HZ122" s="274"/>
      <c r="IA122" s="274"/>
      <c r="IB122" s="274"/>
      <c r="IC122" s="274"/>
      <c r="ID122" s="274"/>
      <c r="IE122" s="274"/>
      <c r="IF122" s="274"/>
      <c r="IG122" s="274"/>
      <c r="IH122" s="275"/>
      <c r="II122" s="750"/>
      <c r="IJ122" s="274"/>
      <c r="IK122" s="274"/>
      <c r="IL122" s="276"/>
      <c r="IM122" s="1016"/>
      <c r="IN122" s="1016"/>
      <c r="IO122" s="1047"/>
      <c r="IP122" s="1048"/>
      <c r="IQ122" s="541"/>
      <c r="IR122" s="542"/>
      <c r="IS122" s="543"/>
      <c r="IT122" s="543"/>
      <c r="IU122" s="543"/>
      <c r="IV122" s="543"/>
      <c r="IW122" s="543"/>
      <c r="IX122" s="544"/>
      <c r="IY122" s="544"/>
      <c r="IZ122" s="543"/>
      <c r="JA122" s="543"/>
      <c r="JB122" s="543"/>
      <c r="JC122" s="543"/>
      <c r="JD122" s="545"/>
      <c r="JE122" s="545"/>
      <c r="JF122" s="546"/>
      <c r="JG122" s="503"/>
      <c r="JH122" s="506"/>
      <c r="JO122" s="507"/>
      <c r="JP122" s="508"/>
      <c r="JQ122" s="508"/>
      <c r="JR122" s="508"/>
      <c r="JS122" s="508"/>
      <c r="JT122" s="508"/>
      <c r="JU122" s="508"/>
      <c r="JV122" s="508"/>
      <c r="JW122" s="508"/>
      <c r="JX122" s="508"/>
      <c r="JY122" s="508"/>
      <c r="JZ122" s="508"/>
      <c r="KA122" s="508"/>
      <c r="KB122" s="508"/>
      <c r="KC122" s="508"/>
      <c r="KD122" s="508"/>
      <c r="KE122" s="508"/>
      <c r="KF122" s="508"/>
      <c r="KG122" s="508"/>
      <c r="KH122" s="508"/>
      <c r="KI122" s="508"/>
      <c r="KJ122" s="508"/>
      <c r="KK122" s="508"/>
      <c r="KL122" s="508"/>
      <c r="KM122" s="508"/>
      <c r="KN122" s="508"/>
      <c r="KO122" s="508"/>
      <c r="KP122" s="508"/>
      <c r="KQ122" s="508"/>
      <c r="KR122" s="508"/>
      <c r="KS122" s="508"/>
      <c r="KT122" s="508"/>
      <c r="KU122" s="508"/>
      <c r="KV122" s="508"/>
      <c r="KW122" s="509"/>
      <c r="KX122" s="1016"/>
      <c r="KY122" s="1016"/>
    </row>
    <row r="123" spans="1:398" ht="40" customHeight="1">
      <c r="B123" s="299"/>
      <c r="C123" s="241"/>
      <c r="D123" s="242">
        <v>28</v>
      </c>
      <c r="E123" s="243">
        <v>253</v>
      </c>
      <c r="F123" s="1050" t="s">
        <v>513</v>
      </c>
      <c r="G123" s="246"/>
      <c r="H123" s="246"/>
      <c r="I123" s="246"/>
      <c r="J123" s="246"/>
      <c r="K123" s="246"/>
      <c r="L123" s="246"/>
      <c r="M123" s="300"/>
      <c r="N123" s="251"/>
      <c r="O123" s="251"/>
      <c r="P123" s="300"/>
      <c r="Q123" s="1051"/>
      <c r="R123" s="251"/>
      <c r="S123" s="251"/>
      <c r="T123" s="251"/>
      <c r="U123" s="301"/>
      <c r="V123" s="242"/>
      <c r="W123" s="242"/>
      <c r="X123" s="242"/>
      <c r="Y123" s="242"/>
      <c r="Z123" s="242"/>
      <c r="AA123" s="604" t="s">
        <v>514</v>
      </c>
      <c r="AB123" s="605" t="s">
        <v>484</v>
      </c>
      <c r="AC123" s="878">
        <v>138</v>
      </c>
      <c r="AD123" s="958">
        <f>SUM(AC123,AC124)</f>
        <v>138</v>
      </c>
      <c r="AE123" s="336"/>
      <c r="AF123" s="337"/>
      <c r="AG123" s="732">
        <f>'[1]0253_蒲郡ホテル　別紙1-1'!M26</f>
        <v>1647360.0000000002</v>
      </c>
      <c r="AH123" s="732"/>
      <c r="AI123" s="732"/>
      <c r="AJ123" s="732"/>
      <c r="AK123" s="551">
        <f>$AK$4</f>
        <v>26106</v>
      </c>
      <c r="AL123" s="552">
        <v>0.83</v>
      </c>
      <c r="AM123" s="551">
        <f>$AM$4</f>
        <v>24690</v>
      </c>
      <c r="AN123" s="468" t="s">
        <v>308</v>
      </c>
      <c r="AO123" s="551">
        <f>$AO$4</f>
        <v>2373</v>
      </c>
      <c r="AP123" s="732"/>
      <c r="AQ123" s="732"/>
      <c r="AR123" s="390"/>
      <c r="AS123" s="394"/>
      <c r="AT123" s="390"/>
      <c r="AU123" s="394"/>
      <c r="AV123" s="390"/>
      <c r="AW123" s="732"/>
      <c r="AX123" s="732">
        <f>'[1]0253_蒲郡ホテル　別紙1-2'!N21</f>
        <v>330000</v>
      </c>
      <c r="AY123" s="732"/>
      <c r="AZ123" s="963">
        <f>'[1]0253_蒲郡ホテル　別紙1-1'!C28</f>
        <v>32252220</v>
      </c>
      <c r="BA123" s="963">
        <f>'[1]0253_蒲郡ホテル　別紙1-2'!O19</f>
        <v>6765000.0000000009</v>
      </c>
      <c r="BB123" s="963"/>
      <c r="BC123" s="963"/>
      <c r="BD123" s="478">
        <f>AK123*DM123*0.6</f>
        <v>36746805.600000001</v>
      </c>
      <c r="BE123" s="478">
        <f>BD123-21000*DM123*0.6</f>
        <v>7187205.6000000015</v>
      </c>
      <c r="BF123" s="478">
        <f>AM123*DM123*0.4</f>
        <v>23169096</v>
      </c>
      <c r="BG123" s="478">
        <f>BF123-0</f>
        <v>23169096</v>
      </c>
      <c r="BH123" s="478">
        <f>AO123*DM123*0.3</f>
        <v>1670117.4</v>
      </c>
      <c r="BI123" s="963">
        <f>200*DM123</f>
        <v>469200</v>
      </c>
      <c r="BJ123" s="963"/>
      <c r="BK123" s="963"/>
      <c r="BL123" s="963"/>
      <c r="BM123" s="963"/>
      <c r="BN123" s="963"/>
      <c r="BO123" s="732"/>
      <c r="BP123" s="481">
        <f>SUM(AZ123,BA123,BI123,BO123)</f>
        <v>39486420</v>
      </c>
      <c r="BQ123" s="732"/>
      <c r="BR123" s="1130"/>
      <c r="BS123" s="401"/>
      <c r="BT123" s="269">
        <f>'[1]0253_蒲郡ホテル　別紙1-1'!B9</f>
        <v>46279</v>
      </c>
      <c r="BU123" s="269">
        <f>'[1]0253_蒲郡ホテル　別紙1-1'!G9</f>
        <v>46299</v>
      </c>
      <c r="BV123" s="1035">
        <f>IFERROR(INDEX($BY$9:$DH$9, MATCH("準備", BY123:DK123, 0)), "")</f>
        <v>46279</v>
      </c>
      <c r="BW123" s="667" cm="1">
        <f t="array" ref="BW123">IF(COUNTIF(BY123:DK123,"*撤去*")=0,"",INDEX(BY$9:DK$9,1,MAX(IF(CC123:DK123="撤去",COLUMN(CC123:DK123)-COLUMN(BY123)+1))))</f>
        <v>46299</v>
      </c>
      <c r="BX123" s="1202">
        <f>BW123-BV123</f>
        <v>20</v>
      </c>
      <c r="BY123" s="679"/>
      <c r="BZ123" s="742"/>
      <c r="CA123" s="557"/>
      <c r="CB123" s="557"/>
      <c r="CC123" s="743"/>
      <c r="CD123" s="599"/>
      <c r="CE123" s="599"/>
      <c r="CF123" s="599"/>
      <c r="CG123" s="599"/>
      <c r="CH123" s="599"/>
      <c r="CI123" s="599"/>
      <c r="CJ123" s="599"/>
      <c r="CK123" s="599"/>
      <c r="CL123" s="598"/>
      <c r="CM123" s="400" t="s">
        <v>177</v>
      </c>
      <c r="CN123" s="400" t="s">
        <v>177</v>
      </c>
      <c r="CO123" s="664">
        <v>138</v>
      </c>
      <c r="CP123" s="664">
        <v>138</v>
      </c>
      <c r="CQ123" s="403">
        <v>138</v>
      </c>
      <c r="CR123" s="404">
        <v>138</v>
      </c>
      <c r="CS123" s="405">
        <v>138</v>
      </c>
      <c r="CT123" s="403">
        <v>138</v>
      </c>
      <c r="CU123" s="403">
        <v>138</v>
      </c>
      <c r="CV123" s="403">
        <v>138</v>
      </c>
      <c r="CW123" s="403">
        <v>138</v>
      </c>
      <c r="CX123" s="403">
        <v>138</v>
      </c>
      <c r="CY123" s="403">
        <v>138</v>
      </c>
      <c r="CZ123" s="403">
        <v>138</v>
      </c>
      <c r="DA123" s="403">
        <v>138</v>
      </c>
      <c r="DB123" s="403">
        <v>138</v>
      </c>
      <c r="DC123" s="403">
        <v>138</v>
      </c>
      <c r="DD123" s="403">
        <v>138</v>
      </c>
      <c r="DE123" s="403">
        <v>138</v>
      </c>
      <c r="DF123" s="403">
        <v>0</v>
      </c>
      <c r="DG123" s="951" t="s">
        <v>178</v>
      </c>
      <c r="DH123" s="743"/>
      <c r="DI123" s="599"/>
      <c r="DJ123" s="599"/>
      <c r="DK123" s="628"/>
      <c r="DL123" s="1016"/>
      <c r="DM123" s="277" cm="1">
        <f t="array" ref="DM123">SUM(IF(ISNUMBER($BY123:$DK123),$BY123:$DK123, 0))</f>
        <v>2346</v>
      </c>
      <c r="DN123" s="277">
        <v>3180</v>
      </c>
      <c r="DO123" s="277">
        <f>DM123*(BX123)/(BX123+1)</f>
        <v>2234.2857142857142</v>
      </c>
      <c r="DP123" s="277"/>
      <c r="DQ123" s="277"/>
      <c r="DR123" s="277"/>
      <c r="DS123" s="277"/>
      <c r="DT123" s="277"/>
      <c r="DU123" s="1016"/>
      <c r="DV123" s="1016"/>
      <c r="DW123" s="1016"/>
      <c r="DX123" s="1016"/>
      <c r="DY123" s="1016"/>
      <c r="DZ123" s="1016"/>
      <c r="EA123" s="1016"/>
      <c r="EB123" s="1016"/>
      <c r="EC123" s="1016"/>
      <c r="ED123" s="1016"/>
      <c r="EE123" s="1016"/>
      <c r="EF123" s="1016"/>
      <c r="EG123" s="1016"/>
      <c r="EH123" s="1016"/>
      <c r="EI123" s="1016"/>
      <c r="EJ123" s="1016"/>
      <c r="EK123" s="1016"/>
      <c r="EL123" s="1016"/>
      <c r="EM123" s="1016"/>
      <c r="EN123" s="1016"/>
      <c r="EO123" s="604"/>
      <c r="EP123" s="605"/>
      <c r="EQ123" s="878"/>
      <c r="ER123" s="952"/>
      <c r="ES123" s="952"/>
      <c r="ET123" s="952"/>
      <c r="EU123" s="952"/>
      <c r="EV123" s="608"/>
      <c r="EW123" s="609"/>
      <c r="EX123" s="610"/>
      <c r="EY123" s="442"/>
      <c r="EZ123" s="440"/>
      <c r="FA123" s="441"/>
      <c r="FB123" s="442"/>
      <c r="FC123" s="440"/>
      <c r="FD123" s="441"/>
      <c r="FE123" s="443"/>
      <c r="FF123" s="440"/>
      <c r="FG123" s="441"/>
      <c r="FH123" s="443"/>
      <c r="FI123" s="440"/>
      <c r="FJ123" s="444"/>
      <c r="FK123" s="289"/>
      <c r="FL123" s="1017"/>
      <c r="FM123" s="349"/>
      <c r="FN123" s="336"/>
      <c r="FO123" s="337"/>
      <c r="FP123" s="337"/>
      <c r="FQ123" s="337"/>
      <c r="FR123" s="337"/>
      <c r="FS123" s="337"/>
      <c r="FT123" s="337"/>
      <c r="FU123" s="337"/>
      <c r="FV123" s="339"/>
      <c r="FW123" s="337"/>
      <c r="FX123" s="339"/>
      <c r="FY123" s="337"/>
      <c r="FZ123" s="337"/>
      <c r="GA123" s="337"/>
      <c r="GB123" s="337"/>
      <c r="GC123" s="611"/>
      <c r="GD123" s="611"/>
      <c r="GE123" s="611"/>
      <c r="GF123" s="611"/>
      <c r="GG123" s="611"/>
      <c r="GH123" s="611"/>
      <c r="GI123" s="611"/>
      <c r="GJ123" s="611"/>
      <c r="GK123" s="611"/>
      <c r="GL123" s="611"/>
      <c r="GM123" s="611"/>
      <c r="GN123" s="611"/>
      <c r="GO123" s="611"/>
      <c r="GP123" s="611"/>
      <c r="GQ123" s="611"/>
      <c r="GR123" s="337"/>
      <c r="GS123" s="337"/>
      <c r="GT123" s="342"/>
      <c r="GU123" s="938"/>
      <c r="GV123" s="938"/>
      <c r="GW123" s="615"/>
      <c r="GX123" s="615"/>
      <c r="GY123" s="616"/>
      <c r="GZ123" s="596"/>
      <c r="HA123" s="597"/>
      <c r="HB123" s="597"/>
      <c r="HC123" s="597"/>
      <c r="HD123" s="750"/>
      <c r="HE123" s="274"/>
      <c r="HF123" s="274"/>
      <c r="HG123" s="274"/>
      <c r="HH123" s="274"/>
      <c r="HI123" s="274"/>
      <c r="HJ123" s="274"/>
      <c r="HK123" s="274"/>
      <c r="HL123" s="274"/>
      <c r="HM123" s="274"/>
      <c r="HN123" s="274"/>
      <c r="HO123" s="274"/>
      <c r="HP123" s="274"/>
      <c r="HQ123" s="274"/>
      <c r="HR123" s="274"/>
      <c r="HS123" s="275"/>
      <c r="HT123" s="750"/>
      <c r="HU123" s="274"/>
      <c r="HV123" s="274"/>
      <c r="HW123" s="274"/>
      <c r="HX123" s="274"/>
      <c r="HY123" s="274"/>
      <c r="HZ123" s="274"/>
      <c r="IA123" s="274"/>
      <c r="IB123" s="274"/>
      <c r="IC123" s="274"/>
      <c r="ID123" s="274"/>
      <c r="IE123" s="274"/>
      <c r="IF123" s="274"/>
      <c r="IG123" s="274"/>
      <c r="IH123" s="275"/>
      <c r="II123" s="750"/>
      <c r="IJ123" s="274"/>
      <c r="IK123" s="274"/>
      <c r="IL123" s="276"/>
      <c r="IM123" s="1016"/>
      <c r="IN123" s="1016"/>
      <c r="IO123" s="1047"/>
      <c r="IP123" s="1048"/>
      <c r="IQ123" s="541"/>
      <c r="IR123" s="542"/>
      <c r="IS123" s="543"/>
      <c r="IT123" s="543"/>
      <c r="IU123" s="543"/>
      <c r="IV123" s="543"/>
      <c r="IW123" s="543"/>
      <c r="IX123" s="544"/>
      <c r="IY123" s="544"/>
      <c r="IZ123" s="543"/>
      <c r="JA123" s="543"/>
      <c r="JB123" s="543"/>
      <c r="JC123" s="543"/>
      <c r="JD123" s="545"/>
      <c r="JE123" s="545"/>
      <c r="JF123" s="546"/>
      <c r="JG123" s="503"/>
      <c r="JH123" s="506"/>
      <c r="JO123" s="507"/>
      <c r="JP123" s="508"/>
      <c r="JQ123" s="508"/>
      <c r="JR123" s="508"/>
      <c r="JS123" s="508"/>
      <c r="JT123" s="508"/>
      <c r="JU123" s="508"/>
      <c r="JV123" s="508"/>
      <c r="JW123" s="508"/>
      <c r="JX123" s="508"/>
      <c r="JY123" s="508"/>
      <c r="JZ123" s="508"/>
      <c r="KA123" s="508"/>
      <c r="KB123" s="508"/>
      <c r="KC123" s="508"/>
      <c r="KD123" s="508"/>
      <c r="KE123" s="508"/>
      <c r="KF123" s="508"/>
      <c r="KG123" s="508"/>
      <c r="KH123" s="508"/>
      <c r="KI123" s="508"/>
      <c r="KJ123" s="508"/>
      <c r="KK123" s="508"/>
      <c r="KL123" s="508"/>
      <c r="KM123" s="508"/>
      <c r="KN123" s="508"/>
      <c r="KO123" s="508"/>
      <c r="KP123" s="508"/>
      <c r="KQ123" s="508"/>
      <c r="KR123" s="508"/>
      <c r="KS123" s="508"/>
      <c r="KT123" s="508"/>
      <c r="KU123" s="508"/>
      <c r="KV123" s="508"/>
      <c r="KW123" s="509"/>
      <c r="KX123" s="1016"/>
      <c r="KY123" s="1016"/>
    </row>
    <row r="124" spans="1:398" ht="40" customHeight="1">
      <c r="B124" s="299"/>
      <c r="C124" s="241"/>
      <c r="D124" s="242"/>
      <c r="E124" s="243"/>
      <c r="F124" s="1050"/>
      <c r="G124" s="246"/>
      <c r="H124" s="246"/>
      <c r="I124" s="246"/>
      <c r="J124" s="246"/>
      <c r="K124" s="246"/>
      <c r="L124" s="246"/>
      <c r="M124" s="300"/>
      <c r="N124" s="251"/>
      <c r="O124" s="251"/>
      <c r="P124" s="300"/>
      <c r="Q124" s="1051"/>
      <c r="R124" s="251"/>
      <c r="S124" s="251"/>
      <c r="T124" s="251"/>
      <c r="U124" s="301"/>
      <c r="V124" s="242"/>
      <c r="W124" s="242"/>
      <c r="X124" s="242"/>
      <c r="Y124" s="242"/>
      <c r="Z124" s="242"/>
      <c r="AA124" s="446"/>
      <c r="AB124" s="450"/>
      <c r="AC124" s="451"/>
      <c r="AD124" s="952"/>
      <c r="AE124" s="336"/>
      <c r="AF124" s="337"/>
      <c r="AG124" s="337"/>
      <c r="AH124" s="337"/>
      <c r="AI124" s="337"/>
      <c r="AJ124" s="337"/>
      <c r="AK124" s="337"/>
      <c r="AL124" s="337"/>
      <c r="AM124" s="337"/>
      <c r="AN124" s="337"/>
      <c r="AO124" s="337"/>
      <c r="AP124" s="337"/>
      <c r="AQ124" s="337"/>
      <c r="AR124" s="337"/>
      <c r="AS124" s="339"/>
      <c r="AT124" s="337"/>
      <c r="AU124" s="339"/>
      <c r="AV124" s="337"/>
      <c r="AW124" s="337"/>
      <c r="AX124" s="337"/>
      <c r="AY124" s="337"/>
      <c r="AZ124" s="611"/>
      <c r="BA124" s="611"/>
      <c r="BB124" s="611"/>
      <c r="BC124" s="611"/>
      <c r="BD124" s="611"/>
      <c r="BE124" s="611"/>
      <c r="BF124" s="611"/>
      <c r="BG124" s="611"/>
      <c r="BH124" s="611"/>
      <c r="BI124" s="611"/>
      <c r="BJ124" s="611"/>
      <c r="BK124" s="611"/>
      <c r="BL124" s="611"/>
      <c r="BM124" s="611"/>
      <c r="BN124" s="611"/>
      <c r="BO124" s="337"/>
      <c r="BP124" s="337"/>
      <c r="BQ124" s="337"/>
      <c r="BR124" s="340"/>
      <c r="BS124" s="342"/>
      <c r="BT124" s="938"/>
      <c r="BU124" s="938"/>
      <c r="BV124" s="615"/>
      <c r="BW124" s="615"/>
      <c r="BX124" s="616"/>
      <c r="BY124" s="679"/>
      <c r="BZ124" s="680"/>
      <c r="CA124" s="597"/>
      <c r="CB124" s="597"/>
      <c r="CC124" s="750"/>
      <c r="CD124" s="274"/>
      <c r="CE124" s="274"/>
      <c r="CF124" s="274"/>
      <c r="CG124" s="274"/>
      <c r="CH124" s="274"/>
      <c r="CI124" s="274"/>
      <c r="CJ124" s="274"/>
      <c r="CK124" s="274"/>
      <c r="CL124" s="274"/>
      <c r="CM124" s="755"/>
      <c r="CN124" s="756"/>
      <c r="CO124" s="756"/>
      <c r="CP124" s="755"/>
      <c r="CQ124" s="755"/>
      <c r="CR124" s="757"/>
      <c r="CS124" s="758"/>
      <c r="CT124" s="755"/>
      <c r="CU124" s="755"/>
      <c r="CV124" s="755"/>
      <c r="CW124" s="755"/>
      <c r="CX124" s="756"/>
      <c r="CY124" s="755"/>
      <c r="CZ124" s="755"/>
      <c r="DA124" s="755"/>
      <c r="DB124" s="755"/>
      <c r="DC124" s="755"/>
      <c r="DD124" s="755"/>
      <c r="DE124" s="755"/>
      <c r="DF124" s="755"/>
      <c r="DG124" s="757"/>
      <c r="DH124" s="750"/>
      <c r="DI124" s="274"/>
      <c r="DJ124" s="274"/>
      <c r="DK124" s="276"/>
      <c r="DL124" s="1016"/>
      <c r="DM124" s="1016"/>
      <c r="DN124" s="1016"/>
      <c r="DO124" s="1016"/>
      <c r="DP124" s="1016"/>
      <c r="DQ124" s="277"/>
      <c r="DR124" s="277"/>
      <c r="DS124" s="277"/>
      <c r="DT124" s="277"/>
      <c r="DU124" s="1016"/>
      <c r="DV124" s="1016"/>
      <c r="DW124" s="1016"/>
      <c r="DX124" s="1016"/>
      <c r="DY124" s="1016"/>
      <c r="DZ124" s="1016"/>
      <c r="EA124" s="1016"/>
      <c r="EB124" s="1016"/>
      <c r="EC124" s="1016"/>
      <c r="ED124" s="1016"/>
      <c r="EE124" s="1016"/>
      <c r="EF124" s="1016"/>
      <c r="EG124" s="1016"/>
      <c r="EH124" s="1016"/>
      <c r="EI124" s="1016"/>
      <c r="EJ124" s="1016"/>
      <c r="EK124" s="1016"/>
      <c r="EL124" s="1016"/>
      <c r="EM124" s="1016"/>
      <c r="EN124" s="1016"/>
      <c r="EO124" s="604"/>
      <c r="EP124" s="605"/>
      <c r="EQ124" s="878"/>
      <c r="ER124" s="952"/>
      <c r="ES124" s="952"/>
      <c r="ET124" s="952"/>
      <c r="EU124" s="952"/>
      <c r="EV124" s="608"/>
      <c r="EW124" s="609"/>
      <c r="EX124" s="610"/>
      <c r="EY124" s="442"/>
      <c r="EZ124" s="440"/>
      <c r="FA124" s="441"/>
      <c r="FB124" s="442"/>
      <c r="FC124" s="440"/>
      <c r="FD124" s="441"/>
      <c r="FE124" s="443"/>
      <c r="FF124" s="440"/>
      <c r="FG124" s="441"/>
      <c r="FH124" s="443"/>
      <c r="FI124" s="440"/>
      <c r="FJ124" s="444"/>
      <c r="FK124" s="289"/>
      <c r="FL124" s="1017"/>
      <c r="FM124" s="349"/>
      <c r="FN124" s="336"/>
      <c r="FO124" s="337"/>
      <c r="FP124" s="337"/>
      <c r="FQ124" s="337"/>
      <c r="FR124" s="337"/>
      <c r="FS124" s="337"/>
      <c r="FT124" s="337"/>
      <c r="FU124" s="337"/>
      <c r="FV124" s="339"/>
      <c r="FW124" s="337"/>
      <c r="FX124" s="339"/>
      <c r="FY124" s="337"/>
      <c r="FZ124" s="337"/>
      <c r="GA124" s="337"/>
      <c r="GB124" s="337"/>
      <c r="GC124" s="611"/>
      <c r="GD124" s="611"/>
      <c r="GE124" s="611"/>
      <c r="GF124" s="611"/>
      <c r="GG124" s="611"/>
      <c r="GH124" s="611"/>
      <c r="GI124" s="611"/>
      <c r="GJ124" s="611"/>
      <c r="GK124" s="611"/>
      <c r="GL124" s="611"/>
      <c r="GM124" s="611"/>
      <c r="GN124" s="611"/>
      <c r="GO124" s="611"/>
      <c r="GP124" s="611"/>
      <c r="GQ124" s="611"/>
      <c r="GR124" s="337"/>
      <c r="GS124" s="337"/>
      <c r="GT124" s="342"/>
      <c r="GU124" s="938"/>
      <c r="GV124" s="938"/>
      <c r="GW124" s="615"/>
      <c r="GX124" s="615"/>
      <c r="GY124" s="616"/>
      <c r="GZ124" s="596"/>
      <c r="HA124" s="597"/>
      <c r="HB124" s="597"/>
      <c r="HC124" s="597"/>
      <c r="HD124" s="750"/>
      <c r="HE124" s="274"/>
      <c r="HF124" s="274"/>
      <c r="HG124" s="274"/>
      <c r="HH124" s="274"/>
      <c r="HI124" s="274"/>
      <c r="HJ124" s="274"/>
      <c r="HK124" s="274"/>
      <c r="HL124" s="274"/>
      <c r="HM124" s="274"/>
      <c r="HN124" s="274"/>
      <c r="HO124" s="274"/>
      <c r="HP124" s="274"/>
      <c r="HQ124" s="274"/>
      <c r="HR124" s="274"/>
      <c r="HS124" s="275"/>
      <c r="HT124" s="750"/>
      <c r="HU124" s="274"/>
      <c r="HV124" s="274"/>
      <c r="HW124" s="274"/>
      <c r="HX124" s="274"/>
      <c r="HY124" s="274"/>
      <c r="HZ124" s="274"/>
      <c r="IA124" s="274"/>
      <c r="IB124" s="274"/>
      <c r="IC124" s="274"/>
      <c r="ID124" s="274"/>
      <c r="IE124" s="274"/>
      <c r="IF124" s="274"/>
      <c r="IG124" s="274"/>
      <c r="IH124" s="275"/>
      <c r="II124" s="750"/>
      <c r="IJ124" s="274"/>
      <c r="IK124" s="274"/>
      <c r="IL124" s="276"/>
      <c r="IM124" s="1016"/>
      <c r="IN124" s="1016"/>
      <c r="IO124" s="1047"/>
      <c r="IP124" s="1048"/>
      <c r="IQ124" s="541"/>
      <c r="IR124" s="542"/>
      <c r="IS124" s="543"/>
      <c r="IT124" s="543"/>
      <c r="IU124" s="543"/>
      <c r="IV124" s="543"/>
      <c r="IW124" s="543"/>
      <c r="IX124" s="544"/>
      <c r="IY124" s="544"/>
      <c r="IZ124" s="543"/>
      <c r="JA124" s="543"/>
      <c r="JB124" s="543"/>
      <c r="JC124" s="543"/>
      <c r="JD124" s="545"/>
      <c r="JE124" s="545"/>
      <c r="JF124" s="546"/>
      <c r="JG124" s="503"/>
      <c r="JH124" s="506"/>
      <c r="JO124" s="507"/>
      <c r="JP124" s="508"/>
      <c r="JQ124" s="508"/>
      <c r="JR124" s="508"/>
      <c r="JS124" s="508"/>
      <c r="JT124" s="508"/>
      <c r="JU124" s="508"/>
      <c r="JV124" s="508"/>
      <c r="JW124" s="508"/>
      <c r="JX124" s="508"/>
      <c r="JY124" s="508"/>
      <c r="JZ124" s="508"/>
      <c r="KA124" s="508"/>
      <c r="KB124" s="508"/>
      <c r="KC124" s="508"/>
      <c r="KD124" s="508"/>
      <c r="KE124" s="508"/>
      <c r="KF124" s="508"/>
      <c r="KG124" s="508"/>
      <c r="KH124" s="508"/>
      <c r="KI124" s="508"/>
      <c r="KJ124" s="508"/>
      <c r="KK124" s="508"/>
      <c r="KL124" s="508"/>
      <c r="KM124" s="508"/>
      <c r="KN124" s="508"/>
      <c r="KO124" s="508"/>
      <c r="KP124" s="508"/>
      <c r="KQ124" s="508"/>
      <c r="KR124" s="508"/>
      <c r="KS124" s="508"/>
      <c r="KT124" s="508"/>
      <c r="KU124" s="508"/>
      <c r="KV124" s="508"/>
      <c r="KW124" s="509"/>
      <c r="KX124" s="1016"/>
      <c r="KY124" s="1016"/>
    </row>
    <row r="125" spans="1:398" s="1044" customFormat="1" ht="40" customHeight="1">
      <c r="A125" s="1"/>
      <c r="B125" s="299"/>
      <c r="C125" s="1205" t="s">
        <v>515</v>
      </c>
      <c r="D125" s="378">
        <v>29</v>
      </c>
      <c r="E125" s="379">
        <v>1003</v>
      </c>
      <c r="F125" s="1206" t="s">
        <v>516</v>
      </c>
      <c r="G125" s="381">
        <v>184</v>
      </c>
      <c r="H125" s="381">
        <v>186</v>
      </c>
      <c r="I125" s="381">
        <v>123</v>
      </c>
      <c r="J125" s="381">
        <v>159</v>
      </c>
      <c r="K125" s="245" t="s">
        <v>517</v>
      </c>
      <c r="L125" s="381">
        <v>117</v>
      </c>
      <c r="M125" s="383">
        <v>0</v>
      </c>
      <c r="N125" s="384" t="s">
        <v>354</v>
      </c>
      <c r="O125" s="384" t="s">
        <v>168</v>
      </c>
      <c r="P125" s="383">
        <v>92</v>
      </c>
      <c r="Q125" s="1041" t="s">
        <v>170</v>
      </c>
      <c r="R125" s="384" t="s">
        <v>170</v>
      </c>
      <c r="S125" s="384" t="s">
        <v>169</v>
      </c>
      <c r="T125" s="384" t="s">
        <v>518</v>
      </c>
      <c r="U125" s="385" t="s">
        <v>169</v>
      </c>
      <c r="V125" s="378" t="s">
        <v>172</v>
      </c>
      <c r="W125" s="378"/>
      <c r="X125" s="462" t="s">
        <v>292</v>
      </c>
      <c r="Y125" s="462" t="s">
        <v>292</v>
      </c>
      <c r="Z125" s="378"/>
      <c r="AA125" s="386" t="s">
        <v>519</v>
      </c>
      <c r="AB125" s="408" t="s">
        <v>515</v>
      </c>
      <c r="AC125" s="985">
        <v>210</v>
      </c>
      <c r="AD125" s="958">
        <f>SUM(AC125,AC126)</f>
        <v>210</v>
      </c>
      <c r="AE125" s="465" t="s">
        <v>295</v>
      </c>
      <c r="AF125" s="564" t="s">
        <v>296</v>
      </c>
      <c r="AG125" s="467">
        <f>'[1]1003_ルートイン新城　別紙1-1'!M25</f>
        <v>2299550</v>
      </c>
      <c r="AH125" s="468">
        <f>FQ125</f>
        <v>0</v>
      </c>
      <c r="AI125" s="468">
        <f>FR125</f>
        <v>4100</v>
      </c>
      <c r="AJ125" s="469">
        <v>0.98599999999999999</v>
      </c>
      <c r="AK125" s="551">
        <f>$AK$4</f>
        <v>26106</v>
      </c>
      <c r="AL125" s="552">
        <v>0.83</v>
      </c>
      <c r="AM125" s="551">
        <f>$AM$4</f>
        <v>24690</v>
      </c>
      <c r="AN125" s="468" t="s">
        <v>308</v>
      </c>
      <c r="AO125" s="551">
        <f>$AO$4</f>
        <v>2373</v>
      </c>
      <c r="AP125" s="467">
        <f t="shared" ref="AP125:AQ125" si="12">FS125</f>
        <v>123</v>
      </c>
      <c r="AQ125" s="467">
        <f t="shared" si="12"/>
        <v>159</v>
      </c>
      <c r="AR125" s="474">
        <f>DM125/(BX125-2)</f>
        <v>183.75</v>
      </c>
      <c r="AS125" s="475">
        <f>AG125/AR125</f>
        <v>12514.557823129251</v>
      </c>
      <c r="AT125" s="476">
        <f>AG125/AP125</f>
        <v>18695.528455284551</v>
      </c>
      <c r="AU125" s="475">
        <f>AG125/AQ125</f>
        <v>14462.578616352201</v>
      </c>
      <c r="AV125" s="477">
        <v>26000</v>
      </c>
      <c r="AW125" s="477">
        <v>48000</v>
      </c>
      <c r="AX125" s="467">
        <f>'[1]1003_ルートイン新城　別紙1-2'!N21</f>
        <v>480000</v>
      </c>
      <c r="AY125" s="467">
        <f>GB125</f>
        <v>1</v>
      </c>
      <c r="AZ125" s="478">
        <f>'[1]1003_ルートイン新城　別紙1-1'!C27</f>
        <v>22995500</v>
      </c>
      <c r="BA125" s="478">
        <f>'[1]1003_ルートイン新城　別紙1-2'!O18</f>
        <v>5760000</v>
      </c>
      <c r="BB125" s="478">
        <f>AI125*DM125</f>
        <v>6027000</v>
      </c>
      <c r="BC125" s="478">
        <f>AH125*DM125</f>
        <v>0</v>
      </c>
      <c r="BD125" s="478">
        <f>AK125*DM125*0.6</f>
        <v>23025492</v>
      </c>
      <c r="BE125" s="478">
        <f>BD125-21000*DM125*0.6</f>
        <v>4503492</v>
      </c>
      <c r="BF125" s="478">
        <f>AM125*DM125*0.4</f>
        <v>14517720</v>
      </c>
      <c r="BG125" s="478">
        <f>BF125-0</f>
        <v>14517720</v>
      </c>
      <c r="BH125" s="478">
        <f>AO125*DM125*0.3</f>
        <v>1046493</v>
      </c>
      <c r="BI125" s="480">
        <f>GJ125</f>
        <v>0</v>
      </c>
      <c r="BJ125" s="480">
        <f>GK125</f>
        <v>0</v>
      </c>
      <c r="BK125" s="480">
        <f>BM125*5000*BX125</f>
        <v>150000</v>
      </c>
      <c r="BL125" s="480">
        <f>1800000*BN125*BX125</f>
        <v>0</v>
      </c>
      <c r="BM125" s="480">
        <f>GP125</f>
        <v>3</v>
      </c>
      <c r="BN125" s="480">
        <f>GQ125</f>
        <v>0</v>
      </c>
      <c r="BO125" s="481"/>
      <c r="BP125" s="481">
        <f>SUM(AZ125,BA125,BI125,BO125)</f>
        <v>28755500</v>
      </c>
      <c r="BQ125" s="481">
        <f>BP125-GR125</f>
        <v>-4600900</v>
      </c>
      <c r="BR125" s="594"/>
      <c r="BS125" s="595" t="s">
        <v>175</v>
      </c>
      <c r="BT125" s="484">
        <f>'[1]1003_ルートイン新城　別紙1-1'!B8</f>
        <v>46280</v>
      </c>
      <c r="BU125" s="484">
        <f>'[1]1003_ルートイン新城　別紙1-1'!G8</f>
        <v>46290</v>
      </c>
      <c r="BV125" s="666">
        <f>IFERROR(INDEX($BY$9:$DH$9, MATCH("準備", BY125:DK125, 0)), "")</f>
        <v>46280</v>
      </c>
      <c r="BW125" s="667" cm="1">
        <f t="array" ref="BW125">IF(COUNTIF(BY125:DK125,"*撤去*")=0,"",INDEX(BY$9:DK$9,1,MAX(IF(CC125:DK125="撤去",COLUMN(CC125:DK125)-COLUMN(BY125)+1))))</f>
        <v>46290</v>
      </c>
      <c r="BX125" s="663">
        <f>BW125-BV125</f>
        <v>10</v>
      </c>
      <c r="BY125" s="556">
        <v>0</v>
      </c>
      <c r="BZ125" s="557">
        <v>0</v>
      </c>
      <c r="CA125" s="557">
        <v>0</v>
      </c>
      <c r="CB125" s="557">
        <v>0</v>
      </c>
      <c r="CC125" s="405">
        <v>0</v>
      </c>
      <c r="CD125" s="403">
        <v>0</v>
      </c>
      <c r="CE125" s="403">
        <v>0</v>
      </c>
      <c r="CF125" s="403">
        <v>0</v>
      </c>
      <c r="CG125" s="403">
        <v>0</v>
      </c>
      <c r="CH125" s="403">
        <v>0</v>
      </c>
      <c r="CI125" s="403">
        <v>0</v>
      </c>
      <c r="CJ125" s="403">
        <v>0</v>
      </c>
      <c r="CK125" s="403">
        <v>0</v>
      </c>
      <c r="CL125" s="403">
        <v>0</v>
      </c>
      <c r="CM125" s="403">
        <v>0</v>
      </c>
      <c r="CN125" s="400" t="s">
        <v>177</v>
      </c>
      <c r="CO125" s="400" t="s">
        <v>177</v>
      </c>
      <c r="CP125" s="403">
        <v>210</v>
      </c>
      <c r="CQ125" s="403">
        <v>210</v>
      </c>
      <c r="CR125" s="404">
        <v>210</v>
      </c>
      <c r="CS125" s="405">
        <v>210</v>
      </c>
      <c r="CT125" s="403">
        <v>210</v>
      </c>
      <c r="CU125" s="403">
        <v>210</v>
      </c>
      <c r="CV125" s="403">
        <v>210</v>
      </c>
      <c r="CW125" s="403">
        <v>0</v>
      </c>
      <c r="CX125" s="406" t="s">
        <v>178</v>
      </c>
      <c r="CY125" s="403">
        <v>0</v>
      </c>
      <c r="CZ125" s="403">
        <v>0</v>
      </c>
      <c r="DA125" s="403">
        <v>0</v>
      </c>
      <c r="DB125" s="403">
        <v>0</v>
      </c>
      <c r="DC125" s="403">
        <v>0</v>
      </c>
      <c r="DD125" s="403">
        <v>0</v>
      </c>
      <c r="DE125" s="403">
        <v>0</v>
      </c>
      <c r="DF125" s="403">
        <v>0</v>
      </c>
      <c r="DG125" s="404">
        <v>0</v>
      </c>
      <c r="DH125" s="405">
        <v>0</v>
      </c>
      <c r="DI125" s="403">
        <v>0</v>
      </c>
      <c r="DJ125" s="403">
        <v>0</v>
      </c>
      <c r="DK125" s="407">
        <v>0</v>
      </c>
      <c r="DL125" s="1016"/>
      <c r="DM125" s="277" cm="1">
        <f t="array" ref="DM125">SUM(IF(ISNUMBER($BY125:$DK125),$BY125:$DK125, 0))</f>
        <v>1470</v>
      </c>
      <c r="DN125" s="277">
        <v>819</v>
      </c>
      <c r="DO125" s="277">
        <f>DM125*(BX125)/(BX125+1)</f>
        <v>1336.3636363636363</v>
      </c>
      <c r="DP125" s="277"/>
      <c r="DQ125" s="386" t="s">
        <v>519</v>
      </c>
      <c r="DR125" s="408" t="s">
        <v>515</v>
      </c>
      <c r="DS125" s="985">
        <v>117</v>
      </c>
      <c r="DT125" s="958">
        <f>SUM(DS125,DS126)</f>
        <v>117</v>
      </c>
      <c r="DU125" s="467">
        <v>2299700</v>
      </c>
      <c r="DV125" s="467">
        <v>480000</v>
      </c>
      <c r="DW125" s="478">
        <v>27596400</v>
      </c>
      <c r="DX125" s="478">
        <v>5760000</v>
      </c>
      <c r="DY125" s="478">
        <v>3837600</v>
      </c>
      <c r="DZ125" s="478">
        <v>14661129.6</v>
      </c>
      <c r="EA125" s="478">
        <v>9243936</v>
      </c>
      <c r="EB125" s="478">
        <v>666338.4</v>
      </c>
      <c r="EC125" s="480">
        <v>0</v>
      </c>
      <c r="ED125" s="480">
        <v>0</v>
      </c>
      <c r="EE125" s="480">
        <v>150000</v>
      </c>
      <c r="EF125" s="480">
        <v>0</v>
      </c>
      <c r="EG125" s="481"/>
      <c r="EH125" s="481">
        <v>33356400</v>
      </c>
      <c r="EI125" s="484">
        <v>46278</v>
      </c>
      <c r="EJ125" s="484">
        <v>46290</v>
      </c>
      <c r="EK125" s="666">
        <v>46280</v>
      </c>
      <c r="EL125" s="667">
        <v>46290</v>
      </c>
      <c r="EM125" s="663">
        <v>10</v>
      </c>
      <c r="EN125" s="277"/>
      <c r="EO125" s="386" t="s">
        <v>519</v>
      </c>
      <c r="EP125" s="408" t="s">
        <v>515</v>
      </c>
      <c r="EQ125" s="985">
        <v>117</v>
      </c>
      <c r="ER125" s="958">
        <v>117</v>
      </c>
      <c r="ES125" s="245">
        <v>117</v>
      </c>
      <c r="ET125" s="245">
        <v>117</v>
      </c>
      <c r="EU125" s="245">
        <v>101</v>
      </c>
      <c r="EV125" s="411" t="s">
        <v>520</v>
      </c>
      <c r="EW125" s="412">
        <v>2.7</v>
      </c>
      <c r="EX125" s="413">
        <v>5</v>
      </c>
      <c r="EY125" s="414" t="s">
        <v>188</v>
      </c>
      <c r="EZ125" s="492">
        <v>2.7</v>
      </c>
      <c r="FA125" s="493">
        <v>5</v>
      </c>
      <c r="FB125" s="414" t="s">
        <v>189</v>
      </c>
      <c r="FC125" s="492"/>
      <c r="FD125" s="493"/>
      <c r="FE125" s="494" t="s">
        <v>189</v>
      </c>
      <c r="FF125" s="492"/>
      <c r="FG125" s="493"/>
      <c r="FH125" s="494" t="s">
        <v>189</v>
      </c>
      <c r="FI125" s="492"/>
      <c r="FJ125" s="495"/>
      <c r="FK125" s="289">
        <v>69</v>
      </c>
      <c r="FL125" s="1017">
        <v>0.37096774193548387</v>
      </c>
      <c r="FM125" s="498" t="s">
        <v>521</v>
      </c>
      <c r="FN125" s="1031" t="s">
        <v>300</v>
      </c>
      <c r="FO125" s="564" t="s">
        <v>296</v>
      </c>
      <c r="FP125" s="965">
        <v>2299700</v>
      </c>
      <c r="FQ125" s="461">
        <v>0</v>
      </c>
      <c r="FR125" s="468">
        <v>4100</v>
      </c>
      <c r="FS125" s="965">
        <v>123</v>
      </c>
      <c r="FT125" s="965">
        <v>159</v>
      </c>
      <c r="FU125" s="393">
        <v>117</v>
      </c>
      <c r="FV125" s="394">
        <v>19655.555555555555</v>
      </c>
      <c r="FW125" s="390">
        <v>18696.747967479674</v>
      </c>
      <c r="FX125" s="394">
        <v>14463.522012578616</v>
      </c>
      <c r="FY125" s="395">
        <v>9412</v>
      </c>
      <c r="FZ125" s="395">
        <v>21648</v>
      </c>
      <c r="GA125" s="965">
        <v>480000</v>
      </c>
      <c r="GB125" s="965">
        <v>1</v>
      </c>
      <c r="GC125" s="986">
        <v>27596400</v>
      </c>
      <c r="GD125" s="986">
        <v>5760000</v>
      </c>
      <c r="GE125" s="986">
        <v>27596400</v>
      </c>
      <c r="GF125" s="986">
        <v>5760000</v>
      </c>
      <c r="GG125" s="478">
        <v>0</v>
      </c>
      <c r="GH125" s="478">
        <v>0</v>
      </c>
      <c r="GI125" s="478">
        <v>2878200</v>
      </c>
      <c r="GJ125" s="736"/>
      <c r="GK125" s="736"/>
      <c r="GL125" s="736"/>
      <c r="GM125" s="480">
        <v>0</v>
      </c>
      <c r="GN125" s="480">
        <v>210000</v>
      </c>
      <c r="GO125" s="480">
        <v>0</v>
      </c>
      <c r="GP125" s="736">
        <v>3</v>
      </c>
      <c r="GQ125" s="736">
        <v>0</v>
      </c>
      <c r="GR125" s="966">
        <v>33356400</v>
      </c>
      <c r="GS125" s="966">
        <v>-15315120</v>
      </c>
      <c r="GT125" s="595" t="s">
        <v>175</v>
      </c>
      <c r="GU125" s="968">
        <v>46278</v>
      </c>
      <c r="GV125" s="968">
        <v>46290</v>
      </c>
      <c r="GW125" s="666">
        <v>46278</v>
      </c>
      <c r="GX125" s="667">
        <v>46290</v>
      </c>
      <c r="GY125" s="663">
        <v>12</v>
      </c>
      <c r="GZ125" s="556"/>
      <c r="HA125" s="557"/>
      <c r="HB125" s="557"/>
      <c r="HC125" s="557"/>
      <c r="HD125" s="405">
        <v>0</v>
      </c>
      <c r="HE125" s="403">
        <v>0</v>
      </c>
      <c r="HF125" s="403">
        <v>0</v>
      </c>
      <c r="HG125" s="403">
        <v>0</v>
      </c>
      <c r="HH125" s="403">
        <v>0</v>
      </c>
      <c r="HI125" s="403">
        <v>0</v>
      </c>
      <c r="HJ125" s="403">
        <v>0</v>
      </c>
      <c r="HK125" s="403">
        <v>0</v>
      </c>
      <c r="HL125" s="403">
        <v>0</v>
      </c>
      <c r="HM125" s="400" t="s">
        <v>177</v>
      </c>
      <c r="HN125" s="400" t="s">
        <v>177</v>
      </c>
      <c r="HO125" s="403">
        <v>117</v>
      </c>
      <c r="HP125" s="403">
        <v>117</v>
      </c>
      <c r="HQ125" s="403">
        <v>117</v>
      </c>
      <c r="HR125" s="403">
        <v>117</v>
      </c>
      <c r="HS125" s="404">
        <v>117</v>
      </c>
      <c r="HT125" s="405">
        <v>117</v>
      </c>
      <c r="HU125" s="403">
        <v>117</v>
      </c>
      <c r="HV125" s="403">
        <v>117</v>
      </c>
      <c r="HW125" s="403">
        <v>117</v>
      </c>
      <c r="HX125" s="403">
        <v>117</v>
      </c>
      <c r="HY125" s="406" t="s">
        <v>178</v>
      </c>
      <c r="HZ125" s="403">
        <v>0</v>
      </c>
      <c r="IA125" s="403">
        <v>0</v>
      </c>
      <c r="IB125" s="403">
        <v>0</v>
      </c>
      <c r="IC125" s="403">
        <v>0</v>
      </c>
      <c r="ID125" s="403">
        <v>0</v>
      </c>
      <c r="IE125" s="403">
        <v>0</v>
      </c>
      <c r="IF125" s="403">
        <v>0</v>
      </c>
      <c r="IG125" s="403">
        <v>0</v>
      </c>
      <c r="IH125" s="404">
        <v>0</v>
      </c>
      <c r="II125" s="405">
        <v>0</v>
      </c>
      <c r="IJ125" s="403">
        <v>0</v>
      </c>
      <c r="IK125" s="403">
        <v>0</v>
      </c>
      <c r="IL125" s="407">
        <v>0</v>
      </c>
      <c r="IM125" s="1016"/>
      <c r="IN125" s="277" cm="1">
        <f t="array" ref="IN125">SUM(IF(ISNUMBER($HD125:$IL125),$HD125:$IL125, 0))</f>
        <v>1170</v>
      </c>
      <c r="IO125" s="1021"/>
      <c r="IP125" s="1022"/>
      <c r="IQ125" s="541"/>
      <c r="IR125" s="569">
        <f>VLOOKUP($E125,[1]アジアResults1031!$A$1:$CH$259,23,FALSE)</f>
        <v>1503440</v>
      </c>
      <c r="IS125" s="570">
        <f>VLOOKUP($E125,[1]アジアResults1031!$A$1:$CH$259,32,FALSE)</f>
        <v>88</v>
      </c>
      <c r="IT125" s="570">
        <f>KY125/(GY125-2)</f>
        <v>101</v>
      </c>
      <c r="IU125" s="570">
        <f>IR125/IT125</f>
        <v>14885.544554455446</v>
      </c>
      <c r="IV125" s="570">
        <f>VLOOKUP(E125,[1]アジアResults1031!$A$1:$CH$264,26,FALSE)</f>
        <v>9412</v>
      </c>
      <c r="IW125" s="570">
        <f>VLOOKUP(E125,[1]アジアResults1031!$A$1:$CH$264,27,FALSE)</f>
        <v>21648</v>
      </c>
      <c r="IX125" s="571">
        <f>VLOOKUP($E125,[1]アジアResults1031!$A$1:$CH$259,18,FALSE)</f>
        <v>0</v>
      </c>
      <c r="IY125" s="571">
        <f>VLOOKUP($E125,[1]アジアResults1031!$A$1:$CH$259,9,FALSE)</f>
        <v>0</v>
      </c>
      <c r="IZ125" s="570">
        <f>IR125*JF125</f>
        <v>18041280</v>
      </c>
      <c r="JA125" s="570">
        <f>IX125*JF125</f>
        <v>0</v>
      </c>
      <c r="JB125" s="570"/>
      <c r="JC125" s="570"/>
      <c r="JD125" s="572">
        <f>IFERROR(INDEX($JO$9:$KW$9, MATCH("準備", JO125:KW125, 0)), "")</f>
        <v>46278</v>
      </c>
      <c r="JE125" s="572" cm="1">
        <f t="array" ref="JE125">IF(COUNTIF(JO125:KW125,"*撤去*")=0,"",INDEX(JO$9:KW$9,1,MAX(IF(JO125:KW125="撤去",COLUMN(JO125:KW125)-COLUMN(JO125)+1))))</f>
        <v>46290</v>
      </c>
      <c r="JF125" s="573">
        <f>JE125-JD125</f>
        <v>12</v>
      </c>
      <c r="JG125" s="574">
        <v>1503440</v>
      </c>
      <c r="JH125" s="575">
        <v>0</v>
      </c>
      <c r="JI125" s="1"/>
      <c r="JJ125" s="1"/>
      <c r="JK125" s="1"/>
      <c r="JL125" s="1"/>
      <c r="JM125" s="1"/>
      <c r="JN125" s="1"/>
      <c r="JO125" s="507"/>
      <c r="JP125" s="508"/>
      <c r="JQ125" s="508"/>
      <c r="JR125" s="508"/>
      <c r="JS125" s="577"/>
      <c r="JT125" s="577"/>
      <c r="JU125" s="577"/>
      <c r="JV125" s="577"/>
      <c r="JW125" s="577"/>
      <c r="JX125" s="400" t="s">
        <v>177</v>
      </c>
      <c r="JY125" s="400" t="s">
        <v>177</v>
      </c>
      <c r="JZ125" s="577">
        <v>101</v>
      </c>
      <c r="KA125" s="577">
        <v>101</v>
      </c>
      <c r="KB125" s="577">
        <v>101</v>
      </c>
      <c r="KC125" s="577">
        <v>101</v>
      </c>
      <c r="KD125" s="577">
        <v>101</v>
      </c>
      <c r="KE125" s="577">
        <v>101</v>
      </c>
      <c r="KF125" s="577">
        <v>101</v>
      </c>
      <c r="KG125" s="577">
        <v>101</v>
      </c>
      <c r="KH125" s="577">
        <v>101</v>
      </c>
      <c r="KI125" s="577">
        <v>101</v>
      </c>
      <c r="KJ125" s="406" t="s">
        <v>178</v>
      </c>
      <c r="KK125" s="577"/>
      <c r="KL125" s="577"/>
      <c r="KM125" s="577"/>
      <c r="KN125" s="577"/>
      <c r="KO125" s="577"/>
      <c r="KP125" s="577"/>
      <c r="KQ125" s="577"/>
      <c r="KR125" s="577"/>
      <c r="KS125" s="577"/>
      <c r="KT125" s="577"/>
      <c r="KU125" s="577"/>
      <c r="KV125" s="577"/>
      <c r="KW125" s="578"/>
      <c r="KX125" s="1016"/>
      <c r="KY125" s="277" cm="1">
        <f t="array" ref="KY125">SUM(IF(ISNUMBER($JO125:$KW125),$JO125:$KW125, 0))</f>
        <v>1010</v>
      </c>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c r="NN125" s="1"/>
      <c r="NO125" s="1"/>
      <c r="NP125" s="1"/>
      <c r="NQ125" s="1"/>
      <c r="NR125" s="1"/>
      <c r="NS125" s="1"/>
      <c r="NT125" s="1"/>
      <c r="NU125" s="1"/>
      <c r="NV125" s="1"/>
      <c r="NW125" s="1"/>
      <c r="NX125" s="1"/>
      <c r="NY125" s="1"/>
      <c r="NZ125" s="1"/>
      <c r="OA125" s="1"/>
      <c r="OB125" s="1"/>
      <c r="OC125" s="1"/>
      <c r="OD125" s="1"/>
      <c r="OE125" s="1"/>
      <c r="OF125" s="1"/>
      <c r="OG125" s="1"/>
      <c r="OH125" s="1"/>
    </row>
    <row r="126" spans="1:398" s="547" customFormat="1" ht="40" customHeight="1" thickBot="1">
      <c r="A126" s="1"/>
      <c r="B126" s="299"/>
      <c r="C126" s="241"/>
      <c r="D126" s="242"/>
      <c r="E126" s="243" t="s">
        <v>165</v>
      </c>
      <c r="F126" s="1207"/>
      <c r="G126" s="246">
        <v>0</v>
      </c>
      <c r="H126" s="246">
        <v>0</v>
      </c>
      <c r="I126" s="246">
        <v>0</v>
      </c>
      <c r="J126" s="873">
        <v>0</v>
      </c>
      <c r="K126" s="873"/>
      <c r="L126" s="246">
        <v>0</v>
      </c>
      <c r="M126" s="300">
        <v>0</v>
      </c>
      <c r="N126" s="251">
        <v>0</v>
      </c>
      <c r="O126" s="251">
        <v>0</v>
      </c>
      <c r="P126" s="300">
        <v>0</v>
      </c>
      <c r="Q126" s="1051">
        <v>0</v>
      </c>
      <c r="R126" s="251">
        <v>0</v>
      </c>
      <c r="S126" s="251">
        <v>0</v>
      </c>
      <c r="T126" s="251">
        <v>0</v>
      </c>
      <c r="U126" s="301"/>
      <c r="V126" s="242"/>
      <c r="W126" s="242"/>
      <c r="X126" s="242"/>
      <c r="Y126" s="242"/>
      <c r="Z126" s="242"/>
      <c r="AA126" s="763"/>
      <c r="AB126" s="1032" t="s">
        <v>170</v>
      </c>
      <c r="AC126" s="1033">
        <v>0</v>
      </c>
      <c r="AD126" s="952"/>
      <c r="AE126" s="655"/>
      <c r="AF126" s="656"/>
      <c r="AG126" s="656"/>
      <c r="AH126" s="656"/>
      <c r="AI126" s="656"/>
      <c r="AJ126" s="656"/>
      <c r="AK126" s="656"/>
      <c r="AL126" s="656"/>
      <c r="AM126" s="656"/>
      <c r="AN126" s="656"/>
      <c r="AO126" s="656"/>
      <c r="AP126" s="656"/>
      <c r="AQ126" s="656"/>
      <c r="AR126" s="656"/>
      <c r="AS126" s="767"/>
      <c r="AT126" s="656"/>
      <c r="AU126" s="767"/>
      <c r="AV126" s="656"/>
      <c r="AW126" s="656"/>
      <c r="AX126" s="656"/>
      <c r="AY126" s="656"/>
      <c r="AZ126" s="768"/>
      <c r="BA126" s="768"/>
      <c r="BB126" s="768"/>
      <c r="BC126" s="768"/>
      <c r="BD126" s="768"/>
      <c r="BE126" s="768"/>
      <c r="BF126" s="768"/>
      <c r="BG126" s="768"/>
      <c r="BH126" s="768"/>
      <c r="BI126" s="768"/>
      <c r="BJ126" s="768"/>
      <c r="BK126" s="768"/>
      <c r="BL126" s="768"/>
      <c r="BM126" s="768"/>
      <c r="BN126" s="768"/>
      <c r="BO126" s="656"/>
      <c r="BP126" s="656"/>
      <c r="BQ126" s="656"/>
      <c r="BR126" s="940"/>
      <c r="BS126" s="941"/>
      <c r="BT126" s="942"/>
      <c r="BU126" s="942"/>
      <c r="BV126" s="773" t="str">
        <f>IFERROR(INDEX($HD$9:$II$9, MATCH("準備", CC126:DK126, 0)), "")</f>
        <v/>
      </c>
      <c r="BW126" s="773" t="str" cm="1">
        <f t="array" ref="BW126">IF(COUNTIF(CC126:DK126,"*撤去*")=0,"",INDEX(CC$9:DK$9,1,MAX(IF(CC126:DK126="撤去",COLUMN(CC126:DK126)-COLUMN(CC126)+1))))</f>
        <v/>
      </c>
      <c r="BX126" s="774"/>
      <c r="BY126" s="360" t="s">
        <v>246</v>
      </c>
      <c r="BZ126" s="361" t="s">
        <v>247</v>
      </c>
      <c r="CA126" s="777"/>
      <c r="CB126" s="777"/>
      <c r="CC126" s="874"/>
      <c r="CD126" s="875"/>
      <c r="CE126" s="875"/>
      <c r="CF126" s="875"/>
      <c r="CG126" s="875"/>
      <c r="CH126" s="875"/>
      <c r="CI126" s="875"/>
      <c r="CJ126" s="875"/>
      <c r="CK126" s="875"/>
      <c r="CL126" s="363"/>
      <c r="CM126" s="363"/>
      <c r="CN126" s="363"/>
      <c r="CO126" s="363"/>
      <c r="CP126" s="363"/>
      <c r="CQ126" s="364"/>
      <c r="CR126" s="365"/>
      <c r="CS126" s="366"/>
      <c r="CT126" s="363"/>
      <c r="CU126" s="363"/>
      <c r="CV126" s="363"/>
      <c r="CW126" s="363"/>
      <c r="CX126" s="363"/>
      <c r="CY126" s="875"/>
      <c r="CZ126" s="875"/>
      <c r="DA126" s="875"/>
      <c r="DB126" s="875"/>
      <c r="DC126" s="875"/>
      <c r="DD126" s="272"/>
      <c r="DE126" s="875"/>
      <c r="DF126" s="779"/>
      <c r="DG126" s="884"/>
      <c r="DH126" s="874"/>
      <c r="DI126" s="875"/>
      <c r="DJ126" s="875"/>
      <c r="DK126" s="886"/>
      <c r="DL126" s="1016"/>
      <c r="DM126" s="1016"/>
      <c r="DN126" s="1016"/>
      <c r="DO126" s="1016"/>
      <c r="DP126" s="1016"/>
      <c r="DQ126" s="763"/>
      <c r="DR126" s="1032" t="s">
        <v>170</v>
      </c>
      <c r="DS126" s="1033">
        <v>0</v>
      </c>
      <c r="DT126" s="952"/>
      <c r="DU126" s="656"/>
      <c r="DV126" s="656"/>
      <c r="DW126" s="768"/>
      <c r="DX126" s="768"/>
      <c r="DY126" s="768"/>
      <c r="DZ126" s="768"/>
      <c r="EA126" s="768"/>
      <c r="EB126" s="768"/>
      <c r="EC126" s="768"/>
      <c r="ED126" s="768"/>
      <c r="EE126" s="768"/>
      <c r="EF126" s="768"/>
      <c r="EG126" s="656"/>
      <c r="EH126" s="656"/>
      <c r="EI126" s="942"/>
      <c r="EJ126" s="942"/>
      <c r="EK126" s="773" t="s">
        <v>165</v>
      </c>
      <c r="EL126" s="773" t="s">
        <v>165</v>
      </c>
      <c r="EM126" s="774"/>
      <c r="EN126" s="1016"/>
      <c r="EO126" s="763"/>
      <c r="EP126" s="1032" t="s">
        <v>170</v>
      </c>
      <c r="EQ126" s="1033">
        <v>0</v>
      </c>
      <c r="ER126" s="952"/>
      <c r="ES126" s="952" t="e">
        <v>#N/A</v>
      </c>
      <c r="ET126" s="952"/>
      <c r="EU126" s="952"/>
      <c r="EV126" s="1027" t="s">
        <v>170</v>
      </c>
      <c r="EW126" s="453"/>
      <c r="EX126" s="454"/>
      <c r="EY126" s="879" t="s">
        <v>170</v>
      </c>
      <c r="EZ126" s="456"/>
      <c r="FA126" s="457"/>
      <c r="FB126" s="879" t="s">
        <v>170</v>
      </c>
      <c r="FC126" s="880"/>
      <c r="FD126" s="881"/>
      <c r="FE126" s="882" t="s">
        <v>170</v>
      </c>
      <c r="FF126" s="880"/>
      <c r="FG126" s="881"/>
      <c r="FH126" s="882" t="s">
        <v>170</v>
      </c>
      <c r="FI126" s="880"/>
      <c r="FJ126" s="883"/>
      <c r="FK126" s="375"/>
      <c r="FL126" s="1017"/>
      <c r="FM126" s="332"/>
      <c r="FN126" s="655"/>
      <c r="FO126" s="656"/>
      <c r="FP126" s="656"/>
      <c r="FQ126" s="656"/>
      <c r="FR126" s="656"/>
      <c r="FS126" s="656"/>
      <c r="FT126" s="656"/>
      <c r="FU126" s="656"/>
      <c r="FV126" s="767"/>
      <c r="FW126" s="656"/>
      <c r="FX126" s="767"/>
      <c r="FY126" s="656"/>
      <c r="FZ126" s="656"/>
      <c r="GA126" s="656"/>
      <c r="GB126" s="656"/>
      <c r="GC126" s="768"/>
      <c r="GD126" s="768"/>
      <c r="GE126" s="768"/>
      <c r="GF126" s="768"/>
      <c r="GG126" s="768"/>
      <c r="GH126" s="768"/>
      <c r="GI126" s="768"/>
      <c r="GJ126" s="768"/>
      <c r="GK126" s="768"/>
      <c r="GL126" s="768"/>
      <c r="GM126" s="768"/>
      <c r="GN126" s="768"/>
      <c r="GO126" s="768"/>
      <c r="GP126" s="768"/>
      <c r="GQ126" s="768"/>
      <c r="GR126" s="656"/>
      <c r="GS126" s="656"/>
      <c r="GT126" s="941"/>
      <c r="GU126" s="942"/>
      <c r="GV126" s="942"/>
      <c r="GW126" s="773" t="s">
        <v>165</v>
      </c>
      <c r="GX126" s="773" t="s">
        <v>165</v>
      </c>
      <c r="GY126" s="774"/>
      <c r="GZ126" s="943"/>
      <c r="HA126" s="777"/>
      <c r="HB126" s="777"/>
      <c r="HC126" s="777"/>
      <c r="HD126" s="874"/>
      <c r="HE126" s="875"/>
      <c r="HF126" s="875"/>
      <c r="HG126" s="875"/>
      <c r="HH126" s="875"/>
      <c r="HI126" s="875"/>
      <c r="HJ126" s="875"/>
      <c r="HK126" s="875"/>
      <c r="HL126" s="875"/>
      <c r="HM126" s="875"/>
      <c r="HN126" s="875"/>
      <c r="HO126" s="875"/>
      <c r="HP126" s="875"/>
      <c r="HQ126" s="875"/>
      <c r="HR126" s="779"/>
      <c r="HS126" s="884"/>
      <c r="HT126" s="874"/>
      <c r="HU126" s="875"/>
      <c r="HV126" s="875"/>
      <c r="HW126" s="875"/>
      <c r="HX126" s="875"/>
      <c r="HY126" s="875"/>
      <c r="HZ126" s="875"/>
      <c r="IA126" s="875"/>
      <c r="IB126" s="875"/>
      <c r="IC126" s="875"/>
      <c r="ID126" s="875"/>
      <c r="IE126" s="272"/>
      <c r="IF126" s="875"/>
      <c r="IG126" s="779"/>
      <c r="IH126" s="884"/>
      <c r="II126" s="874"/>
      <c r="IJ126" s="875"/>
      <c r="IK126" s="875"/>
      <c r="IL126" s="886"/>
      <c r="IM126" s="1016"/>
      <c r="IN126" s="1016"/>
      <c r="IO126" s="1047"/>
      <c r="IP126" s="1048"/>
      <c r="IQ126" s="541"/>
      <c r="IR126" s="581"/>
      <c r="IS126" s="582"/>
      <c r="IT126" s="582"/>
      <c r="IU126" s="582"/>
      <c r="IV126" s="582"/>
      <c r="IW126" s="582"/>
      <c r="IX126" s="583"/>
      <c r="IY126" s="583"/>
      <c r="IZ126" s="582"/>
      <c r="JA126" s="582"/>
      <c r="JB126" s="582"/>
      <c r="JC126" s="582"/>
      <c r="JD126" s="584"/>
      <c r="JE126" s="584"/>
      <c r="JF126" s="585"/>
      <c r="JG126" s="586"/>
      <c r="JH126" s="587"/>
      <c r="JI126" s="1"/>
      <c r="JJ126" s="1"/>
      <c r="JK126" s="1"/>
      <c r="JL126" s="1"/>
      <c r="JM126" s="1"/>
      <c r="JN126" s="1"/>
      <c r="JO126" s="507"/>
      <c r="JP126" s="508"/>
      <c r="JQ126" s="508"/>
      <c r="JR126" s="508"/>
      <c r="JS126" s="729"/>
      <c r="JT126" s="729"/>
      <c r="JU126" s="729"/>
      <c r="JV126" s="729"/>
      <c r="JW126" s="729"/>
      <c r="JX126" s="729"/>
      <c r="JY126" s="729"/>
      <c r="JZ126" s="729"/>
      <c r="KA126" s="729"/>
      <c r="KB126" s="729"/>
      <c r="KC126" s="729"/>
      <c r="KD126" s="729"/>
      <c r="KE126" s="729"/>
      <c r="KF126" s="729"/>
      <c r="KG126" s="729"/>
      <c r="KH126" s="729"/>
      <c r="KI126" s="729"/>
      <c r="KJ126" s="729"/>
      <c r="KK126" s="729"/>
      <c r="KL126" s="729"/>
      <c r="KM126" s="729"/>
      <c r="KN126" s="729"/>
      <c r="KO126" s="729"/>
      <c r="KP126" s="729"/>
      <c r="KQ126" s="729"/>
      <c r="KR126" s="729"/>
      <c r="KS126" s="729"/>
      <c r="KT126" s="729"/>
      <c r="KU126" s="729"/>
      <c r="KV126" s="729"/>
      <c r="KW126" s="730"/>
      <c r="KX126" s="1016"/>
      <c r="KY126" s="1016"/>
      <c r="KZ126" s="1"/>
      <c r="LA126" s="1"/>
      <c r="LB126" s="1"/>
      <c r="LC126" s="1"/>
      <c r="LD126" s="1"/>
      <c r="LE126" s="1"/>
      <c r="LF126" s="1"/>
      <c r="LG126" s="1"/>
      <c r="LH126" s="1"/>
      <c r="LI126" s="1"/>
      <c r="LJ126" s="1"/>
      <c r="LK126" s="1"/>
      <c r="LL126" s="1"/>
      <c r="LM126" s="1"/>
      <c r="LN126" s="1"/>
      <c r="LO126" s="1"/>
      <c r="LP126" s="1"/>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c r="NT126" s="1"/>
      <c r="NU126" s="1"/>
      <c r="NV126" s="1"/>
      <c r="NW126" s="1"/>
      <c r="NX126" s="1"/>
      <c r="NY126" s="1"/>
      <c r="NZ126" s="1"/>
      <c r="OA126" s="1"/>
      <c r="OB126" s="1"/>
      <c r="OC126" s="1"/>
      <c r="OD126" s="1"/>
      <c r="OE126" s="1"/>
      <c r="OF126" s="1"/>
      <c r="OG126" s="1"/>
      <c r="OH126" s="1"/>
    </row>
    <row r="127" spans="1:398" ht="40" customHeight="1">
      <c r="B127" s="299"/>
      <c r="C127" s="1205" t="s">
        <v>522</v>
      </c>
      <c r="D127" s="378">
        <v>30</v>
      </c>
      <c r="E127" s="379">
        <v>1029</v>
      </c>
      <c r="F127" s="1141" t="s">
        <v>523</v>
      </c>
      <c r="G127" s="381">
        <v>67</v>
      </c>
      <c r="H127" s="381">
        <v>110</v>
      </c>
      <c r="I127" s="381">
        <v>66</v>
      </c>
      <c r="J127" s="381">
        <v>136</v>
      </c>
      <c r="K127" s="245" t="s">
        <v>524</v>
      </c>
      <c r="L127" s="381">
        <v>72</v>
      </c>
      <c r="M127" s="383">
        <v>9</v>
      </c>
      <c r="N127" s="384" t="s">
        <v>318</v>
      </c>
      <c r="O127" s="384" t="s">
        <v>168</v>
      </c>
      <c r="P127" s="383" t="s">
        <v>167</v>
      </c>
      <c r="Q127" s="1041" t="s">
        <v>170</v>
      </c>
      <c r="R127" s="384" t="s">
        <v>169</v>
      </c>
      <c r="S127" s="384" t="s">
        <v>167</v>
      </c>
      <c r="T127" s="384" t="s">
        <v>306</v>
      </c>
      <c r="U127" s="385" t="s">
        <v>169</v>
      </c>
      <c r="V127" s="378" t="s">
        <v>172</v>
      </c>
      <c r="W127" s="378"/>
      <c r="X127" s="462" t="s">
        <v>292</v>
      </c>
      <c r="Y127" s="462" t="s">
        <v>292</v>
      </c>
      <c r="Z127" s="378"/>
      <c r="AA127" s="386" t="s">
        <v>525</v>
      </c>
      <c r="AB127" s="1208" t="s">
        <v>522</v>
      </c>
      <c r="AC127" s="388">
        <v>72</v>
      </c>
      <c r="AD127" s="955">
        <f>SUM(AC127,AC128)</f>
        <v>72</v>
      </c>
      <c r="AE127" s="465" t="s">
        <v>295</v>
      </c>
      <c r="AF127" s="550" t="s">
        <v>296</v>
      </c>
      <c r="AG127" s="467">
        <f>FP127</f>
        <v>3352518.4000000004</v>
      </c>
      <c r="AH127" s="468">
        <f>FQ127</f>
        <v>4100</v>
      </c>
      <c r="AI127" s="468">
        <f>FR127</f>
        <v>0</v>
      </c>
      <c r="AJ127" s="469">
        <v>0.98599999999999999</v>
      </c>
      <c r="AK127" s="468">
        <f>45800*1.1</f>
        <v>50380.000000000007</v>
      </c>
      <c r="AL127" s="552">
        <v>0.83</v>
      </c>
      <c r="AM127" s="468">
        <f>45800*1.1</f>
        <v>50380.000000000007</v>
      </c>
      <c r="AN127" s="468" t="s">
        <v>308</v>
      </c>
      <c r="AO127" s="551">
        <f>$AO$4</f>
        <v>2373</v>
      </c>
      <c r="AP127" s="467">
        <f t="shared" ref="AP127:AQ127" si="13">FS127</f>
        <v>66</v>
      </c>
      <c r="AQ127" s="467">
        <f t="shared" si="13"/>
        <v>136</v>
      </c>
      <c r="AR127" s="474">
        <f>DM127/(BX127-2)</f>
        <v>64</v>
      </c>
      <c r="AS127" s="475">
        <f>AG127/AR127</f>
        <v>52383.100000000006</v>
      </c>
      <c r="AT127" s="476">
        <f>AG127/AP127</f>
        <v>50795.733333333337</v>
      </c>
      <c r="AU127" s="475">
        <f>AG127/AQ127</f>
        <v>24650.870588235295</v>
      </c>
      <c r="AV127" s="477">
        <v>26000</v>
      </c>
      <c r="AW127" s="477">
        <v>48000</v>
      </c>
      <c r="AX127" s="467">
        <f>GA127</f>
        <v>3655850.0000000005</v>
      </c>
      <c r="AY127" s="467">
        <f>GB127</f>
        <v>6</v>
      </c>
      <c r="AZ127" s="478">
        <f>GC127</f>
        <v>32864532</v>
      </c>
      <c r="BA127" s="478">
        <f>GD127</f>
        <v>43870200</v>
      </c>
      <c r="BB127" s="478">
        <f>AI127*DM127</f>
        <v>0</v>
      </c>
      <c r="BC127" s="478">
        <f>AH127*DM127</f>
        <v>2361600</v>
      </c>
      <c r="BD127" s="478">
        <f>AK127*DM127*0.6</f>
        <v>17411328</v>
      </c>
      <c r="BE127" s="478">
        <f>BD127-21000*DM127*0.6</f>
        <v>10153728</v>
      </c>
      <c r="BF127" s="478">
        <f>AM127*DM127*0.4</f>
        <v>11607552.000000002</v>
      </c>
      <c r="BG127" s="478">
        <f>BF127-0</f>
        <v>11607552.000000002</v>
      </c>
      <c r="BH127" s="478">
        <f>AO127*DM127*0.3</f>
        <v>410054.39999999997</v>
      </c>
      <c r="BI127" s="480">
        <f>150*DM127</f>
        <v>86400</v>
      </c>
      <c r="BJ127" s="480">
        <f>GK127</f>
        <v>0</v>
      </c>
      <c r="BK127" s="480">
        <f>BM127*5000*BX127</f>
        <v>110000</v>
      </c>
      <c r="BL127" s="480">
        <f>1800000*BN127*BX127</f>
        <v>59400000</v>
      </c>
      <c r="BM127" s="480">
        <f>GP127</f>
        <v>2</v>
      </c>
      <c r="BN127" s="480">
        <f>GQ127</f>
        <v>3</v>
      </c>
      <c r="BO127" s="481"/>
      <c r="BP127" s="481">
        <f>SUM(AZ127,BA127,BI127,BO127)</f>
        <v>76821132</v>
      </c>
      <c r="BQ127" s="481">
        <f>BP127-GR127</f>
        <v>-10800</v>
      </c>
      <c r="BR127" s="554"/>
      <c r="BS127" s="1012" t="s">
        <v>301</v>
      </c>
      <c r="BT127" s="484">
        <f>GU127</f>
        <v>46285</v>
      </c>
      <c r="BU127" s="484">
        <f>GV127</f>
        <v>46296</v>
      </c>
      <c r="BV127" s="1035">
        <f>IFERROR(INDEX($BY$9:$DH$9, MATCH("準備", BY127:DK127, 0)), "")</f>
        <v>46285</v>
      </c>
      <c r="BW127" s="1036" cm="1">
        <f t="array" ref="BW127">IF(COUNTIF(BY127:DK127,"*撤去*")=0,"",INDEX(BY$9:DK$9,1,MAX(IF(CC127:DK127="撤去",COLUMN(CC127:DK127)-COLUMN(BY127)+1))))</f>
        <v>46296</v>
      </c>
      <c r="BX127" s="1037">
        <f>BW127-BV127</f>
        <v>11</v>
      </c>
      <c r="BY127" s="596">
        <v>0</v>
      </c>
      <c r="BZ127" s="597">
        <v>0</v>
      </c>
      <c r="CA127" s="597">
        <v>0</v>
      </c>
      <c r="CB127" s="597">
        <v>0</v>
      </c>
      <c r="CC127" s="405">
        <v>0</v>
      </c>
      <c r="CD127" s="403">
        <v>0</v>
      </c>
      <c r="CE127" s="403">
        <v>0</v>
      </c>
      <c r="CF127" s="403">
        <v>0</v>
      </c>
      <c r="CG127" s="403">
        <v>0</v>
      </c>
      <c r="CH127" s="403">
        <v>0</v>
      </c>
      <c r="CI127" s="403">
        <v>0</v>
      </c>
      <c r="CJ127" s="403">
        <v>0</v>
      </c>
      <c r="CK127" s="403">
        <v>0</v>
      </c>
      <c r="CL127" s="403">
        <v>0</v>
      </c>
      <c r="CM127" s="403">
        <v>0</v>
      </c>
      <c r="CN127" s="403">
        <v>0</v>
      </c>
      <c r="CO127" s="403">
        <v>0</v>
      </c>
      <c r="CP127" s="403">
        <v>0</v>
      </c>
      <c r="CQ127" s="403">
        <v>0</v>
      </c>
      <c r="CR127" s="404">
        <v>0</v>
      </c>
      <c r="CS127" s="898" t="s">
        <v>177</v>
      </c>
      <c r="CT127" s="400" t="s">
        <v>177</v>
      </c>
      <c r="CU127" s="403">
        <v>72</v>
      </c>
      <c r="CV127" s="403">
        <v>72</v>
      </c>
      <c r="CW127" s="403">
        <v>72</v>
      </c>
      <c r="CX127" s="403">
        <v>72</v>
      </c>
      <c r="CY127" s="403">
        <v>72</v>
      </c>
      <c r="CZ127" s="403">
        <v>72</v>
      </c>
      <c r="DA127" s="403">
        <v>72</v>
      </c>
      <c r="DB127" s="403">
        <v>72</v>
      </c>
      <c r="DC127" s="403">
        <v>0</v>
      </c>
      <c r="DD127" s="406" t="s">
        <v>178</v>
      </c>
      <c r="DE127" s="403">
        <v>0</v>
      </c>
      <c r="DF127" s="403">
        <v>0</v>
      </c>
      <c r="DG127" s="404">
        <v>0</v>
      </c>
      <c r="DH127" s="405">
        <v>0</v>
      </c>
      <c r="DI127" s="403">
        <v>0</v>
      </c>
      <c r="DJ127" s="403">
        <v>0</v>
      </c>
      <c r="DK127" s="407">
        <v>0</v>
      </c>
      <c r="DL127" s="1016"/>
      <c r="DM127" s="277" cm="1">
        <f t="array" ref="DM127">SUM(IF(ISNUMBER($BY127:$DK127),$BY127:$DK127, 0))</f>
        <v>576</v>
      </c>
      <c r="DN127" s="277">
        <v>576</v>
      </c>
      <c r="DO127" s="277">
        <f>DM127*(BX127)/(BX127+1)</f>
        <v>528</v>
      </c>
      <c r="DP127" s="277"/>
      <c r="DQ127" s="386" t="s">
        <v>526</v>
      </c>
      <c r="DR127" s="1208" t="s">
        <v>522</v>
      </c>
      <c r="DS127" s="388">
        <v>72</v>
      </c>
      <c r="DT127" s="955">
        <f>SUM(DS127,DS128)</f>
        <v>72</v>
      </c>
      <c r="DU127" s="467">
        <v>3352518.4000000004</v>
      </c>
      <c r="DV127" s="467">
        <v>3655850.0000000005</v>
      </c>
      <c r="DW127" s="478">
        <v>32864532</v>
      </c>
      <c r="DX127" s="478">
        <v>43870200</v>
      </c>
      <c r="DY127" s="478">
        <v>0</v>
      </c>
      <c r="DZ127" s="478">
        <v>19587744</v>
      </c>
      <c r="EA127" s="478">
        <v>13058496.000000002</v>
      </c>
      <c r="EB127" s="478">
        <v>461311.2</v>
      </c>
      <c r="EC127" s="480">
        <v>97200</v>
      </c>
      <c r="ED127" s="480">
        <v>0</v>
      </c>
      <c r="EE127" s="480">
        <v>110000</v>
      </c>
      <c r="EF127" s="480">
        <v>59400000</v>
      </c>
      <c r="EG127" s="481"/>
      <c r="EH127" s="481">
        <v>76831932</v>
      </c>
      <c r="EI127" s="484">
        <v>46285</v>
      </c>
      <c r="EJ127" s="484">
        <v>46296</v>
      </c>
      <c r="EK127" s="1035">
        <v>46285</v>
      </c>
      <c r="EL127" s="1036">
        <v>46296</v>
      </c>
      <c r="EM127" s="1037">
        <v>11</v>
      </c>
      <c r="EN127" s="277"/>
      <c r="EO127" s="386" t="s">
        <v>526</v>
      </c>
      <c r="EP127" s="408" t="s">
        <v>522</v>
      </c>
      <c r="EQ127" s="985">
        <v>72</v>
      </c>
      <c r="ER127" s="958">
        <v>72</v>
      </c>
      <c r="ES127" s="245" t="s">
        <v>165</v>
      </c>
      <c r="ET127" s="245" t="s">
        <v>165</v>
      </c>
      <c r="EU127" s="245" t="s">
        <v>165</v>
      </c>
      <c r="EV127" s="411" t="s">
        <v>527</v>
      </c>
      <c r="EW127" s="412">
        <v>19.899999999999999</v>
      </c>
      <c r="EX127" s="413">
        <v>26</v>
      </c>
      <c r="EY127" s="414" t="s">
        <v>188</v>
      </c>
      <c r="EZ127" s="492">
        <v>19.899999999999999</v>
      </c>
      <c r="FA127" s="493">
        <v>26</v>
      </c>
      <c r="FB127" s="414" t="s">
        <v>189</v>
      </c>
      <c r="FC127" s="492"/>
      <c r="FD127" s="493"/>
      <c r="FE127" s="494" t="s">
        <v>189</v>
      </c>
      <c r="FF127" s="492"/>
      <c r="FG127" s="493"/>
      <c r="FH127" s="494" t="s">
        <v>189</v>
      </c>
      <c r="FI127" s="492"/>
      <c r="FJ127" s="495"/>
      <c r="FK127" s="289">
        <v>38</v>
      </c>
      <c r="FL127" s="1042">
        <v>0.34545454545454546</v>
      </c>
      <c r="FM127" s="498" t="s">
        <v>528</v>
      </c>
      <c r="FN127" s="561" t="s">
        <v>300</v>
      </c>
      <c r="FO127" s="550" t="s">
        <v>296</v>
      </c>
      <c r="FP127" s="562">
        <v>3352518.4000000004</v>
      </c>
      <c r="FQ127" s="563">
        <v>4100</v>
      </c>
      <c r="FR127" s="468">
        <v>0</v>
      </c>
      <c r="FS127" s="562">
        <v>66</v>
      </c>
      <c r="FT127" s="965">
        <v>136</v>
      </c>
      <c r="FU127" s="261">
        <v>72</v>
      </c>
      <c r="FV127" s="263">
        <v>46562.755555555559</v>
      </c>
      <c r="FW127" s="390">
        <v>50795.733333333337</v>
      </c>
      <c r="FX127" s="394">
        <v>24650.870588235295</v>
      </c>
      <c r="FY127" s="264">
        <v>0</v>
      </c>
      <c r="FZ127" s="264">
        <v>0</v>
      </c>
      <c r="GA127" s="562">
        <v>3655850.0000000005</v>
      </c>
      <c r="GB127" s="562">
        <v>6</v>
      </c>
      <c r="GC127" s="565">
        <v>32864532</v>
      </c>
      <c r="GD127" s="565">
        <v>43870200</v>
      </c>
      <c r="GE127" s="565">
        <v>32864532</v>
      </c>
      <c r="GF127" s="565">
        <v>43870200</v>
      </c>
      <c r="GG127" s="478">
        <v>0</v>
      </c>
      <c r="GH127" s="478">
        <v>0</v>
      </c>
      <c r="GI127" s="478">
        <v>0</v>
      </c>
      <c r="GJ127" s="986">
        <v>97200</v>
      </c>
      <c r="GK127" s="566"/>
      <c r="GL127" s="566"/>
      <c r="GM127" s="480">
        <v>0</v>
      </c>
      <c r="GN127" s="480">
        <v>140000</v>
      </c>
      <c r="GO127" s="480">
        <v>59400000</v>
      </c>
      <c r="GP127" s="566">
        <v>2</v>
      </c>
      <c r="GQ127" s="566">
        <v>3</v>
      </c>
      <c r="GR127" s="966">
        <v>76831932</v>
      </c>
      <c r="GS127" s="1019">
        <v>-76734732</v>
      </c>
      <c r="GT127" s="1012" t="s">
        <v>301</v>
      </c>
      <c r="GU127" s="1020">
        <v>46285</v>
      </c>
      <c r="GV127" s="1020">
        <v>46296</v>
      </c>
      <c r="GW127" s="1035">
        <v>46285</v>
      </c>
      <c r="GX127" s="1036">
        <v>46296</v>
      </c>
      <c r="GY127" s="1037">
        <v>11</v>
      </c>
      <c r="GZ127" s="596"/>
      <c r="HA127" s="597"/>
      <c r="HB127" s="597"/>
      <c r="HC127" s="597"/>
      <c r="HD127" s="405">
        <v>0</v>
      </c>
      <c r="HE127" s="403">
        <v>0</v>
      </c>
      <c r="HF127" s="403">
        <v>0</v>
      </c>
      <c r="HG127" s="403">
        <v>0</v>
      </c>
      <c r="HH127" s="403">
        <v>0</v>
      </c>
      <c r="HI127" s="403">
        <v>0</v>
      </c>
      <c r="HJ127" s="403">
        <v>0</v>
      </c>
      <c r="HK127" s="403">
        <v>0</v>
      </c>
      <c r="HL127" s="403">
        <v>0</v>
      </c>
      <c r="HM127" s="403">
        <v>0</v>
      </c>
      <c r="HN127" s="403">
        <v>0</v>
      </c>
      <c r="HO127" s="403">
        <v>0</v>
      </c>
      <c r="HP127" s="403">
        <v>0</v>
      </c>
      <c r="HQ127" s="403">
        <v>0</v>
      </c>
      <c r="HR127" s="403">
        <v>0</v>
      </c>
      <c r="HS127" s="404">
        <v>0</v>
      </c>
      <c r="HT127" s="898" t="s">
        <v>177</v>
      </c>
      <c r="HU127" s="400" t="s">
        <v>177</v>
      </c>
      <c r="HV127" s="403">
        <v>72</v>
      </c>
      <c r="HW127" s="403">
        <v>72</v>
      </c>
      <c r="HX127" s="403">
        <v>72</v>
      </c>
      <c r="HY127" s="403">
        <v>72</v>
      </c>
      <c r="HZ127" s="403">
        <v>72</v>
      </c>
      <c r="IA127" s="403">
        <v>72</v>
      </c>
      <c r="IB127" s="403">
        <v>72</v>
      </c>
      <c r="IC127" s="403">
        <v>72</v>
      </c>
      <c r="ID127" s="403">
        <v>72</v>
      </c>
      <c r="IE127" s="406" t="s">
        <v>178</v>
      </c>
      <c r="IF127" s="403">
        <v>0</v>
      </c>
      <c r="IG127" s="403">
        <v>0</v>
      </c>
      <c r="IH127" s="404">
        <v>0</v>
      </c>
      <c r="II127" s="405">
        <v>0</v>
      </c>
      <c r="IJ127" s="403">
        <v>0</v>
      </c>
      <c r="IK127" s="403">
        <v>0</v>
      </c>
      <c r="IL127" s="407">
        <v>0</v>
      </c>
      <c r="IM127" s="1016"/>
      <c r="IN127" s="277" cm="1">
        <f t="array" ref="IN127">SUM(IF(ISNUMBER($HD127:$IL127),$HD127:$IL127, 0))</f>
        <v>648</v>
      </c>
      <c r="IO127" s="1021"/>
      <c r="IP127" s="1022"/>
      <c r="IQ127" s="541"/>
      <c r="IR127" s="500">
        <v>0</v>
      </c>
      <c r="IS127" s="501"/>
      <c r="IT127" s="501"/>
      <c r="IU127" s="501"/>
      <c r="IV127" s="501"/>
      <c r="IW127" s="501"/>
      <c r="IX127" s="502">
        <v>0</v>
      </c>
      <c r="IY127" s="502"/>
      <c r="IZ127" s="501">
        <v>0</v>
      </c>
      <c r="JA127" s="503">
        <v>0</v>
      </c>
      <c r="JB127" s="501"/>
      <c r="JC127" s="501"/>
      <c r="JD127" s="504"/>
      <c r="JE127" s="504"/>
      <c r="JF127" s="505"/>
      <c r="JG127" s="503">
        <v>7595514</v>
      </c>
      <c r="JH127" s="506">
        <v>19726</v>
      </c>
      <c r="JO127" s="507"/>
      <c r="JP127" s="508"/>
      <c r="JQ127" s="508"/>
      <c r="JR127" s="508"/>
      <c r="JS127" s="508"/>
      <c r="JT127" s="508"/>
      <c r="JU127" s="508"/>
      <c r="JV127" s="508"/>
      <c r="JW127" s="508"/>
      <c r="JX127" s="508"/>
      <c r="JY127" s="508"/>
      <c r="JZ127" s="508"/>
      <c r="KA127" s="508"/>
      <c r="KB127" s="508"/>
      <c r="KC127" s="508"/>
      <c r="KD127" s="508"/>
      <c r="KE127" s="508"/>
      <c r="KF127" s="508"/>
      <c r="KG127" s="508"/>
      <c r="KH127" s="508"/>
      <c r="KI127" s="508"/>
      <c r="KJ127" s="508"/>
      <c r="KK127" s="508"/>
      <c r="KL127" s="508"/>
      <c r="KM127" s="508"/>
      <c r="KN127" s="508"/>
      <c r="KO127" s="508"/>
      <c r="KP127" s="508"/>
      <c r="KQ127" s="508"/>
      <c r="KR127" s="508"/>
      <c r="KS127" s="508"/>
      <c r="KT127" s="508"/>
      <c r="KU127" s="508"/>
      <c r="KV127" s="508"/>
      <c r="KW127" s="509"/>
      <c r="KX127" s="1016"/>
      <c r="KY127" s="277" cm="1">
        <f t="array" ref="KY127">SUM(IF(ISNUMBER($JO127:$KW127),$JO127:$KW127, 0))</f>
        <v>0</v>
      </c>
    </row>
    <row r="128" spans="1:398" s="547" customFormat="1" ht="40" customHeight="1" thickBot="1">
      <c r="A128" s="1"/>
      <c r="B128" s="299"/>
      <c r="C128" s="1209"/>
      <c r="D128" s="445"/>
      <c r="E128" s="510" t="s">
        <v>165</v>
      </c>
      <c r="F128" s="1023"/>
      <c r="G128" s="512" t="s">
        <v>165</v>
      </c>
      <c r="H128" s="512" t="s">
        <v>165</v>
      </c>
      <c r="I128" s="512">
        <v>0</v>
      </c>
      <c r="J128" s="1038">
        <v>0</v>
      </c>
      <c r="K128" s="245" t="e">
        <v>#N/A</v>
      </c>
      <c r="L128" s="512">
        <v>0</v>
      </c>
      <c r="M128" s="513" t="s">
        <v>165</v>
      </c>
      <c r="N128" s="514" t="s">
        <v>165</v>
      </c>
      <c r="O128" s="514" t="s">
        <v>165</v>
      </c>
      <c r="P128" s="513" t="s">
        <v>165</v>
      </c>
      <c r="Q128" s="1045" t="s">
        <v>165</v>
      </c>
      <c r="R128" s="514" t="s">
        <v>165</v>
      </c>
      <c r="S128" s="514" t="s">
        <v>165</v>
      </c>
      <c r="T128" s="514" t="s">
        <v>165</v>
      </c>
      <c r="U128" s="515"/>
      <c r="V128" s="445"/>
      <c r="W128" s="445"/>
      <c r="X128" s="445"/>
      <c r="Y128" s="445"/>
      <c r="Z128" s="445"/>
      <c r="AA128" s="763"/>
      <c r="AB128" s="764" t="s">
        <v>170</v>
      </c>
      <c r="AC128" s="765">
        <v>0</v>
      </c>
      <c r="AD128" s="969"/>
      <c r="AE128" s="655"/>
      <c r="AF128" s="1210"/>
      <c r="AG128" s="1211"/>
      <c r="AH128" s="1211"/>
      <c r="AI128" s="1211"/>
      <c r="AJ128" s="1211"/>
      <c r="AK128" s="1211"/>
      <c r="AL128" s="1211"/>
      <c r="AM128" s="1211"/>
      <c r="AN128" s="1211"/>
      <c r="AO128" s="1211"/>
      <c r="AP128" s="1211"/>
      <c r="AQ128" s="1211"/>
      <c r="AR128" s="1211"/>
      <c r="AS128" s="1212"/>
      <c r="AT128" s="1210"/>
      <c r="AU128" s="1212"/>
      <c r="AV128" s="656"/>
      <c r="AW128" s="656"/>
      <c r="AX128" s="656"/>
      <c r="AY128" s="656"/>
      <c r="AZ128" s="768"/>
      <c r="BA128" s="768"/>
      <c r="BB128" s="768"/>
      <c r="BC128" s="768"/>
      <c r="BD128" s="768"/>
      <c r="BE128" s="768"/>
      <c r="BF128" s="768"/>
      <c r="BG128" s="768"/>
      <c r="BH128" s="768"/>
      <c r="BI128" s="768"/>
      <c r="BJ128" s="768"/>
      <c r="BK128" s="768"/>
      <c r="BL128" s="768"/>
      <c r="BM128" s="768"/>
      <c r="BN128" s="768"/>
      <c r="BO128" s="656"/>
      <c r="BP128" s="656"/>
      <c r="BQ128" s="656"/>
      <c r="BR128" s="940"/>
      <c r="BS128" s="941"/>
      <c r="BT128" s="942"/>
      <c r="BU128" s="942"/>
      <c r="BV128" s="773" t="str">
        <f>IFERROR(INDEX($HD$9:$II$9, MATCH("準備", CC128:DK128, 0)), "")</f>
        <v/>
      </c>
      <c r="BW128" s="773" t="str" cm="1">
        <f t="array" ref="BW128">IF(COUNTIF(CC128:DK128,"*撤去*")=0,"",INDEX(CC$9:DK$9,1,MAX(IF(CC128:DK128="撤去",COLUMN(CC128:DK128)-COLUMN(CC128)+1))))</f>
        <v/>
      </c>
      <c r="BX128" s="774"/>
      <c r="BY128" s="360" t="s">
        <v>246</v>
      </c>
      <c r="BZ128" s="361" t="s">
        <v>247</v>
      </c>
      <c r="CA128" s="777"/>
      <c r="CB128" s="777"/>
      <c r="CC128" s="874"/>
      <c r="CD128" s="875"/>
      <c r="CE128" s="875"/>
      <c r="CF128" s="875"/>
      <c r="CG128" s="875"/>
      <c r="CH128" s="875"/>
      <c r="CI128" s="875"/>
      <c r="CJ128" s="875"/>
      <c r="CK128" s="875"/>
      <c r="CL128" s="875"/>
      <c r="CM128" s="875"/>
      <c r="CN128" s="875"/>
      <c r="CO128" s="875"/>
      <c r="CP128" s="875"/>
      <c r="CQ128" s="779"/>
      <c r="CR128" s="884"/>
      <c r="CS128" s="366"/>
      <c r="CT128" s="363"/>
      <c r="CU128" s="363"/>
      <c r="CV128" s="363"/>
      <c r="CW128" s="363"/>
      <c r="CX128" s="363"/>
      <c r="CY128" s="363"/>
      <c r="CZ128" s="363"/>
      <c r="DA128" s="363"/>
      <c r="DB128" s="363"/>
      <c r="DC128" s="363"/>
      <c r="DD128" s="363"/>
      <c r="DE128" s="875"/>
      <c r="DF128" s="779"/>
      <c r="DG128" s="884"/>
      <c r="DH128" s="874"/>
      <c r="DI128" s="875"/>
      <c r="DJ128" s="875"/>
      <c r="DK128" s="886"/>
      <c r="DL128" s="1016"/>
      <c r="DM128" s="1016"/>
      <c r="DN128" s="1016"/>
      <c r="DO128" s="1016"/>
      <c r="DP128" s="1016"/>
      <c r="DQ128" s="763"/>
      <c r="DR128" s="764" t="s">
        <v>170</v>
      </c>
      <c r="DS128" s="765">
        <v>0</v>
      </c>
      <c r="DT128" s="969"/>
      <c r="DU128" s="1211"/>
      <c r="DV128" s="656"/>
      <c r="DW128" s="768"/>
      <c r="DX128" s="768"/>
      <c r="DY128" s="768"/>
      <c r="DZ128" s="768"/>
      <c r="EA128" s="768"/>
      <c r="EB128" s="768"/>
      <c r="EC128" s="768"/>
      <c r="ED128" s="768"/>
      <c r="EE128" s="768"/>
      <c r="EF128" s="768"/>
      <c r="EG128" s="656"/>
      <c r="EH128" s="656"/>
      <c r="EI128" s="942"/>
      <c r="EJ128" s="942"/>
      <c r="EK128" s="773" t="s">
        <v>165</v>
      </c>
      <c r="EL128" s="773" t="s">
        <v>165</v>
      </c>
      <c r="EM128" s="774"/>
      <c r="EN128" s="1016"/>
      <c r="EO128" s="763"/>
      <c r="EP128" s="1032" t="s">
        <v>170</v>
      </c>
      <c r="EQ128" s="1033">
        <v>0</v>
      </c>
      <c r="ER128" s="1046"/>
      <c r="ES128" s="245" t="e">
        <v>#N/A</v>
      </c>
      <c r="ET128" s="245"/>
      <c r="EU128" s="245"/>
      <c r="EV128" s="1027" t="s">
        <v>170</v>
      </c>
      <c r="EW128" s="453"/>
      <c r="EX128" s="454"/>
      <c r="EY128" s="879" t="s">
        <v>170</v>
      </c>
      <c r="EZ128" s="456"/>
      <c r="FA128" s="457"/>
      <c r="FB128" s="879" t="s">
        <v>170</v>
      </c>
      <c r="FC128" s="880"/>
      <c r="FD128" s="881"/>
      <c r="FE128" s="882" t="s">
        <v>170</v>
      </c>
      <c r="FF128" s="880"/>
      <c r="FG128" s="881"/>
      <c r="FH128" s="882" t="s">
        <v>170</v>
      </c>
      <c r="FI128" s="880"/>
      <c r="FJ128" s="883"/>
      <c r="FK128" s="375"/>
      <c r="FL128" s="1028"/>
      <c r="FM128" s="535"/>
      <c r="FN128" s="655"/>
      <c r="FO128" s="1210"/>
      <c r="FP128" s="1211"/>
      <c r="FQ128" s="1211"/>
      <c r="FR128" s="1211"/>
      <c r="FS128" s="1211"/>
      <c r="FT128" s="1211"/>
      <c r="FU128" s="1211"/>
      <c r="FV128" s="1212"/>
      <c r="FW128" s="1210"/>
      <c r="FX128" s="1212"/>
      <c r="FY128" s="656"/>
      <c r="FZ128" s="656"/>
      <c r="GA128" s="656"/>
      <c r="GB128" s="656"/>
      <c r="GC128" s="768"/>
      <c r="GD128" s="768"/>
      <c r="GE128" s="768"/>
      <c r="GF128" s="768"/>
      <c r="GG128" s="768"/>
      <c r="GH128" s="768"/>
      <c r="GI128" s="768"/>
      <c r="GJ128" s="768"/>
      <c r="GK128" s="768"/>
      <c r="GL128" s="768"/>
      <c r="GM128" s="768"/>
      <c r="GN128" s="768"/>
      <c r="GO128" s="768"/>
      <c r="GP128" s="768"/>
      <c r="GQ128" s="768"/>
      <c r="GR128" s="656"/>
      <c r="GS128" s="656"/>
      <c r="GT128" s="941"/>
      <c r="GU128" s="942"/>
      <c r="GV128" s="942"/>
      <c r="GW128" s="773" t="s">
        <v>165</v>
      </c>
      <c r="GX128" s="773" t="s">
        <v>165</v>
      </c>
      <c r="GY128" s="774"/>
      <c r="GZ128" s="943"/>
      <c r="HA128" s="777"/>
      <c r="HB128" s="777"/>
      <c r="HC128" s="777"/>
      <c r="HD128" s="874"/>
      <c r="HE128" s="875"/>
      <c r="HF128" s="875"/>
      <c r="HG128" s="875"/>
      <c r="HH128" s="875"/>
      <c r="HI128" s="875"/>
      <c r="HJ128" s="875"/>
      <c r="HK128" s="875"/>
      <c r="HL128" s="875"/>
      <c r="HM128" s="875"/>
      <c r="HN128" s="875"/>
      <c r="HO128" s="875"/>
      <c r="HP128" s="875"/>
      <c r="HQ128" s="875"/>
      <c r="HR128" s="779"/>
      <c r="HS128" s="884"/>
      <c r="HT128" s="874"/>
      <c r="HU128" s="875"/>
      <c r="HV128" s="875"/>
      <c r="HW128" s="875"/>
      <c r="HX128" s="875"/>
      <c r="HY128" s="875"/>
      <c r="HZ128" s="875"/>
      <c r="IA128" s="875"/>
      <c r="IB128" s="875"/>
      <c r="IC128" s="875"/>
      <c r="ID128" s="875"/>
      <c r="IE128" s="875"/>
      <c r="IF128" s="875"/>
      <c r="IG128" s="779"/>
      <c r="IH128" s="884"/>
      <c r="II128" s="874"/>
      <c r="IJ128" s="875"/>
      <c r="IK128" s="875"/>
      <c r="IL128" s="886"/>
      <c r="IM128" s="1016"/>
      <c r="IN128" s="1016"/>
      <c r="IO128" s="1029"/>
      <c r="IP128" s="1030"/>
      <c r="IQ128" s="541"/>
      <c r="IR128" s="542"/>
      <c r="IS128" s="543"/>
      <c r="IT128" s="543"/>
      <c r="IU128" s="543"/>
      <c r="IV128" s="543"/>
      <c r="IW128" s="543"/>
      <c r="IX128" s="544"/>
      <c r="IY128" s="544"/>
      <c r="IZ128" s="543"/>
      <c r="JA128" s="543"/>
      <c r="JB128" s="543"/>
      <c r="JC128" s="543"/>
      <c r="JD128" s="545"/>
      <c r="JE128" s="545"/>
      <c r="JF128" s="546"/>
      <c r="JG128" s="503"/>
      <c r="JH128" s="506"/>
      <c r="JI128" s="1"/>
      <c r="JJ128" s="1"/>
      <c r="JK128" s="1"/>
      <c r="JL128" s="1"/>
      <c r="JM128" s="1"/>
      <c r="JN128" s="1"/>
      <c r="JO128" s="507"/>
      <c r="JP128" s="508"/>
      <c r="JQ128" s="508"/>
      <c r="JR128" s="508"/>
      <c r="JS128" s="729"/>
      <c r="JT128" s="729"/>
      <c r="JU128" s="729"/>
      <c r="JV128" s="729"/>
      <c r="JW128" s="729"/>
      <c r="JX128" s="729"/>
      <c r="JY128" s="729"/>
      <c r="JZ128" s="729"/>
      <c r="KA128" s="729"/>
      <c r="KB128" s="729"/>
      <c r="KC128" s="729"/>
      <c r="KD128" s="729"/>
      <c r="KE128" s="729"/>
      <c r="KF128" s="729"/>
      <c r="KG128" s="729"/>
      <c r="KH128" s="729"/>
      <c r="KI128" s="729"/>
      <c r="KJ128" s="729"/>
      <c r="KK128" s="729"/>
      <c r="KL128" s="729"/>
      <c r="KM128" s="729"/>
      <c r="KN128" s="729"/>
      <c r="KO128" s="729"/>
      <c r="KP128" s="729"/>
      <c r="KQ128" s="729"/>
      <c r="KR128" s="729"/>
      <c r="KS128" s="729"/>
      <c r="KT128" s="729"/>
      <c r="KU128" s="729"/>
      <c r="KV128" s="729"/>
      <c r="KW128" s="730"/>
      <c r="KX128" s="1016"/>
      <c r="KY128" s="1016"/>
      <c r="KZ128" s="1"/>
      <c r="LA128" s="1"/>
      <c r="LB128" s="1"/>
      <c r="LC128" s="1"/>
      <c r="LD128" s="1"/>
      <c r="LE128" s="1"/>
      <c r="LF128" s="1"/>
      <c r="LG128" s="1"/>
      <c r="LH128" s="1"/>
      <c r="LI128" s="1"/>
      <c r="LJ128" s="1"/>
      <c r="LK128" s="1"/>
      <c r="LL128" s="1"/>
      <c r="LM128" s="1"/>
      <c r="LN128" s="1"/>
      <c r="LO128" s="1"/>
      <c r="LP128" s="1"/>
      <c r="LQ128" s="1"/>
      <c r="LR128" s="1"/>
      <c r="LS128" s="1"/>
      <c r="LT128" s="1"/>
      <c r="LU128" s="1"/>
      <c r="LV128" s="1"/>
      <c r="LW128" s="1"/>
      <c r="LX128" s="1"/>
      <c r="LY128" s="1"/>
      <c r="LZ128" s="1"/>
      <c r="MA128" s="1"/>
      <c r="MB128" s="1"/>
      <c r="MC128" s="1"/>
      <c r="MD128" s="1"/>
      <c r="ME128" s="1"/>
      <c r="MF128" s="1"/>
      <c r="MG128" s="1"/>
      <c r="MH128" s="1"/>
      <c r="MI128" s="1"/>
      <c r="MJ128" s="1"/>
      <c r="MK128" s="1"/>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row>
    <row r="129" spans="1:398" ht="40" customHeight="1">
      <c r="B129" s="299"/>
      <c r="C129" s="241" t="s">
        <v>529</v>
      </c>
      <c r="D129" s="242">
        <v>31</v>
      </c>
      <c r="E129" s="243">
        <v>281</v>
      </c>
      <c r="F129" s="946" t="s">
        <v>530</v>
      </c>
      <c r="G129" s="246">
        <v>377</v>
      </c>
      <c r="H129" s="246">
        <v>643</v>
      </c>
      <c r="I129" s="246">
        <v>175</v>
      </c>
      <c r="J129" s="246">
        <v>302</v>
      </c>
      <c r="K129" s="245" t="s">
        <v>531</v>
      </c>
      <c r="L129" s="246">
        <v>258</v>
      </c>
      <c r="M129" s="300">
        <v>24</v>
      </c>
      <c r="N129" s="251" t="s">
        <v>305</v>
      </c>
      <c r="O129" s="251" t="s">
        <v>168</v>
      </c>
      <c r="P129" s="300">
        <v>122</v>
      </c>
      <c r="Q129" s="251" t="s">
        <v>170</v>
      </c>
      <c r="R129" s="251" t="s">
        <v>170</v>
      </c>
      <c r="S129" s="251" t="s">
        <v>169</v>
      </c>
      <c r="T129" s="251" t="s">
        <v>291</v>
      </c>
      <c r="U129" s="301" t="s">
        <v>169</v>
      </c>
      <c r="V129" s="242" t="s">
        <v>172</v>
      </c>
      <c r="W129" s="242"/>
      <c r="X129" s="592" t="s">
        <v>292</v>
      </c>
      <c r="Y129" s="592" t="s">
        <v>292</v>
      </c>
      <c r="Z129" s="242"/>
      <c r="AA129" s="253" t="s">
        <v>532</v>
      </c>
      <c r="AB129" s="254" t="s">
        <v>529</v>
      </c>
      <c r="AC129" s="255">
        <v>288</v>
      </c>
      <c r="AD129" s="256">
        <f>SUM(AC129,AC130)</f>
        <v>524</v>
      </c>
      <c r="AE129" s="465" t="s">
        <v>295</v>
      </c>
      <c r="AF129" s="466" t="s">
        <v>296</v>
      </c>
      <c r="AG129" s="467">
        <f>FP129</f>
        <v>6042740.0000000009</v>
      </c>
      <c r="AH129" s="468">
        <f>FQ129</f>
        <v>2530</v>
      </c>
      <c r="AI129" s="468">
        <f>FR129</f>
        <v>1570</v>
      </c>
      <c r="AJ129" s="469">
        <v>0.98599999999999999</v>
      </c>
      <c r="AK129" s="468">
        <f>15300*1.1</f>
        <v>16830</v>
      </c>
      <c r="AL129" s="469">
        <f>AM129/AT129</f>
        <v>0.48740306549677781</v>
      </c>
      <c r="AM129" s="468">
        <f>15300*1.1</f>
        <v>16830</v>
      </c>
      <c r="AN129" s="626" t="s">
        <v>308</v>
      </c>
      <c r="AO129" s="468">
        <f>800*1.1</f>
        <v>880.00000000000011</v>
      </c>
      <c r="AP129" s="467">
        <f t="shared" ref="AP129:AQ129" si="14">FS129</f>
        <v>175</v>
      </c>
      <c r="AQ129" s="467">
        <f t="shared" si="14"/>
        <v>302</v>
      </c>
      <c r="AR129" s="474">
        <f>DM129/(BX129-2)</f>
        <v>195.78947368421052</v>
      </c>
      <c r="AS129" s="475">
        <f>AG129/AR129</f>
        <v>30863.456989247319</v>
      </c>
      <c r="AT129" s="476">
        <f>AG129/AP129</f>
        <v>34529.942857142865</v>
      </c>
      <c r="AU129" s="475">
        <f>AG129/AQ129</f>
        <v>20009.07284768212</v>
      </c>
      <c r="AV129" s="477">
        <v>26000</v>
      </c>
      <c r="AW129" s="477">
        <v>48000</v>
      </c>
      <c r="AX129" s="467">
        <f>GA129</f>
        <v>1168200</v>
      </c>
      <c r="AY129" s="467">
        <f>GB129</f>
        <v>10</v>
      </c>
      <c r="AZ129" s="478">
        <f>GC129</f>
        <v>115819440</v>
      </c>
      <c r="BA129" s="478">
        <f>GD129</f>
        <v>24921600.000000004</v>
      </c>
      <c r="BB129" s="478"/>
      <c r="BC129" s="478">
        <f>AH129*DM129</f>
        <v>9411600</v>
      </c>
      <c r="BD129" s="479">
        <v>22341660</v>
      </c>
      <c r="BE129" s="479"/>
      <c r="BF129" s="479">
        <v>27062640.000000004</v>
      </c>
      <c r="BG129" s="479">
        <v>27062640.000000004</v>
      </c>
      <c r="BH129" s="479">
        <v>1061280</v>
      </c>
      <c r="BI129" s="480">
        <f>GJ129</f>
        <v>0</v>
      </c>
      <c r="BJ129" s="480">
        <f>GK129</f>
        <v>0</v>
      </c>
      <c r="BK129" s="480">
        <f>BM129*5000*BX129</f>
        <v>525000</v>
      </c>
      <c r="BL129" s="480">
        <f>1800000*BN129*BX129</f>
        <v>113400000</v>
      </c>
      <c r="BM129" s="480">
        <f>GP129</f>
        <v>5</v>
      </c>
      <c r="BN129" s="480">
        <f>GQ129</f>
        <v>3</v>
      </c>
      <c r="BO129" s="481"/>
      <c r="BP129" s="481">
        <f>SUM(AZ129,BA129,BI129,BO129)</f>
        <v>140741040</v>
      </c>
      <c r="BQ129" s="481">
        <f>BP129-GR129</f>
        <v>0</v>
      </c>
      <c r="BR129" s="554"/>
      <c r="BS129" s="1012" t="s">
        <v>175</v>
      </c>
      <c r="BT129" s="484">
        <f>GU129</f>
        <v>46279</v>
      </c>
      <c r="BU129" s="484">
        <f>GV129</f>
        <v>46300</v>
      </c>
      <c r="BV129" s="666">
        <f>IFERROR(INDEX($BY$9:$DH$9, MATCH("準備", BY129:DK129, 0)), "")</f>
        <v>46279</v>
      </c>
      <c r="BW129" s="667" cm="1">
        <f t="array" ref="BW129">IF(COUNTIF(BY129:DK129,"*撤去*")=0,"",INDEX(BY$9:DK$9,1,MAX(IF(CC129:DK129="撤去",COLUMN(CC129:DK129)-COLUMN(BY129)+1))))</f>
        <v>46300</v>
      </c>
      <c r="BX129" s="663">
        <f>BW129-BV129</f>
        <v>21</v>
      </c>
      <c r="BY129" s="596">
        <v>0</v>
      </c>
      <c r="BZ129" s="597">
        <v>0</v>
      </c>
      <c r="CA129" s="597">
        <v>0</v>
      </c>
      <c r="CB129" s="597">
        <v>0</v>
      </c>
      <c r="CC129" s="895">
        <v>0</v>
      </c>
      <c r="CD129" s="913">
        <v>0</v>
      </c>
      <c r="CE129" s="913">
        <v>0</v>
      </c>
      <c r="CF129" s="913">
        <v>0</v>
      </c>
      <c r="CG129" s="913">
        <v>0</v>
      </c>
      <c r="CH129" s="913">
        <v>0</v>
      </c>
      <c r="CI129" s="913">
        <v>0</v>
      </c>
      <c r="CJ129" s="913">
        <v>0</v>
      </c>
      <c r="CK129" s="913">
        <v>0</v>
      </c>
      <c r="CL129" s="913">
        <v>0</v>
      </c>
      <c r="CM129" s="400" t="s">
        <v>177</v>
      </c>
      <c r="CN129" s="400" t="s">
        <v>177</v>
      </c>
      <c r="CO129" s="913">
        <v>288</v>
      </c>
      <c r="CP129" s="913">
        <v>288</v>
      </c>
      <c r="CQ129" s="976">
        <v>288</v>
      </c>
      <c r="CR129" s="1014">
        <v>288</v>
      </c>
      <c r="CS129" s="895">
        <v>288</v>
      </c>
      <c r="CT129" s="913">
        <v>288</v>
      </c>
      <c r="CU129" s="913">
        <v>288</v>
      </c>
      <c r="CV129" s="913">
        <v>288</v>
      </c>
      <c r="CW129" s="913">
        <v>0</v>
      </c>
      <c r="CX129" s="913">
        <v>0</v>
      </c>
      <c r="CY129" s="913">
        <v>0</v>
      </c>
      <c r="CZ129" s="913">
        <v>0</v>
      </c>
      <c r="DA129" s="913">
        <v>236</v>
      </c>
      <c r="DB129" s="913">
        <v>236</v>
      </c>
      <c r="DC129" s="913">
        <v>236</v>
      </c>
      <c r="DD129" s="913">
        <v>236</v>
      </c>
      <c r="DE129" s="913">
        <v>236</v>
      </c>
      <c r="DF129" s="976">
        <v>236</v>
      </c>
      <c r="DG129" s="1014">
        <v>0</v>
      </c>
      <c r="DH129" s="603" t="s">
        <v>178</v>
      </c>
      <c r="DI129" s="913">
        <v>0</v>
      </c>
      <c r="DJ129" s="913">
        <v>0</v>
      </c>
      <c r="DK129" s="981">
        <v>0</v>
      </c>
      <c r="DL129" s="277"/>
      <c r="DM129" s="277" cm="1">
        <f t="array" ref="DM129">SUM(IF(ISNUMBER($BY129:$DK129),$BY129:$DK129, 0))</f>
        <v>3720</v>
      </c>
      <c r="DN129" s="559"/>
      <c r="DO129" s="277">
        <f>DM129*(BX129)/(BX129+1)</f>
        <v>3550.909090909091</v>
      </c>
      <c r="DP129" s="277"/>
      <c r="DQ129" s="253" t="s">
        <v>532</v>
      </c>
      <c r="DR129" s="254" t="s">
        <v>529</v>
      </c>
      <c r="DS129" s="255">
        <v>258</v>
      </c>
      <c r="DT129" s="256">
        <f>SUM(DS129,DS130)</f>
        <v>498</v>
      </c>
      <c r="DU129" s="467">
        <v>6042740.0000000009</v>
      </c>
      <c r="DV129" s="467">
        <v>1168200</v>
      </c>
      <c r="DW129" s="478">
        <v>115819440</v>
      </c>
      <c r="DX129" s="478">
        <v>24921600.000000004</v>
      </c>
      <c r="DY129" s="478">
        <v>6283140</v>
      </c>
      <c r="DZ129" s="478">
        <v>40412196</v>
      </c>
      <c r="EA129" s="478">
        <v>26941464</v>
      </c>
      <c r="EB129" s="478">
        <v>1056528</v>
      </c>
      <c r="EC129" s="480">
        <v>0</v>
      </c>
      <c r="ED129" s="480">
        <v>0</v>
      </c>
      <c r="EE129" s="480">
        <v>525000</v>
      </c>
      <c r="EF129" s="480">
        <v>113400000</v>
      </c>
      <c r="EG129" s="481"/>
      <c r="EH129" s="481">
        <v>140741040</v>
      </c>
      <c r="EI129" s="484">
        <v>46279</v>
      </c>
      <c r="EJ129" s="484">
        <v>46300</v>
      </c>
      <c r="EK129" s="666">
        <v>46279</v>
      </c>
      <c r="EL129" s="667">
        <v>46300</v>
      </c>
      <c r="EM129" s="663">
        <v>21</v>
      </c>
      <c r="EN129" s="277"/>
      <c r="EO129" s="253" t="s">
        <v>532</v>
      </c>
      <c r="EP129" s="278" t="s">
        <v>529</v>
      </c>
      <c r="EQ129" s="1213">
        <v>258</v>
      </c>
      <c r="ER129" s="280">
        <v>498</v>
      </c>
      <c r="ES129" s="245">
        <v>504</v>
      </c>
      <c r="ET129" s="245">
        <v>504</v>
      </c>
      <c r="EU129" s="245">
        <v>432</v>
      </c>
      <c r="EV129" s="281" t="s">
        <v>533</v>
      </c>
      <c r="EW129" s="282">
        <v>6.5</v>
      </c>
      <c r="EX129" s="283">
        <v>17</v>
      </c>
      <c r="EY129" s="284" t="s">
        <v>534</v>
      </c>
      <c r="EZ129" s="285">
        <v>10.8</v>
      </c>
      <c r="FA129" s="286">
        <v>24</v>
      </c>
      <c r="FB129" s="284" t="s">
        <v>189</v>
      </c>
      <c r="FC129" s="285"/>
      <c r="FD129" s="286"/>
      <c r="FE129" s="287" t="s">
        <v>189</v>
      </c>
      <c r="FF129" s="285"/>
      <c r="FG129" s="286"/>
      <c r="FH129" s="287" t="s">
        <v>189</v>
      </c>
      <c r="FI129" s="285"/>
      <c r="FJ129" s="288"/>
      <c r="FK129" s="289">
        <v>379</v>
      </c>
      <c r="FL129" s="290">
        <v>0.58942457231726286</v>
      </c>
      <c r="FM129" s="291" t="s">
        <v>535</v>
      </c>
      <c r="FN129" s="1214" t="s">
        <v>300</v>
      </c>
      <c r="FO129" s="466" t="s">
        <v>296</v>
      </c>
      <c r="FP129" s="1215">
        <v>6042740.0000000009</v>
      </c>
      <c r="FQ129" s="1216">
        <v>2530</v>
      </c>
      <c r="FR129" s="468">
        <v>1570</v>
      </c>
      <c r="FS129" s="1215">
        <v>175</v>
      </c>
      <c r="FT129" s="467">
        <v>302</v>
      </c>
      <c r="FU129" s="474">
        <v>210.63157894736841</v>
      </c>
      <c r="FV129" s="394">
        <v>28688.670664667672</v>
      </c>
      <c r="FW129" s="390">
        <v>34529.942857142865</v>
      </c>
      <c r="FX129" s="394">
        <v>20009.07284768212</v>
      </c>
      <c r="FY129" s="564">
        <v>19100</v>
      </c>
      <c r="FZ129" s="564">
        <v>39000</v>
      </c>
      <c r="GA129" s="562">
        <v>1168200</v>
      </c>
      <c r="GB129" s="562">
        <v>10</v>
      </c>
      <c r="GC129" s="565">
        <v>115819440</v>
      </c>
      <c r="GD129" s="565">
        <v>24921600.000000004</v>
      </c>
      <c r="GE129" s="565">
        <v>115819440</v>
      </c>
      <c r="GF129" s="565">
        <v>24921600.000000004</v>
      </c>
      <c r="GG129" s="478">
        <v>0</v>
      </c>
      <c r="GH129" s="478">
        <v>0</v>
      </c>
      <c r="GI129" s="478">
        <v>3769884</v>
      </c>
      <c r="GJ129" s="566"/>
      <c r="GK129" s="566"/>
      <c r="GL129" s="566"/>
      <c r="GM129" s="480">
        <v>0</v>
      </c>
      <c r="GN129" s="480">
        <v>350000</v>
      </c>
      <c r="GO129" s="480">
        <v>113400000</v>
      </c>
      <c r="GP129" s="566">
        <v>5</v>
      </c>
      <c r="GQ129" s="566">
        <v>3</v>
      </c>
      <c r="GR129" s="966">
        <v>140741040</v>
      </c>
      <c r="GS129" s="1019">
        <v>23544101.999999996</v>
      </c>
      <c r="GT129" s="1012" t="s">
        <v>175</v>
      </c>
      <c r="GU129" s="1020">
        <v>46279</v>
      </c>
      <c r="GV129" s="1020">
        <v>46300</v>
      </c>
      <c r="GW129" s="666">
        <v>46279</v>
      </c>
      <c r="GX129" s="667">
        <v>46300</v>
      </c>
      <c r="GY129" s="663">
        <v>21</v>
      </c>
      <c r="GZ129" s="596"/>
      <c r="HA129" s="597"/>
      <c r="HB129" s="597"/>
      <c r="HC129" s="597"/>
      <c r="HD129" s="895">
        <v>0</v>
      </c>
      <c r="HE129" s="913">
        <v>0</v>
      </c>
      <c r="HF129" s="913">
        <v>0</v>
      </c>
      <c r="HG129" s="913">
        <v>0</v>
      </c>
      <c r="HH129" s="913">
        <v>0</v>
      </c>
      <c r="HI129" s="913">
        <v>0</v>
      </c>
      <c r="HJ129" s="913">
        <v>0</v>
      </c>
      <c r="HK129" s="913">
        <v>0</v>
      </c>
      <c r="HL129" s="913">
        <v>0</v>
      </c>
      <c r="HM129" s="913">
        <v>0</v>
      </c>
      <c r="HN129" s="400" t="s">
        <v>177</v>
      </c>
      <c r="HO129" s="400" t="s">
        <v>177</v>
      </c>
      <c r="HP129" s="913">
        <v>258</v>
      </c>
      <c r="HQ129" s="913">
        <v>258</v>
      </c>
      <c r="HR129" s="976">
        <v>258</v>
      </c>
      <c r="HS129" s="1014">
        <v>258</v>
      </c>
      <c r="HT129" s="895">
        <v>258</v>
      </c>
      <c r="HU129" s="913">
        <v>258</v>
      </c>
      <c r="HV129" s="913">
        <v>258</v>
      </c>
      <c r="HW129" s="913">
        <v>258</v>
      </c>
      <c r="HX129" s="913">
        <v>258</v>
      </c>
      <c r="HY129" s="913">
        <v>0</v>
      </c>
      <c r="HZ129" s="913">
        <v>0</v>
      </c>
      <c r="IA129" s="913">
        <v>0</v>
      </c>
      <c r="IB129" s="913">
        <v>240</v>
      </c>
      <c r="IC129" s="913">
        <v>240</v>
      </c>
      <c r="ID129" s="913">
        <v>240</v>
      </c>
      <c r="IE129" s="913">
        <v>240</v>
      </c>
      <c r="IF129" s="913">
        <v>240</v>
      </c>
      <c r="IG129" s="976">
        <v>240</v>
      </c>
      <c r="IH129" s="1014">
        <v>240</v>
      </c>
      <c r="II129" s="603" t="s">
        <v>178</v>
      </c>
      <c r="IJ129" s="913">
        <v>0</v>
      </c>
      <c r="IK129" s="913">
        <v>0</v>
      </c>
      <c r="IL129" s="981">
        <v>0</v>
      </c>
      <c r="IM129" s="277"/>
      <c r="IN129" s="277" cm="1">
        <f t="array" ref="IN129">SUM(IF(ISNUMBER($HD129:$IL129),$HD129:$IL129, 0))</f>
        <v>4002</v>
      </c>
      <c r="IO129" s="333"/>
      <c r="IP129" s="334"/>
      <c r="IQ129" s="541"/>
      <c r="IR129" s="569">
        <f>VLOOKUP($E129,[1]アジアResults1031!$A$1:$CH$259,23,FALSE)</f>
        <v>6856393</v>
      </c>
      <c r="IS129" s="570">
        <f>VLOOKUP($E129,[1]アジアResults1031!$A$1:$CH$259,32,FALSE)</f>
        <v>230</v>
      </c>
      <c r="IT129" s="570">
        <f>KY129/(GY129-2)</f>
        <v>182.73684210526315</v>
      </c>
      <c r="IU129" s="570">
        <f>IR129/IT129</f>
        <v>37520.583813364057</v>
      </c>
      <c r="IV129" s="570">
        <f>VLOOKUP(E129,[1]アジアResults1031!$A$1:$CH$264,26,FALSE)</f>
        <v>18996</v>
      </c>
      <c r="IW129" s="570">
        <f>VLOOKUP(E129,[1]アジアResults1031!$A$1:$CH$264,27,FALSE)</f>
        <v>32643</v>
      </c>
      <c r="IX129" s="571">
        <f>VLOOKUP($E129,[1]アジアResults1031!$A$1:$CH$259,18,FALSE)</f>
        <v>966709</v>
      </c>
      <c r="IY129" s="571">
        <f>VLOOKUP($E129,[1]アジアResults1031!$A$1:$CH$259,9,FALSE)</f>
        <v>7</v>
      </c>
      <c r="IZ129" s="570">
        <f>IR129*JF129</f>
        <v>143984253</v>
      </c>
      <c r="JA129" s="570">
        <f>IX129*JF129</f>
        <v>20300889</v>
      </c>
      <c r="JB129" s="570"/>
      <c r="JC129" s="570"/>
      <c r="JD129" s="572">
        <f>IFERROR(INDEX($JO$9:$KW$9, MATCH("準備", JO129:KW129, 0)), "")</f>
        <v>46279</v>
      </c>
      <c r="JE129" s="572" cm="1">
        <f t="array" ref="JE129">IF(COUNTIF(JO129:KW129,"*撤去*")=0,"",INDEX(JO$9:KW$9,1,MAX(IF(JO129:KW129="撤去",COLUMN(JO129:KW129)-COLUMN(JO129)+1))))</f>
        <v>46300</v>
      </c>
      <c r="JF129" s="573">
        <f>JE129-JD129</f>
        <v>21</v>
      </c>
      <c r="JG129" s="574">
        <v>6042740</v>
      </c>
      <c r="JH129" s="575">
        <v>1168200</v>
      </c>
      <c r="JO129" s="507"/>
      <c r="JP129" s="508"/>
      <c r="JQ129" s="508"/>
      <c r="JR129" s="508"/>
      <c r="JS129" s="508"/>
      <c r="JT129" s="508"/>
      <c r="JU129" s="508"/>
      <c r="JV129" s="508"/>
      <c r="JW129" s="508"/>
      <c r="JX129" s="508"/>
      <c r="JY129" s="400" t="s">
        <v>177</v>
      </c>
      <c r="JZ129" s="400" t="s">
        <v>177</v>
      </c>
      <c r="KA129" s="508">
        <v>224</v>
      </c>
      <c r="KB129" s="508">
        <v>224</v>
      </c>
      <c r="KC129" s="508">
        <v>224</v>
      </c>
      <c r="KD129" s="508">
        <v>224</v>
      </c>
      <c r="KE129" s="508">
        <v>224</v>
      </c>
      <c r="KF129" s="508">
        <v>224</v>
      </c>
      <c r="KG129" s="508">
        <v>224</v>
      </c>
      <c r="KH129" s="508">
        <v>224</v>
      </c>
      <c r="KI129" s="508">
        <v>224</v>
      </c>
      <c r="KJ129" s="508">
        <v>0</v>
      </c>
      <c r="KK129" s="508">
        <v>0</v>
      </c>
      <c r="KL129" s="508">
        <v>0</v>
      </c>
      <c r="KM129" s="508">
        <v>208</v>
      </c>
      <c r="KN129" s="508">
        <v>208</v>
      </c>
      <c r="KO129" s="508">
        <v>208</v>
      </c>
      <c r="KP129" s="508">
        <v>208</v>
      </c>
      <c r="KQ129" s="508">
        <v>208</v>
      </c>
      <c r="KR129" s="508">
        <v>208</v>
      </c>
      <c r="KS129" s="508">
        <v>208</v>
      </c>
      <c r="KT129" s="406" t="s">
        <v>178</v>
      </c>
      <c r="KU129" s="508"/>
      <c r="KV129" s="508"/>
      <c r="KW129" s="509"/>
      <c r="KX129" s="277"/>
      <c r="KY129" s="277" cm="1">
        <f t="array" ref="KY129">SUM(IF(ISNUMBER($JO129:$KW129),$JO129:$KW129, 0))</f>
        <v>3472</v>
      </c>
    </row>
    <row r="130" spans="1:398" ht="40" customHeight="1" thickBot="1">
      <c r="B130" s="899"/>
      <c r="C130" s="989"/>
      <c r="D130" s="800"/>
      <c r="E130" s="801" t="s">
        <v>165</v>
      </c>
      <c r="F130" s="802"/>
      <c r="G130" s="803">
        <v>0</v>
      </c>
      <c r="H130" s="803">
        <v>0</v>
      </c>
      <c r="I130" s="803">
        <v>0</v>
      </c>
      <c r="J130" s="803">
        <v>0</v>
      </c>
      <c r="K130" s="803"/>
      <c r="L130" s="803">
        <v>0</v>
      </c>
      <c r="M130" s="804">
        <v>0</v>
      </c>
      <c r="N130" s="805">
        <v>0</v>
      </c>
      <c r="O130" s="805">
        <v>0</v>
      </c>
      <c r="P130" s="804">
        <v>0</v>
      </c>
      <c r="Q130" s="805">
        <v>0</v>
      </c>
      <c r="R130" s="805">
        <v>0</v>
      </c>
      <c r="S130" s="805">
        <v>0</v>
      </c>
      <c r="T130" s="805">
        <v>0</v>
      </c>
      <c r="U130" s="806" t="s">
        <v>165</v>
      </c>
      <c r="V130" s="800"/>
      <c r="W130" s="800"/>
      <c r="X130" s="800"/>
      <c r="Y130" s="800"/>
      <c r="Z130" s="800"/>
      <c r="AA130" s="688" t="s">
        <v>536</v>
      </c>
      <c r="AB130" s="689" t="s">
        <v>529</v>
      </c>
      <c r="AC130" s="690">
        <v>236</v>
      </c>
      <c r="AD130" s="691"/>
      <c r="AE130" s="712"/>
      <c r="AF130" s="692"/>
      <c r="AG130" s="692"/>
      <c r="AH130" s="692"/>
      <c r="AI130" s="692"/>
      <c r="AJ130" s="692"/>
      <c r="AK130" s="692"/>
      <c r="AL130" s="692"/>
      <c r="AM130" s="692"/>
      <c r="AN130" s="692"/>
      <c r="AO130" s="692"/>
      <c r="AP130" s="692"/>
      <c r="AQ130" s="692"/>
      <c r="AR130" s="692"/>
      <c r="AS130" s="713"/>
      <c r="AT130" s="692"/>
      <c r="AU130" s="713"/>
      <c r="AV130" s="692"/>
      <c r="AW130" s="692"/>
      <c r="AX130" s="692"/>
      <c r="AY130" s="692"/>
      <c r="AZ130" s="693"/>
      <c r="BA130" s="693"/>
      <c r="BB130" s="693"/>
      <c r="BC130" s="693"/>
      <c r="BD130" s="693"/>
      <c r="BE130" s="693"/>
      <c r="BF130" s="693"/>
      <c r="BG130" s="693"/>
      <c r="BH130" s="693"/>
      <c r="BI130" s="693"/>
      <c r="BJ130" s="693"/>
      <c r="BK130" s="693"/>
      <c r="BL130" s="693"/>
      <c r="BM130" s="693"/>
      <c r="BN130" s="693"/>
      <c r="BO130" s="692"/>
      <c r="BP130" s="692"/>
      <c r="BQ130" s="692"/>
      <c r="BR130" s="1217"/>
      <c r="BS130" s="1218"/>
      <c r="BT130" s="1219"/>
      <c r="BU130" s="1219"/>
      <c r="BV130" s="696" t="str">
        <f>IFERROR(INDEX($HD$9:$II$9, MATCH("準備", CC130:DK130, 0)), "")</f>
        <v/>
      </c>
      <c r="BW130" s="696" t="str" cm="1">
        <f t="array" ref="BW130">IF(COUNTIF(CC130:DK130,"*撤去*")=0,"",INDEX(CC$9:DK$9,1,MAX(IF(CC130:DK130="撤去",COLUMN(CC130:DK130)-COLUMN(CC130)+1))))</f>
        <v/>
      </c>
      <c r="BX130" s="697"/>
      <c r="BY130" s="820" t="s">
        <v>246</v>
      </c>
      <c r="BZ130" s="821" t="s">
        <v>247</v>
      </c>
      <c r="CA130" s="716"/>
      <c r="CB130" s="716"/>
      <c r="CC130" s="717"/>
      <c r="CD130" s="718"/>
      <c r="CE130" s="718"/>
      <c r="CF130" s="718"/>
      <c r="CG130" s="718"/>
      <c r="CH130" s="718"/>
      <c r="CI130" s="718"/>
      <c r="CJ130" s="718"/>
      <c r="CK130" s="718"/>
      <c r="CL130" s="718"/>
      <c r="CM130" s="904"/>
      <c r="CN130" s="904"/>
      <c r="CO130" s="904"/>
      <c r="CP130" s="904"/>
      <c r="CQ130" s="998"/>
      <c r="CR130" s="902"/>
      <c r="CS130" s="903"/>
      <c r="CT130" s="904"/>
      <c r="CU130" s="904"/>
      <c r="CV130" s="904"/>
      <c r="CW130" s="904"/>
      <c r="CX130" s="904"/>
      <c r="CY130" s="904"/>
      <c r="CZ130" s="904"/>
      <c r="DA130" s="904"/>
      <c r="DB130" s="904"/>
      <c r="DC130" s="904"/>
      <c r="DD130" s="904"/>
      <c r="DE130" s="904"/>
      <c r="DF130" s="998"/>
      <c r="DG130" s="902"/>
      <c r="DH130" s="903"/>
      <c r="DI130" s="718"/>
      <c r="DJ130" s="718"/>
      <c r="DK130" s="721"/>
      <c r="DL130" s="277"/>
      <c r="DM130" s="277"/>
      <c r="DN130" s="277"/>
      <c r="DO130" s="277"/>
      <c r="DP130" s="277"/>
      <c r="DQ130" s="688" t="s">
        <v>537</v>
      </c>
      <c r="DR130" s="689" t="s">
        <v>529</v>
      </c>
      <c r="DS130" s="690">
        <v>240</v>
      </c>
      <c r="DT130" s="691"/>
      <c r="DU130" s="692"/>
      <c r="DV130" s="692"/>
      <c r="DW130" s="693"/>
      <c r="DX130" s="693"/>
      <c r="DY130" s="693"/>
      <c r="DZ130" s="693"/>
      <c r="EA130" s="693"/>
      <c r="EB130" s="693"/>
      <c r="EC130" s="693"/>
      <c r="ED130" s="693"/>
      <c r="EE130" s="693"/>
      <c r="EF130" s="693"/>
      <c r="EG130" s="692"/>
      <c r="EH130" s="692"/>
      <c r="EI130" s="1219"/>
      <c r="EJ130" s="1219"/>
      <c r="EK130" s="696" t="s">
        <v>165</v>
      </c>
      <c r="EL130" s="696" t="s">
        <v>165</v>
      </c>
      <c r="EM130" s="697"/>
      <c r="EN130" s="277"/>
      <c r="EO130" s="688" t="s">
        <v>537</v>
      </c>
      <c r="EP130" s="698" t="s">
        <v>529</v>
      </c>
      <c r="EQ130" s="910">
        <v>240</v>
      </c>
      <c r="ER130" s="700"/>
      <c r="ES130" s="700" t="e">
        <v>#N/A</v>
      </c>
      <c r="ET130" s="700"/>
      <c r="EU130" s="700"/>
      <c r="EV130" s="701" t="s">
        <v>533</v>
      </c>
      <c r="EW130" s="702">
        <v>6.5</v>
      </c>
      <c r="EX130" s="703">
        <v>17</v>
      </c>
      <c r="EY130" s="704" t="s">
        <v>534</v>
      </c>
      <c r="EZ130" s="1004">
        <v>10.8</v>
      </c>
      <c r="FA130" s="706">
        <v>24</v>
      </c>
      <c r="FB130" s="704" t="s">
        <v>189</v>
      </c>
      <c r="FC130" s="705"/>
      <c r="FD130" s="706"/>
      <c r="FE130" s="707" t="s">
        <v>189</v>
      </c>
      <c r="FF130" s="705"/>
      <c r="FG130" s="706"/>
      <c r="FH130" s="707" t="s">
        <v>189</v>
      </c>
      <c r="FI130" s="705"/>
      <c r="FJ130" s="708"/>
      <c r="FK130" s="709"/>
      <c r="FL130" s="710"/>
      <c r="FM130" s="711"/>
      <c r="FN130" s="712"/>
      <c r="FO130" s="692"/>
      <c r="FP130" s="692"/>
      <c r="FQ130" s="692"/>
      <c r="FR130" s="692"/>
      <c r="FS130" s="692"/>
      <c r="FT130" s="692"/>
      <c r="FU130" s="692"/>
      <c r="FV130" s="713"/>
      <c r="FW130" s="692"/>
      <c r="FX130" s="713"/>
      <c r="FY130" s="692"/>
      <c r="FZ130" s="692"/>
      <c r="GA130" s="692"/>
      <c r="GB130" s="692"/>
      <c r="GC130" s="693"/>
      <c r="GD130" s="693"/>
      <c r="GE130" s="693"/>
      <c r="GF130" s="693"/>
      <c r="GG130" s="693"/>
      <c r="GH130" s="693"/>
      <c r="GI130" s="693"/>
      <c r="GJ130" s="693"/>
      <c r="GK130" s="693"/>
      <c r="GL130" s="693"/>
      <c r="GM130" s="693"/>
      <c r="GN130" s="693"/>
      <c r="GO130" s="693"/>
      <c r="GP130" s="693"/>
      <c r="GQ130" s="693"/>
      <c r="GR130" s="692"/>
      <c r="GS130" s="692"/>
      <c r="GT130" s="1218"/>
      <c r="GU130" s="1219"/>
      <c r="GV130" s="1219"/>
      <c r="GW130" s="696" t="s">
        <v>165</v>
      </c>
      <c r="GX130" s="696" t="s">
        <v>165</v>
      </c>
      <c r="GY130" s="697"/>
      <c r="GZ130" s="715"/>
      <c r="HA130" s="716"/>
      <c r="HB130" s="716"/>
      <c r="HC130" s="716"/>
      <c r="HD130" s="717"/>
      <c r="HE130" s="718"/>
      <c r="HF130" s="718"/>
      <c r="HG130" s="718"/>
      <c r="HH130" s="718"/>
      <c r="HI130" s="718"/>
      <c r="HJ130" s="718"/>
      <c r="HK130" s="718"/>
      <c r="HL130" s="718"/>
      <c r="HM130" s="718"/>
      <c r="HN130" s="718"/>
      <c r="HO130" s="718"/>
      <c r="HP130" s="718"/>
      <c r="HQ130" s="718"/>
      <c r="HR130" s="719"/>
      <c r="HS130" s="720"/>
      <c r="HT130" s="717"/>
      <c r="HU130" s="718"/>
      <c r="HV130" s="718"/>
      <c r="HW130" s="718"/>
      <c r="HX130" s="718"/>
      <c r="HY130" s="718"/>
      <c r="HZ130" s="718"/>
      <c r="IA130" s="718"/>
      <c r="IB130" s="718"/>
      <c r="IC130" s="718"/>
      <c r="ID130" s="718"/>
      <c r="IE130" s="718"/>
      <c r="IF130" s="718"/>
      <c r="IG130" s="719"/>
      <c r="IH130" s="720"/>
      <c r="II130" s="717"/>
      <c r="IJ130" s="718"/>
      <c r="IK130" s="718"/>
      <c r="IL130" s="721"/>
      <c r="IM130" s="277"/>
      <c r="IN130" s="277"/>
      <c r="IO130" s="333"/>
      <c r="IP130" s="334"/>
      <c r="IQ130" s="541"/>
      <c r="IR130" s="722"/>
      <c r="IS130" s="723"/>
      <c r="IT130" s="723"/>
      <c r="IU130" s="723"/>
      <c r="IV130" s="723"/>
      <c r="IW130" s="723"/>
      <c r="IX130" s="724"/>
      <c r="IY130" s="724"/>
      <c r="IZ130" s="723"/>
      <c r="JA130" s="723"/>
      <c r="JB130" s="723"/>
      <c r="JC130" s="723"/>
      <c r="JD130" s="725"/>
      <c r="JE130" s="725"/>
      <c r="JF130" s="726"/>
      <c r="JG130" s="727"/>
      <c r="JH130" s="728"/>
      <c r="JO130" s="507"/>
      <c r="JP130" s="508"/>
      <c r="JQ130" s="508"/>
      <c r="JR130" s="508"/>
      <c r="JS130" s="508"/>
      <c r="JT130" s="508"/>
      <c r="JU130" s="508"/>
      <c r="JV130" s="508"/>
      <c r="JW130" s="508"/>
      <c r="JX130" s="508"/>
      <c r="JY130" s="508"/>
      <c r="JZ130" s="508"/>
      <c r="KA130" s="508"/>
      <c r="KB130" s="508"/>
      <c r="KC130" s="508"/>
      <c r="KD130" s="508"/>
      <c r="KE130" s="508"/>
      <c r="KF130" s="508"/>
      <c r="KG130" s="508"/>
      <c r="KH130" s="508"/>
      <c r="KI130" s="508"/>
      <c r="KJ130" s="508"/>
      <c r="KK130" s="508"/>
      <c r="KL130" s="508"/>
      <c r="KM130" s="508"/>
      <c r="KN130" s="508"/>
      <c r="KO130" s="508"/>
      <c r="KP130" s="508"/>
      <c r="KQ130" s="508"/>
      <c r="KR130" s="508"/>
      <c r="KS130" s="508"/>
      <c r="KT130" s="508"/>
      <c r="KU130" s="508"/>
      <c r="KV130" s="508"/>
      <c r="KW130" s="509"/>
      <c r="KX130" s="277"/>
      <c r="KY130" s="277"/>
    </row>
    <row r="131" spans="1:398" ht="40" customHeight="1">
      <c r="B131" s="299" t="s">
        <v>538</v>
      </c>
      <c r="C131" s="241" t="s">
        <v>539</v>
      </c>
      <c r="D131" s="242">
        <v>32</v>
      </c>
      <c r="E131" s="243">
        <v>2026</v>
      </c>
      <c r="F131" s="946" t="s">
        <v>540</v>
      </c>
      <c r="G131" s="246">
        <v>158</v>
      </c>
      <c r="H131" s="249">
        <v>350</v>
      </c>
      <c r="I131" s="249">
        <v>137</v>
      </c>
      <c r="J131" s="249">
        <v>347</v>
      </c>
      <c r="K131" s="245" t="s">
        <v>541</v>
      </c>
      <c r="L131" s="249">
        <v>333</v>
      </c>
      <c r="M131" s="300">
        <v>14</v>
      </c>
      <c r="N131" s="251" t="s">
        <v>318</v>
      </c>
      <c r="O131" s="251" t="s">
        <v>168</v>
      </c>
      <c r="P131" s="300">
        <v>150</v>
      </c>
      <c r="Q131" s="1051" t="s">
        <v>170</v>
      </c>
      <c r="R131" s="251" t="s">
        <v>169</v>
      </c>
      <c r="S131" s="251" t="s">
        <v>170</v>
      </c>
      <c r="T131" s="251" t="s">
        <v>416</v>
      </c>
      <c r="U131" s="301" t="s">
        <v>169</v>
      </c>
      <c r="V131" s="242" t="s">
        <v>172</v>
      </c>
      <c r="W131" s="242"/>
      <c r="X131" s="592" t="s">
        <v>292</v>
      </c>
      <c r="Y131" s="592" t="s">
        <v>292</v>
      </c>
      <c r="Z131" s="242"/>
      <c r="AA131" s="253" t="s">
        <v>542</v>
      </c>
      <c r="AB131" s="254" t="s">
        <v>543</v>
      </c>
      <c r="AC131" s="255">
        <v>324</v>
      </c>
      <c r="AD131" s="256">
        <f>SUM(AC131,AC132)</f>
        <v>324</v>
      </c>
      <c r="AE131" s="257" t="s">
        <v>175</v>
      </c>
      <c r="AF131" s="550" t="s">
        <v>296</v>
      </c>
      <c r="AG131" s="467">
        <f>FP131</f>
        <v>7361667.5000000009</v>
      </c>
      <c r="AH131" s="468">
        <f>FQ131</f>
        <v>4100</v>
      </c>
      <c r="AI131" s="468">
        <f>FR131</f>
        <v>0</v>
      </c>
      <c r="AJ131" s="469">
        <v>0.98599999999999999</v>
      </c>
      <c r="AK131" s="468">
        <f>ROUNDUP(25836*1.1,0)</f>
        <v>28420</v>
      </c>
      <c r="AL131" s="552">
        <v>0.83</v>
      </c>
      <c r="AM131" s="468">
        <f>ROUNDUP(15698*1.1,0)</f>
        <v>17268</v>
      </c>
      <c r="AN131" s="626" t="s">
        <v>308</v>
      </c>
      <c r="AO131" s="468">
        <f>2300*1.1</f>
        <v>2530</v>
      </c>
      <c r="AP131" s="467">
        <f t="shared" ref="AP131:AQ131" si="15">FS131</f>
        <v>137</v>
      </c>
      <c r="AQ131" s="467">
        <f t="shared" si="15"/>
        <v>347</v>
      </c>
      <c r="AR131" s="474">
        <f>DM131/(BX131-2)</f>
        <v>324</v>
      </c>
      <c r="AS131" s="475">
        <f>AG131/AR131</f>
        <v>22721.195987654322</v>
      </c>
      <c r="AT131" s="476">
        <f>AG131/AP131</f>
        <v>53734.799270073003</v>
      </c>
      <c r="AU131" s="475">
        <f>AG131/AQ131</f>
        <v>21215.180115273779</v>
      </c>
      <c r="AV131" s="477">
        <v>26000</v>
      </c>
      <c r="AW131" s="477">
        <v>48000</v>
      </c>
      <c r="AX131" s="467">
        <f>GA131</f>
        <v>3768055.5000000005</v>
      </c>
      <c r="AY131" s="467">
        <f>GB131</f>
        <v>13</v>
      </c>
      <c r="AZ131" s="478">
        <f>GC131</f>
        <v>164231155</v>
      </c>
      <c r="BA131" s="478">
        <f>GD131</f>
        <v>135026606</v>
      </c>
      <c r="BB131" s="478"/>
      <c r="BC131" s="478">
        <f>AH131*DM131</f>
        <v>27896400</v>
      </c>
      <c r="BD131" s="479">
        <f>1.1*(95740125-30831500)</f>
        <v>71399487.5</v>
      </c>
      <c r="BE131" s="479">
        <f>BD131-21000*DM131*0.6</f>
        <v>-14330912.5</v>
      </c>
      <c r="BF131" s="479">
        <f>1.1*54211992</f>
        <v>59633191.200000003</v>
      </c>
      <c r="BG131" s="479">
        <f>BF131-0</f>
        <v>59633191.200000003</v>
      </c>
      <c r="BH131" s="479">
        <f>1.1*1646400</f>
        <v>1811040.0000000002</v>
      </c>
      <c r="BI131" s="480">
        <f>350*DM131</f>
        <v>2381400</v>
      </c>
      <c r="BJ131" s="480">
        <f>GK131</f>
        <v>0</v>
      </c>
      <c r="BK131" s="480">
        <f>BM131*5000*BX131</f>
        <v>575000</v>
      </c>
      <c r="BL131" s="480">
        <f>1800000*BN131*BX131</f>
        <v>207000000</v>
      </c>
      <c r="BM131" s="480">
        <f>GP131</f>
        <v>5</v>
      </c>
      <c r="BN131" s="480">
        <f>GQ131</f>
        <v>5</v>
      </c>
      <c r="BO131" s="481"/>
      <c r="BP131" s="481">
        <f>SUM(AZ131,BA131,BI131,BO131)</f>
        <v>301639161</v>
      </c>
      <c r="BQ131" s="481">
        <f>BP131-GR131</f>
        <v>337050</v>
      </c>
      <c r="BR131" s="554"/>
      <c r="BS131" s="555" t="s">
        <v>175</v>
      </c>
      <c r="BT131" s="484">
        <f>GU131</f>
        <v>46277</v>
      </c>
      <c r="BU131" s="484">
        <f>GV131</f>
        <v>46300</v>
      </c>
      <c r="BV131" s="666">
        <f>IFERROR(INDEX($BY$9:$DH$9, MATCH("準備", BY131:DK131, 0)), "")</f>
        <v>46277</v>
      </c>
      <c r="BW131" s="667" cm="1">
        <f t="array" ref="BW131">IF(COUNTIF(BY131:DK131,"*撤去*")=0,"",INDEX(BY$9:DK$9,1,MAX(IF(CC131:DK131="撤去",COLUMN(CC131:DK131)-COLUMN(BY131)+1))))</f>
        <v>46300</v>
      </c>
      <c r="BX131" s="663">
        <f>BW131-BV131</f>
        <v>23</v>
      </c>
      <c r="BY131" s="596">
        <v>0</v>
      </c>
      <c r="BZ131" s="597">
        <v>0</v>
      </c>
      <c r="CA131" s="597">
        <v>0</v>
      </c>
      <c r="CB131" s="597">
        <v>0</v>
      </c>
      <c r="CC131" s="975">
        <v>0</v>
      </c>
      <c r="CD131" s="976">
        <v>0</v>
      </c>
      <c r="CE131" s="976">
        <v>0</v>
      </c>
      <c r="CF131" s="976">
        <v>0</v>
      </c>
      <c r="CG131" s="976">
        <v>0</v>
      </c>
      <c r="CH131" s="976">
        <v>0</v>
      </c>
      <c r="CI131" s="976">
        <v>0</v>
      </c>
      <c r="CJ131" s="976">
        <v>0</v>
      </c>
      <c r="CK131" s="400" t="s">
        <v>177</v>
      </c>
      <c r="CL131" s="400" t="s">
        <v>177</v>
      </c>
      <c r="CM131" s="976">
        <v>324</v>
      </c>
      <c r="CN131" s="976">
        <v>324</v>
      </c>
      <c r="CO131" s="976">
        <v>324</v>
      </c>
      <c r="CP131" s="976">
        <v>324</v>
      </c>
      <c r="CQ131" s="976">
        <v>324</v>
      </c>
      <c r="CR131" s="1014">
        <v>324</v>
      </c>
      <c r="CS131" s="975">
        <v>324</v>
      </c>
      <c r="CT131" s="976">
        <v>324</v>
      </c>
      <c r="CU131" s="976">
        <v>324</v>
      </c>
      <c r="CV131" s="976">
        <v>324</v>
      </c>
      <c r="CW131" s="976">
        <v>324</v>
      </c>
      <c r="CX131" s="976">
        <v>324</v>
      </c>
      <c r="CY131" s="976">
        <v>324</v>
      </c>
      <c r="CZ131" s="976">
        <v>324</v>
      </c>
      <c r="DA131" s="976">
        <v>324</v>
      </c>
      <c r="DB131" s="976">
        <v>324</v>
      </c>
      <c r="DC131" s="976">
        <v>324</v>
      </c>
      <c r="DD131" s="976">
        <v>324</v>
      </c>
      <c r="DE131" s="976">
        <v>324</v>
      </c>
      <c r="DF131" s="976">
        <v>324</v>
      </c>
      <c r="DG131" s="1220">
        <v>324</v>
      </c>
      <c r="DH131" s="603" t="s">
        <v>178</v>
      </c>
      <c r="DI131" s="976">
        <v>0</v>
      </c>
      <c r="DJ131" s="976">
        <v>0</v>
      </c>
      <c r="DK131" s="981">
        <v>0</v>
      </c>
      <c r="DL131" s="1016"/>
      <c r="DM131" s="277" cm="1">
        <f t="array" ref="DM131">SUM(IF(ISNUMBER($BY131:$DK131),$BY131:$DK131, 0))</f>
        <v>6804</v>
      </c>
      <c r="DN131" s="277">
        <v>6480</v>
      </c>
      <c r="DO131" s="277">
        <f>DM131*(BX131)/(BX131+1)</f>
        <v>6520.5</v>
      </c>
      <c r="DP131" s="277"/>
      <c r="DQ131" s="253" t="s">
        <v>544</v>
      </c>
      <c r="DR131" s="254" t="s">
        <v>543</v>
      </c>
      <c r="DS131" s="255">
        <v>324</v>
      </c>
      <c r="DT131" s="256">
        <f>SUM(DS131,DS132)</f>
        <v>324</v>
      </c>
      <c r="DU131" s="467">
        <v>7361667.5000000009</v>
      </c>
      <c r="DV131" s="467">
        <v>3768055.5000000005</v>
      </c>
      <c r="DW131" s="478">
        <v>164231155</v>
      </c>
      <c r="DX131" s="478">
        <v>135026606</v>
      </c>
      <c r="DY131" s="478">
        <v>0</v>
      </c>
      <c r="DZ131" s="478">
        <v>116021808</v>
      </c>
      <c r="EA131" s="478">
        <v>46996588.800000004</v>
      </c>
      <c r="EB131" s="478">
        <v>5164236</v>
      </c>
      <c r="EC131" s="480">
        <v>2381400</v>
      </c>
      <c r="ED131" s="480">
        <v>0</v>
      </c>
      <c r="EE131" s="480">
        <v>575000</v>
      </c>
      <c r="EF131" s="480">
        <v>207000000</v>
      </c>
      <c r="EG131" s="481"/>
      <c r="EH131" s="481">
        <v>301639161</v>
      </c>
      <c r="EI131" s="484">
        <v>46277</v>
      </c>
      <c r="EJ131" s="484">
        <v>46300</v>
      </c>
      <c r="EK131" s="666">
        <v>46277</v>
      </c>
      <c r="EL131" s="667">
        <v>46300</v>
      </c>
      <c r="EM131" s="663">
        <v>23</v>
      </c>
      <c r="EN131" s="277"/>
      <c r="EO131" s="253" t="s">
        <v>544</v>
      </c>
      <c r="EP131" s="278" t="s">
        <v>543</v>
      </c>
      <c r="EQ131" s="279">
        <v>189</v>
      </c>
      <c r="ER131" s="323">
        <v>333</v>
      </c>
      <c r="ES131" s="245">
        <v>321</v>
      </c>
      <c r="ET131" s="245">
        <v>297</v>
      </c>
      <c r="EU131" s="245">
        <v>168</v>
      </c>
      <c r="EV131" s="281" t="s">
        <v>545</v>
      </c>
      <c r="EW131" s="282">
        <v>13.1</v>
      </c>
      <c r="EX131" s="283">
        <v>25</v>
      </c>
      <c r="EY131" s="284" t="s">
        <v>546</v>
      </c>
      <c r="EZ131" s="285">
        <v>13.2</v>
      </c>
      <c r="FA131" s="286">
        <v>24</v>
      </c>
      <c r="FB131" s="284" t="s">
        <v>547</v>
      </c>
      <c r="FC131" s="285">
        <v>10.8</v>
      </c>
      <c r="FD131" s="286">
        <v>20</v>
      </c>
      <c r="FE131" s="287" t="s">
        <v>189</v>
      </c>
      <c r="FF131" s="285"/>
      <c r="FG131" s="286"/>
      <c r="FH131" s="287" t="s">
        <v>189</v>
      </c>
      <c r="FI131" s="285"/>
      <c r="FJ131" s="288"/>
      <c r="FK131" s="289">
        <v>29</v>
      </c>
      <c r="FL131" s="290">
        <v>8.2857142857142851E-2</v>
      </c>
      <c r="FM131" s="291" t="s">
        <v>548</v>
      </c>
      <c r="FN131" s="561" t="s">
        <v>300</v>
      </c>
      <c r="FO131" s="550" t="s">
        <v>296</v>
      </c>
      <c r="FP131" s="562">
        <v>7361667.5000000009</v>
      </c>
      <c r="FQ131" s="1203">
        <v>4100</v>
      </c>
      <c r="FR131" s="468">
        <v>0</v>
      </c>
      <c r="FS131" s="562">
        <v>137</v>
      </c>
      <c r="FT131" s="965">
        <v>347</v>
      </c>
      <c r="FU131" s="261">
        <v>233.64</v>
      </c>
      <c r="FV131" s="394">
        <v>31508.592278719403</v>
      </c>
      <c r="FW131" s="390">
        <v>53734.799270073003</v>
      </c>
      <c r="FX131" s="394">
        <v>21215.180115273779</v>
      </c>
      <c r="FY131" s="395">
        <v>28236</v>
      </c>
      <c r="FZ131" s="395">
        <v>45883</v>
      </c>
      <c r="GA131" s="562">
        <v>3768055.5000000005</v>
      </c>
      <c r="GB131" s="562">
        <v>13</v>
      </c>
      <c r="GC131" s="565">
        <v>164231155</v>
      </c>
      <c r="GD131" s="565">
        <v>135026606</v>
      </c>
      <c r="GE131" s="565">
        <v>164231155</v>
      </c>
      <c r="GF131" s="565">
        <v>134588283.5</v>
      </c>
      <c r="GG131" s="478">
        <v>0</v>
      </c>
      <c r="GH131" s="478">
        <v>-438322.5</v>
      </c>
      <c r="GI131" s="478">
        <v>0</v>
      </c>
      <c r="GJ131" s="565">
        <v>2044350</v>
      </c>
      <c r="GK131" s="566"/>
      <c r="GL131" s="566"/>
      <c r="GM131" s="480">
        <v>0</v>
      </c>
      <c r="GN131" s="480">
        <v>350000</v>
      </c>
      <c r="GO131" s="480">
        <v>243000000</v>
      </c>
      <c r="GP131" s="566">
        <v>5</v>
      </c>
      <c r="GQ131" s="566">
        <v>5</v>
      </c>
      <c r="GR131" s="966">
        <v>301302111</v>
      </c>
      <c r="GS131" s="567">
        <v>-190478709</v>
      </c>
      <c r="GT131" s="555" t="s">
        <v>175</v>
      </c>
      <c r="GU131" s="568">
        <v>46277</v>
      </c>
      <c r="GV131" s="568">
        <v>46300</v>
      </c>
      <c r="GW131" s="666">
        <v>46273</v>
      </c>
      <c r="GX131" s="667">
        <v>46300</v>
      </c>
      <c r="GY131" s="663">
        <v>27</v>
      </c>
      <c r="GZ131" s="596">
        <v>0</v>
      </c>
      <c r="HA131" s="597">
        <v>0</v>
      </c>
      <c r="HB131" s="597">
        <v>0</v>
      </c>
      <c r="HC131" s="597">
        <v>0</v>
      </c>
      <c r="HD131" s="975">
        <v>0</v>
      </c>
      <c r="HE131" s="976">
        <v>0</v>
      </c>
      <c r="HF131" s="976">
        <v>0</v>
      </c>
      <c r="HG131" s="976">
        <v>0</v>
      </c>
      <c r="HH131" s="400" t="s">
        <v>177</v>
      </c>
      <c r="HI131" s="400" t="s">
        <v>177</v>
      </c>
      <c r="HJ131" s="976">
        <v>144</v>
      </c>
      <c r="HK131" s="976">
        <v>144</v>
      </c>
      <c r="HL131" s="664">
        <v>144</v>
      </c>
      <c r="HM131" s="664">
        <v>144</v>
      </c>
      <c r="HN131" s="976">
        <v>333</v>
      </c>
      <c r="HO131" s="976">
        <v>333</v>
      </c>
      <c r="HP131" s="976">
        <v>333</v>
      </c>
      <c r="HQ131" s="976">
        <v>333</v>
      </c>
      <c r="HR131" s="976">
        <v>333</v>
      </c>
      <c r="HS131" s="1014">
        <v>333</v>
      </c>
      <c r="HT131" s="975">
        <v>333</v>
      </c>
      <c r="HU131" s="976">
        <v>333</v>
      </c>
      <c r="HV131" s="976">
        <v>333</v>
      </c>
      <c r="HW131" s="976">
        <v>189</v>
      </c>
      <c r="HX131" s="976">
        <v>189</v>
      </c>
      <c r="HY131" s="976">
        <v>189</v>
      </c>
      <c r="HZ131" s="976">
        <v>189</v>
      </c>
      <c r="IA131" s="976">
        <v>189</v>
      </c>
      <c r="IB131" s="976">
        <v>189</v>
      </c>
      <c r="IC131" s="976">
        <v>189</v>
      </c>
      <c r="ID131" s="976">
        <v>189</v>
      </c>
      <c r="IE131" s="976">
        <v>189</v>
      </c>
      <c r="IF131" s="976">
        <v>189</v>
      </c>
      <c r="IG131" s="976">
        <v>189</v>
      </c>
      <c r="IH131" s="1014">
        <v>189</v>
      </c>
      <c r="II131" s="603" t="s">
        <v>178</v>
      </c>
      <c r="IJ131" s="976">
        <v>0</v>
      </c>
      <c r="IK131" s="976">
        <v>0</v>
      </c>
      <c r="IL131" s="981">
        <v>0</v>
      </c>
      <c r="IM131" s="1016"/>
      <c r="IN131" s="277" cm="1">
        <f t="array" ref="IN131">SUM(IF(ISNUMBER($HD131:$IL131),$HD131:$IL131, 0))</f>
        <v>5841</v>
      </c>
      <c r="IO131" s="333"/>
      <c r="IP131" s="334"/>
      <c r="IQ131" s="541"/>
      <c r="IR131" s="569">
        <f>VLOOKUP($E131,[1]アジアResults1031!$A$1:$CH$259,23,FALSE)</f>
        <v>3367366</v>
      </c>
      <c r="IS131" s="570">
        <f>VLOOKUP($E131,[1]アジアResults1031!$A$1:$CH$259,32,FALSE)</f>
        <v>93</v>
      </c>
      <c r="IT131" s="570">
        <f>KY131/(GY131-2)</f>
        <v>141.12</v>
      </c>
      <c r="IU131" s="570">
        <f>IR131/IT131</f>
        <v>23861.720521541949</v>
      </c>
      <c r="IV131" s="570">
        <f>VLOOKUP(E131,[1]アジアResults1031!$A$1:$CH$264,26,FALSE)</f>
        <v>28236</v>
      </c>
      <c r="IW131" s="570">
        <f>VLOOKUP(E131,[1]アジアResults1031!$A$1:$CH$264,27,FALSE)</f>
        <v>45883</v>
      </c>
      <c r="IX131" s="571">
        <f>VLOOKUP($E131,[1]アジアResults1031!$A$1:$CH$259,18,FALSE)</f>
        <v>1362158</v>
      </c>
      <c r="IY131" s="571">
        <f>VLOOKUP($E131,[1]アジアResults1031!$A$1:$CH$259,9,FALSE)</f>
        <v>4</v>
      </c>
      <c r="IZ131" s="570">
        <f>IR131*JF131</f>
        <v>77449418</v>
      </c>
      <c r="JA131" s="570">
        <f>IX131*JF131</f>
        <v>31329634</v>
      </c>
      <c r="JB131" s="570"/>
      <c r="JC131" s="570"/>
      <c r="JD131" s="572">
        <f>IFERROR(INDEX($JO$9:$KW$9, MATCH("準備", JO131:KW131, 0)), "")</f>
        <v>46277</v>
      </c>
      <c r="JE131" s="572" cm="1">
        <f t="array" ref="JE131">IF(COUNTIF(JO131:KW131,"*撤去*")=0,"",INDEX(JO$9:KW$9,1,MAX(IF(JO131:KW131="撤去",COLUMN(JO131:KW131)-COLUMN(JO131)+1))))</f>
        <v>46300</v>
      </c>
      <c r="JF131" s="573">
        <f>JE131-JD131</f>
        <v>23</v>
      </c>
      <c r="JG131" s="503">
        <v>5734345</v>
      </c>
      <c r="JH131" s="506">
        <v>2552747</v>
      </c>
      <c r="JO131" s="507"/>
      <c r="JP131" s="508"/>
      <c r="JQ131" s="508"/>
      <c r="JR131" s="508"/>
      <c r="JS131" s="508"/>
      <c r="JT131" s="508"/>
      <c r="JU131" s="508"/>
      <c r="JV131" s="508"/>
      <c r="JW131" s="400" t="s">
        <v>177</v>
      </c>
      <c r="JX131" s="400" t="s">
        <v>177</v>
      </c>
      <c r="JY131" s="508">
        <v>168</v>
      </c>
      <c r="JZ131" s="508">
        <v>168</v>
      </c>
      <c r="KA131" s="508">
        <v>168</v>
      </c>
      <c r="KB131" s="508">
        <v>168</v>
      </c>
      <c r="KC131" s="508">
        <v>168</v>
      </c>
      <c r="KD131" s="508">
        <v>168</v>
      </c>
      <c r="KE131" s="508">
        <v>168</v>
      </c>
      <c r="KF131" s="508">
        <v>168</v>
      </c>
      <c r="KG131" s="508">
        <v>168</v>
      </c>
      <c r="KH131" s="508">
        <v>168</v>
      </c>
      <c r="KI131" s="508">
        <v>168</v>
      </c>
      <c r="KJ131" s="508">
        <v>168</v>
      </c>
      <c r="KK131" s="508">
        <v>168</v>
      </c>
      <c r="KL131" s="508">
        <v>168</v>
      </c>
      <c r="KM131" s="508">
        <v>168</v>
      </c>
      <c r="KN131" s="508">
        <v>168</v>
      </c>
      <c r="KO131" s="508">
        <v>168</v>
      </c>
      <c r="KP131" s="508">
        <v>168</v>
      </c>
      <c r="KQ131" s="508">
        <v>168</v>
      </c>
      <c r="KR131" s="508">
        <v>168</v>
      </c>
      <c r="KS131" s="508">
        <v>168</v>
      </c>
      <c r="KT131" s="406" t="s">
        <v>178</v>
      </c>
      <c r="KU131" s="508"/>
      <c r="KV131" s="508"/>
      <c r="KW131" s="509"/>
      <c r="KX131" s="1016"/>
      <c r="KY131" s="277" cm="1">
        <f t="array" ref="KY131">SUM(IF(ISNUMBER($JO131:$KW131),$JO131:$KW131, 0))</f>
        <v>3528</v>
      </c>
    </row>
    <row r="132" spans="1:398" s="547" customFormat="1" ht="40" customHeight="1" thickBot="1">
      <c r="A132" s="1"/>
      <c r="B132" s="299"/>
      <c r="C132" s="241"/>
      <c r="D132" s="242"/>
      <c r="E132" s="243" t="s">
        <v>165</v>
      </c>
      <c r="F132" s="244"/>
      <c r="G132" s="246">
        <v>0</v>
      </c>
      <c r="H132" s="1221" t="s">
        <v>549</v>
      </c>
      <c r="I132" s="1221">
        <v>0</v>
      </c>
      <c r="J132" s="1221">
        <v>0</v>
      </c>
      <c r="K132" s="1221"/>
      <c r="L132" s="1221">
        <v>0</v>
      </c>
      <c r="M132" s="300">
        <v>0</v>
      </c>
      <c r="N132" s="251">
        <v>0</v>
      </c>
      <c r="O132" s="251">
        <v>0</v>
      </c>
      <c r="P132" s="300">
        <v>0</v>
      </c>
      <c r="Q132" s="1051">
        <v>0</v>
      </c>
      <c r="R132" s="251">
        <v>0</v>
      </c>
      <c r="S132" s="251">
        <v>0</v>
      </c>
      <c r="T132" s="251">
        <v>0</v>
      </c>
      <c r="U132" s="301" t="s">
        <v>165</v>
      </c>
      <c r="V132" s="242"/>
      <c r="W132" s="242"/>
      <c r="X132" s="242"/>
      <c r="Y132" s="242"/>
      <c r="Z132" s="242"/>
      <c r="AA132" s="1188"/>
      <c r="AB132" s="764" t="s">
        <v>170</v>
      </c>
      <c r="AC132" s="765">
        <v>0</v>
      </c>
      <c r="AD132" s="256"/>
      <c r="AE132" s="305"/>
      <c r="AF132" s="306"/>
      <c r="AG132" s="306"/>
      <c r="AH132" s="306"/>
      <c r="AI132" s="306"/>
      <c r="AJ132" s="306"/>
      <c r="AK132" s="306"/>
      <c r="AL132" s="306"/>
      <c r="AM132" s="306"/>
      <c r="AN132" s="306"/>
      <c r="AO132" s="306"/>
      <c r="AP132" s="306"/>
      <c r="AQ132" s="306"/>
      <c r="AR132" s="306"/>
      <c r="AS132" s="308"/>
      <c r="AT132" s="306"/>
      <c r="AU132" s="308"/>
      <c r="AV132" s="306"/>
      <c r="AW132" s="306"/>
      <c r="AX132" s="306"/>
      <c r="AY132" s="306"/>
      <c r="AZ132" s="672"/>
      <c r="BA132" s="672"/>
      <c r="BB132" s="672"/>
      <c r="BC132" s="672"/>
      <c r="BD132" s="672"/>
      <c r="BE132" s="672"/>
      <c r="BF132" s="672"/>
      <c r="BG132" s="672"/>
      <c r="BH132" s="672"/>
      <c r="BI132" s="672"/>
      <c r="BJ132" s="672"/>
      <c r="BK132" s="672"/>
      <c r="BL132" s="672"/>
      <c r="BM132" s="672"/>
      <c r="BN132" s="672"/>
      <c r="BO132" s="306"/>
      <c r="BP132" s="306"/>
      <c r="BQ132" s="306"/>
      <c r="BR132" s="309"/>
      <c r="BS132" s="311"/>
      <c r="BT132" s="1222"/>
      <c r="BU132" s="1222"/>
      <c r="BV132" s="677" t="str">
        <f>IFERROR(INDEX($HD$9:$II$9, MATCH("準備", CC132:DK132, 0)), "")</f>
        <v/>
      </c>
      <c r="BW132" s="677" t="str" cm="1">
        <f t="array" ref="BW132">IF(COUNTIF(CC132:DK132,"*撤去*")=0,"",INDEX(CC$9:DK$9,1,MAX(IF(CC132:DK132="撤去",COLUMN(CC132:DK132)-COLUMN(CC132)+1))))</f>
        <v/>
      </c>
      <c r="BX132" s="678"/>
      <c r="BY132" s="360" t="s">
        <v>246</v>
      </c>
      <c r="BZ132" s="361" t="s">
        <v>247</v>
      </c>
      <c r="CA132" s="681"/>
      <c r="CB132" s="681"/>
      <c r="CC132" s="1223"/>
      <c r="CD132" s="318"/>
      <c r="CE132" s="318"/>
      <c r="CF132" s="318"/>
      <c r="CG132" s="318"/>
      <c r="CH132" s="318"/>
      <c r="CI132" s="318"/>
      <c r="CJ132" s="318"/>
      <c r="CK132" s="363"/>
      <c r="CL132" s="363"/>
      <c r="CM132" s="363"/>
      <c r="CN132" s="363"/>
      <c r="CO132" s="363"/>
      <c r="CP132" s="363"/>
      <c r="CQ132" s="364"/>
      <c r="CR132" s="365"/>
      <c r="CS132" s="366"/>
      <c r="CT132" s="363"/>
      <c r="CU132" s="363"/>
      <c r="CV132" s="363"/>
      <c r="CW132" s="363"/>
      <c r="CX132" s="363"/>
      <c r="CY132" s="363"/>
      <c r="CZ132" s="363"/>
      <c r="DA132" s="363"/>
      <c r="DB132" s="363"/>
      <c r="DC132" s="363"/>
      <c r="DD132" s="363"/>
      <c r="DE132" s="363"/>
      <c r="DF132" s="364"/>
      <c r="DG132" s="365"/>
      <c r="DH132" s="366"/>
      <c r="DI132" s="318"/>
      <c r="DJ132" s="318"/>
      <c r="DK132" s="320"/>
      <c r="DL132" s="1016"/>
      <c r="DM132" s="1016"/>
      <c r="DN132" s="1016"/>
      <c r="DO132" s="1016"/>
      <c r="DP132" s="1016"/>
      <c r="DQ132" s="1188"/>
      <c r="DR132" s="764"/>
      <c r="DS132" s="765"/>
      <c r="DT132" s="256"/>
      <c r="DU132" s="306"/>
      <c r="DV132" s="306"/>
      <c r="DW132" s="672"/>
      <c r="DX132" s="672"/>
      <c r="DY132" s="672"/>
      <c r="DZ132" s="672"/>
      <c r="EA132" s="672"/>
      <c r="EB132" s="672"/>
      <c r="EC132" s="672"/>
      <c r="ED132" s="672"/>
      <c r="EE132" s="672"/>
      <c r="EF132" s="672"/>
      <c r="EG132" s="306"/>
      <c r="EH132" s="306"/>
      <c r="EI132" s="1222"/>
      <c r="EJ132" s="1222"/>
      <c r="EK132" s="677" t="s">
        <v>165</v>
      </c>
      <c r="EL132" s="677" t="s">
        <v>165</v>
      </c>
      <c r="EM132" s="678"/>
      <c r="EN132" s="1016"/>
      <c r="EO132" s="763" t="s">
        <v>550</v>
      </c>
      <c r="EP132" s="1032" t="s">
        <v>539</v>
      </c>
      <c r="EQ132" s="1033">
        <v>144</v>
      </c>
      <c r="ER132" s="323"/>
      <c r="ES132" s="323" t="e">
        <v>#N/A</v>
      </c>
      <c r="ET132" s="323"/>
      <c r="EU132" s="323"/>
      <c r="EV132" s="1027" t="s">
        <v>551</v>
      </c>
      <c r="EW132" s="453">
        <v>1.5</v>
      </c>
      <c r="EX132" s="454">
        <v>6</v>
      </c>
      <c r="EY132" s="879" t="s">
        <v>552</v>
      </c>
      <c r="EZ132" s="456">
        <v>19.100000000000001</v>
      </c>
      <c r="FA132" s="457">
        <v>33</v>
      </c>
      <c r="FB132" s="879" t="s">
        <v>553</v>
      </c>
      <c r="FC132" s="880">
        <v>1.6</v>
      </c>
      <c r="FD132" s="881">
        <v>6</v>
      </c>
      <c r="FE132" s="882" t="s">
        <v>189</v>
      </c>
      <c r="FF132" s="880"/>
      <c r="FG132" s="881"/>
      <c r="FH132" s="882" t="s">
        <v>189</v>
      </c>
      <c r="FI132" s="880"/>
      <c r="FJ132" s="883"/>
      <c r="FK132" s="375"/>
      <c r="FL132" s="290"/>
      <c r="FM132" s="332"/>
      <c r="FN132" s="305"/>
      <c r="FO132" s="306"/>
      <c r="FP132" s="306"/>
      <c r="FQ132" s="306"/>
      <c r="FR132" s="306"/>
      <c r="FS132" s="306"/>
      <c r="FT132" s="306"/>
      <c r="FU132" s="306"/>
      <c r="FV132" s="308"/>
      <c r="FW132" s="306"/>
      <c r="FX132" s="308"/>
      <c r="FY132" s="306"/>
      <c r="FZ132" s="306"/>
      <c r="GA132" s="306"/>
      <c r="GB132" s="306"/>
      <c r="GC132" s="672"/>
      <c r="GD132" s="672"/>
      <c r="GE132" s="672"/>
      <c r="GF132" s="672"/>
      <c r="GG132" s="672"/>
      <c r="GH132" s="672"/>
      <c r="GI132" s="672"/>
      <c r="GJ132" s="672"/>
      <c r="GK132" s="672"/>
      <c r="GL132" s="672"/>
      <c r="GM132" s="672"/>
      <c r="GN132" s="672"/>
      <c r="GO132" s="672"/>
      <c r="GP132" s="672"/>
      <c r="GQ132" s="672"/>
      <c r="GR132" s="306"/>
      <c r="GS132" s="306"/>
      <c r="GT132" s="311"/>
      <c r="GU132" s="1222"/>
      <c r="GV132" s="1222"/>
      <c r="GW132" s="677" t="s">
        <v>165</v>
      </c>
      <c r="GX132" s="677" t="s">
        <v>165</v>
      </c>
      <c r="GY132" s="678"/>
      <c r="GZ132" s="937"/>
      <c r="HA132" s="681"/>
      <c r="HB132" s="681"/>
      <c r="HC132" s="681"/>
      <c r="HD132" s="1223"/>
      <c r="HE132" s="318"/>
      <c r="HF132" s="318"/>
      <c r="HG132" s="318"/>
      <c r="HH132" s="318"/>
      <c r="HI132" s="318"/>
      <c r="HJ132" s="318"/>
      <c r="HK132" s="318"/>
      <c r="HL132" s="318"/>
      <c r="HM132" s="318"/>
      <c r="HN132" s="318"/>
      <c r="HO132" s="318"/>
      <c r="HP132" s="318"/>
      <c r="HQ132" s="318"/>
      <c r="HR132" s="318"/>
      <c r="HS132" s="319"/>
      <c r="HT132" s="1223"/>
      <c r="HU132" s="318"/>
      <c r="HV132" s="318"/>
      <c r="HW132" s="318"/>
      <c r="HX132" s="318"/>
      <c r="HY132" s="318"/>
      <c r="HZ132" s="318"/>
      <c r="IA132" s="318"/>
      <c r="IB132" s="318"/>
      <c r="IC132" s="318"/>
      <c r="ID132" s="318"/>
      <c r="IE132" s="318"/>
      <c r="IF132" s="318"/>
      <c r="IG132" s="318"/>
      <c r="IH132" s="319"/>
      <c r="II132" s="750"/>
      <c r="IJ132" s="318"/>
      <c r="IK132" s="318"/>
      <c r="IL132" s="320"/>
      <c r="IM132" s="1016"/>
      <c r="IN132" s="1016"/>
      <c r="IO132" s="333"/>
      <c r="IP132" s="334"/>
      <c r="IQ132" s="541"/>
      <c r="IR132" s="581"/>
      <c r="IS132" s="582"/>
      <c r="IT132" s="582"/>
      <c r="IU132" s="582"/>
      <c r="IV132" s="582"/>
      <c r="IW132" s="582"/>
      <c r="IX132" s="583"/>
      <c r="IY132" s="583"/>
      <c r="IZ132" s="582"/>
      <c r="JA132" s="582"/>
      <c r="JB132" s="582"/>
      <c r="JC132" s="582"/>
      <c r="JD132" s="584"/>
      <c r="JE132" s="584"/>
      <c r="JF132" s="585"/>
      <c r="JG132" s="586"/>
      <c r="JH132" s="587"/>
      <c r="JI132" s="1"/>
      <c r="JJ132" s="1"/>
      <c r="JK132" s="1"/>
      <c r="JL132" s="1"/>
      <c r="JM132" s="1"/>
      <c r="JN132" s="1"/>
      <c r="JO132" s="507"/>
      <c r="JP132" s="508"/>
      <c r="JQ132" s="508"/>
      <c r="JR132" s="508"/>
      <c r="JS132" s="729"/>
      <c r="JT132" s="729"/>
      <c r="JU132" s="729"/>
      <c r="JV132" s="729"/>
      <c r="JW132" s="729"/>
      <c r="JX132" s="729"/>
      <c r="JY132" s="729"/>
      <c r="JZ132" s="729"/>
      <c r="KA132" s="729"/>
      <c r="KB132" s="729"/>
      <c r="KC132" s="729"/>
      <c r="KD132" s="729"/>
      <c r="KE132" s="729"/>
      <c r="KF132" s="729"/>
      <c r="KG132" s="729"/>
      <c r="KH132" s="729"/>
      <c r="KI132" s="729"/>
      <c r="KJ132" s="729"/>
      <c r="KK132" s="729"/>
      <c r="KL132" s="729"/>
      <c r="KM132" s="729"/>
      <c r="KN132" s="729"/>
      <c r="KO132" s="729"/>
      <c r="KP132" s="729"/>
      <c r="KQ132" s="729"/>
      <c r="KR132" s="729"/>
      <c r="KS132" s="729"/>
      <c r="KT132" s="729"/>
      <c r="KU132" s="729"/>
      <c r="KV132" s="729"/>
      <c r="KW132" s="730"/>
      <c r="KX132" s="1016"/>
      <c r="KY132" s="1016"/>
      <c r="KZ132" s="1"/>
      <c r="LA132" s="1"/>
      <c r="LB132" s="1"/>
      <c r="LC132" s="1"/>
      <c r="LD132" s="1"/>
      <c r="LE132" s="1"/>
      <c r="LF132" s="1"/>
      <c r="LG132" s="1"/>
      <c r="LH132" s="1"/>
      <c r="LI132" s="1"/>
      <c r="LJ132" s="1"/>
      <c r="LK132" s="1"/>
      <c r="LL132" s="1"/>
      <c r="LM132" s="1"/>
      <c r="LN132" s="1"/>
      <c r="LO132" s="1"/>
      <c r="LP132" s="1"/>
      <c r="LQ132" s="1"/>
      <c r="LR132" s="1"/>
      <c r="LS132" s="1"/>
      <c r="LT132" s="1"/>
      <c r="LU132" s="1"/>
      <c r="LV132" s="1"/>
      <c r="LW132" s="1"/>
      <c r="LX132" s="1"/>
      <c r="LY132" s="1"/>
      <c r="LZ132" s="1"/>
      <c r="MA132" s="1"/>
      <c r="MB132" s="1"/>
      <c r="MC132" s="1"/>
      <c r="MD132" s="1"/>
      <c r="ME132" s="1"/>
      <c r="MF132" s="1"/>
      <c r="MG132" s="1"/>
      <c r="MH132" s="1"/>
      <c r="MI132" s="1"/>
      <c r="MJ132" s="1"/>
      <c r="MK132" s="1"/>
      <c r="ML132" s="1"/>
      <c r="MM132" s="1"/>
      <c r="MN132" s="1"/>
      <c r="MO132" s="1"/>
      <c r="MP132" s="1"/>
      <c r="MQ132" s="1"/>
      <c r="MR132" s="1"/>
      <c r="MS132" s="1"/>
      <c r="MT132" s="1"/>
      <c r="MU132" s="1"/>
      <c r="MV132" s="1"/>
      <c r="MW132" s="1"/>
      <c r="MX132" s="1"/>
      <c r="MY132" s="1"/>
      <c r="MZ132" s="1"/>
      <c r="NA132" s="1"/>
      <c r="NB132" s="1"/>
      <c r="NC132" s="1"/>
      <c r="ND132" s="1"/>
      <c r="NE132" s="1"/>
      <c r="NF132" s="1"/>
      <c r="NG132" s="1"/>
      <c r="NH132" s="1"/>
      <c r="NI132" s="1"/>
      <c r="NJ132" s="1"/>
      <c r="NK132" s="1"/>
      <c r="NL132" s="1"/>
      <c r="NM132" s="1"/>
      <c r="NN132" s="1"/>
      <c r="NO132" s="1"/>
      <c r="NP132" s="1"/>
      <c r="NQ132" s="1"/>
      <c r="NR132" s="1"/>
      <c r="NS132" s="1"/>
      <c r="NT132" s="1"/>
      <c r="NU132" s="1"/>
      <c r="NV132" s="1"/>
      <c r="NW132" s="1"/>
      <c r="NX132" s="1"/>
      <c r="NY132" s="1"/>
      <c r="NZ132" s="1"/>
      <c r="OA132" s="1"/>
      <c r="OB132" s="1"/>
      <c r="OC132" s="1"/>
      <c r="OD132" s="1"/>
      <c r="OE132" s="1"/>
      <c r="OF132" s="1"/>
      <c r="OG132" s="1"/>
      <c r="OH132" s="1"/>
    </row>
    <row r="133" spans="1:398" ht="40" customHeight="1">
      <c r="B133" s="299"/>
      <c r="C133" s="241"/>
      <c r="D133" s="378">
        <v>33</v>
      </c>
      <c r="E133" s="379">
        <v>2027</v>
      </c>
      <c r="F133" s="548" t="s">
        <v>554</v>
      </c>
      <c r="G133" s="381">
        <v>192</v>
      </c>
      <c r="H133" s="381">
        <v>348</v>
      </c>
      <c r="I133" s="381">
        <v>138</v>
      </c>
      <c r="J133" s="381">
        <v>252</v>
      </c>
      <c r="K133" s="245" t="s">
        <v>555</v>
      </c>
      <c r="L133" s="381">
        <v>243</v>
      </c>
      <c r="M133" s="383">
        <v>16</v>
      </c>
      <c r="N133" s="384" t="s">
        <v>170</v>
      </c>
      <c r="O133" s="384" t="s">
        <v>168</v>
      </c>
      <c r="P133" s="383">
        <v>142</v>
      </c>
      <c r="Q133" s="384" t="s">
        <v>169</v>
      </c>
      <c r="R133" s="384" t="s">
        <v>290</v>
      </c>
      <c r="S133" s="384" t="s">
        <v>170</v>
      </c>
      <c r="T133" s="384" t="s">
        <v>291</v>
      </c>
      <c r="U133" s="385" t="s">
        <v>169</v>
      </c>
      <c r="V133" s="378" t="s">
        <v>172</v>
      </c>
      <c r="W133" s="378"/>
      <c r="X133" s="462" t="s">
        <v>292</v>
      </c>
      <c r="Y133" s="462" t="s">
        <v>292</v>
      </c>
      <c r="Z133" s="378"/>
      <c r="AA133" s="386" t="s">
        <v>556</v>
      </c>
      <c r="AB133" s="1208" t="s">
        <v>543</v>
      </c>
      <c r="AC133" s="388">
        <v>108</v>
      </c>
      <c r="AD133" s="955">
        <f>SUM(AC133,AC134)</f>
        <v>252</v>
      </c>
      <c r="AE133" s="257" t="s">
        <v>175</v>
      </c>
      <c r="AF133" s="564" t="s">
        <v>296</v>
      </c>
      <c r="AG133" s="467">
        <f>FP133</f>
        <v>5958150.0000000009</v>
      </c>
      <c r="AH133" s="468">
        <f>FQ133</f>
        <v>2200</v>
      </c>
      <c r="AI133" s="468">
        <f>FR133</f>
        <v>1900</v>
      </c>
      <c r="AJ133" s="469">
        <f>AK133/AT133</f>
        <v>0.47643312101910817</v>
      </c>
      <c r="AK133" s="468">
        <f>18700*1.1</f>
        <v>20570</v>
      </c>
      <c r="AL133" s="469">
        <f>AM133/AT133</f>
        <v>0.37681528662420383</v>
      </c>
      <c r="AM133" s="468">
        <f>14790*1.1</f>
        <v>16269.000000000002</v>
      </c>
      <c r="AN133" s="626" t="s">
        <v>308</v>
      </c>
      <c r="AO133" s="468">
        <f>2300*1.1</f>
        <v>2530</v>
      </c>
      <c r="AP133" s="467">
        <f t="shared" ref="AP133:AQ133" si="16">FS133</f>
        <v>138</v>
      </c>
      <c r="AQ133" s="467">
        <f t="shared" si="16"/>
        <v>252</v>
      </c>
      <c r="AR133" s="474">
        <f>DM133/(BX133-2)</f>
        <v>160.5</v>
      </c>
      <c r="AS133" s="475">
        <f>AG133/AR133</f>
        <v>37122.429906542064</v>
      </c>
      <c r="AT133" s="476">
        <f>AG133/AP133</f>
        <v>43175.000000000007</v>
      </c>
      <c r="AU133" s="475">
        <f>AG133/AQ133</f>
        <v>23643.452380952385</v>
      </c>
      <c r="AV133" s="477">
        <v>26000</v>
      </c>
      <c r="AW133" s="477">
        <v>48000</v>
      </c>
      <c r="AX133" s="467">
        <f>GA133</f>
        <v>3175150.0000000005</v>
      </c>
      <c r="AY133" s="467">
        <f>GB133</f>
        <v>6</v>
      </c>
      <c r="AZ133" s="478">
        <f>GC133</f>
        <v>153882300</v>
      </c>
      <c r="BA133" s="478">
        <f>GD133</f>
        <v>61314550.000000007</v>
      </c>
      <c r="BB133" s="478"/>
      <c r="BC133" s="478">
        <f>AH133*DM133</f>
        <v>8474400</v>
      </c>
      <c r="BD133" s="479">
        <f>1.1*(45048300-7176000)</f>
        <v>41659530</v>
      </c>
      <c r="BE133" s="479">
        <f>BD133-21000*DM133*0.6</f>
        <v>-6875670</v>
      </c>
      <c r="BF133" s="479">
        <f>1.1*23471730</f>
        <v>25818903.000000004</v>
      </c>
      <c r="BG133" s="479">
        <f>BF133-0</f>
        <v>25818903.000000004</v>
      </c>
      <c r="BH133" s="479">
        <f>1.1*969600</f>
        <v>1066560</v>
      </c>
      <c r="BI133" s="480">
        <f>200*DM133</f>
        <v>770400</v>
      </c>
      <c r="BJ133" s="480">
        <f>GK133</f>
        <v>0</v>
      </c>
      <c r="BK133" s="480">
        <f>BM133*5000*BX133</f>
        <v>390000</v>
      </c>
      <c r="BL133" s="480">
        <f>1800000*BN133*BX133</f>
        <v>93600000</v>
      </c>
      <c r="BM133" s="480">
        <f>GP133</f>
        <v>3</v>
      </c>
      <c r="BN133" s="480">
        <f>GQ133</f>
        <v>2</v>
      </c>
      <c r="BO133" s="481"/>
      <c r="BP133" s="481">
        <f>SUM(AZ133,BA133,BI133,BO133)</f>
        <v>215967250</v>
      </c>
      <c r="BQ133" s="481">
        <f>BP133-GR133</f>
        <v>-250200</v>
      </c>
      <c r="BR133" s="594"/>
      <c r="BS133" s="595" t="s">
        <v>175</v>
      </c>
      <c r="BT133" s="484">
        <f>GU133</f>
        <v>46274</v>
      </c>
      <c r="BU133" s="484">
        <f>GV133</f>
        <v>46300</v>
      </c>
      <c r="BV133" s="666">
        <f>IFERROR(INDEX($BY$9:$DH$9, MATCH("準備", BY133:DK133, 0)), "")</f>
        <v>46274</v>
      </c>
      <c r="BW133" s="667" cm="1">
        <f t="array" ref="BW133">IF(COUNTIF(BY133:DK133,"*撤去*")=0,"",INDEX(BY$9:DK$9,1,MAX(IF(CC133:DK133="撤去",COLUMN(CC133:DK133)-COLUMN(BY133)+1))))</f>
        <v>46300</v>
      </c>
      <c r="BX133" s="663">
        <f>BW133-BV133</f>
        <v>26</v>
      </c>
      <c r="BY133" s="556">
        <v>0</v>
      </c>
      <c r="BZ133" s="557">
        <v>0</v>
      </c>
      <c r="CA133" s="557">
        <v>0</v>
      </c>
      <c r="CB133" s="557">
        <v>0</v>
      </c>
      <c r="CC133" s="405">
        <v>0</v>
      </c>
      <c r="CD133" s="403">
        <v>0</v>
      </c>
      <c r="CE133" s="403">
        <v>0</v>
      </c>
      <c r="CF133" s="403">
        <v>0</v>
      </c>
      <c r="CG133" s="403">
        <v>0</v>
      </c>
      <c r="CH133" s="400" t="s">
        <v>177</v>
      </c>
      <c r="CI133" s="400" t="s">
        <v>177</v>
      </c>
      <c r="CJ133" s="403">
        <v>144</v>
      </c>
      <c r="CK133" s="403">
        <v>144</v>
      </c>
      <c r="CL133" s="403">
        <v>144</v>
      </c>
      <c r="CM133" s="403">
        <v>252</v>
      </c>
      <c r="CN133" s="403">
        <v>252</v>
      </c>
      <c r="CO133" s="403">
        <v>252</v>
      </c>
      <c r="CP133" s="403">
        <v>252</v>
      </c>
      <c r="CQ133" s="403">
        <v>252</v>
      </c>
      <c r="CR133" s="404">
        <v>252</v>
      </c>
      <c r="CS133" s="405">
        <v>252</v>
      </c>
      <c r="CT133" s="403">
        <v>252</v>
      </c>
      <c r="CU133" s="403">
        <v>108</v>
      </c>
      <c r="CV133" s="403">
        <v>108</v>
      </c>
      <c r="CW133" s="403">
        <v>108</v>
      </c>
      <c r="CX133" s="403">
        <v>108</v>
      </c>
      <c r="CY133" s="403">
        <v>108</v>
      </c>
      <c r="CZ133" s="403">
        <v>108</v>
      </c>
      <c r="DA133" s="403">
        <v>108</v>
      </c>
      <c r="DB133" s="403">
        <v>108</v>
      </c>
      <c r="DC133" s="403">
        <v>108</v>
      </c>
      <c r="DD133" s="403">
        <v>108</v>
      </c>
      <c r="DE133" s="403">
        <v>108</v>
      </c>
      <c r="DF133" s="403">
        <v>108</v>
      </c>
      <c r="DG133" s="1224">
        <v>108</v>
      </c>
      <c r="DH133" s="603" t="s">
        <v>178</v>
      </c>
      <c r="DI133" s="403">
        <v>0</v>
      </c>
      <c r="DJ133" s="403">
        <v>0</v>
      </c>
      <c r="DK133" s="407">
        <v>0</v>
      </c>
      <c r="DL133" s="277"/>
      <c r="DM133" s="277" cm="1">
        <f t="array" ref="DM133">SUM(IF(ISNUMBER($BY133:$DK133),$BY133:$DK133, 0))</f>
        <v>3852</v>
      </c>
      <c r="DN133" s="559"/>
      <c r="DO133" s="277">
        <f>DM133*(BX133)/(BX133+1)</f>
        <v>3709.3333333333335</v>
      </c>
      <c r="DP133" s="277"/>
      <c r="DQ133" s="386" t="s">
        <v>557</v>
      </c>
      <c r="DR133" s="1208" t="s">
        <v>543</v>
      </c>
      <c r="DS133" s="388">
        <v>108</v>
      </c>
      <c r="DT133" s="955">
        <f>SUM(DS133,DS134)</f>
        <v>252</v>
      </c>
      <c r="DU133" s="467">
        <v>5958150.0000000009</v>
      </c>
      <c r="DV133" s="467">
        <v>3175150.0000000005</v>
      </c>
      <c r="DW133" s="478">
        <v>153882300</v>
      </c>
      <c r="DX133" s="478">
        <v>61314550.000000007</v>
      </c>
      <c r="DY133" s="478">
        <v>7592400</v>
      </c>
      <c r="DZ133" s="478">
        <v>49318632</v>
      </c>
      <c r="EA133" s="478">
        <v>26004369.600000005</v>
      </c>
      <c r="EB133" s="478">
        <v>3032964</v>
      </c>
      <c r="EC133" s="480">
        <v>799200</v>
      </c>
      <c r="ED133" s="480">
        <v>0</v>
      </c>
      <c r="EE133" s="480">
        <v>390000</v>
      </c>
      <c r="EF133" s="480">
        <v>93600000</v>
      </c>
      <c r="EG133" s="481"/>
      <c r="EH133" s="481">
        <v>215996050</v>
      </c>
      <c r="EI133" s="484">
        <v>46274</v>
      </c>
      <c r="EJ133" s="484">
        <v>46300</v>
      </c>
      <c r="EK133" s="666">
        <v>46274</v>
      </c>
      <c r="EL133" s="667">
        <v>46300</v>
      </c>
      <c r="EM133" s="663">
        <v>26</v>
      </c>
      <c r="EN133" s="277"/>
      <c r="EO133" s="386" t="s">
        <v>557</v>
      </c>
      <c r="EP133" s="408" t="s">
        <v>543</v>
      </c>
      <c r="EQ133" s="985">
        <v>243</v>
      </c>
      <c r="ER133" s="958">
        <v>243</v>
      </c>
      <c r="ES133" s="245">
        <v>243</v>
      </c>
      <c r="ET133" s="245">
        <v>321</v>
      </c>
      <c r="EU133" s="245">
        <v>342</v>
      </c>
      <c r="EV133" s="411" t="s">
        <v>545</v>
      </c>
      <c r="EW133" s="412">
        <v>14.6</v>
      </c>
      <c r="EX133" s="413">
        <v>28</v>
      </c>
      <c r="EY133" s="414" t="s">
        <v>546</v>
      </c>
      <c r="EZ133" s="492">
        <v>12.1</v>
      </c>
      <c r="FA133" s="493">
        <v>20</v>
      </c>
      <c r="FB133" s="414" t="s">
        <v>547</v>
      </c>
      <c r="FC133" s="492">
        <v>9.8000000000000007</v>
      </c>
      <c r="FD133" s="493">
        <v>18</v>
      </c>
      <c r="FE133" s="494" t="s">
        <v>189</v>
      </c>
      <c r="FF133" s="492"/>
      <c r="FG133" s="493"/>
      <c r="FH133" s="494" t="s">
        <v>189</v>
      </c>
      <c r="FI133" s="492"/>
      <c r="FJ133" s="495"/>
      <c r="FK133" s="289">
        <v>105</v>
      </c>
      <c r="FL133" s="1042">
        <v>0.30172413793103448</v>
      </c>
      <c r="FM133" s="498" t="s">
        <v>558</v>
      </c>
      <c r="FN133" s="1031" t="s">
        <v>300</v>
      </c>
      <c r="FO133" s="564" t="s">
        <v>296</v>
      </c>
      <c r="FP133" s="965">
        <v>5958150.0000000009</v>
      </c>
      <c r="FQ133" s="461">
        <v>2200</v>
      </c>
      <c r="FR133" s="468">
        <v>1900</v>
      </c>
      <c r="FS133" s="965">
        <v>138</v>
      </c>
      <c r="FT133" s="965">
        <v>252</v>
      </c>
      <c r="FU133" s="393">
        <v>243</v>
      </c>
      <c r="FV133" s="394">
        <v>24519.13580246914</v>
      </c>
      <c r="FW133" s="390">
        <v>43175.000000000007</v>
      </c>
      <c r="FX133" s="394">
        <v>23643.452380952385</v>
      </c>
      <c r="FY133" s="395">
        <v>24706</v>
      </c>
      <c r="FZ133" s="395">
        <v>47059</v>
      </c>
      <c r="GA133" s="965">
        <v>3175150.0000000005</v>
      </c>
      <c r="GB133" s="965">
        <v>6</v>
      </c>
      <c r="GC133" s="986">
        <v>153882300</v>
      </c>
      <c r="GD133" s="986">
        <v>61314550.000000007</v>
      </c>
      <c r="GE133" s="986">
        <v>153882300</v>
      </c>
      <c r="GF133" s="986">
        <v>61314550.000000007</v>
      </c>
      <c r="GG133" s="478">
        <v>0</v>
      </c>
      <c r="GH133" s="478">
        <v>0</v>
      </c>
      <c r="GI133" s="478">
        <v>5817420</v>
      </c>
      <c r="GJ133" s="986">
        <v>1020600</v>
      </c>
      <c r="GK133" s="736"/>
      <c r="GL133" s="736"/>
      <c r="GM133" s="480">
        <v>0</v>
      </c>
      <c r="GN133" s="480">
        <v>210000</v>
      </c>
      <c r="GO133" s="480">
        <v>82800000</v>
      </c>
      <c r="GP133" s="736">
        <v>3</v>
      </c>
      <c r="GQ133" s="736">
        <v>2</v>
      </c>
      <c r="GR133" s="966">
        <v>216217450</v>
      </c>
      <c r="GS133" s="966">
        <v>123274637</v>
      </c>
      <c r="GT133" s="595" t="s">
        <v>175</v>
      </c>
      <c r="GU133" s="988">
        <v>46274</v>
      </c>
      <c r="GV133" s="968">
        <v>46300</v>
      </c>
      <c r="GW133" s="666">
        <v>46277</v>
      </c>
      <c r="GX133" s="667">
        <v>46300</v>
      </c>
      <c r="GY133" s="663">
        <v>23</v>
      </c>
      <c r="GZ133" s="556">
        <v>0</v>
      </c>
      <c r="HA133" s="557">
        <v>0</v>
      </c>
      <c r="HB133" s="557">
        <v>0</v>
      </c>
      <c r="HC133" s="557">
        <v>0</v>
      </c>
      <c r="HD133" s="405">
        <v>0</v>
      </c>
      <c r="HE133" s="403">
        <v>0</v>
      </c>
      <c r="HF133" s="403">
        <v>0</v>
      </c>
      <c r="HG133" s="403">
        <v>0</v>
      </c>
      <c r="HH133" s="403">
        <v>0</v>
      </c>
      <c r="HI133" s="403">
        <v>0</v>
      </c>
      <c r="HJ133" s="403">
        <v>0</v>
      </c>
      <c r="HK133" s="403">
        <v>0</v>
      </c>
      <c r="HL133" s="400" t="s">
        <v>177</v>
      </c>
      <c r="HM133" s="400" t="s">
        <v>177</v>
      </c>
      <c r="HN133" s="403">
        <v>243</v>
      </c>
      <c r="HO133" s="403">
        <v>243</v>
      </c>
      <c r="HP133" s="403">
        <v>243</v>
      </c>
      <c r="HQ133" s="403">
        <v>243</v>
      </c>
      <c r="HR133" s="403">
        <v>243</v>
      </c>
      <c r="HS133" s="404">
        <v>243</v>
      </c>
      <c r="HT133" s="405">
        <v>243</v>
      </c>
      <c r="HU133" s="403">
        <v>243</v>
      </c>
      <c r="HV133" s="403">
        <v>243</v>
      </c>
      <c r="HW133" s="403">
        <v>243</v>
      </c>
      <c r="HX133" s="403">
        <v>243</v>
      </c>
      <c r="HY133" s="403">
        <v>243</v>
      </c>
      <c r="HZ133" s="403">
        <v>243</v>
      </c>
      <c r="IA133" s="403">
        <v>243</v>
      </c>
      <c r="IB133" s="403">
        <v>243</v>
      </c>
      <c r="IC133" s="403">
        <v>243</v>
      </c>
      <c r="ID133" s="403">
        <v>243</v>
      </c>
      <c r="IE133" s="403">
        <v>243</v>
      </c>
      <c r="IF133" s="403">
        <v>243</v>
      </c>
      <c r="IG133" s="403">
        <v>243</v>
      </c>
      <c r="IH133" s="404">
        <v>243</v>
      </c>
      <c r="II133" s="603" t="s">
        <v>178</v>
      </c>
      <c r="IJ133" s="403">
        <v>0</v>
      </c>
      <c r="IK133" s="403">
        <v>0</v>
      </c>
      <c r="IL133" s="407">
        <v>0</v>
      </c>
      <c r="IM133" s="277"/>
      <c r="IN133" s="277" cm="1">
        <f t="array" ref="IN133">SUM(IF(ISNUMBER($HD133:$IL133),$HD133:$IL133, 0))</f>
        <v>5103</v>
      </c>
      <c r="IO133" s="426"/>
      <c r="IP133" s="427"/>
      <c r="IQ133" s="541"/>
      <c r="IR133" s="569">
        <f>VLOOKUP($E133,[1]アジアResults1031!$A$1:$CH$259,23,FALSE)</f>
        <v>8160757</v>
      </c>
      <c r="IS133" s="570">
        <f>VLOOKUP($E133,[1]アジアResults1031!$A$1:$CH$259,32,FALSE)</f>
        <v>171</v>
      </c>
      <c r="IT133" s="570">
        <f>KY133/(GY133-2)</f>
        <v>295.42857142857144</v>
      </c>
      <c r="IU133" s="570">
        <f>IR133/IT133</f>
        <v>27623.452127659573</v>
      </c>
      <c r="IV133" s="570">
        <f>VLOOKUP(E133,[1]アジアResults1031!$A$1:$CH$264,26,FALSE)</f>
        <v>24706</v>
      </c>
      <c r="IW133" s="570">
        <f>VLOOKUP(E133,[1]アジアResults1031!$A$1:$CH$264,27,FALSE)</f>
        <v>47059</v>
      </c>
      <c r="IX133" s="571">
        <f>VLOOKUP($E133,[1]アジアResults1031!$A$1:$CH$259,18,FALSE)</f>
        <v>4375224</v>
      </c>
      <c r="IY133" s="571">
        <f>VLOOKUP($E133,[1]アジアResults1031!$A$1:$CH$259,9,FALSE)</f>
        <v>7</v>
      </c>
      <c r="IZ133" s="570">
        <f>IR133*JF133</f>
        <v>220340439</v>
      </c>
      <c r="JA133" s="570">
        <f>IX133*JF133</f>
        <v>118131048</v>
      </c>
      <c r="JB133" s="570"/>
      <c r="JC133" s="570"/>
      <c r="JD133" s="572">
        <f>IFERROR(INDEX($JO$9:$KW$9, MATCH("準備", JO133:KW133, 0)), "")</f>
        <v>46273</v>
      </c>
      <c r="JE133" s="572" cm="1">
        <f t="array" ref="JE133">IF(COUNTIF(JO133:KW133,"*撤去*")=0,"",INDEX(JO$9:KW$9,1,MAX(IF(JO133:KW133="撤去",COLUMN(JO133:KW133)-COLUMN(JO133)+1))))</f>
        <v>46300</v>
      </c>
      <c r="JF133" s="573">
        <f>JE133-JD133</f>
        <v>27</v>
      </c>
      <c r="JG133" s="503">
        <v>6936516</v>
      </c>
      <c r="JH133" s="506">
        <v>4375224</v>
      </c>
      <c r="JO133" s="507"/>
      <c r="JP133" s="508"/>
      <c r="JQ133" s="508"/>
      <c r="JR133" s="508"/>
      <c r="JS133" s="400" t="s">
        <v>177</v>
      </c>
      <c r="JT133" s="400" t="s">
        <v>177</v>
      </c>
      <c r="JU133" s="508">
        <v>58</v>
      </c>
      <c r="JV133" s="508">
        <v>116</v>
      </c>
      <c r="JW133" s="508">
        <v>116</v>
      </c>
      <c r="JX133" s="508">
        <v>116</v>
      </c>
      <c r="JY133" s="508">
        <v>342</v>
      </c>
      <c r="JZ133" s="508">
        <v>342</v>
      </c>
      <c r="KA133" s="508">
        <v>342</v>
      </c>
      <c r="KB133" s="508">
        <v>342</v>
      </c>
      <c r="KC133" s="508">
        <v>342</v>
      </c>
      <c r="KD133" s="508">
        <v>342</v>
      </c>
      <c r="KE133" s="508">
        <v>342</v>
      </c>
      <c r="KF133" s="508">
        <v>342</v>
      </c>
      <c r="KG133" s="508">
        <v>292</v>
      </c>
      <c r="KH133" s="508">
        <v>284</v>
      </c>
      <c r="KI133" s="508">
        <v>226</v>
      </c>
      <c r="KJ133" s="508">
        <v>226</v>
      </c>
      <c r="KK133" s="508">
        <v>226</v>
      </c>
      <c r="KL133" s="508">
        <v>226</v>
      </c>
      <c r="KM133" s="508">
        <v>226</v>
      </c>
      <c r="KN133" s="508">
        <v>226</v>
      </c>
      <c r="KO133" s="508">
        <v>226</v>
      </c>
      <c r="KP133" s="508">
        <v>226</v>
      </c>
      <c r="KQ133" s="508">
        <v>226</v>
      </c>
      <c r="KR133" s="508">
        <v>226</v>
      </c>
      <c r="KS133" s="508">
        <v>226</v>
      </c>
      <c r="KT133" s="406" t="s">
        <v>178</v>
      </c>
      <c r="KU133" s="508"/>
      <c r="KV133" s="508"/>
      <c r="KW133" s="509"/>
      <c r="KX133" s="277"/>
      <c r="KY133" s="277" cm="1">
        <f t="array" ref="KY133">SUM(IF(ISNUMBER($JO133:$KW133),$JO133:$KW133, 0))</f>
        <v>6204</v>
      </c>
    </row>
    <row r="134" spans="1:398" s="547" customFormat="1" ht="40" customHeight="1" thickBot="1">
      <c r="A134" s="1"/>
      <c r="B134" s="299"/>
      <c r="C134" s="445"/>
      <c r="D134" s="445"/>
      <c r="E134" s="510" t="s">
        <v>165</v>
      </c>
      <c r="F134" s="511"/>
      <c r="G134" s="512">
        <v>0</v>
      </c>
      <c r="H134" s="512">
        <v>0</v>
      </c>
      <c r="I134" s="512">
        <v>0</v>
      </c>
      <c r="J134" s="1038">
        <v>0</v>
      </c>
      <c r="K134" s="1038"/>
      <c r="L134" s="512">
        <v>0</v>
      </c>
      <c r="M134" s="513">
        <v>0</v>
      </c>
      <c r="N134" s="514">
        <v>0</v>
      </c>
      <c r="O134" s="514">
        <v>0</v>
      </c>
      <c r="P134" s="513">
        <v>0</v>
      </c>
      <c r="Q134" s="514">
        <v>0</v>
      </c>
      <c r="R134" s="514">
        <v>0</v>
      </c>
      <c r="S134" s="514">
        <v>0</v>
      </c>
      <c r="T134" s="514">
        <v>0</v>
      </c>
      <c r="U134" s="515" t="s">
        <v>165</v>
      </c>
      <c r="V134" s="445"/>
      <c r="W134" s="445"/>
      <c r="X134" s="445"/>
      <c r="Y134" s="445"/>
      <c r="Z134" s="445"/>
      <c r="AA134" s="763" t="s">
        <v>550</v>
      </c>
      <c r="AB134" s="764" t="s">
        <v>539</v>
      </c>
      <c r="AC134" s="765">
        <v>144</v>
      </c>
      <c r="AD134" s="969"/>
      <c r="AE134" s="655"/>
      <c r="AF134" s="656"/>
      <c r="AG134" s="656"/>
      <c r="AH134" s="656"/>
      <c r="AI134" s="656"/>
      <c r="AJ134" s="656"/>
      <c r="AK134" s="656"/>
      <c r="AL134" s="656"/>
      <c r="AM134" s="656"/>
      <c r="AN134" s="656"/>
      <c r="AO134" s="656"/>
      <c r="AP134" s="656"/>
      <c r="AQ134" s="656"/>
      <c r="AR134" s="656"/>
      <c r="AS134" s="767"/>
      <c r="AT134" s="656"/>
      <c r="AU134" s="767"/>
      <c r="AV134" s="656"/>
      <c r="AW134" s="656"/>
      <c r="AX134" s="656"/>
      <c r="AY134" s="656"/>
      <c r="AZ134" s="768"/>
      <c r="BA134" s="768"/>
      <c r="BB134" s="768"/>
      <c r="BC134" s="768"/>
      <c r="BD134" s="768"/>
      <c r="BE134" s="768"/>
      <c r="BF134" s="768"/>
      <c r="BG134" s="768"/>
      <c r="BH134" s="768"/>
      <c r="BI134" s="768"/>
      <c r="BJ134" s="768"/>
      <c r="BK134" s="768"/>
      <c r="BL134" s="768"/>
      <c r="BM134" s="768"/>
      <c r="BN134" s="768"/>
      <c r="BO134" s="656"/>
      <c r="BP134" s="656"/>
      <c r="BQ134" s="656"/>
      <c r="BR134" s="940"/>
      <c r="BS134" s="941"/>
      <c r="BT134" s="942"/>
      <c r="BU134" s="942"/>
      <c r="BV134" s="773" t="str">
        <f>IFERROR(INDEX($HD$9:$II$9, MATCH("準備", CC134:DK134, 0)), "")</f>
        <v/>
      </c>
      <c r="BW134" s="773" t="str" cm="1">
        <f t="array" ref="BW134">IF(COUNTIF(CC134:DK134,"*撤去*")=0,"",INDEX(CC$9:DK$9,1,MAX(IF(CC134:DK134="撤去",COLUMN(CC134:DK134)-COLUMN(CC134)+1))))</f>
        <v/>
      </c>
      <c r="BX134" s="774"/>
      <c r="BY134" s="360" t="s">
        <v>246</v>
      </c>
      <c r="BZ134" s="361" t="s">
        <v>247</v>
      </c>
      <c r="CA134" s="777"/>
      <c r="CB134" s="777"/>
      <c r="CC134" s="874"/>
      <c r="CD134" s="875"/>
      <c r="CE134" s="875"/>
      <c r="CF134" s="875"/>
      <c r="CG134" s="875"/>
      <c r="CH134" s="363"/>
      <c r="CI134" s="363"/>
      <c r="CJ134" s="363"/>
      <c r="CK134" s="363"/>
      <c r="CL134" s="363"/>
      <c r="CM134" s="363"/>
      <c r="CN134" s="363"/>
      <c r="CO134" s="363"/>
      <c r="CP134" s="363"/>
      <c r="CQ134" s="364"/>
      <c r="CR134" s="365"/>
      <c r="CS134" s="366"/>
      <c r="CT134" s="363"/>
      <c r="CU134" s="363"/>
      <c r="CV134" s="363"/>
      <c r="CW134" s="363"/>
      <c r="CX134" s="363"/>
      <c r="CY134" s="363"/>
      <c r="CZ134" s="363"/>
      <c r="DA134" s="363"/>
      <c r="DB134" s="363"/>
      <c r="DC134" s="363"/>
      <c r="DD134" s="363"/>
      <c r="DE134" s="363"/>
      <c r="DF134" s="364"/>
      <c r="DG134" s="365"/>
      <c r="DH134" s="366"/>
      <c r="DI134" s="875"/>
      <c r="DJ134" s="875"/>
      <c r="DK134" s="886"/>
      <c r="DL134" s="277"/>
      <c r="DM134" s="277"/>
      <c r="DN134" s="277"/>
      <c r="DO134" s="277"/>
      <c r="DP134" s="277"/>
      <c r="DQ134" s="763" t="s">
        <v>550</v>
      </c>
      <c r="DR134" s="764" t="s">
        <v>539</v>
      </c>
      <c r="DS134" s="765">
        <v>144</v>
      </c>
      <c r="DT134" s="969"/>
      <c r="DU134" s="656"/>
      <c r="DV134" s="656"/>
      <c r="DW134" s="768"/>
      <c r="DX134" s="768"/>
      <c r="DY134" s="768"/>
      <c r="DZ134" s="768"/>
      <c r="EA134" s="768"/>
      <c r="EB134" s="768"/>
      <c r="EC134" s="768"/>
      <c r="ED134" s="768"/>
      <c r="EE134" s="768"/>
      <c r="EF134" s="768"/>
      <c r="EG134" s="656"/>
      <c r="EH134" s="656"/>
      <c r="EI134" s="942"/>
      <c r="EJ134" s="942"/>
      <c r="EK134" s="773" t="s">
        <v>165</v>
      </c>
      <c r="EL134" s="773" t="s">
        <v>165</v>
      </c>
      <c r="EM134" s="774"/>
      <c r="EN134" s="277"/>
      <c r="EO134" s="763"/>
      <c r="EP134" s="1032" t="s">
        <v>170</v>
      </c>
      <c r="EQ134" s="1033">
        <v>0</v>
      </c>
      <c r="ER134" s="1046"/>
      <c r="ES134" s="1046" t="e">
        <v>#N/A</v>
      </c>
      <c r="ET134" s="1046"/>
      <c r="EU134" s="1046"/>
      <c r="EV134" s="1027" t="s">
        <v>170</v>
      </c>
      <c r="EW134" s="1199"/>
      <c r="EX134" s="1200"/>
      <c r="EY134" s="879" t="s">
        <v>170</v>
      </c>
      <c r="EZ134" s="880"/>
      <c r="FA134" s="881"/>
      <c r="FB134" s="879" t="s">
        <v>170</v>
      </c>
      <c r="FC134" s="880"/>
      <c r="FD134" s="881"/>
      <c r="FE134" s="882" t="s">
        <v>170</v>
      </c>
      <c r="FF134" s="880"/>
      <c r="FG134" s="881"/>
      <c r="FH134" s="882" t="s">
        <v>170</v>
      </c>
      <c r="FI134" s="880"/>
      <c r="FJ134" s="883"/>
      <c r="FK134" s="375"/>
      <c r="FL134" s="1028"/>
      <c r="FM134" s="535"/>
      <c r="FN134" s="655"/>
      <c r="FO134" s="656"/>
      <c r="FP134" s="656"/>
      <c r="FQ134" s="656"/>
      <c r="FR134" s="656"/>
      <c r="FS134" s="656"/>
      <c r="FT134" s="656"/>
      <c r="FU134" s="656"/>
      <c r="FV134" s="767"/>
      <c r="FW134" s="656"/>
      <c r="FX134" s="767"/>
      <c r="FY134" s="656"/>
      <c r="FZ134" s="656"/>
      <c r="GA134" s="656"/>
      <c r="GB134" s="656"/>
      <c r="GC134" s="768"/>
      <c r="GD134" s="768"/>
      <c r="GE134" s="768"/>
      <c r="GF134" s="768"/>
      <c r="GG134" s="768"/>
      <c r="GH134" s="768"/>
      <c r="GI134" s="768"/>
      <c r="GJ134" s="768"/>
      <c r="GK134" s="768"/>
      <c r="GL134" s="768"/>
      <c r="GM134" s="768"/>
      <c r="GN134" s="768"/>
      <c r="GO134" s="768"/>
      <c r="GP134" s="768"/>
      <c r="GQ134" s="768"/>
      <c r="GR134" s="656"/>
      <c r="GS134" s="656"/>
      <c r="GT134" s="941"/>
      <c r="GU134" s="942"/>
      <c r="GV134" s="942"/>
      <c r="GW134" s="773" t="s">
        <v>165</v>
      </c>
      <c r="GX134" s="773" t="s">
        <v>165</v>
      </c>
      <c r="GY134" s="774"/>
      <c r="GZ134" s="943"/>
      <c r="HA134" s="777"/>
      <c r="HB134" s="777"/>
      <c r="HC134" s="777"/>
      <c r="HD134" s="874"/>
      <c r="HE134" s="875"/>
      <c r="HF134" s="875"/>
      <c r="HG134" s="875"/>
      <c r="HH134" s="875"/>
      <c r="HI134" s="875"/>
      <c r="HJ134" s="875"/>
      <c r="HK134" s="875"/>
      <c r="HL134" s="875"/>
      <c r="HM134" s="875"/>
      <c r="HN134" s="875"/>
      <c r="HO134" s="875"/>
      <c r="HP134" s="875"/>
      <c r="HQ134" s="875"/>
      <c r="HR134" s="779"/>
      <c r="HS134" s="884"/>
      <c r="HT134" s="874"/>
      <c r="HU134" s="875"/>
      <c r="HV134" s="875"/>
      <c r="HW134" s="875"/>
      <c r="HX134" s="875"/>
      <c r="HY134" s="875"/>
      <c r="HZ134" s="875"/>
      <c r="IA134" s="272"/>
      <c r="IB134" s="875"/>
      <c r="IC134" s="875"/>
      <c r="ID134" s="875"/>
      <c r="IE134" s="875"/>
      <c r="IF134" s="875"/>
      <c r="IG134" s="779"/>
      <c r="IH134" s="884"/>
      <c r="II134" s="874"/>
      <c r="IJ134" s="875"/>
      <c r="IK134" s="875"/>
      <c r="IL134" s="886"/>
      <c r="IM134" s="277"/>
      <c r="IN134" s="277"/>
      <c r="IO134" s="944"/>
      <c r="IP134" s="945"/>
      <c r="IQ134" s="541"/>
      <c r="IR134" s="542"/>
      <c r="IS134" s="543"/>
      <c r="IT134" s="543"/>
      <c r="IU134" s="543"/>
      <c r="IV134" s="543"/>
      <c r="IW134" s="543"/>
      <c r="IX134" s="544"/>
      <c r="IY134" s="544"/>
      <c r="IZ134" s="543"/>
      <c r="JA134" s="543"/>
      <c r="JB134" s="543"/>
      <c r="JC134" s="543"/>
      <c r="JD134" s="545"/>
      <c r="JE134" s="545"/>
      <c r="JF134" s="546"/>
      <c r="JG134" s="503"/>
      <c r="JH134" s="506"/>
      <c r="JI134" s="1"/>
      <c r="JJ134" s="1"/>
      <c r="JK134" s="1"/>
      <c r="JL134" s="1"/>
      <c r="JM134" s="1"/>
      <c r="JN134" s="1"/>
      <c r="JO134" s="507"/>
      <c r="JP134" s="508"/>
      <c r="JQ134" s="508"/>
      <c r="JR134" s="508"/>
      <c r="JS134" s="729"/>
      <c r="JT134" s="729"/>
      <c r="JU134" s="729"/>
      <c r="JV134" s="729"/>
      <c r="JW134" s="729"/>
      <c r="JX134" s="729"/>
      <c r="JY134" s="729"/>
      <c r="JZ134" s="729"/>
      <c r="KA134" s="729"/>
      <c r="KB134" s="729"/>
      <c r="KC134" s="729"/>
      <c r="KD134" s="729"/>
      <c r="KE134" s="729"/>
      <c r="KF134" s="729"/>
      <c r="KG134" s="729"/>
      <c r="KH134" s="729"/>
      <c r="KI134" s="729"/>
      <c r="KJ134" s="729"/>
      <c r="KK134" s="729"/>
      <c r="KL134" s="729"/>
      <c r="KM134" s="729"/>
      <c r="KN134" s="729"/>
      <c r="KO134" s="729"/>
      <c r="KP134" s="729"/>
      <c r="KQ134" s="729"/>
      <c r="KR134" s="729"/>
      <c r="KS134" s="729"/>
      <c r="KT134" s="729"/>
      <c r="KU134" s="729"/>
      <c r="KV134" s="729"/>
      <c r="KW134" s="730"/>
      <c r="KX134" s="277"/>
      <c r="KY134" s="277"/>
      <c r="KZ134" s="1"/>
      <c r="LA134" s="1"/>
      <c r="LB134" s="1"/>
      <c r="LC134" s="1"/>
      <c r="LD134" s="1"/>
      <c r="LE134" s="1"/>
      <c r="LF134" s="1"/>
      <c r="LG134" s="1"/>
      <c r="LH134" s="1"/>
      <c r="LI134" s="1"/>
      <c r="LJ134" s="1"/>
      <c r="LK134" s="1"/>
      <c r="LL134" s="1"/>
      <c r="LM134" s="1"/>
      <c r="LN134" s="1"/>
      <c r="LO134" s="1"/>
      <c r="LP134" s="1"/>
      <c r="LQ134" s="1"/>
      <c r="LR134" s="1"/>
      <c r="LS134" s="1"/>
      <c r="LT134" s="1"/>
      <c r="LU134" s="1"/>
      <c r="LV134" s="1"/>
      <c r="LW134" s="1"/>
      <c r="LX134" s="1"/>
      <c r="LY134" s="1"/>
      <c r="LZ134" s="1"/>
      <c r="MA134" s="1"/>
      <c r="MB134" s="1"/>
      <c r="MC134" s="1"/>
      <c r="MD134" s="1"/>
      <c r="ME134" s="1"/>
      <c r="MF134" s="1"/>
      <c r="MG134" s="1"/>
      <c r="MH134" s="1"/>
      <c r="MI134" s="1"/>
      <c r="MJ134" s="1"/>
      <c r="MK134" s="1"/>
      <c r="ML134" s="1"/>
      <c r="MM134" s="1"/>
      <c r="MN134" s="1"/>
      <c r="MO134" s="1"/>
      <c r="MP134" s="1"/>
      <c r="MQ134" s="1"/>
      <c r="MR134" s="1"/>
      <c r="MS134" s="1"/>
      <c r="MT134" s="1"/>
      <c r="MU134" s="1"/>
      <c r="MV134" s="1"/>
      <c r="MW134" s="1"/>
      <c r="MX134" s="1"/>
      <c r="MY134" s="1"/>
      <c r="MZ134" s="1"/>
      <c r="NA134" s="1"/>
      <c r="NB134" s="1"/>
      <c r="NC134" s="1"/>
      <c r="ND134" s="1"/>
      <c r="NE134" s="1"/>
      <c r="NF134" s="1"/>
      <c r="NG134" s="1"/>
      <c r="NH134" s="1"/>
      <c r="NI134" s="1"/>
      <c r="NJ134" s="1"/>
      <c r="NK134" s="1"/>
      <c r="NL134" s="1"/>
      <c r="NM134" s="1"/>
      <c r="NN134" s="1"/>
      <c r="NO134" s="1"/>
      <c r="NP134" s="1"/>
      <c r="NQ134" s="1"/>
      <c r="NR134" s="1"/>
      <c r="NS134" s="1"/>
      <c r="NT134" s="1"/>
      <c r="NU134" s="1"/>
      <c r="NV134" s="1"/>
      <c r="NW134" s="1"/>
      <c r="NX134" s="1"/>
      <c r="NY134" s="1"/>
      <c r="NZ134" s="1"/>
      <c r="OA134" s="1"/>
      <c r="OB134" s="1"/>
      <c r="OC134" s="1"/>
      <c r="OD134" s="1"/>
      <c r="OE134" s="1"/>
      <c r="OF134" s="1"/>
      <c r="OG134" s="1"/>
      <c r="OH134" s="1"/>
    </row>
    <row r="135" spans="1:398" s="1225" customFormat="1" ht="40" customHeight="1">
      <c r="B135" s="240"/>
      <c r="C135" s="1226" t="s">
        <v>559</v>
      </c>
      <c r="D135" s="1227">
        <v>34</v>
      </c>
      <c r="E135" s="1228">
        <v>2032</v>
      </c>
      <c r="F135" s="946" t="s">
        <v>560</v>
      </c>
      <c r="G135" s="1229">
        <v>78</v>
      </c>
      <c r="H135" s="1229">
        <v>132</v>
      </c>
      <c r="I135" s="1229">
        <v>70</v>
      </c>
      <c r="J135" s="1229">
        <v>120</v>
      </c>
      <c r="K135" s="245" t="s">
        <v>561</v>
      </c>
      <c r="L135" s="1229">
        <v>108</v>
      </c>
      <c r="M135" s="1230">
        <v>23</v>
      </c>
      <c r="N135" s="1231" t="s">
        <v>318</v>
      </c>
      <c r="O135" s="1231" t="s">
        <v>168</v>
      </c>
      <c r="P135" s="1230">
        <v>100</v>
      </c>
      <c r="Q135" s="1231" t="s">
        <v>170</v>
      </c>
      <c r="R135" s="1231" t="s">
        <v>170</v>
      </c>
      <c r="S135" s="1231" t="s">
        <v>169</v>
      </c>
      <c r="T135" s="1231" t="s">
        <v>306</v>
      </c>
      <c r="U135" s="1232" t="s">
        <v>169</v>
      </c>
      <c r="V135" s="1233" t="s">
        <v>172</v>
      </c>
      <c r="W135" s="1233"/>
      <c r="X135" s="1234" t="s">
        <v>292</v>
      </c>
      <c r="Y135" s="1234" t="s">
        <v>292</v>
      </c>
      <c r="Z135" s="1233"/>
      <c r="AA135" s="630" t="s">
        <v>562</v>
      </c>
      <c r="AB135" s="387" t="s">
        <v>543</v>
      </c>
      <c r="AC135" s="388">
        <v>108</v>
      </c>
      <c r="AD135" s="256">
        <f>SUM(AC135,AC136)</f>
        <v>108</v>
      </c>
      <c r="AE135" s="465" t="s">
        <v>295</v>
      </c>
      <c r="AF135" s="550" t="s">
        <v>296</v>
      </c>
      <c r="AG135" s="467">
        <f>FP135</f>
        <v>1391500</v>
      </c>
      <c r="AH135" s="468">
        <f>FQ135</f>
        <v>2200</v>
      </c>
      <c r="AI135" s="468">
        <f>FR135</f>
        <v>1900</v>
      </c>
      <c r="AJ135" s="469">
        <v>0.98599999999999999</v>
      </c>
      <c r="AK135" s="551">
        <f>$AK$4</f>
        <v>26106</v>
      </c>
      <c r="AL135" s="552">
        <v>0.83</v>
      </c>
      <c r="AM135" s="551">
        <f>$AM$4</f>
        <v>24690</v>
      </c>
      <c r="AN135" s="468" t="s">
        <v>308</v>
      </c>
      <c r="AO135" s="551">
        <f>$AO$4</f>
        <v>2373</v>
      </c>
      <c r="AP135" s="467">
        <f t="shared" ref="AP135:AQ135" si="17">FS135</f>
        <v>70</v>
      </c>
      <c r="AQ135" s="467">
        <f t="shared" si="17"/>
        <v>120</v>
      </c>
      <c r="AR135" s="474">
        <f>DM135/(BX135-2)</f>
        <v>108</v>
      </c>
      <c r="AS135" s="475">
        <f>AG135/AR135</f>
        <v>12884.259259259259</v>
      </c>
      <c r="AT135" s="476">
        <f>AG135/AP135</f>
        <v>19878.571428571428</v>
      </c>
      <c r="AU135" s="475">
        <f>AG135/AQ135</f>
        <v>11595.833333333334</v>
      </c>
      <c r="AV135" s="477">
        <v>26000</v>
      </c>
      <c r="AW135" s="477">
        <v>48000</v>
      </c>
      <c r="AX135" s="467">
        <f>GA135</f>
        <v>2674611.5</v>
      </c>
      <c r="AY135" s="467">
        <f>GB135</f>
        <v>8</v>
      </c>
      <c r="AZ135" s="478">
        <f>GC135</f>
        <v>31212500</v>
      </c>
      <c r="BA135" s="478">
        <f>GD135</f>
        <v>63054684.275000006</v>
      </c>
      <c r="BB135" s="478">
        <f>AI135*DM135</f>
        <v>4309200</v>
      </c>
      <c r="BC135" s="478">
        <f>AH135*DM135</f>
        <v>4989600</v>
      </c>
      <c r="BD135" s="478">
        <f>AK135*DM135*0.6</f>
        <v>35525044.799999997</v>
      </c>
      <c r="BE135" s="478">
        <f>BD135-21000*DM135*0.6</f>
        <v>6948244.799999997</v>
      </c>
      <c r="BF135" s="478">
        <f>AM135*DM135*0.4</f>
        <v>22398768</v>
      </c>
      <c r="BG135" s="478">
        <f>BF135-0</f>
        <v>22398768</v>
      </c>
      <c r="BH135" s="478">
        <f>AO135*DM135*0.3</f>
        <v>1614589.2</v>
      </c>
      <c r="BI135" s="480">
        <f>GJ135</f>
        <v>0</v>
      </c>
      <c r="BJ135" s="480">
        <f>GK135</f>
        <v>0</v>
      </c>
      <c r="BK135" s="480">
        <f>BM135*5000*BX135</f>
        <v>345000</v>
      </c>
      <c r="BL135" s="480">
        <f>1800000*BN135*BX135</f>
        <v>124200000</v>
      </c>
      <c r="BM135" s="480">
        <f>GP135</f>
        <v>3</v>
      </c>
      <c r="BN135" s="480">
        <f>GQ135</f>
        <v>3</v>
      </c>
      <c r="BO135" s="481"/>
      <c r="BP135" s="481">
        <f>SUM(AZ135,BA135,BI135,BO135)</f>
        <v>94267184.275000006</v>
      </c>
      <c r="BQ135" s="481">
        <f>BP135-GR135</f>
        <v>0</v>
      </c>
      <c r="BR135" s="554"/>
      <c r="BS135" s="1012" t="s">
        <v>175</v>
      </c>
      <c r="BT135" s="484">
        <f>GU135</f>
        <v>46277</v>
      </c>
      <c r="BU135" s="484">
        <f>GV135</f>
        <v>46300</v>
      </c>
      <c r="BV135" s="666">
        <f>IFERROR(INDEX($BY$9:$DH$9, MATCH("準備", BY135:DK135, 0)), "")</f>
        <v>46277</v>
      </c>
      <c r="BW135" s="667" cm="1">
        <f t="array" ref="BW135">IF(COUNTIF(BY135:DK135,"*撤去*")=0,"",INDEX(BY$9:DK$9,1,MAX(IF(CC135:DK135="撤去",COLUMN(CC135:DK135)-COLUMN(BY135)+1))))</f>
        <v>46300</v>
      </c>
      <c r="BX135" s="663">
        <f>BW135-BV135</f>
        <v>23</v>
      </c>
      <c r="BY135" s="556">
        <v>0</v>
      </c>
      <c r="BZ135" s="557">
        <v>0</v>
      </c>
      <c r="CA135" s="557">
        <v>0</v>
      </c>
      <c r="CB135" s="557">
        <v>0</v>
      </c>
      <c r="CC135" s="1235">
        <v>0</v>
      </c>
      <c r="CD135" s="1236">
        <v>0</v>
      </c>
      <c r="CE135" s="1236">
        <v>0</v>
      </c>
      <c r="CF135" s="1236">
        <v>0</v>
      </c>
      <c r="CG135" s="1236">
        <v>0</v>
      </c>
      <c r="CH135" s="1236">
        <v>0</v>
      </c>
      <c r="CI135" s="1236">
        <v>0</v>
      </c>
      <c r="CJ135" s="1236">
        <v>0</v>
      </c>
      <c r="CK135" s="400" t="s">
        <v>177</v>
      </c>
      <c r="CL135" s="400" t="s">
        <v>177</v>
      </c>
      <c r="CM135" s="1236">
        <v>108</v>
      </c>
      <c r="CN135" s="1236">
        <v>108</v>
      </c>
      <c r="CO135" s="1236">
        <v>108</v>
      </c>
      <c r="CP135" s="1236">
        <v>108</v>
      </c>
      <c r="CQ135" s="1236">
        <v>108</v>
      </c>
      <c r="CR135" s="1237">
        <v>108</v>
      </c>
      <c r="CS135" s="1235">
        <v>108</v>
      </c>
      <c r="CT135" s="1236">
        <v>108</v>
      </c>
      <c r="CU135" s="1236">
        <v>108</v>
      </c>
      <c r="CV135" s="1236">
        <v>108</v>
      </c>
      <c r="CW135" s="1236">
        <v>108</v>
      </c>
      <c r="CX135" s="1236">
        <v>108</v>
      </c>
      <c r="CY135" s="1236">
        <v>108</v>
      </c>
      <c r="CZ135" s="1236">
        <v>108</v>
      </c>
      <c r="DA135" s="1236">
        <v>108</v>
      </c>
      <c r="DB135" s="1236">
        <v>108</v>
      </c>
      <c r="DC135" s="1236">
        <v>108</v>
      </c>
      <c r="DD135" s="1236">
        <v>108</v>
      </c>
      <c r="DE135" s="1236">
        <v>108</v>
      </c>
      <c r="DF135" s="1236">
        <v>108</v>
      </c>
      <c r="DG135" s="1238">
        <v>108</v>
      </c>
      <c r="DH135" s="603" t="s">
        <v>178</v>
      </c>
      <c r="DI135" s="1236">
        <v>0</v>
      </c>
      <c r="DJ135" s="1236">
        <v>0</v>
      </c>
      <c r="DK135" s="1239">
        <v>0</v>
      </c>
      <c r="DL135" s="1240"/>
      <c r="DM135" s="277" cm="1">
        <f t="array" ref="DM135">SUM(IF(ISNUMBER($BY135:$DK135),$BY135:$DK135, 0))</f>
        <v>2268</v>
      </c>
      <c r="DN135" s="277">
        <v>2160</v>
      </c>
      <c r="DO135" s="277">
        <f>DM135*(BX135)/(BX135+1)</f>
        <v>2173.5</v>
      </c>
      <c r="DP135" s="277"/>
      <c r="DQ135" s="630" t="s">
        <v>563</v>
      </c>
      <c r="DR135" s="387" t="s">
        <v>543</v>
      </c>
      <c r="DS135" s="388">
        <v>108</v>
      </c>
      <c r="DT135" s="256">
        <f>SUM(DS135,DS136)</f>
        <v>108</v>
      </c>
      <c r="DU135" s="467">
        <v>1391500</v>
      </c>
      <c r="DV135" s="467">
        <v>2674611.5</v>
      </c>
      <c r="DW135" s="478">
        <v>31212500</v>
      </c>
      <c r="DX135" s="478">
        <v>63054684.275000006</v>
      </c>
      <c r="DY135" s="478">
        <v>4309200</v>
      </c>
      <c r="DZ135" s="478">
        <v>35525044.799999997</v>
      </c>
      <c r="EA135" s="478">
        <v>22398768</v>
      </c>
      <c r="EB135" s="478">
        <v>1614589.2</v>
      </c>
      <c r="EC135" s="480">
        <v>0</v>
      </c>
      <c r="ED135" s="480">
        <v>0</v>
      </c>
      <c r="EE135" s="480">
        <v>345000</v>
      </c>
      <c r="EF135" s="480">
        <v>124200000</v>
      </c>
      <c r="EG135" s="481"/>
      <c r="EH135" s="481">
        <v>94267184.275000006</v>
      </c>
      <c r="EI135" s="484">
        <v>46277</v>
      </c>
      <c r="EJ135" s="484">
        <v>46300</v>
      </c>
      <c r="EK135" s="666">
        <v>46277</v>
      </c>
      <c r="EL135" s="667">
        <v>46300</v>
      </c>
      <c r="EM135" s="663">
        <v>23</v>
      </c>
      <c r="EN135" s="277"/>
      <c r="EO135" s="630" t="s">
        <v>563</v>
      </c>
      <c r="EP135" s="1241" t="s">
        <v>543</v>
      </c>
      <c r="EQ135" s="1242">
        <v>108</v>
      </c>
      <c r="ER135" s="1243">
        <v>108</v>
      </c>
      <c r="ES135" s="245">
        <v>108</v>
      </c>
      <c r="ET135" s="245">
        <v>110</v>
      </c>
      <c r="EU135" s="245">
        <v>100</v>
      </c>
      <c r="EV135" s="281" t="s">
        <v>545</v>
      </c>
      <c r="EW135" s="282">
        <v>22.8</v>
      </c>
      <c r="EX135" s="283">
        <v>35</v>
      </c>
      <c r="EY135" s="284" t="s">
        <v>546</v>
      </c>
      <c r="EZ135" s="285">
        <v>5.4</v>
      </c>
      <c r="FA135" s="286">
        <v>10</v>
      </c>
      <c r="FB135" s="284" t="s">
        <v>547</v>
      </c>
      <c r="FC135" s="492">
        <v>7.8</v>
      </c>
      <c r="FD135" s="493">
        <v>15</v>
      </c>
      <c r="FE135" s="287" t="s">
        <v>189</v>
      </c>
      <c r="FF135" s="492"/>
      <c r="FG135" s="493"/>
      <c r="FH135" s="287" t="s">
        <v>189</v>
      </c>
      <c r="FI135" s="492"/>
      <c r="FJ135" s="495"/>
      <c r="FK135" s="1244">
        <v>24</v>
      </c>
      <c r="FL135" s="1245">
        <v>0.18181818181818182</v>
      </c>
      <c r="FM135" s="1246" t="s">
        <v>564</v>
      </c>
      <c r="FN135" s="561" t="s">
        <v>300</v>
      </c>
      <c r="FO135" s="550" t="s">
        <v>296</v>
      </c>
      <c r="FP135" s="562">
        <v>1391500</v>
      </c>
      <c r="FQ135" s="563">
        <v>2200</v>
      </c>
      <c r="FR135" s="468">
        <v>1900</v>
      </c>
      <c r="FS135" s="562">
        <v>70</v>
      </c>
      <c r="FT135" s="965">
        <v>120</v>
      </c>
      <c r="FU135" s="261">
        <v>108</v>
      </c>
      <c r="FV135" s="394">
        <v>12884.259259259259</v>
      </c>
      <c r="FW135" s="390">
        <v>19878.571428571428</v>
      </c>
      <c r="FX135" s="394">
        <v>11595.833333333334</v>
      </c>
      <c r="FY135" s="395">
        <v>12942</v>
      </c>
      <c r="FZ135" s="395">
        <v>36471</v>
      </c>
      <c r="GA135" s="562">
        <v>2674611.5</v>
      </c>
      <c r="GB135" s="562">
        <v>8</v>
      </c>
      <c r="GC135" s="565">
        <v>31212500</v>
      </c>
      <c r="GD135" s="565">
        <v>63054684.275000006</v>
      </c>
      <c r="GE135" s="565">
        <v>30662500</v>
      </c>
      <c r="GF135" s="565">
        <v>63054684.275000006</v>
      </c>
      <c r="GG135" s="478">
        <v>-550000</v>
      </c>
      <c r="GH135" s="478">
        <v>0</v>
      </c>
      <c r="GI135" s="478">
        <v>2585520</v>
      </c>
      <c r="GJ135" s="566"/>
      <c r="GK135" s="566"/>
      <c r="GL135" s="566"/>
      <c r="GM135" s="480">
        <v>0</v>
      </c>
      <c r="GN135" s="480">
        <v>210000</v>
      </c>
      <c r="GO135" s="480">
        <v>124200000</v>
      </c>
      <c r="GP135" s="566">
        <v>3</v>
      </c>
      <c r="GQ135" s="566">
        <v>3</v>
      </c>
      <c r="GR135" s="966">
        <v>94267184.275000006</v>
      </c>
      <c r="GS135" s="1019">
        <v>-52163811.275000006</v>
      </c>
      <c r="GT135" s="1012" t="s">
        <v>175</v>
      </c>
      <c r="GU135" s="1020">
        <v>46277</v>
      </c>
      <c r="GV135" s="1020">
        <v>46300</v>
      </c>
      <c r="GW135" s="666">
        <v>46277</v>
      </c>
      <c r="GX135" s="667">
        <v>46300</v>
      </c>
      <c r="GY135" s="663">
        <v>23</v>
      </c>
      <c r="GZ135" s="556"/>
      <c r="HA135" s="557"/>
      <c r="HB135" s="557"/>
      <c r="HC135" s="557"/>
      <c r="HD135" s="1235">
        <v>0</v>
      </c>
      <c r="HE135" s="1236">
        <v>0</v>
      </c>
      <c r="HF135" s="1236">
        <v>0</v>
      </c>
      <c r="HG135" s="1236">
        <v>0</v>
      </c>
      <c r="HH135" s="1236">
        <v>0</v>
      </c>
      <c r="HI135" s="1236">
        <v>0</v>
      </c>
      <c r="HJ135" s="1236">
        <v>0</v>
      </c>
      <c r="HK135" s="1236">
        <v>0</v>
      </c>
      <c r="HL135" s="400" t="s">
        <v>177</v>
      </c>
      <c r="HM135" s="400" t="s">
        <v>177</v>
      </c>
      <c r="HN135" s="1236">
        <v>108</v>
      </c>
      <c r="HO135" s="1236">
        <v>108</v>
      </c>
      <c r="HP135" s="1236">
        <v>108</v>
      </c>
      <c r="HQ135" s="1236">
        <v>108</v>
      </c>
      <c r="HR135" s="1236">
        <v>108</v>
      </c>
      <c r="HS135" s="1237">
        <v>108</v>
      </c>
      <c r="HT135" s="1235">
        <v>108</v>
      </c>
      <c r="HU135" s="1236">
        <v>108</v>
      </c>
      <c r="HV135" s="1236">
        <v>108</v>
      </c>
      <c r="HW135" s="1236">
        <v>108</v>
      </c>
      <c r="HX135" s="1236">
        <v>108</v>
      </c>
      <c r="HY135" s="1236">
        <v>108</v>
      </c>
      <c r="HZ135" s="1236">
        <v>108</v>
      </c>
      <c r="IA135" s="1236">
        <v>108</v>
      </c>
      <c r="IB135" s="1236">
        <v>108</v>
      </c>
      <c r="IC135" s="1236">
        <v>108</v>
      </c>
      <c r="ID135" s="1236">
        <v>108</v>
      </c>
      <c r="IE135" s="1236">
        <v>108</v>
      </c>
      <c r="IF135" s="1236">
        <v>108</v>
      </c>
      <c r="IG135" s="1236">
        <v>108</v>
      </c>
      <c r="IH135" s="1237">
        <v>108</v>
      </c>
      <c r="II135" s="603" t="s">
        <v>178</v>
      </c>
      <c r="IJ135" s="1236">
        <v>0</v>
      </c>
      <c r="IK135" s="1236">
        <v>0</v>
      </c>
      <c r="IL135" s="1239">
        <v>0</v>
      </c>
      <c r="IM135" s="1240"/>
      <c r="IN135" s="277" cm="1">
        <f t="array" ref="IN135">SUM(IF(ISNUMBER($HD135:$IL135),$HD135:$IL135, 0))</f>
        <v>2268</v>
      </c>
      <c r="IO135" s="1247"/>
      <c r="IP135" s="1248"/>
      <c r="IQ135" s="1249"/>
      <c r="IR135" s="569">
        <f>VLOOKUP($E135,[1]アジアResults1031!$A$1:$CH$259,23,FALSE)</f>
        <v>1503788</v>
      </c>
      <c r="IS135" s="570">
        <f>VLOOKUP($E135,[1]アジアResults1031!$A$1:$CH$259,32,FALSE)</f>
        <v>64</v>
      </c>
      <c r="IT135" s="570">
        <f>KY135/(GY135-2)</f>
        <v>52.38095238095238</v>
      </c>
      <c r="IU135" s="570">
        <f>IR135/IT135</f>
        <v>28708.68</v>
      </c>
      <c r="IV135" s="570">
        <f>VLOOKUP(E135,[1]アジアResults1031!$A$1:$CH$264,26,FALSE)</f>
        <v>12942</v>
      </c>
      <c r="IW135" s="570">
        <f>VLOOKUP(E135,[1]アジアResults1031!$A$1:$CH$264,27,FALSE)</f>
        <v>36471</v>
      </c>
      <c r="IX135" s="571">
        <f>VLOOKUP($E135,[1]アジアResults1031!$A$1:$CH$259,18,FALSE)</f>
        <v>1734933</v>
      </c>
      <c r="IY135" s="571">
        <f>VLOOKUP($E135,[1]アジアResults1031!$A$1:$CH$259,9,FALSE)</f>
        <v>4</v>
      </c>
      <c r="IZ135" s="570">
        <f>IR135*JF135</f>
        <v>19549244</v>
      </c>
      <c r="JA135" s="570">
        <f>IX135*JF135</f>
        <v>22554129</v>
      </c>
      <c r="JB135" s="570"/>
      <c r="JC135" s="570"/>
      <c r="JD135" s="572">
        <f>IFERROR(INDEX($JO$9:$KW$9, MATCH("準備", JO135:KW135, 0)), "")</f>
        <v>46279</v>
      </c>
      <c r="JE135" s="572" cm="1">
        <f t="array" ref="JE135">IF(COUNTIF(JO135:KW135,"*撤去*")=0,"",INDEX(JO$9:KW$9,1,MAX(IF(JO135:KW135="撤去",COLUMN(JO135:KW135)-COLUMN(JO135)+1))))</f>
        <v>46292</v>
      </c>
      <c r="JF135" s="573">
        <f>JE135-JD135</f>
        <v>13</v>
      </c>
      <c r="JG135" s="574">
        <v>1503788</v>
      </c>
      <c r="JH135" s="575">
        <v>1734933</v>
      </c>
      <c r="JO135" s="507"/>
      <c r="JP135" s="508"/>
      <c r="JQ135" s="508"/>
      <c r="JR135" s="508"/>
      <c r="JS135" s="508"/>
      <c r="JT135" s="508"/>
      <c r="JU135" s="508"/>
      <c r="JV135" s="508"/>
      <c r="JW135" s="508"/>
      <c r="JX135" s="508"/>
      <c r="JY135" s="400" t="s">
        <v>177</v>
      </c>
      <c r="JZ135" s="400" t="s">
        <v>177</v>
      </c>
      <c r="KA135" s="508">
        <v>100</v>
      </c>
      <c r="KB135" s="508">
        <v>100</v>
      </c>
      <c r="KC135" s="508">
        <v>100</v>
      </c>
      <c r="KD135" s="508">
        <v>100</v>
      </c>
      <c r="KE135" s="508">
        <v>100</v>
      </c>
      <c r="KF135" s="508">
        <v>100</v>
      </c>
      <c r="KG135" s="508">
        <v>100</v>
      </c>
      <c r="KH135" s="508">
        <v>100</v>
      </c>
      <c r="KI135" s="508">
        <v>100</v>
      </c>
      <c r="KJ135" s="508">
        <v>100</v>
      </c>
      <c r="KK135" s="508">
        <v>100</v>
      </c>
      <c r="KL135" s="406" t="s">
        <v>178</v>
      </c>
      <c r="KM135" s="508"/>
      <c r="KN135" s="508"/>
      <c r="KO135" s="508"/>
      <c r="KP135" s="508"/>
      <c r="KQ135" s="508"/>
      <c r="KR135" s="508"/>
      <c r="KS135" s="508"/>
      <c r="KT135" s="508"/>
      <c r="KU135" s="508"/>
      <c r="KV135" s="508"/>
      <c r="KW135" s="509"/>
      <c r="KX135" s="1240"/>
      <c r="KY135" s="277" cm="1">
        <f t="array" ref="KY135">SUM(IF(ISNUMBER($JO135:$KW135),$JO135:$KW135, 0))</f>
        <v>1100</v>
      </c>
    </row>
    <row r="136" spans="1:398" s="1272" customFormat="1" ht="40" customHeight="1" thickBot="1">
      <c r="A136" s="1225"/>
      <c r="B136" s="240"/>
      <c r="C136" s="1226"/>
      <c r="D136" s="1250"/>
      <c r="E136" s="1251" t="s">
        <v>165</v>
      </c>
      <c r="F136" s="1023"/>
      <c r="G136" s="1252">
        <v>0</v>
      </c>
      <c r="H136" s="1252">
        <v>0</v>
      </c>
      <c r="I136" s="1252">
        <v>0</v>
      </c>
      <c r="J136" s="1252">
        <v>0</v>
      </c>
      <c r="K136" s="1252"/>
      <c r="L136" s="1252">
        <v>0</v>
      </c>
      <c r="M136" s="1253">
        <v>0</v>
      </c>
      <c r="N136" s="1254">
        <v>0</v>
      </c>
      <c r="O136" s="1254">
        <v>0</v>
      </c>
      <c r="P136" s="1253">
        <v>0</v>
      </c>
      <c r="Q136" s="1254">
        <v>0</v>
      </c>
      <c r="R136" s="1254">
        <v>0</v>
      </c>
      <c r="S136" s="1254">
        <v>0</v>
      </c>
      <c r="T136" s="1254">
        <v>0</v>
      </c>
      <c r="U136" s="1255"/>
      <c r="V136" s="1256"/>
      <c r="W136" s="1256"/>
      <c r="X136" s="1256"/>
      <c r="Y136" s="1256"/>
      <c r="Z136" s="1256"/>
      <c r="AA136" s="446"/>
      <c r="AB136" s="764" t="s">
        <v>170</v>
      </c>
      <c r="AC136" s="765">
        <v>0</v>
      </c>
      <c r="AD136" s="516"/>
      <c r="AE136" s="1257"/>
      <c r="AF136" s="1258"/>
      <c r="AG136" s="1258"/>
      <c r="AH136" s="1258"/>
      <c r="AI136" s="1258"/>
      <c r="AJ136" s="1258"/>
      <c r="AK136" s="1258"/>
      <c r="AL136" s="1258"/>
      <c r="AM136" s="1258"/>
      <c r="AN136" s="1258"/>
      <c r="AO136" s="1258"/>
      <c r="AP136" s="1258"/>
      <c r="AQ136" s="1258"/>
      <c r="AR136" s="1258"/>
      <c r="AS136" s="767"/>
      <c r="AT136" s="1258"/>
      <c r="AU136" s="767"/>
      <c r="AV136" s="1258"/>
      <c r="AW136" s="1258"/>
      <c r="AX136" s="1258"/>
      <c r="AY136" s="1258"/>
      <c r="AZ136" s="768"/>
      <c r="BA136" s="768"/>
      <c r="BB136" s="768"/>
      <c r="BC136" s="768"/>
      <c r="BD136" s="768"/>
      <c r="BE136" s="768"/>
      <c r="BF136" s="768"/>
      <c r="BG136" s="768"/>
      <c r="BH136" s="768"/>
      <c r="BI136" s="768"/>
      <c r="BJ136" s="768"/>
      <c r="BK136" s="768"/>
      <c r="BL136" s="768"/>
      <c r="BM136" s="768"/>
      <c r="BN136" s="768"/>
      <c r="BO136" s="1258"/>
      <c r="BP136" s="1258"/>
      <c r="BQ136" s="1258"/>
      <c r="BR136" s="1259"/>
      <c r="BS136" s="941"/>
      <c r="BT136" s="942"/>
      <c r="BU136" s="942"/>
      <c r="BV136" s="773" t="str">
        <f>IFERROR(INDEX($HD$9:$II$9, MATCH("準備", CC136:DK136, 0)), "")</f>
        <v/>
      </c>
      <c r="BW136" s="773" t="str" cm="1">
        <f t="array" ref="BW136">IF(COUNTIF(CC136:DK136,"*撤去*")=0,"",INDEX(CC$9:DK$9,1,MAX(IF(CC136:DK136="撤去",COLUMN(CC136:DK136)-COLUMN(CC136)+1))))</f>
        <v/>
      </c>
      <c r="BX136" s="774"/>
      <c r="BY136" s="360" t="s">
        <v>246</v>
      </c>
      <c r="BZ136" s="361" t="s">
        <v>247</v>
      </c>
      <c r="CA136" s="777"/>
      <c r="CB136" s="777"/>
      <c r="CC136" s="1260"/>
      <c r="CD136" s="1261"/>
      <c r="CE136" s="1261"/>
      <c r="CF136" s="1261"/>
      <c r="CG136" s="1261"/>
      <c r="CH136" s="1261"/>
      <c r="CI136" s="1261"/>
      <c r="CJ136" s="1261"/>
      <c r="CK136" s="363"/>
      <c r="CL136" s="363"/>
      <c r="CM136" s="363"/>
      <c r="CN136" s="363"/>
      <c r="CO136" s="363"/>
      <c r="CP136" s="363"/>
      <c r="CQ136" s="364"/>
      <c r="CR136" s="365"/>
      <c r="CS136" s="366"/>
      <c r="CT136" s="363"/>
      <c r="CU136" s="363"/>
      <c r="CV136" s="363"/>
      <c r="CW136" s="363"/>
      <c r="CX136" s="363"/>
      <c r="CY136" s="363"/>
      <c r="CZ136" s="363"/>
      <c r="DA136" s="363"/>
      <c r="DB136" s="363"/>
      <c r="DC136" s="363"/>
      <c r="DD136" s="363"/>
      <c r="DE136" s="363"/>
      <c r="DF136" s="364"/>
      <c r="DG136" s="365"/>
      <c r="DH136" s="366"/>
      <c r="DI136" s="1261"/>
      <c r="DJ136" s="1261"/>
      <c r="DK136" s="1262"/>
      <c r="DL136" s="1240"/>
      <c r="DM136" s="1240"/>
      <c r="DN136" s="1240"/>
      <c r="DO136" s="1240"/>
      <c r="DP136" s="1240"/>
      <c r="DQ136" s="446"/>
      <c r="DR136" s="764" t="s">
        <v>170</v>
      </c>
      <c r="DS136" s="765">
        <v>0</v>
      </c>
      <c r="DT136" s="516"/>
      <c r="DU136" s="1258"/>
      <c r="DV136" s="1258"/>
      <c r="DW136" s="768"/>
      <c r="DX136" s="768"/>
      <c r="DY136" s="768"/>
      <c r="DZ136" s="768"/>
      <c r="EA136" s="768"/>
      <c r="EB136" s="768"/>
      <c r="EC136" s="768"/>
      <c r="ED136" s="768"/>
      <c r="EE136" s="768"/>
      <c r="EF136" s="768"/>
      <c r="EG136" s="1258"/>
      <c r="EH136" s="1258"/>
      <c r="EI136" s="942"/>
      <c r="EJ136" s="942"/>
      <c r="EK136" s="773" t="s">
        <v>165</v>
      </c>
      <c r="EL136" s="773" t="s">
        <v>165</v>
      </c>
      <c r="EM136" s="774"/>
      <c r="EN136" s="1240"/>
      <c r="EO136" s="446"/>
      <c r="EP136" s="1263" t="s">
        <v>170</v>
      </c>
      <c r="EQ136" s="1264">
        <v>0</v>
      </c>
      <c r="ER136" s="1265"/>
      <c r="ES136" s="1265" t="e">
        <v>#N/A</v>
      </c>
      <c r="ET136" s="1265"/>
      <c r="EU136" s="1265"/>
      <c r="EV136" s="1027" t="s">
        <v>170</v>
      </c>
      <c r="EW136" s="453"/>
      <c r="EX136" s="454"/>
      <c r="EY136" s="879" t="s">
        <v>170</v>
      </c>
      <c r="EZ136" s="456"/>
      <c r="FA136" s="457"/>
      <c r="FB136" s="879" t="s">
        <v>170</v>
      </c>
      <c r="FC136" s="880"/>
      <c r="FD136" s="881"/>
      <c r="FE136" s="882" t="s">
        <v>170</v>
      </c>
      <c r="FF136" s="880"/>
      <c r="FG136" s="881"/>
      <c r="FH136" s="882" t="s">
        <v>170</v>
      </c>
      <c r="FI136" s="880"/>
      <c r="FJ136" s="883"/>
      <c r="FK136" s="1266"/>
      <c r="FL136" s="1267"/>
      <c r="FM136" s="1268"/>
      <c r="FN136" s="1257"/>
      <c r="FO136" s="1258"/>
      <c r="FP136" s="1258"/>
      <c r="FQ136" s="1258"/>
      <c r="FR136" s="1258"/>
      <c r="FS136" s="1258"/>
      <c r="FT136" s="1258"/>
      <c r="FU136" s="1258"/>
      <c r="FV136" s="767"/>
      <c r="FW136" s="1258"/>
      <c r="FX136" s="767"/>
      <c r="FY136" s="1258"/>
      <c r="FZ136" s="1258"/>
      <c r="GA136" s="1258"/>
      <c r="GB136" s="1258"/>
      <c r="GC136" s="768"/>
      <c r="GD136" s="768"/>
      <c r="GE136" s="768"/>
      <c r="GF136" s="768"/>
      <c r="GG136" s="768"/>
      <c r="GH136" s="768"/>
      <c r="GI136" s="768"/>
      <c r="GJ136" s="768"/>
      <c r="GK136" s="768"/>
      <c r="GL136" s="768"/>
      <c r="GM136" s="768"/>
      <c r="GN136" s="768"/>
      <c r="GO136" s="768"/>
      <c r="GP136" s="768"/>
      <c r="GQ136" s="768"/>
      <c r="GR136" s="1258"/>
      <c r="GS136" s="1258"/>
      <c r="GT136" s="941"/>
      <c r="GU136" s="942"/>
      <c r="GV136" s="942"/>
      <c r="GW136" s="773" t="s">
        <v>165</v>
      </c>
      <c r="GX136" s="773" t="s">
        <v>165</v>
      </c>
      <c r="GY136" s="774"/>
      <c r="GZ136" s="943"/>
      <c r="HA136" s="777"/>
      <c r="HB136" s="777"/>
      <c r="HC136" s="777"/>
      <c r="HD136" s="1260"/>
      <c r="HE136" s="1261"/>
      <c r="HF136" s="1261"/>
      <c r="HG136" s="1261"/>
      <c r="HH136" s="1261"/>
      <c r="HI136" s="1261"/>
      <c r="HJ136" s="1261"/>
      <c r="HK136" s="1261"/>
      <c r="HL136" s="1261"/>
      <c r="HM136" s="1261"/>
      <c r="HN136" s="1261"/>
      <c r="HO136" s="1261"/>
      <c r="HP136" s="1261"/>
      <c r="HQ136" s="1261"/>
      <c r="HR136" s="1269"/>
      <c r="HS136" s="1270"/>
      <c r="HT136" s="1260"/>
      <c r="HU136" s="1261"/>
      <c r="HV136" s="1261"/>
      <c r="HW136" s="1261"/>
      <c r="HX136" s="1261"/>
      <c r="HY136" s="1261"/>
      <c r="HZ136" s="1261"/>
      <c r="IA136" s="1261"/>
      <c r="IB136" s="1261"/>
      <c r="IC136" s="1261"/>
      <c r="ID136" s="1261"/>
      <c r="IE136" s="1261"/>
      <c r="IF136" s="1261"/>
      <c r="IG136" s="1269"/>
      <c r="IH136" s="1271"/>
      <c r="II136" s="1260"/>
      <c r="IJ136" s="1261"/>
      <c r="IK136" s="1261"/>
      <c r="IL136" s="1262"/>
      <c r="IM136" s="1240"/>
      <c r="IN136" s="1240"/>
      <c r="IO136" s="1247"/>
      <c r="IP136" s="1248"/>
      <c r="IQ136" s="1249"/>
      <c r="IR136" s="581"/>
      <c r="IS136" s="582"/>
      <c r="IT136" s="582"/>
      <c r="IU136" s="582"/>
      <c r="IV136" s="582"/>
      <c r="IW136" s="582"/>
      <c r="IX136" s="583"/>
      <c r="IY136" s="583"/>
      <c r="IZ136" s="582"/>
      <c r="JA136" s="582"/>
      <c r="JB136" s="582"/>
      <c r="JC136" s="582"/>
      <c r="JD136" s="584"/>
      <c r="JE136" s="584"/>
      <c r="JF136" s="585"/>
      <c r="JG136" s="586"/>
      <c r="JH136" s="587"/>
      <c r="JI136" s="1225"/>
      <c r="JJ136" s="1225"/>
      <c r="JK136" s="1225"/>
      <c r="JL136" s="1225"/>
      <c r="JM136" s="1225"/>
      <c r="JN136" s="1225"/>
      <c r="JO136" s="507"/>
      <c r="JP136" s="508"/>
      <c r="JQ136" s="508"/>
      <c r="JR136" s="508"/>
      <c r="JS136" s="729"/>
      <c r="JT136" s="729"/>
      <c r="JU136" s="729"/>
      <c r="JV136" s="729"/>
      <c r="JW136" s="729"/>
      <c r="JX136" s="729"/>
      <c r="JY136" s="729"/>
      <c r="JZ136" s="729"/>
      <c r="KA136" s="729"/>
      <c r="KB136" s="729"/>
      <c r="KC136" s="729"/>
      <c r="KD136" s="729"/>
      <c r="KE136" s="729"/>
      <c r="KF136" s="729"/>
      <c r="KG136" s="729"/>
      <c r="KH136" s="729"/>
      <c r="KI136" s="729"/>
      <c r="KJ136" s="729"/>
      <c r="KK136" s="729"/>
      <c r="KL136" s="729"/>
      <c r="KM136" s="729"/>
      <c r="KN136" s="729"/>
      <c r="KO136" s="729"/>
      <c r="KP136" s="729"/>
      <c r="KQ136" s="729"/>
      <c r="KR136" s="729"/>
      <c r="KS136" s="729"/>
      <c r="KT136" s="729"/>
      <c r="KU136" s="729"/>
      <c r="KV136" s="729"/>
      <c r="KW136" s="730"/>
      <c r="KX136" s="1240"/>
      <c r="KY136" s="1240"/>
      <c r="KZ136" s="1225"/>
      <c r="LA136" s="1225"/>
      <c r="LB136" s="1225"/>
      <c r="LC136" s="1225"/>
      <c r="LD136" s="1225"/>
      <c r="LE136" s="1225"/>
      <c r="LF136" s="1225"/>
      <c r="LG136" s="1225"/>
      <c r="LH136" s="1225"/>
      <c r="LI136" s="1225"/>
      <c r="LJ136" s="1225"/>
      <c r="LK136" s="1225"/>
      <c r="LL136" s="1225"/>
      <c r="LM136" s="1225"/>
      <c r="LN136" s="1225"/>
      <c r="LO136" s="1225"/>
      <c r="LP136" s="1225"/>
      <c r="LQ136" s="1225"/>
      <c r="LR136" s="1225"/>
      <c r="LS136" s="1225"/>
      <c r="LT136" s="1225"/>
      <c r="LU136" s="1225"/>
      <c r="LV136" s="1225"/>
      <c r="LW136" s="1225"/>
      <c r="LX136" s="1225"/>
      <c r="LY136" s="1225"/>
      <c r="LZ136" s="1225"/>
      <c r="MA136" s="1225"/>
      <c r="MB136" s="1225"/>
      <c r="MC136" s="1225"/>
      <c r="MD136" s="1225"/>
      <c r="ME136" s="1225"/>
      <c r="MF136" s="1225"/>
      <c r="MG136" s="1225"/>
      <c r="MH136" s="1225"/>
      <c r="MI136" s="1225"/>
      <c r="MJ136" s="1225"/>
      <c r="MK136" s="1225"/>
      <c r="ML136" s="1225"/>
      <c r="MM136" s="1225"/>
      <c r="MN136" s="1225"/>
      <c r="MO136" s="1225"/>
      <c r="MP136" s="1225"/>
      <c r="MQ136" s="1225"/>
      <c r="MR136" s="1225"/>
      <c r="MS136" s="1225"/>
      <c r="MT136" s="1225"/>
      <c r="MU136" s="1225"/>
      <c r="MV136" s="1225"/>
      <c r="MW136" s="1225"/>
      <c r="MX136" s="1225"/>
      <c r="MY136" s="1225"/>
      <c r="MZ136" s="1225"/>
      <c r="NA136" s="1225"/>
      <c r="NB136" s="1225"/>
      <c r="NC136" s="1225"/>
      <c r="ND136" s="1225"/>
      <c r="NE136" s="1225"/>
      <c r="NF136" s="1225"/>
      <c r="NG136" s="1225"/>
      <c r="NH136" s="1225"/>
      <c r="NI136" s="1225"/>
      <c r="NJ136" s="1225"/>
      <c r="NK136" s="1225"/>
      <c r="NL136" s="1225"/>
      <c r="NM136" s="1225"/>
      <c r="NN136" s="1225"/>
      <c r="NO136" s="1225"/>
      <c r="NP136" s="1225"/>
      <c r="NQ136" s="1225"/>
      <c r="NR136" s="1225"/>
      <c r="NS136" s="1225"/>
      <c r="NT136" s="1225"/>
      <c r="NU136" s="1225"/>
      <c r="NV136" s="1225"/>
      <c r="NW136" s="1225"/>
      <c r="NX136" s="1225"/>
      <c r="NY136" s="1225"/>
      <c r="NZ136" s="1225"/>
      <c r="OA136" s="1225"/>
      <c r="OB136" s="1225"/>
      <c r="OC136" s="1225"/>
      <c r="OD136" s="1225"/>
      <c r="OE136" s="1225"/>
      <c r="OF136" s="1225"/>
      <c r="OG136" s="1225"/>
      <c r="OH136" s="1225"/>
    </row>
    <row r="137" spans="1:398" s="1225" customFormat="1" ht="40" customHeight="1">
      <c r="B137" s="1273"/>
      <c r="C137" s="1227"/>
      <c r="D137" s="1227">
        <v>35</v>
      </c>
      <c r="E137" s="1228">
        <v>2045</v>
      </c>
      <c r="F137" s="946" t="s">
        <v>565</v>
      </c>
      <c r="G137" s="1229">
        <v>98</v>
      </c>
      <c r="H137" s="1229">
        <v>119</v>
      </c>
      <c r="I137" s="1229">
        <v>98</v>
      </c>
      <c r="J137" s="1229">
        <v>120</v>
      </c>
      <c r="K137" s="245" t="s">
        <v>566</v>
      </c>
      <c r="L137" s="1229">
        <v>108</v>
      </c>
      <c r="M137" s="1230">
        <v>7</v>
      </c>
      <c r="N137" s="1231" t="s">
        <v>318</v>
      </c>
      <c r="O137" s="1231" t="s">
        <v>168</v>
      </c>
      <c r="P137" s="1230">
        <v>30</v>
      </c>
      <c r="Q137" s="1231" t="s">
        <v>170</v>
      </c>
      <c r="R137" s="1231" t="s">
        <v>170</v>
      </c>
      <c r="S137" s="1231" t="s">
        <v>169</v>
      </c>
      <c r="T137" s="1231" t="s">
        <v>370</v>
      </c>
      <c r="U137" s="1232" t="s">
        <v>169</v>
      </c>
      <c r="V137" s="1227" t="s">
        <v>172</v>
      </c>
      <c r="W137" s="1227"/>
      <c r="X137" s="592" t="s">
        <v>292</v>
      </c>
      <c r="Y137" s="592" t="s">
        <v>292</v>
      </c>
      <c r="Z137" s="1227"/>
      <c r="AA137" s="253" t="s">
        <v>567</v>
      </c>
      <c r="AB137" s="254" t="s">
        <v>543</v>
      </c>
      <c r="AC137" s="255">
        <v>108</v>
      </c>
      <c r="AD137" s="256">
        <f>SUM(AC137,AC138)</f>
        <v>108</v>
      </c>
      <c r="AE137" s="465" t="s">
        <v>295</v>
      </c>
      <c r="AF137" s="550" t="s">
        <v>296</v>
      </c>
      <c r="AG137" s="467">
        <f>FP137</f>
        <v>1342000</v>
      </c>
      <c r="AH137" s="468">
        <f>FQ137</f>
        <v>2200</v>
      </c>
      <c r="AI137" s="468">
        <f>FR137</f>
        <v>1900</v>
      </c>
      <c r="AJ137" s="469">
        <v>0.98599999999999999</v>
      </c>
      <c r="AK137" s="551">
        <f>$AK$4</f>
        <v>26106</v>
      </c>
      <c r="AL137" s="552">
        <v>0.83</v>
      </c>
      <c r="AM137" s="551">
        <f>$AM$4</f>
        <v>24690</v>
      </c>
      <c r="AN137" s="468" t="s">
        <v>308</v>
      </c>
      <c r="AO137" s="551">
        <f>$AO$4</f>
        <v>2373</v>
      </c>
      <c r="AP137" s="467">
        <f t="shared" ref="AP137:AQ137" si="18">FS137</f>
        <v>98</v>
      </c>
      <c r="AQ137" s="467">
        <f t="shared" si="18"/>
        <v>120</v>
      </c>
      <c r="AR137" s="474">
        <f>DM137/(BX137-2)</f>
        <v>108</v>
      </c>
      <c r="AS137" s="475">
        <f>AG137/AR137</f>
        <v>12425.925925925925</v>
      </c>
      <c r="AT137" s="476">
        <f>AG137/AP137</f>
        <v>13693.877551020409</v>
      </c>
      <c r="AU137" s="475">
        <f>AG137/AQ137</f>
        <v>11183.333333333334</v>
      </c>
      <c r="AV137" s="477">
        <v>26000</v>
      </c>
      <c r="AW137" s="477">
        <v>48000</v>
      </c>
      <c r="AX137" s="467">
        <f>GA137</f>
        <v>770000.00000000012</v>
      </c>
      <c r="AY137" s="467">
        <f>GB137</f>
        <v>4</v>
      </c>
      <c r="AZ137" s="478">
        <f>GC137</f>
        <v>30034400</v>
      </c>
      <c r="BA137" s="478">
        <f>GD137</f>
        <v>18480000</v>
      </c>
      <c r="BB137" s="478">
        <f>AI137*DM137</f>
        <v>4309200</v>
      </c>
      <c r="BC137" s="478">
        <f>AH137*DM137</f>
        <v>4989600</v>
      </c>
      <c r="BD137" s="478">
        <f>AK137*DM137*0.6</f>
        <v>35525044.799999997</v>
      </c>
      <c r="BE137" s="478">
        <f>BD137-21000*DM137*0.6</f>
        <v>6948244.799999997</v>
      </c>
      <c r="BF137" s="478">
        <f>AM137*DM137*0.4</f>
        <v>22398768</v>
      </c>
      <c r="BG137" s="478">
        <f>BF137-0</f>
        <v>22398768</v>
      </c>
      <c r="BH137" s="478">
        <f>AO137*DM137*0.3</f>
        <v>1614589.2</v>
      </c>
      <c r="BI137" s="480">
        <f>GJ137</f>
        <v>0</v>
      </c>
      <c r="BJ137" s="480">
        <f>GK137</f>
        <v>0</v>
      </c>
      <c r="BK137" s="480">
        <f>BM137*5000*BX137</f>
        <v>575000</v>
      </c>
      <c r="BL137" s="480">
        <f>1800000*BN137*BX137</f>
        <v>41400000</v>
      </c>
      <c r="BM137" s="480">
        <f>GP137</f>
        <v>5</v>
      </c>
      <c r="BN137" s="480">
        <f>GQ137</f>
        <v>1</v>
      </c>
      <c r="BO137" s="481"/>
      <c r="BP137" s="481">
        <f>SUM(AZ137,BA137,BI137,BO137)</f>
        <v>48514400</v>
      </c>
      <c r="BQ137" s="481">
        <f>BP137-GR137</f>
        <v>0</v>
      </c>
      <c r="BR137" s="554"/>
      <c r="BS137" s="1012" t="s">
        <v>175</v>
      </c>
      <c r="BT137" s="484">
        <f>GU137</f>
        <v>46277</v>
      </c>
      <c r="BU137" s="484">
        <f>GV137</f>
        <v>46300</v>
      </c>
      <c r="BV137" s="666">
        <f>IFERROR(INDEX($BY$9:$DH$9, MATCH("準備", BY137:DK137, 0)), "")</f>
        <v>46277</v>
      </c>
      <c r="BW137" s="667" cm="1">
        <f t="array" ref="BW137">IF(COUNTIF(BY137:DK137,"*撤去*")=0,"",INDEX(BY$9:DK$9,1,MAX(IF(CC137:DK137="撤去",COLUMN(CC137:DK137)-COLUMN(BY137)+1))))</f>
        <v>46300</v>
      </c>
      <c r="BX137" s="663">
        <f>BW137-BV137</f>
        <v>23</v>
      </c>
      <c r="BY137" s="556">
        <v>0</v>
      </c>
      <c r="BZ137" s="557">
        <v>0</v>
      </c>
      <c r="CA137" s="557">
        <v>0</v>
      </c>
      <c r="CB137" s="557">
        <v>0</v>
      </c>
      <c r="CC137" s="1235">
        <v>0</v>
      </c>
      <c r="CD137" s="1236">
        <v>0</v>
      </c>
      <c r="CE137" s="1236">
        <v>0</v>
      </c>
      <c r="CF137" s="1236">
        <v>0</v>
      </c>
      <c r="CG137" s="1236">
        <v>0</v>
      </c>
      <c r="CH137" s="1236">
        <v>0</v>
      </c>
      <c r="CI137" s="1236">
        <v>0</v>
      </c>
      <c r="CJ137" s="1236">
        <v>0</v>
      </c>
      <c r="CK137" s="400" t="s">
        <v>177</v>
      </c>
      <c r="CL137" s="400" t="s">
        <v>177</v>
      </c>
      <c r="CM137" s="1236">
        <v>108</v>
      </c>
      <c r="CN137" s="1236">
        <v>108</v>
      </c>
      <c r="CO137" s="1236">
        <v>108</v>
      </c>
      <c r="CP137" s="1236">
        <v>108</v>
      </c>
      <c r="CQ137" s="1236">
        <v>108</v>
      </c>
      <c r="CR137" s="1237">
        <v>108</v>
      </c>
      <c r="CS137" s="1235">
        <v>108</v>
      </c>
      <c r="CT137" s="1236">
        <v>108</v>
      </c>
      <c r="CU137" s="1236">
        <v>108</v>
      </c>
      <c r="CV137" s="1236">
        <v>108</v>
      </c>
      <c r="CW137" s="1236">
        <v>108</v>
      </c>
      <c r="CX137" s="1236">
        <v>108</v>
      </c>
      <c r="CY137" s="1236">
        <v>108</v>
      </c>
      <c r="CZ137" s="1236">
        <v>108</v>
      </c>
      <c r="DA137" s="1236">
        <v>108</v>
      </c>
      <c r="DB137" s="1236">
        <v>108</v>
      </c>
      <c r="DC137" s="1236">
        <v>108</v>
      </c>
      <c r="DD137" s="1236">
        <v>108</v>
      </c>
      <c r="DE137" s="1236">
        <v>108</v>
      </c>
      <c r="DF137" s="1236">
        <v>108</v>
      </c>
      <c r="DG137" s="1238">
        <v>108</v>
      </c>
      <c r="DH137" s="603" t="s">
        <v>178</v>
      </c>
      <c r="DI137" s="1236">
        <v>0</v>
      </c>
      <c r="DJ137" s="1236">
        <v>0</v>
      </c>
      <c r="DK137" s="1239">
        <v>0</v>
      </c>
      <c r="DL137" s="1240"/>
      <c r="DM137" s="277" cm="1">
        <f t="array" ref="DM137">SUM(IF(ISNUMBER($BY137:$DK137),$BY137:$DK137, 0))</f>
        <v>2268</v>
      </c>
      <c r="DN137" s="277">
        <v>2160</v>
      </c>
      <c r="DO137" s="277">
        <f>DM137*(BX137)/(BX137+1)</f>
        <v>2173.5</v>
      </c>
      <c r="DP137" s="277"/>
      <c r="DQ137" s="253" t="s">
        <v>568</v>
      </c>
      <c r="DR137" s="254" t="s">
        <v>543</v>
      </c>
      <c r="DS137" s="255">
        <v>108</v>
      </c>
      <c r="DT137" s="256">
        <f>SUM(DS137,DS138)</f>
        <v>108</v>
      </c>
      <c r="DU137" s="467">
        <v>1342000</v>
      </c>
      <c r="DV137" s="467">
        <v>770000.00000000012</v>
      </c>
      <c r="DW137" s="478">
        <v>30034400</v>
      </c>
      <c r="DX137" s="478">
        <v>18480000</v>
      </c>
      <c r="DY137" s="478">
        <v>4309200</v>
      </c>
      <c r="DZ137" s="478">
        <v>35525044.799999997</v>
      </c>
      <c r="EA137" s="478">
        <v>22398768</v>
      </c>
      <c r="EB137" s="478">
        <v>1614589.2</v>
      </c>
      <c r="EC137" s="480">
        <v>0</v>
      </c>
      <c r="ED137" s="480">
        <v>0</v>
      </c>
      <c r="EE137" s="480">
        <v>575000</v>
      </c>
      <c r="EF137" s="480">
        <v>41400000</v>
      </c>
      <c r="EG137" s="481"/>
      <c r="EH137" s="481">
        <v>48514400</v>
      </c>
      <c r="EI137" s="484">
        <v>46277</v>
      </c>
      <c r="EJ137" s="484">
        <v>46300</v>
      </c>
      <c r="EK137" s="666">
        <v>46277</v>
      </c>
      <c r="EL137" s="667">
        <v>46300</v>
      </c>
      <c r="EM137" s="663">
        <v>23</v>
      </c>
      <c r="EN137" s="277"/>
      <c r="EO137" s="253" t="s">
        <v>568</v>
      </c>
      <c r="EP137" s="1274" t="s">
        <v>543</v>
      </c>
      <c r="EQ137" s="1275">
        <v>108</v>
      </c>
      <c r="ER137" s="1243">
        <v>108</v>
      </c>
      <c r="ES137" s="245">
        <v>108</v>
      </c>
      <c r="ET137" s="245">
        <v>100</v>
      </c>
      <c r="EU137" s="245">
        <v>100</v>
      </c>
      <c r="EV137" s="281" t="s">
        <v>545</v>
      </c>
      <c r="EW137" s="282">
        <v>26.3</v>
      </c>
      <c r="EX137" s="283">
        <v>40</v>
      </c>
      <c r="EY137" s="284" t="s">
        <v>546</v>
      </c>
      <c r="EZ137" s="285">
        <v>9.8000000000000007</v>
      </c>
      <c r="FA137" s="286">
        <v>16</v>
      </c>
      <c r="FB137" s="284" t="s">
        <v>547</v>
      </c>
      <c r="FC137" s="285">
        <v>12.9</v>
      </c>
      <c r="FD137" s="286">
        <v>20</v>
      </c>
      <c r="FE137" s="287" t="s">
        <v>189</v>
      </c>
      <c r="FF137" s="285"/>
      <c r="FG137" s="286"/>
      <c r="FH137" s="287" t="s">
        <v>189</v>
      </c>
      <c r="FI137" s="285"/>
      <c r="FJ137" s="288"/>
      <c r="FK137" s="1244">
        <v>11</v>
      </c>
      <c r="FL137" s="1245">
        <v>9.2436974789915971E-2</v>
      </c>
      <c r="FM137" s="1246" t="s">
        <v>569</v>
      </c>
      <c r="FN137" s="561" t="s">
        <v>300</v>
      </c>
      <c r="FO137" s="550" t="s">
        <v>296</v>
      </c>
      <c r="FP137" s="562">
        <v>1342000</v>
      </c>
      <c r="FQ137" s="563">
        <v>2200</v>
      </c>
      <c r="FR137" s="468">
        <v>1900</v>
      </c>
      <c r="FS137" s="562">
        <v>98</v>
      </c>
      <c r="FT137" s="965">
        <v>120</v>
      </c>
      <c r="FU137" s="261">
        <v>108</v>
      </c>
      <c r="FV137" s="394">
        <v>12425.925925925925</v>
      </c>
      <c r="FW137" s="390">
        <v>13693.877551020409</v>
      </c>
      <c r="FX137" s="394">
        <v>11183.333333333334</v>
      </c>
      <c r="FY137" s="395">
        <v>9412</v>
      </c>
      <c r="FZ137" s="395">
        <v>14118</v>
      </c>
      <c r="GA137" s="562">
        <v>770000.00000000012</v>
      </c>
      <c r="GB137" s="562">
        <v>4</v>
      </c>
      <c r="GC137" s="565">
        <v>30034400</v>
      </c>
      <c r="GD137" s="565">
        <v>18480000</v>
      </c>
      <c r="GE137" s="565">
        <v>30034400</v>
      </c>
      <c r="GF137" s="565">
        <v>18480000</v>
      </c>
      <c r="GG137" s="478">
        <v>0</v>
      </c>
      <c r="GH137" s="478">
        <v>0</v>
      </c>
      <c r="GI137" s="478">
        <v>2585520</v>
      </c>
      <c r="GJ137" s="566"/>
      <c r="GK137" s="566"/>
      <c r="GL137" s="566"/>
      <c r="GM137" s="480">
        <v>0</v>
      </c>
      <c r="GN137" s="480">
        <v>350000</v>
      </c>
      <c r="GO137" s="480">
        <v>41400000</v>
      </c>
      <c r="GP137" s="566">
        <v>5</v>
      </c>
      <c r="GQ137" s="566">
        <v>1</v>
      </c>
      <c r="GR137" s="966">
        <v>48514400</v>
      </c>
      <c r="GS137" s="1019">
        <v>-20099026</v>
      </c>
      <c r="GT137" s="1012" t="s">
        <v>175</v>
      </c>
      <c r="GU137" s="1020">
        <v>46277</v>
      </c>
      <c r="GV137" s="1020">
        <v>46300</v>
      </c>
      <c r="GW137" s="666">
        <v>46277</v>
      </c>
      <c r="GX137" s="667">
        <v>46300</v>
      </c>
      <c r="GY137" s="663">
        <v>23</v>
      </c>
      <c r="GZ137" s="556"/>
      <c r="HA137" s="557"/>
      <c r="HB137" s="557"/>
      <c r="HC137" s="557"/>
      <c r="HD137" s="1235">
        <v>0</v>
      </c>
      <c r="HE137" s="1236">
        <v>0</v>
      </c>
      <c r="HF137" s="1236">
        <v>0</v>
      </c>
      <c r="HG137" s="1236">
        <v>0</v>
      </c>
      <c r="HH137" s="1236">
        <v>0</v>
      </c>
      <c r="HI137" s="1236">
        <v>0</v>
      </c>
      <c r="HJ137" s="1236">
        <v>0</v>
      </c>
      <c r="HK137" s="1236">
        <v>0</v>
      </c>
      <c r="HL137" s="400" t="s">
        <v>177</v>
      </c>
      <c r="HM137" s="400" t="s">
        <v>177</v>
      </c>
      <c r="HN137" s="1236">
        <v>108</v>
      </c>
      <c r="HO137" s="1236">
        <v>108</v>
      </c>
      <c r="HP137" s="1236">
        <v>108</v>
      </c>
      <c r="HQ137" s="1236">
        <v>108</v>
      </c>
      <c r="HR137" s="1236">
        <v>108</v>
      </c>
      <c r="HS137" s="1237">
        <v>108</v>
      </c>
      <c r="HT137" s="1235">
        <v>108</v>
      </c>
      <c r="HU137" s="1236">
        <v>108</v>
      </c>
      <c r="HV137" s="1236">
        <v>108</v>
      </c>
      <c r="HW137" s="1236">
        <v>108</v>
      </c>
      <c r="HX137" s="1236">
        <v>108</v>
      </c>
      <c r="HY137" s="1236">
        <v>108</v>
      </c>
      <c r="HZ137" s="1236">
        <v>108</v>
      </c>
      <c r="IA137" s="1236">
        <v>108</v>
      </c>
      <c r="IB137" s="1236">
        <v>108</v>
      </c>
      <c r="IC137" s="1236">
        <v>108</v>
      </c>
      <c r="ID137" s="1236">
        <v>108</v>
      </c>
      <c r="IE137" s="1236">
        <v>108</v>
      </c>
      <c r="IF137" s="1236">
        <v>108</v>
      </c>
      <c r="IG137" s="1236">
        <v>108</v>
      </c>
      <c r="IH137" s="1237">
        <v>108</v>
      </c>
      <c r="II137" s="603" t="s">
        <v>178</v>
      </c>
      <c r="IJ137" s="1236">
        <v>0</v>
      </c>
      <c r="IK137" s="1236">
        <v>0</v>
      </c>
      <c r="IL137" s="1239">
        <v>0</v>
      </c>
      <c r="IM137" s="1240"/>
      <c r="IN137" s="277" cm="1">
        <f t="array" ref="IN137">SUM(IF(ISNUMBER($HD137:$IL137),$HD137:$IL137, 0))</f>
        <v>2268</v>
      </c>
      <c r="IO137" s="1247"/>
      <c r="IP137" s="1248"/>
      <c r="IQ137" s="1249"/>
      <c r="IR137" s="569">
        <f>VLOOKUP($E137,[1]アジアResults1031!$A$1:$CH$259,23,FALSE)</f>
        <v>1085795</v>
      </c>
      <c r="IS137" s="570">
        <f>VLOOKUP($E137,[1]アジアResults1031!$A$1:$CH$259,32,FALSE)</f>
        <v>95</v>
      </c>
      <c r="IT137" s="570">
        <f>KY137/(GY137-2)</f>
        <v>52.38095238095238</v>
      </c>
      <c r="IU137" s="570">
        <f>IR137/IT137</f>
        <v>20728.813636363637</v>
      </c>
      <c r="IV137" s="570">
        <f>VLOOKUP(E137,[1]アジアResults1031!$A$1:$CH$264,26,FALSE)</f>
        <v>9412</v>
      </c>
      <c r="IW137" s="570">
        <f>VLOOKUP(E137,[1]アジアResults1031!$A$1:$CH$264,27,FALSE)</f>
        <v>14118</v>
      </c>
      <c r="IX137" s="571">
        <f>VLOOKUP($E137,[1]アジアResults1031!$A$1:$CH$259,18,FALSE)</f>
        <v>1100003</v>
      </c>
      <c r="IY137" s="571">
        <f>VLOOKUP($E137,[1]アジアResults1031!$A$1:$CH$259,9,FALSE)</f>
        <v>4</v>
      </c>
      <c r="IZ137" s="570">
        <f>IR137*JF137</f>
        <v>14115335</v>
      </c>
      <c r="JA137" s="570">
        <f>IX137*JF137</f>
        <v>14300039</v>
      </c>
      <c r="JB137" s="570"/>
      <c r="JC137" s="570"/>
      <c r="JD137" s="572">
        <f>IFERROR(INDEX($JO$9:$KW$9, MATCH("準備", JO137:KW137, 0)), "")</f>
        <v>46279</v>
      </c>
      <c r="JE137" s="572" cm="1">
        <f t="array" ref="JE137">IF(COUNTIF(JO137:KW137,"*撤去*")=0,"",INDEX(JO$9:KW$9,1,MAX(IF(JO137:KW137="撤去",COLUMN(JO137:KW137)-COLUMN(JO137)+1))))</f>
        <v>46292</v>
      </c>
      <c r="JF137" s="573">
        <f>JE137-JD137</f>
        <v>13</v>
      </c>
      <c r="JG137" s="503">
        <v>1163444</v>
      </c>
      <c r="JH137" s="506">
        <v>1488239</v>
      </c>
      <c r="JO137" s="507"/>
      <c r="JP137" s="508"/>
      <c r="JQ137" s="508"/>
      <c r="JR137" s="508"/>
      <c r="JS137" s="508"/>
      <c r="JT137" s="508"/>
      <c r="JU137" s="508"/>
      <c r="JV137" s="508"/>
      <c r="JW137" s="508"/>
      <c r="JX137" s="508"/>
      <c r="JY137" s="400" t="s">
        <v>177</v>
      </c>
      <c r="JZ137" s="400" t="s">
        <v>177</v>
      </c>
      <c r="KA137" s="508">
        <v>100</v>
      </c>
      <c r="KB137" s="508">
        <v>100</v>
      </c>
      <c r="KC137" s="508">
        <v>100</v>
      </c>
      <c r="KD137" s="508">
        <v>100</v>
      </c>
      <c r="KE137" s="508">
        <v>100</v>
      </c>
      <c r="KF137" s="508">
        <v>100</v>
      </c>
      <c r="KG137" s="508">
        <v>100</v>
      </c>
      <c r="KH137" s="508">
        <v>100</v>
      </c>
      <c r="KI137" s="508">
        <v>100</v>
      </c>
      <c r="KJ137" s="508">
        <v>100</v>
      </c>
      <c r="KK137" s="508">
        <v>100</v>
      </c>
      <c r="KL137" s="406" t="s">
        <v>178</v>
      </c>
      <c r="KM137" s="508"/>
      <c r="KN137" s="508"/>
      <c r="KO137" s="508"/>
      <c r="KP137" s="508"/>
      <c r="KQ137" s="508"/>
      <c r="KR137" s="508"/>
      <c r="KS137" s="508"/>
      <c r="KT137" s="508"/>
      <c r="KU137" s="508"/>
      <c r="KV137" s="508"/>
      <c r="KW137" s="509"/>
      <c r="KX137" s="1240"/>
      <c r="KY137" s="277" cm="1">
        <f t="array" ref="KY137">SUM(IF(ISNUMBER($JO137:$KW137),$JO137:$KW137, 0))</f>
        <v>1100</v>
      </c>
    </row>
    <row r="138" spans="1:398" s="1272" customFormat="1" ht="40" customHeight="1" thickBot="1">
      <c r="A138" s="1225"/>
      <c r="B138" s="240"/>
      <c r="C138" s="1276"/>
      <c r="D138" s="1227"/>
      <c r="E138" s="1228" t="s">
        <v>165</v>
      </c>
      <c r="F138" s="1207"/>
      <c r="G138" s="1229">
        <v>0</v>
      </c>
      <c r="H138" s="1229">
        <v>0</v>
      </c>
      <c r="I138" s="1229">
        <v>0</v>
      </c>
      <c r="J138" s="1229">
        <v>0</v>
      </c>
      <c r="K138" s="1229"/>
      <c r="L138" s="1229">
        <v>0</v>
      </c>
      <c r="M138" s="1230">
        <v>0</v>
      </c>
      <c r="N138" s="1231">
        <v>0</v>
      </c>
      <c r="O138" s="1231">
        <v>0</v>
      </c>
      <c r="P138" s="1230">
        <v>0</v>
      </c>
      <c r="Q138" s="1231">
        <v>0</v>
      </c>
      <c r="R138" s="1231">
        <v>0</v>
      </c>
      <c r="S138" s="1231">
        <v>0</v>
      </c>
      <c r="T138" s="1231">
        <v>0</v>
      </c>
      <c r="U138" s="1232"/>
      <c r="V138" s="1227"/>
      <c r="W138" s="1227"/>
      <c r="X138" s="1227"/>
      <c r="Y138" s="1227"/>
      <c r="Z138" s="1227"/>
      <c r="AA138" s="763"/>
      <c r="AB138" s="764" t="s">
        <v>170</v>
      </c>
      <c r="AC138" s="765">
        <v>0</v>
      </c>
      <c r="AD138" s="516"/>
      <c r="AE138" s="1257"/>
      <c r="AF138" s="1258"/>
      <c r="AG138" s="1258"/>
      <c r="AH138" s="1258"/>
      <c r="AI138" s="1258"/>
      <c r="AJ138" s="1258"/>
      <c r="AK138" s="1258"/>
      <c r="AL138" s="1258"/>
      <c r="AM138" s="1258"/>
      <c r="AN138" s="1258"/>
      <c r="AO138" s="1258"/>
      <c r="AP138" s="1258"/>
      <c r="AQ138" s="1258"/>
      <c r="AR138" s="1258"/>
      <c r="AS138" s="767"/>
      <c r="AT138" s="1258"/>
      <c r="AU138" s="767"/>
      <c r="AV138" s="1258"/>
      <c r="AW138" s="1258"/>
      <c r="AX138" s="1258"/>
      <c r="AY138" s="1258"/>
      <c r="AZ138" s="768"/>
      <c r="BA138" s="768"/>
      <c r="BB138" s="768"/>
      <c r="BC138" s="768"/>
      <c r="BD138" s="768"/>
      <c r="BE138" s="768"/>
      <c r="BF138" s="768"/>
      <c r="BG138" s="768"/>
      <c r="BH138" s="768"/>
      <c r="BI138" s="768"/>
      <c r="BJ138" s="768"/>
      <c r="BK138" s="768"/>
      <c r="BL138" s="768"/>
      <c r="BM138" s="768"/>
      <c r="BN138" s="768"/>
      <c r="BO138" s="1258"/>
      <c r="BP138" s="1258"/>
      <c r="BQ138" s="1258"/>
      <c r="BR138" s="1259"/>
      <c r="BS138" s="941"/>
      <c r="BT138" s="942"/>
      <c r="BU138" s="942"/>
      <c r="BV138" s="773" t="str">
        <f>IFERROR(INDEX($HD$9:$II$9, MATCH("準備", CC138:DK138, 0)), "")</f>
        <v/>
      </c>
      <c r="BW138" s="773" t="str" cm="1">
        <f t="array" ref="BW138">IF(COUNTIF(CC138:DK138,"*撤去*")=0,"",INDEX(CC$9:DK$9,1,MAX(IF(CC138:DK138="撤去",COLUMN(CC138:DK138)-COLUMN(CC138)+1))))</f>
        <v/>
      </c>
      <c r="BX138" s="774"/>
      <c r="BY138" s="360" t="s">
        <v>246</v>
      </c>
      <c r="BZ138" s="361" t="s">
        <v>247</v>
      </c>
      <c r="CA138" s="777"/>
      <c r="CB138" s="777"/>
      <c r="CC138" s="1260"/>
      <c r="CD138" s="1261"/>
      <c r="CE138" s="1261"/>
      <c r="CF138" s="1261"/>
      <c r="CG138" s="1261"/>
      <c r="CH138" s="1261"/>
      <c r="CI138" s="1261"/>
      <c r="CJ138" s="1261"/>
      <c r="CK138" s="363"/>
      <c r="CL138" s="363"/>
      <c r="CM138" s="363"/>
      <c r="CN138" s="363"/>
      <c r="CO138" s="363"/>
      <c r="CP138" s="363"/>
      <c r="CQ138" s="364"/>
      <c r="CR138" s="365"/>
      <c r="CS138" s="366"/>
      <c r="CT138" s="363"/>
      <c r="CU138" s="363"/>
      <c r="CV138" s="363"/>
      <c r="CW138" s="363"/>
      <c r="CX138" s="363"/>
      <c r="CY138" s="363"/>
      <c r="CZ138" s="363"/>
      <c r="DA138" s="363"/>
      <c r="DB138" s="363"/>
      <c r="DC138" s="363"/>
      <c r="DD138" s="363"/>
      <c r="DE138" s="363"/>
      <c r="DF138" s="364"/>
      <c r="DG138" s="365"/>
      <c r="DH138" s="366"/>
      <c r="DI138" s="1261"/>
      <c r="DJ138" s="1261"/>
      <c r="DK138" s="1262"/>
      <c r="DL138" s="1240"/>
      <c r="DM138" s="1240"/>
      <c r="DN138" s="1240"/>
      <c r="DO138" s="1240"/>
      <c r="DP138" s="1240"/>
      <c r="DQ138" s="763"/>
      <c r="DR138" s="764" t="s">
        <v>170</v>
      </c>
      <c r="DS138" s="765">
        <v>0</v>
      </c>
      <c r="DT138" s="516"/>
      <c r="DU138" s="1258"/>
      <c r="DV138" s="1258"/>
      <c r="DW138" s="768"/>
      <c r="DX138" s="768"/>
      <c r="DY138" s="768"/>
      <c r="DZ138" s="768"/>
      <c r="EA138" s="768"/>
      <c r="EB138" s="768"/>
      <c r="EC138" s="768"/>
      <c r="ED138" s="768"/>
      <c r="EE138" s="768"/>
      <c r="EF138" s="768"/>
      <c r="EG138" s="1258"/>
      <c r="EH138" s="1258"/>
      <c r="EI138" s="942"/>
      <c r="EJ138" s="942"/>
      <c r="EK138" s="773" t="s">
        <v>165</v>
      </c>
      <c r="EL138" s="773" t="s">
        <v>165</v>
      </c>
      <c r="EM138" s="774"/>
      <c r="EN138" s="1240"/>
      <c r="EO138" s="763"/>
      <c r="EP138" s="1263" t="s">
        <v>170</v>
      </c>
      <c r="EQ138" s="1264">
        <v>0</v>
      </c>
      <c r="ER138" s="1265"/>
      <c r="ES138" s="1265" t="e">
        <v>#N/A</v>
      </c>
      <c r="ET138" s="1265"/>
      <c r="EU138" s="1265"/>
      <c r="EV138" s="1027" t="s">
        <v>170</v>
      </c>
      <c r="EW138" s="453"/>
      <c r="EX138" s="454"/>
      <c r="EY138" s="879" t="s">
        <v>170</v>
      </c>
      <c r="EZ138" s="456"/>
      <c r="FA138" s="457"/>
      <c r="FB138" s="879" t="s">
        <v>170</v>
      </c>
      <c r="FC138" s="880"/>
      <c r="FD138" s="881"/>
      <c r="FE138" s="882" t="s">
        <v>170</v>
      </c>
      <c r="FF138" s="880"/>
      <c r="FG138" s="881"/>
      <c r="FH138" s="882" t="s">
        <v>170</v>
      </c>
      <c r="FI138" s="880"/>
      <c r="FJ138" s="883"/>
      <c r="FK138" s="1266"/>
      <c r="FL138" s="1245"/>
      <c r="FM138" s="1277"/>
      <c r="FN138" s="1257"/>
      <c r="FO138" s="1258"/>
      <c r="FP138" s="1258"/>
      <c r="FQ138" s="1258"/>
      <c r="FR138" s="1258"/>
      <c r="FS138" s="1258"/>
      <c r="FT138" s="1258"/>
      <c r="FU138" s="1258"/>
      <c r="FV138" s="767"/>
      <c r="FW138" s="1258"/>
      <c r="FX138" s="767"/>
      <c r="FY138" s="1258"/>
      <c r="FZ138" s="1258"/>
      <c r="GA138" s="1258"/>
      <c r="GB138" s="1258"/>
      <c r="GC138" s="768"/>
      <c r="GD138" s="768"/>
      <c r="GE138" s="768"/>
      <c r="GF138" s="768"/>
      <c r="GG138" s="768"/>
      <c r="GH138" s="768"/>
      <c r="GI138" s="768"/>
      <c r="GJ138" s="768"/>
      <c r="GK138" s="768"/>
      <c r="GL138" s="768"/>
      <c r="GM138" s="768"/>
      <c r="GN138" s="768"/>
      <c r="GO138" s="768"/>
      <c r="GP138" s="768"/>
      <c r="GQ138" s="768"/>
      <c r="GR138" s="1258"/>
      <c r="GS138" s="1258"/>
      <c r="GT138" s="941"/>
      <c r="GU138" s="942"/>
      <c r="GV138" s="942"/>
      <c r="GW138" s="773" t="s">
        <v>165</v>
      </c>
      <c r="GX138" s="773" t="s">
        <v>165</v>
      </c>
      <c r="GY138" s="774"/>
      <c r="GZ138" s="943"/>
      <c r="HA138" s="777"/>
      <c r="HB138" s="777"/>
      <c r="HC138" s="777"/>
      <c r="HD138" s="1260"/>
      <c r="HE138" s="1261"/>
      <c r="HF138" s="1261"/>
      <c r="HG138" s="1261"/>
      <c r="HH138" s="1261"/>
      <c r="HI138" s="1261"/>
      <c r="HJ138" s="1261"/>
      <c r="HK138" s="1261"/>
      <c r="HL138" s="1261"/>
      <c r="HM138" s="1261"/>
      <c r="HN138" s="1261"/>
      <c r="HO138" s="1261"/>
      <c r="HP138" s="1261"/>
      <c r="HQ138" s="1261"/>
      <c r="HR138" s="1269"/>
      <c r="HS138" s="1270"/>
      <c r="HT138" s="1260"/>
      <c r="HU138" s="1261"/>
      <c r="HV138" s="1261"/>
      <c r="HW138" s="1261"/>
      <c r="HX138" s="1261"/>
      <c r="HY138" s="1261"/>
      <c r="HZ138" s="1261"/>
      <c r="IA138" s="1261"/>
      <c r="IB138" s="1261"/>
      <c r="IC138" s="1261"/>
      <c r="ID138" s="1261"/>
      <c r="IE138" s="1261"/>
      <c r="IF138" s="1261"/>
      <c r="IG138" s="1269"/>
      <c r="IH138" s="1271"/>
      <c r="II138" s="1260"/>
      <c r="IJ138" s="1261"/>
      <c r="IK138" s="1261"/>
      <c r="IL138" s="1262"/>
      <c r="IM138" s="1240"/>
      <c r="IN138" s="1240"/>
      <c r="IO138" s="1247"/>
      <c r="IP138" s="1248"/>
      <c r="IQ138" s="1249"/>
      <c r="IR138" s="542"/>
      <c r="IS138" s="543"/>
      <c r="IT138" s="543"/>
      <c r="IU138" s="543"/>
      <c r="IV138" s="543"/>
      <c r="IW138" s="543"/>
      <c r="IX138" s="544"/>
      <c r="IY138" s="544"/>
      <c r="IZ138" s="543"/>
      <c r="JA138" s="543"/>
      <c r="JB138" s="543"/>
      <c r="JC138" s="543"/>
      <c r="JD138" s="545"/>
      <c r="JE138" s="545"/>
      <c r="JF138" s="546"/>
      <c r="JG138" s="503"/>
      <c r="JH138" s="506"/>
      <c r="JI138" s="1225"/>
      <c r="JJ138" s="1225"/>
      <c r="JK138" s="1225"/>
      <c r="JL138" s="1225"/>
      <c r="JM138" s="1225"/>
      <c r="JN138" s="1225"/>
      <c r="JO138" s="507"/>
      <c r="JP138" s="508"/>
      <c r="JQ138" s="508"/>
      <c r="JR138" s="508"/>
      <c r="JS138" s="729"/>
      <c r="JT138" s="729"/>
      <c r="JU138" s="729"/>
      <c r="JV138" s="729"/>
      <c r="JW138" s="729"/>
      <c r="JX138" s="729"/>
      <c r="JY138" s="729"/>
      <c r="JZ138" s="729"/>
      <c r="KA138" s="729"/>
      <c r="KB138" s="729"/>
      <c r="KC138" s="729"/>
      <c r="KD138" s="729"/>
      <c r="KE138" s="729"/>
      <c r="KF138" s="729"/>
      <c r="KG138" s="729"/>
      <c r="KH138" s="729"/>
      <c r="KI138" s="729"/>
      <c r="KJ138" s="729"/>
      <c r="KK138" s="729"/>
      <c r="KL138" s="729"/>
      <c r="KM138" s="729"/>
      <c r="KN138" s="729"/>
      <c r="KO138" s="729"/>
      <c r="KP138" s="729"/>
      <c r="KQ138" s="729"/>
      <c r="KR138" s="729"/>
      <c r="KS138" s="729"/>
      <c r="KT138" s="508"/>
      <c r="KU138" s="508"/>
      <c r="KV138" s="508"/>
      <c r="KW138" s="509"/>
      <c r="KX138" s="1240"/>
      <c r="KY138" s="1240"/>
      <c r="KZ138" s="1225"/>
      <c r="LA138" s="1225"/>
      <c r="LB138" s="1225"/>
      <c r="LC138" s="1225"/>
      <c r="LD138" s="1225"/>
      <c r="LE138" s="1225"/>
      <c r="LF138" s="1225"/>
      <c r="LG138" s="1225"/>
      <c r="LH138" s="1225"/>
      <c r="LI138" s="1225"/>
      <c r="LJ138" s="1225"/>
      <c r="LK138" s="1225"/>
      <c r="LL138" s="1225"/>
      <c r="LM138" s="1225"/>
      <c r="LN138" s="1225"/>
      <c r="LO138" s="1225"/>
      <c r="LP138" s="1225"/>
      <c r="LQ138" s="1225"/>
      <c r="LR138" s="1225"/>
      <c r="LS138" s="1225"/>
      <c r="LT138" s="1225"/>
      <c r="LU138" s="1225"/>
      <c r="LV138" s="1225"/>
      <c r="LW138" s="1225"/>
      <c r="LX138" s="1225"/>
      <c r="LY138" s="1225"/>
      <c r="LZ138" s="1225"/>
      <c r="MA138" s="1225"/>
      <c r="MB138" s="1225"/>
      <c r="MC138" s="1225"/>
      <c r="MD138" s="1225"/>
      <c r="ME138" s="1225"/>
      <c r="MF138" s="1225"/>
      <c r="MG138" s="1225"/>
      <c r="MH138" s="1225"/>
      <c r="MI138" s="1225"/>
      <c r="MJ138" s="1225"/>
      <c r="MK138" s="1225"/>
      <c r="ML138" s="1225"/>
      <c r="MM138" s="1225"/>
      <c r="MN138" s="1225"/>
      <c r="MO138" s="1225"/>
      <c r="MP138" s="1225"/>
      <c r="MQ138" s="1225"/>
      <c r="MR138" s="1225"/>
      <c r="MS138" s="1225"/>
      <c r="MT138" s="1225"/>
      <c r="MU138" s="1225"/>
      <c r="MV138" s="1225"/>
      <c r="MW138" s="1225"/>
      <c r="MX138" s="1225"/>
      <c r="MY138" s="1225"/>
      <c r="MZ138" s="1225"/>
      <c r="NA138" s="1225"/>
      <c r="NB138" s="1225"/>
      <c r="NC138" s="1225"/>
      <c r="ND138" s="1225"/>
      <c r="NE138" s="1225"/>
      <c r="NF138" s="1225"/>
      <c r="NG138" s="1225"/>
      <c r="NH138" s="1225"/>
      <c r="NI138" s="1225"/>
      <c r="NJ138" s="1225"/>
      <c r="NK138" s="1225"/>
      <c r="NL138" s="1225"/>
      <c r="NM138" s="1225"/>
      <c r="NN138" s="1225"/>
      <c r="NO138" s="1225"/>
      <c r="NP138" s="1225"/>
      <c r="NQ138" s="1225"/>
      <c r="NR138" s="1225"/>
      <c r="NS138" s="1225"/>
      <c r="NT138" s="1225"/>
      <c r="NU138" s="1225"/>
      <c r="NV138" s="1225"/>
      <c r="NW138" s="1225"/>
      <c r="NX138" s="1225"/>
      <c r="NY138" s="1225"/>
      <c r="NZ138" s="1225"/>
      <c r="OA138" s="1225"/>
      <c r="OB138" s="1225"/>
      <c r="OC138" s="1225"/>
      <c r="OD138" s="1225"/>
      <c r="OE138" s="1225"/>
      <c r="OF138" s="1225"/>
      <c r="OG138" s="1225"/>
      <c r="OH138" s="1225"/>
    </row>
    <row r="139" spans="1:398" ht="40" customHeight="1">
      <c r="B139" s="299"/>
      <c r="C139" s="1205" t="s">
        <v>570</v>
      </c>
      <c r="D139" s="378">
        <v>36</v>
      </c>
      <c r="E139" s="379">
        <v>2022</v>
      </c>
      <c r="F139" s="1278" t="s">
        <v>571</v>
      </c>
      <c r="G139" s="381">
        <v>212</v>
      </c>
      <c r="H139" s="381">
        <v>522</v>
      </c>
      <c r="I139" s="381">
        <v>109</v>
      </c>
      <c r="J139" s="381">
        <v>356</v>
      </c>
      <c r="K139" s="245" t="s">
        <v>572</v>
      </c>
      <c r="L139" s="381">
        <v>176</v>
      </c>
      <c r="M139" s="383">
        <v>12</v>
      </c>
      <c r="N139" s="384" t="s">
        <v>318</v>
      </c>
      <c r="O139" s="384" t="s">
        <v>168</v>
      </c>
      <c r="P139" s="383">
        <v>122</v>
      </c>
      <c r="Q139" s="384" t="s">
        <v>170</v>
      </c>
      <c r="R139" s="384" t="s">
        <v>169</v>
      </c>
      <c r="S139" s="384" t="s">
        <v>169</v>
      </c>
      <c r="T139" s="384" t="s">
        <v>518</v>
      </c>
      <c r="U139" s="385" t="s">
        <v>169</v>
      </c>
      <c r="V139" s="378" t="s">
        <v>320</v>
      </c>
      <c r="W139" s="378"/>
      <c r="X139" s="462" t="s">
        <v>292</v>
      </c>
      <c r="Y139" s="462" t="s">
        <v>292</v>
      </c>
      <c r="Z139" s="462" t="s">
        <v>292</v>
      </c>
      <c r="AA139" s="386" t="s">
        <v>573</v>
      </c>
      <c r="AB139" s="1208" t="s">
        <v>570</v>
      </c>
      <c r="AC139" s="388">
        <v>284</v>
      </c>
      <c r="AD139" s="1279">
        <f>SUM(AC139,AC140)</f>
        <v>284</v>
      </c>
      <c r="AE139" s="465" t="s">
        <v>295</v>
      </c>
      <c r="AF139" s="550" t="s">
        <v>296</v>
      </c>
      <c r="AG139" s="467">
        <f>FP139</f>
        <v>4729960.4000000004</v>
      </c>
      <c r="AH139" s="468">
        <f>FQ139</f>
        <v>3000</v>
      </c>
      <c r="AI139" s="468">
        <f>FR139</f>
        <v>1100</v>
      </c>
      <c r="AJ139" s="469">
        <v>0.98599999999999999</v>
      </c>
      <c r="AK139" s="551">
        <f>$AK$4</f>
        <v>26106</v>
      </c>
      <c r="AL139" s="552">
        <v>0.83</v>
      </c>
      <c r="AM139" s="551">
        <f>$AM$4</f>
        <v>24690</v>
      </c>
      <c r="AN139" s="468" t="s">
        <v>308</v>
      </c>
      <c r="AO139" s="551">
        <f>$AO$4</f>
        <v>2373</v>
      </c>
      <c r="AP139" s="467">
        <f t="shared" ref="AP139:AQ139" si="19">FS139</f>
        <v>109</v>
      </c>
      <c r="AQ139" s="467">
        <f t="shared" si="19"/>
        <v>356</v>
      </c>
      <c r="AR139" s="474">
        <f>DM139/(BX139-2)</f>
        <v>248.5</v>
      </c>
      <c r="AS139" s="475">
        <f>AG139/AR139</f>
        <v>19034.045875251511</v>
      </c>
      <c r="AT139" s="476">
        <f>AG139/AP139</f>
        <v>43394.132110091748</v>
      </c>
      <c r="AU139" s="475">
        <f>AG139/AQ139</f>
        <v>13286.405617977529</v>
      </c>
      <c r="AV139" s="477">
        <v>26000</v>
      </c>
      <c r="AW139" s="477">
        <v>48000</v>
      </c>
      <c r="AX139" s="467">
        <f>GA139</f>
        <v>1848000.0000000002</v>
      </c>
      <c r="AY139" s="467">
        <f>GB139</f>
        <v>4</v>
      </c>
      <c r="AZ139" s="478">
        <f>GC139</f>
        <v>50729736</v>
      </c>
      <c r="BA139" s="478">
        <f>GD139</f>
        <v>20328000</v>
      </c>
      <c r="BB139" s="478">
        <f>AI139*DM139</f>
        <v>2186800</v>
      </c>
      <c r="BC139" s="478">
        <f>AH139*DM139</f>
        <v>5964000</v>
      </c>
      <c r="BD139" s="478">
        <f>AK139*DM139*0.6</f>
        <v>31139236.799999997</v>
      </c>
      <c r="BE139" s="478">
        <f>BD139-21000*DM139*0.6</f>
        <v>6090436.799999997</v>
      </c>
      <c r="BF139" s="478">
        <f>AM139*DM139*0.4</f>
        <v>19633488</v>
      </c>
      <c r="BG139" s="478">
        <f>BF139-0</f>
        <v>19633488</v>
      </c>
      <c r="BH139" s="478">
        <f>AO139*DM139*0.3</f>
        <v>1415257.2</v>
      </c>
      <c r="BI139" s="480">
        <f>GJ139</f>
        <v>0</v>
      </c>
      <c r="BJ139" s="480">
        <f>GK139</f>
        <v>0</v>
      </c>
      <c r="BK139" s="480">
        <f>BM139*5000*BX139</f>
        <v>200000</v>
      </c>
      <c r="BL139" s="480">
        <f>1800000*BN139*BX139</f>
        <v>54000000</v>
      </c>
      <c r="BM139" s="480">
        <f>GP139</f>
        <v>4</v>
      </c>
      <c r="BN139" s="480">
        <f>GQ139</f>
        <v>3</v>
      </c>
      <c r="BO139" s="481"/>
      <c r="BP139" s="481">
        <f>SUM(AZ139,BA139,BI139,BO139)</f>
        <v>71057736</v>
      </c>
      <c r="BQ139" s="481">
        <f>BP139-GR139</f>
        <v>0</v>
      </c>
      <c r="BR139" s="554"/>
      <c r="BS139" s="1012" t="s">
        <v>175</v>
      </c>
      <c r="BT139" s="484">
        <f>GU139</f>
        <v>46289</v>
      </c>
      <c r="BU139" s="484">
        <f>GV139</f>
        <v>46299</v>
      </c>
      <c r="BV139" s="666">
        <f>IFERROR(INDEX($BY$9:$DH$9, MATCH("準備", BY139:DK139, 0)), "")</f>
        <v>46289</v>
      </c>
      <c r="BW139" s="667" cm="1">
        <f t="array" ref="BW139">IF(COUNTIF(BY139:DK139,"*撤去*")=0,"",INDEX(BY$9:DK$9,1,MAX(IF(CC139:DK139="撤去",COLUMN(CC139:DK139)-COLUMN(BY139)+1))))</f>
        <v>46299</v>
      </c>
      <c r="BX139" s="663">
        <f>BW139-BV139</f>
        <v>10</v>
      </c>
      <c r="BY139" s="596">
        <v>0</v>
      </c>
      <c r="BZ139" s="597">
        <v>0</v>
      </c>
      <c r="CA139" s="597">
        <v>0</v>
      </c>
      <c r="CB139" s="597">
        <v>0</v>
      </c>
      <c r="CC139" s="1235">
        <v>0</v>
      </c>
      <c r="CD139" s="403">
        <v>0</v>
      </c>
      <c r="CE139" s="403">
        <v>0</v>
      </c>
      <c r="CF139" s="403">
        <v>0</v>
      </c>
      <c r="CG139" s="403">
        <v>0</v>
      </c>
      <c r="CH139" s="403">
        <v>0</v>
      </c>
      <c r="CI139" s="403">
        <v>0</v>
      </c>
      <c r="CJ139" s="403">
        <v>0</v>
      </c>
      <c r="CK139" s="403">
        <v>0</v>
      </c>
      <c r="CL139" s="403">
        <v>0</v>
      </c>
      <c r="CM139" s="403">
        <v>0</v>
      </c>
      <c r="CN139" s="403">
        <v>0</v>
      </c>
      <c r="CO139" s="403">
        <v>0</v>
      </c>
      <c r="CP139" s="403">
        <v>0</v>
      </c>
      <c r="CQ139" s="403">
        <v>0</v>
      </c>
      <c r="CR139" s="404">
        <v>0</v>
      </c>
      <c r="CS139" s="405">
        <v>0</v>
      </c>
      <c r="CT139" s="403">
        <v>0</v>
      </c>
      <c r="CU139" s="403">
        <v>0</v>
      </c>
      <c r="CV139" s="403">
        <v>0</v>
      </c>
      <c r="CW139" s="400" t="s">
        <v>177</v>
      </c>
      <c r="CX139" s="400" t="s">
        <v>177</v>
      </c>
      <c r="CY139" s="403">
        <v>284</v>
      </c>
      <c r="CZ139" s="403">
        <v>284</v>
      </c>
      <c r="DA139" s="403">
        <v>284</v>
      </c>
      <c r="DB139" s="403">
        <v>284</v>
      </c>
      <c r="DC139" s="403">
        <v>284</v>
      </c>
      <c r="DD139" s="403">
        <v>284</v>
      </c>
      <c r="DE139" s="403">
        <v>284</v>
      </c>
      <c r="DF139" s="403">
        <v>0</v>
      </c>
      <c r="DG139" s="951" t="s">
        <v>178</v>
      </c>
      <c r="DH139" s="405">
        <v>0</v>
      </c>
      <c r="DI139" s="403">
        <v>0</v>
      </c>
      <c r="DJ139" s="403">
        <v>0</v>
      </c>
      <c r="DK139" s="407">
        <v>0</v>
      </c>
      <c r="DL139" s="1016"/>
      <c r="DM139" s="277" cm="1">
        <f t="array" ref="DM139">SUM(IF(ISNUMBER($BY139:$DK139),$BY139:$DK139, 0))</f>
        <v>1988</v>
      </c>
      <c r="DN139" s="277">
        <v>1232</v>
      </c>
      <c r="DO139" s="277">
        <f>DM139*(BX139)/(BX139+1)</f>
        <v>1807.2727272727273</v>
      </c>
      <c r="DP139" s="277"/>
      <c r="DQ139" s="386" t="s">
        <v>573</v>
      </c>
      <c r="DR139" s="1208" t="s">
        <v>570</v>
      </c>
      <c r="DS139" s="388">
        <v>176</v>
      </c>
      <c r="DT139" s="1279">
        <f>SUM(DS139,DS140)</f>
        <v>176</v>
      </c>
      <c r="DU139" s="467">
        <v>4729960.4000000004</v>
      </c>
      <c r="DV139" s="467">
        <v>1848000.0000000002</v>
      </c>
      <c r="DW139" s="478">
        <v>50729736</v>
      </c>
      <c r="DX139" s="478">
        <v>20328000</v>
      </c>
      <c r="DY139" s="478">
        <v>1548800</v>
      </c>
      <c r="DZ139" s="478">
        <v>22054348.800000001</v>
      </c>
      <c r="EA139" s="478">
        <v>13905408</v>
      </c>
      <c r="EB139" s="478">
        <v>1002355.2</v>
      </c>
      <c r="EC139" s="480">
        <v>0</v>
      </c>
      <c r="ED139" s="480">
        <v>0</v>
      </c>
      <c r="EE139" s="480">
        <v>200000</v>
      </c>
      <c r="EF139" s="480">
        <v>54000000</v>
      </c>
      <c r="EG139" s="481"/>
      <c r="EH139" s="481">
        <v>71057736</v>
      </c>
      <c r="EI139" s="484">
        <v>46289</v>
      </c>
      <c r="EJ139" s="484">
        <v>46299</v>
      </c>
      <c r="EK139" s="666">
        <v>46289</v>
      </c>
      <c r="EL139" s="667">
        <v>46299</v>
      </c>
      <c r="EM139" s="663">
        <v>10</v>
      </c>
      <c r="EN139" s="277"/>
      <c r="EO139" s="386" t="s">
        <v>573</v>
      </c>
      <c r="EP139" s="408" t="s">
        <v>570</v>
      </c>
      <c r="EQ139" s="985">
        <v>176</v>
      </c>
      <c r="ER139" s="1280">
        <v>176</v>
      </c>
      <c r="ES139" s="245">
        <v>176</v>
      </c>
      <c r="ET139" s="245">
        <v>176</v>
      </c>
      <c r="EU139" s="245">
        <v>152</v>
      </c>
      <c r="EV139" s="411" t="s">
        <v>574</v>
      </c>
      <c r="EW139" s="412">
        <v>20.399999999999999</v>
      </c>
      <c r="EX139" s="413">
        <v>30</v>
      </c>
      <c r="EY139" s="414" t="s">
        <v>188</v>
      </c>
      <c r="EZ139" s="492">
        <v>20.399999999999999</v>
      </c>
      <c r="FA139" s="493">
        <v>30</v>
      </c>
      <c r="FB139" s="414" t="s">
        <v>189</v>
      </c>
      <c r="FC139" s="492"/>
      <c r="FD139" s="493"/>
      <c r="FE139" s="494" t="s">
        <v>189</v>
      </c>
      <c r="FF139" s="492"/>
      <c r="FG139" s="493"/>
      <c r="FH139" s="494" t="s">
        <v>189</v>
      </c>
      <c r="FI139" s="492"/>
      <c r="FJ139" s="495"/>
      <c r="FK139" s="289">
        <v>346</v>
      </c>
      <c r="FL139" s="1042">
        <v>0.66283524904214564</v>
      </c>
      <c r="FM139" s="498" t="s">
        <v>575</v>
      </c>
      <c r="FN139" s="1018" t="s">
        <v>336</v>
      </c>
      <c r="FO139" s="550" t="s">
        <v>296</v>
      </c>
      <c r="FP139" s="562">
        <v>4729960.4000000004</v>
      </c>
      <c r="FQ139" s="563">
        <v>3000</v>
      </c>
      <c r="FR139" s="468">
        <v>1100</v>
      </c>
      <c r="FS139" s="562">
        <v>109</v>
      </c>
      <c r="FT139" s="965">
        <v>356</v>
      </c>
      <c r="FU139" s="261">
        <v>176</v>
      </c>
      <c r="FV139" s="263">
        <v>26874.775000000001</v>
      </c>
      <c r="FW139" s="390">
        <v>43394.132110091748</v>
      </c>
      <c r="FX139" s="394">
        <v>13286.405617977529</v>
      </c>
      <c r="FY139" s="264">
        <v>45722</v>
      </c>
      <c r="FZ139" s="264">
        <v>64973</v>
      </c>
      <c r="GA139" s="562">
        <v>1848000.0000000002</v>
      </c>
      <c r="GB139" s="562">
        <v>4</v>
      </c>
      <c r="GC139" s="565">
        <v>50729736</v>
      </c>
      <c r="GD139" s="565">
        <v>20328000</v>
      </c>
      <c r="GE139" s="565">
        <v>50729736</v>
      </c>
      <c r="GF139" s="565">
        <v>20328000</v>
      </c>
      <c r="GG139" s="478">
        <v>0</v>
      </c>
      <c r="GH139" s="478">
        <v>0</v>
      </c>
      <c r="GI139" s="478">
        <v>929280</v>
      </c>
      <c r="GJ139" s="566"/>
      <c r="GK139" s="566"/>
      <c r="GL139" s="566"/>
      <c r="GM139" s="480">
        <v>0</v>
      </c>
      <c r="GN139" s="480">
        <v>280000</v>
      </c>
      <c r="GO139" s="480">
        <v>136000000</v>
      </c>
      <c r="GP139" s="566">
        <v>4</v>
      </c>
      <c r="GQ139" s="566">
        <v>3</v>
      </c>
      <c r="GR139" s="966">
        <v>71057736</v>
      </c>
      <c r="GS139" s="1019">
        <v>-3614396</v>
      </c>
      <c r="GT139" s="1012" t="s">
        <v>175</v>
      </c>
      <c r="GU139" s="1020">
        <v>46289</v>
      </c>
      <c r="GV139" s="1020">
        <v>46299</v>
      </c>
      <c r="GW139" s="1035">
        <v>46289</v>
      </c>
      <c r="GX139" s="1036">
        <v>46299</v>
      </c>
      <c r="GY139" s="1037">
        <v>10</v>
      </c>
      <c r="GZ139" s="596"/>
      <c r="HA139" s="597"/>
      <c r="HB139" s="597"/>
      <c r="HC139" s="597"/>
      <c r="HD139" s="1235">
        <v>0</v>
      </c>
      <c r="HE139" s="403">
        <v>0</v>
      </c>
      <c r="HF139" s="403">
        <v>0</v>
      </c>
      <c r="HG139" s="403">
        <v>0</v>
      </c>
      <c r="HH139" s="403">
        <v>0</v>
      </c>
      <c r="HI139" s="403">
        <v>0</v>
      </c>
      <c r="HJ139" s="403">
        <v>0</v>
      </c>
      <c r="HK139" s="403">
        <v>0</v>
      </c>
      <c r="HL139" s="403">
        <v>0</v>
      </c>
      <c r="HM139" s="403">
        <v>0</v>
      </c>
      <c r="HN139" s="403">
        <v>0</v>
      </c>
      <c r="HO139" s="403">
        <v>0</v>
      </c>
      <c r="HP139" s="403">
        <v>0</v>
      </c>
      <c r="HQ139" s="403">
        <v>0</v>
      </c>
      <c r="HR139" s="403">
        <v>0</v>
      </c>
      <c r="HS139" s="404">
        <v>0</v>
      </c>
      <c r="HT139" s="405">
        <v>0</v>
      </c>
      <c r="HU139" s="403">
        <v>0</v>
      </c>
      <c r="HV139" s="403">
        <v>0</v>
      </c>
      <c r="HW139" s="403">
        <v>0</v>
      </c>
      <c r="HX139" s="400" t="s">
        <v>177</v>
      </c>
      <c r="HY139" s="400" t="s">
        <v>177</v>
      </c>
      <c r="HZ139" s="403">
        <v>176</v>
      </c>
      <c r="IA139" s="403">
        <v>176</v>
      </c>
      <c r="IB139" s="403">
        <v>176</v>
      </c>
      <c r="IC139" s="403">
        <v>176</v>
      </c>
      <c r="ID139" s="403">
        <v>176</v>
      </c>
      <c r="IE139" s="403">
        <v>176</v>
      </c>
      <c r="IF139" s="403">
        <v>176</v>
      </c>
      <c r="IG139" s="403">
        <v>176</v>
      </c>
      <c r="IH139" s="951" t="s">
        <v>178</v>
      </c>
      <c r="II139" s="405">
        <v>0</v>
      </c>
      <c r="IJ139" s="403">
        <v>0</v>
      </c>
      <c r="IK139" s="403">
        <v>0</v>
      </c>
      <c r="IL139" s="407">
        <v>0</v>
      </c>
      <c r="IM139" s="1016"/>
      <c r="IN139" s="277" cm="1">
        <f t="array" ref="IN139">SUM(IF(ISNUMBER($HD139:$IL139),$HD139:$IL139, 0))</f>
        <v>1408</v>
      </c>
      <c r="IO139" s="1021"/>
      <c r="IP139" s="1022"/>
      <c r="IQ139" s="541"/>
      <c r="IR139" s="569">
        <f>VLOOKUP($E139,[1]アジアResults1031!$A$1:$CH$259,23,FALSE)</f>
        <v>5312635</v>
      </c>
      <c r="IS139" s="570">
        <f>VLOOKUP($E139,[1]アジアResults1031!$A$1:$CH$259,32,FALSE)</f>
        <v>85</v>
      </c>
      <c r="IT139" s="570">
        <f>KY139/(GY139-2)</f>
        <v>152</v>
      </c>
      <c r="IU139" s="570">
        <f>IR139/IT139</f>
        <v>34951.54605263158</v>
      </c>
      <c r="IV139" s="570">
        <f>VLOOKUP(E139,[1]アジアResults1031!$A$1:$CH$264,26,FALSE)</f>
        <v>45722</v>
      </c>
      <c r="IW139" s="570">
        <f>VLOOKUP(E139,[1]アジアResults1031!$A$1:$CH$264,27,FALSE)</f>
        <v>64973</v>
      </c>
      <c r="IX139" s="571">
        <f>VLOOKUP($E139,[1]アジアResults1031!$A$1:$CH$259,18,FALSE)</f>
        <v>1431699</v>
      </c>
      <c r="IY139" s="571">
        <f>VLOOKUP($E139,[1]アジアResults1031!$A$1:$CH$259,9,FALSE)</f>
        <v>4</v>
      </c>
      <c r="IZ139" s="570">
        <f>IR139*JF139</f>
        <v>53126350</v>
      </c>
      <c r="JA139" s="570">
        <f>IX139*JF139</f>
        <v>14316990</v>
      </c>
      <c r="JB139" s="570"/>
      <c r="JC139" s="570"/>
      <c r="JD139" s="572">
        <f>IFERROR(INDEX($JO$9:$KW$9, MATCH("準備", JO139:KW139, 0)), "")</f>
        <v>46289</v>
      </c>
      <c r="JE139" s="572" cm="1">
        <f t="array" ref="JE139">IF(COUNTIF(JO139:KW139,"*撤去*")=0,"",INDEX(JO$9:KW$9,1,MAX(IF(JO139:KW139="撤去",COLUMN(JO139:KW139)-COLUMN(JO139)+1))))</f>
        <v>46299</v>
      </c>
      <c r="JF139" s="573">
        <f>JE139-JD139</f>
        <v>10</v>
      </c>
      <c r="JG139" s="574">
        <v>5636167</v>
      </c>
      <c r="JH139" s="575">
        <v>1431699</v>
      </c>
      <c r="JO139" s="507"/>
      <c r="JP139" s="508"/>
      <c r="JQ139" s="508"/>
      <c r="JR139" s="508"/>
      <c r="JS139" s="508"/>
      <c r="JT139" s="508"/>
      <c r="JU139" s="508"/>
      <c r="JV139" s="508"/>
      <c r="JW139" s="508"/>
      <c r="JX139" s="508"/>
      <c r="JY139" s="508"/>
      <c r="JZ139" s="508"/>
      <c r="KA139" s="508"/>
      <c r="KB139" s="508"/>
      <c r="KC139" s="508"/>
      <c r="KD139" s="508"/>
      <c r="KE139" s="508"/>
      <c r="KF139" s="508"/>
      <c r="KG139" s="508"/>
      <c r="KH139" s="508"/>
      <c r="KI139" s="400" t="s">
        <v>177</v>
      </c>
      <c r="KJ139" s="400" t="s">
        <v>177</v>
      </c>
      <c r="KK139" s="508">
        <v>152</v>
      </c>
      <c r="KL139" s="508">
        <v>152</v>
      </c>
      <c r="KM139" s="508">
        <v>152</v>
      </c>
      <c r="KN139" s="508">
        <v>152</v>
      </c>
      <c r="KO139" s="508">
        <v>152</v>
      </c>
      <c r="KP139" s="508">
        <v>152</v>
      </c>
      <c r="KQ139" s="508">
        <v>152</v>
      </c>
      <c r="KR139" s="508">
        <v>152</v>
      </c>
      <c r="KS139" s="406" t="s">
        <v>178</v>
      </c>
      <c r="KT139" s="508"/>
      <c r="KU139" s="508"/>
      <c r="KV139" s="508"/>
      <c r="KW139" s="509"/>
      <c r="KX139" s="1016"/>
      <c r="KY139" s="277" cm="1">
        <f t="array" ref="KY139">SUM(IF(ISNUMBER($JO139:$KW139),$JO139:$KW139, 0))</f>
        <v>1216</v>
      </c>
    </row>
    <row r="140" spans="1:398" s="547" customFormat="1" ht="40" customHeight="1" thickBot="1">
      <c r="A140" s="1"/>
      <c r="B140" s="299"/>
      <c r="C140" s="1209"/>
      <c r="D140" s="445"/>
      <c r="E140" s="510" t="s">
        <v>165</v>
      </c>
      <c r="F140" s="1023"/>
      <c r="G140" s="512"/>
      <c r="H140" s="512"/>
      <c r="I140" s="512">
        <v>0</v>
      </c>
      <c r="J140" s="512">
        <v>0</v>
      </c>
      <c r="K140" s="512"/>
      <c r="L140" s="512">
        <v>0</v>
      </c>
      <c r="M140" s="513"/>
      <c r="N140" s="514"/>
      <c r="O140" s="514"/>
      <c r="P140" s="513"/>
      <c r="Q140" s="1045"/>
      <c r="R140" s="514"/>
      <c r="S140" s="514"/>
      <c r="T140" s="514"/>
      <c r="U140" s="515"/>
      <c r="V140" s="445"/>
      <c r="W140" s="242"/>
      <c r="X140" s="242"/>
      <c r="Y140" s="242"/>
      <c r="Z140" s="242"/>
      <c r="AA140" s="1281"/>
      <c r="AB140" s="764" t="s">
        <v>170</v>
      </c>
      <c r="AC140" s="765">
        <v>0</v>
      </c>
      <c r="AD140" s="969"/>
      <c r="AE140" s="655"/>
      <c r="AF140" s="656"/>
      <c r="AG140" s="656"/>
      <c r="AH140" s="656"/>
      <c r="AI140" s="656"/>
      <c r="AJ140" s="656"/>
      <c r="AK140" s="656"/>
      <c r="AL140" s="656"/>
      <c r="AM140" s="656"/>
      <c r="AN140" s="656"/>
      <c r="AO140" s="656"/>
      <c r="AP140" s="656"/>
      <c r="AQ140" s="656"/>
      <c r="AR140" s="656"/>
      <c r="AS140" s="767"/>
      <c r="AT140" s="656"/>
      <c r="AU140" s="767"/>
      <c r="AV140" s="656"/>
      <c r="AW140" s="656"/>
      <c r="AX140" s="656"/>
      <c r="AY140" s="656"/>
      <c r="AZ140" s="768"/>
      <c r="BA140" s="768"/>
      <c r="BB140" s="768"/>
      <c r="BC140" s="768"/>
      <c r="BD140" s="768"/>
      <c r="BE140" s="768"/>
      <c r="BF140" s="768"/>
      <c r="BG140" s="768"/>
      <c r="BH140" s="768"/>
      <c r="BI140" s="768"/>
      <c r="BJ140" s="768"/>
      <c r="BK140" s="768"/>
      <c r="BL140" s="768"/>
      <c r="BM140" s="768"/>
      <c r="BN140" s="768"/>
      <c r="BO140" s="656"/>
      <c r="BP140" s="656"/>
      <c r="BQ140" s="656"/>
      <c r="BR140" s="940"/>
      <c r="BS140" s="941"/>
      <c r="BT140" s="942"/>
      <c r="BU140" s="942"/>
      <c r="BV140" s="773" t="str">
        <f>IFERROR(INDEX($HD$9:$II$9, MATCH("準備", CC140:DK140, 0)), "")</f>
        <v/>
      </c>
      <c r="BW140" s="773" t="str" cm="1">
        <f t="array" ref="BW140">IF(COUNTIF(CC140:DK140,"*撤去*")=0,"",INDEX(CC$9:DK$9,1,MAX(IF(CC140:DK140="撤去",COLUMN(CC140:DK140)-COLUMN(CC140)+1))))</f>
        <v/>
      </c>
      <c r="BX140" s="774"/>
      <c r="BY140" s="360" t="s">
        <v>246</v>
      </c>
      <c r="BZ140" s="361" t="s">
        <v>247</v>
      </c>
      <c r="CA140" s="777"/>
      <c r="CB140" s="777"/>
      <c r="CC140" s="874"/>
      <c r="CD140" s="875"/>
      <c r="CE140" s="875"/>
      <c r="CF140" s="875"/>
      <c r="CG140" s="875"/>
      <c r="CH140" s="875"/>
      <c r="CI140" s="875"/>
      <c r="CJ140" s="875"/>
      <c r="CK140" s="875"/>
      <c r="CL140" s="875"/>
      <c r="CM140" s="875"/>
      <c r="CN140" s="875"/>
      <c r="CO140" s="875"/>
      <c r="CP140" s="875"/>
      <c r="CQ140" s="779"/>
      <c r="CR140" s="884"/>
      <c r="CS140" s="874"/>
      <c r="CT140" s="875"/>
      <c r="CU140" s="875"/>
      <c r="CV140" s="875"/>
      <c r="CW140" s="363"/>
      <c r="CX140" s="363"/>
      <c r="CY140" s="363"/>
      <c r="CZ140" s="363"/>
      <c r="DA140" s="363"/>
      <c r="DB140" s="363"/>
      <c r="DC140" s="363"/>
      <c r="DD140" s="363"/>
      <c r="DE140" s="363"/>
      <c r="DF140" s="364"/>
      <c r="DG140" s="365"/>
      <c r="DH140" s="874"/>
      <c r="DI140" s="875"/>
      <c r="DJ140" s="875"/>
      <c r="DK140" s="886"/>
      <c r="DL140" s="1016"/>
      <c r="DM140" s="1016"/>
      <c r="DN140" s="1016"/>
      <c r="DO140" s="1016"/>
      <c r="DP140" s="1016"/>
      <c r="DQ140" s="1281"/>
      <c r="DR140" s="764" t="s">
        <v>170</v>
      </c>
      <c r="DS140" s="765">
        <v>0</v>
      </c>
      <c r="DT140" s="969"/>
      <c r="DU140" s="656"/>
      <c r="DV140" s="656"/>
      <c r="DW140" s="768"/>
      <c r="DX140" s="768"/>
      <c r="DY140" s="768"/>
      <c r="DZ140" s="768"/>
      <c r="EA140" s="768"/>
      <c r="EB140" s="768"/>
      <c r="EC140" s="768"/>
      <c r="ED140" s="768"/>
      <c r="EE140" s="768"/>
      <c r="EF140" s="768"/>
      <c r="EG140" s="656"/>
      <c r="EH140" s="656"/>
      <c r="EI140" s="942"/>
      <c r="EJ140" s="942"/>
      <c r="EK140" s="773" t="s">
        <v>165</v>
      </c>
      <c r="EL140" s="773" t="s">
        <v>165</v>
      </c>
      <c r="EM140" s="774"/>
      <c r="EN140" s="1016"/>
      <c r="EO140" s="1281"/>
      <c r="EP140" s="1032" t="s">
        <v>170</v>
      </c>
      <c r="EQ140" s="1033">
        <v>0</v>
      </c>
      <c r="ER140" s="1046"/>
      <c r="ES140" s="952" t="e">
        <v>#N/A</v>
      </c>
      <c r="ET140" s="952"/>
      <c r="EU140" s="952"/>
      <c r="EV140" s="1282" t="s">
        <v>170</v>
      </c>
      <c r="EW140" s="453"/>
      <c r="EX140" s="371"/>
      <c r="EY140" s="442" t="s">
        <v>170</v>
      </c>
      <c r="EZ140" s="456"/>
      <c r="FA140" s="457"/>
      <c r="FB140" s="1283" t="s">
        <v>170</v>
      </c>
      <c r="FC140" s="880"/>
      <c r="FD140" s="881"/>
      <c r="FE140" s="443" t="s">
        <v>170</v>
      </c>
      <c r="FF140" s="1284"/>
      <c r="FG140" s="1285"/>
      <c r="FH140" s="443" t="s">
        <v>170</v>
      </c>
      <c r="FI140" s="880"/>
      <c r="FJ140" s="883"/>
      <c r="FK140" s="375"/>
      <c r="FL140" s="1028"/>
      <c r="FM140" s="535"/>
      <c r="FN140" s="655"/>
      <c r="FO140" s="656"/>
      <c r="FP140" s="656"/>
      <c r="FQ140" s="656"/>
      <c r="FR140" s="656"/>
      <c r="FS140" s="656"/>
      <c r="FT140" s="656"/>
      <c r="FU140" s="656"/>
      <c r="FV140" s="767"/>
      <c r="FW140" s="656"/>
      <c r="FX140" s="767"/>
      <c r="FY140" s="656"/>
      <c r="FZ140" s="656"/>
      <c r="GA140" s="656"/>
      <c r="GB140" s="656"/>
      <c r="GC140" s="768"/>
      <c r="GD140" s="768"/>
      <c r="GE140" s="768"/>
      <c r="GF140" s="768"/>
      <c r="GG140" s="768"/>
      <c r="GH140" s="768"/>
      <c r="GI140" s="768"/>
      <c r="GJ140" s="768"/>
      <c r="GK140" s="768"/>
      <c r="GL140" s="768"/>
      <c r="GM140" s="768"/>
      <c r="GN140" s="768"/>
      <c r="GO140" s="768"/>
      <c r="GP140" s="768"/>
      <c r="GQ140" s="768"/>
      <c r="GR140" s="656"/>
      <c r="GS140" s="656"/>
      <c r="GT140" s="941"/>
      <c r="GU140" s="942"/>
      <c r="GV140" s="942"/>
      <c r="GW140" s="773" t="s">
        <v>165</v>
      </c>
      <c r="GX140" s="773" t="s">
        <v>165</v>
      </c>
      <c r="GY140" s="774"/>
      <c r="GZ140" s="943"/>
      <c r="HA140" s="777"/>
      <c r="HB140" s="777"/>
      <c r="HC140" s="777"/>
      <c r="HD140" s="874"/>
      <c r="HE140" s="875"/>
      <c r="HF140" s="875"/>
      <c r="HG140" s="875"/>
      <c r="HH140" s="875"/>
      <c r="HI140" s="875"/>
      <c r="HJ140" s="875"/>
      <c r="HK140" s="875"/>
      <c r="HL140" s="875"/>
      <c r="HM140" s="875"/>
      <c r="HN140" s="875"/>
      <c r="HO140" s="875"/>
      <c r="HP140" s="875"/>
      <c r="HQ140" s="875"/>
      <c r="HR140" s="779"/>
      <c r="HS140" s="884"/>
      <c r="HT140" s="874"/>
      <c r="HU140" s="875"/>
      <c r="HV140" s="875"/>
      <c r="HW140" s="875"/>
      <c r="HX140" s="875"/>
      <c r="HY140" s="875"/>
      <c r="HZ140" s="875"/>
      <c r="IA140" s="875"/>
      <c r="IB140" s="875"/>
      <c r="IC140" s="875"/>
      <c r="ID140" s="875"/>
      <c r="IE140" s="875"/>
      <c r="IF140" s="875"/>
      <c r="IG140" s="779"/>
      <c r="IH140" s="275"/>
      <c r="II140" s="874"/>
      <c r="IJ140" s="875"/>
      <c r="IK140" s="875"/>
      <c r="IL140" s="886"/>
      <c r="IM140" s="1016"/>
      <c r="IN140" s="1016"/>
      <c r="IO140" s="1029"/>
      <c r="IP140" s="1030"/>
      <c r="IQ140" s="541"/>
      <c r="IR140" s="581"/>
      <c r="IS140" s="582"/>
      <c r="IT140" s="582"/>
      <c r="IU140" s="582"/>
      <c r="IV140" s="582"/>
      <c r="IW140" s="582"/>
      <c r="IX140" s="583"/>
      <c r="IY140" s="583"/>
      <c r="IZ140" s="582"/>
      <c r="JA140" s="582"/>
      <c r="JB140" s="582"/>
      <c r="JC140" s="582"/>
      <c r="JD140" s="584"/>
      <c r="JE140" s="584"/>
      <c r="JF140" s="585"/>
      <c r="JG140" s="586"/>
      <c r="JH140" s="587"/>
      <c r="JI140" s="1"/>
      <c r="JJ140" s="1"/>
      <c r="JK140" s="1"/>
      <c r="JL140" s="1"/>
      <c r="JM140" s="1"/>
      <c r="JN140" s="1"/>
      <c r="JO140" s="507"/>
      <c r="JP140" s="508"/>
      <c r="JQ140" s="508"/>
      <c r="JR140" s="508"/>
      <c r="JS140" s="729"/>
      <c r="JT140" s="729"/>
      <c r="JU140" s="729"/>
      <c r="JV140" s="729"/>
      <c r="JW140" s="729"/>
      <c r="JX140" s="729"/>
      <c r="JY140" s="729"/>
      <c r="JZ140" s="729"/>
      <c r="KA140" s="729"/>
      <c r="KB140" s="729"/>
      <c r="KC140" s="729"/>
      <c r="KD140" s="729"/>
      <c r="KE140" s="729"/>
      <c r="KF140" s="729"/>
      <c r="KG140" s="729"/>
      <c r="KH140" s="729"/>
      <c r="KI140" s="729"/>
      <c r="KJ140" s="729"/>
      <c r="KK140" s="729"/>
      <c r="KL140" s="729"/>
      <c r="KM140" s="729"/>
      <c r="KN140" s="729"/>
      <c r="KO140" s="729"/>
      <c r="KP140" s="729"/>
      <c r="KQ140" s="729"/>
      <c r="KR140" s="729"/>
      <c r="KS140" s="729"/>
      <c r="KT140" s="729"/>
      <c r="KU140" s="729"/>
      <c r="KV140" s="729"/>
      <c r="KW140" s="730"/>
      <c r="KX140" s="1016"/>
      <c r="KY140" s="1016"/>
      <c r="KZ140" s="1"/>
      <c r="LA140" s="1"/>
      <c r="LB140" s="1"/>
      <c r="LC140" s="1"/>
      <c r="LD140" s="1"/>
      <c r="LE140" s="1"/>
      <c r="LF140" s="1"/>
      <c r="LG140" s="1"/>
      <c r="LH140" s="1"/>
      <c r="LI140" s="1"/>
      <c r="LJ140" s="1"/>
      <c r="LK140" s="1"/>
      <c r="LL140" s="1"/>
      <c r="LM140" s="1"/>
      <c r="LN140" s="1"/>
      <c r="LO140" s="1"/>
      <c r="LP140" s="1"/>
      <c r="LQ140" s="1"/>
      <c r="LR140" s="1"/>
      <c r="LS140" s="1"/>
      <c r="LT140" s="1"/>
      <c r="LU140" s="1"/>
      <c r="LV140" s="1"/>
      <c r="LW140" s="1"/>
      <c r="LX140" s="1"/>
      <c r="LY140" s="1"/>
      <c r="LZ140" s="1"/>
      <c r="MA140" s="1"/>
      <c r="MB140" s="1"/>
      <c r="MC140" s="1"/>
      <c r="MD140" s="1"/>
      <c r="ME140" s="1"/>
      <c r="MF140" s="1"/>
      <c r="MG140" s="1"/>
      <c r="MH140" s="1"/>
      <c r="MI140" s="1"/>
      <c r="MJ140" s="1"/>
      <c r="MK140" s="1"/>
      <c r="ML140" s="1"/>
      <c r="MM140" s="1"/>
      <c r="MN140" s="1"/>
      <c r="MO140" s="1"/>
      <c r="MP140" s="1"/>
      <c r="MQ140" s="1"/>
      <c r="MR140" s="1"/>
      <c r="MS140" s="1"/>
      <c r="MT140" s="1"/>
      <c r="MU140" s="1"/>
      <c r="MV140" s="1"/>
      <c r="MW140" s="1"/>
      <c r="MX140" s="1"/>
      <c r="MY140" s="1"/>
      <c r="MZ140" s="1"/>
      <c r="NA140" s="1"/>
      <c r="NB140" s="1"/>
      <c r="NC140" s="1"/>
      <c r="ND140" s="1"/>
      <c r="NE140" s="1"/>
      <c r="NF140" s="1"/>
      <c r="NG140" s="1"/>
      <c r="NH140" s="1"/>
      <c r="NI140" s="1"/>
      <c r="NJ140" s="1"/>
      <c r="NK140" s="1"/>
      <c r="NL140" s="1"/>
      <c r="NM140" s="1"/>
      <c r="NN140" s="1"/>
      <c r="NO140" s="1"/>
      <c r="NP140" s="1"/>
      <c r="NQ140" s="1"/>
      <c r="NR140" s="1"/>
      <c r="NS140" s="1"/>
      <c r="NT140" s="1"/>
      <c r="NU140" s="1"/>
      <c r="NV140" s="1"/>
      <c r="NW140" s="1"/>
      <c r="NX140" s="1"/>
      <c r="NY140" s="1"/>
      <c r="NZ140" s="1"/>
      <c r="OA140" s="1"/>
      <c r="OB140" s="1"/>
      <c r="OC140" s="1"/>
      <c r="OD140" s="1"/>
      <c r="OE140" s="1"/>
      <c r="OF140" s="1"/>
      <c r="OG140" s="1"/>
      <c r="OH140" s="1"/>
    </row>
    <row r="141" spans="1:398" ht="40" customHeight="1">
      <c r="B141" s="299"/>
      <c r="C141" s="241" t="s">
        <v>576</v>
      </c>
      <c r="D141" s="378">
        <v>37</v>
      </c>
      <c r="E141" s="379">
        <v>2016</v>
      </c>
      <c r="F141" s="623" t="s">
        <v>577</v>
      </c>
      <c r="G141" s="381">
        <v>232</v>
      </c>
      <c r="H141" s="381">
        <v>718</v>
      </c>
      <c r="I141" s="381">
        <v>40</v>
      </c>
      <c r="J141" s="381">
        <v>160</v>
      </c>
      <c r="K141" s="245" t="s">
        <v>578</v>
      </c>
      <c r="L141" s="381">
        <v>72</v>
      </c>
      <c r="M141" s="383">
        <v>40</v>
      </c>
      <c r="N141" s="384" t="s">
        <v>318</v>
      </c>
      <c r="O141" s="384" t="s">
        <v>168</v>
      </c>
      <c r="P141" s="383">
        <v>100</v>
      </c>
      <c r="Q141" s="384" t="s">
        <v>170</v>
      </c>
      <c r="R141" s="384" t="s">
        <v>169</v>
      </c>
      <c r="S141" s="384" t="s">
        <v>169</v>
      </c>
      <c r="T141" s="384" t="s">
        <v>306</v>
      </c>
      <c r="U141" s="385" t="s">
        <v>169</v>
      </c>
      <c r="V141" s="1286" t="s">
        <v>320</v>
      </c>
      <c r="W141" s="1286"/>
      <c r="X141" s="1287" t="s">
        <v>292</v>
      </c>
      <c r="Y141" s="1287" t="s">
        <v>292</v>
      </c>
      <c r="Z141" s="1286"/>
      <c r="AA141" s="386" t="s">
        <v>579</v>
      </c>
      <c r="AB141" s="1208" t="s">
        <v>580</v>
      </c>
      <c r="AC141" s="388">
        <v>72</v>
      </c>
      <c r="AD141" s="1288">
        <f>SUM(AC141,AC142)</f>
        <v>72</v>
      </c>
      <c r="AE141" s="465" t="s">
        <v>295</v>
      </c>
      <c r="AF141" s="550" t="s">
        <v>296</v>
      </c>
      <c r="AG141" s="467">
        <f>'[1]2016_つま恋リゾート　別紙1-1'!M25</f>
        <v>1936000.0000000002</v>
      </c>
      <c r="AH141" s="468">
        <f>FQ141</f>
        <v>2475</v>
      </c>
      <c r="AI141" s="468">
        <f>FR141</f>
        <v>1625</v>
      </c>
      <c r="AJ141" s="469">
        <v>0.98599999999999999</v>
      </c>
      <c r="AK141" s="551">
        <f>$AK$4</f>
        <v>26106</v>
      </c>
      <c r="AL141" s="552">
        <v>0.83</v>
      </c>
      <c r="AM141" s="551">
        <f>$AM$4</f>
        <v>24690</v>
      </c>
      <c r="AN141" s="468" t="s">
        <v>308</v>
      </c>
      <c r="AO141" s="551">
        <f>$AO$4</f>
        <v>2373</v>
      </c>
      <c r="AP141" s="467">
        <f>'[1]2016_つま恋リゾート　別紙1-1'!K23</f>
        <v>40</v>
      </c>
      <c r="AQ141" s="467">
        <f>'[1]2016_つま恋リゾート　別紙1-1'!AF23</f>
        <v>160</v>
      </c>
      <c r="AR141" s="474">
        <f>DM141/(BX141-2)</f>
        <v>68.869565217391298</v>
      </c>
      <c r="AS141" s="475">
        <f>AG141/AR141</f>
        <v>28111.111111111117</v>
      </c>
      <c r="AT141" s="476">
        <f>AG141/AP141</f>
        <v>48400.000000000007</v>
      </c>
      <c r="AU141" s="475">
        <f>AG141/AQ141</f>
        <v>12100.000000000002</v>
      </c>
      <c r="AV141" s="477">
        <v>26000</v>
      </c>
      <c r="AW141" s="477">
        <v>48000</v>
      </c>
      <c r="AX141" s="1289">
        <f>'[1]2016_つま恋リゾート　別紙1-2'!N29</f>
        <v>2469500</v>
      </c>
      <c r="AY141" s="467">
        <f>'[1]2016_つま恋リゾート　別紙1-2'!I26</f>
        <v>8</v>
      </c>
      <c r="AZ141" s="478">
        <f>'[1]2016_つま恋リゾート　別紙1-1'!C27</f>
        <v>47212000</v>
      </c>
      <c r="BA141" s="478">
        <f>'[1]2016_つま恋リゾート　別紙1-2'!O27</f>
        <v>62972250.000000007</v>
      </c>
      <c r="BB141" s="478">
        <f>AI141*DM141</f>
        <v>2574000</v>
      </c>
      <c r="BC141" s="478">
        <f>AH141*DM141</f>
        <v>3920400</v>
      </c>
      <c r="BD141" s="478">
        <f>AK141*DM141*0.6</f>
        <v>24811142.399999999</v>
      </c>
      <c r="BE141" s="478">
        <f>BD141-21000*DM141*0.6</f>
        <v>4852742.3999999985</v>
      </c>
      <c r="BF141" s="478">
        <f>AM141*DM141*0.4</f>
        <v>15643584</v>
      </c>
      <c r="BG141" s="478">
        <f>BF141-0</f>
        <v>15643584</v>
      </c>
      <c r="BH141" s="478">
        <f>AO141*DM141*0.3</f>
        <v>1127649.5999999999</v>
      </c>
      <c r="BI141" s="480">
        <f>GJ141</f>
        <v>0</v>
      </c>
      <c r="BJ141" s="480">
        <f>GK141</f>
        <v>0</v>
      </c>
      <c r="BK141" s="480">
        <f>BM141*5000*BX141</f>
        <v>625000</v>
      </c>
      <c r="BL141" s="480">
        <f>1800000*BN141*BX141</f>
        <v>90000000</v>
      </c>
      <c r="BM141" s="480">
        <f>GP141</f>
        <v>5</v>
      </c>
      <c r="BN141" s="480">
        <f>GQ141</f>
        <v>2</v>
      </c>
      <c r="BO141" s="481"/>
      <c r="BP141" s="481">
        <f>SUM(AZ141,BA141,BI141,BO141)</f>
        <v>110184250</v>
      </c>
      <c r="BQ141" s="481">
        <f>BP141-GR141</f>
        <v>12622500</v>
      </c>
      <c r="BR141" s="554"/>
      <c r="BS141" s="1012" t="s">
        <v>175</v>
      </c>
      <c r="BT141" s="484">
        <f>GU141</f>
        <v>46274</v>
      </c>
      <c r="BU141" s="484">
        <f>GV141</f>
        <v>46299</v>
      </c>
      <c r="BV141" s="666">
        <f>IFERROR(INDEX($BY$9:$DH$9, MATCH("準備", BY141:DK141, 0)), "")</f>
        <v>46274</v>
      </c>
      <c r="BW141" s="667" cm="1">
        <f t="array" ref="BW141">IF(COUNTIF(BY141:DK141,"*撤去*")=0,"",INDEX(BY$9:DK$9,1,MAX(IF(CC141:DK141="撤去",COLUMN(CC141:DK141)-COLUMN(BY141)+1))))</f>
        <v>46299</v>
      </c>
      <c r="BX141" s="663">
        <f>BW141-BV141</f>
        <v>25</v>
      </c>
      <c r="BY141" s="556">
        <v>0</v>
      </c>
      <c r="BZ141" s="557">
        <v>0</v>
      </c>
      <c r="CA141" s="557">
        <v>0</v>
      </c>
      <c r="CB141" s="557">
        <v>0</v>
      </c>
      <c r="CC141" s="405">
        <v>0</v>
      </c>
      <c r="CD141" s="403">
        <v>0</v>
      </c>
      <c r="CE141" s="403">
        <v>0</v>
      </c>
      <c r="CF141" s="403">
        <v>0</v>
      </c>
      <c r="CG141" s="403">
        <v>0</v>
      </c>
      <c r="CH141" s="400" t="s">
        <v>177</v>
      </c>
      <c r="CI141" s="400" t="s">
        <v>177</v>
      </c>
      <c r="CJ141" s="403">
        <v>72</v>
      </c>
      <c r="CK141" s="403">
        <v>72</v>
      </c>
      <c r="CL141" s="403">
        <v>72</v>
      </c>
      <c r="CM141" s="403">
        <v>72</v>
      </c>
      <c r="CN141" s="403">
        <v>72</v>
      </c>
      <c r="CO141" s="403">
        <v>72</v>
      </c>
      <c r="CP141" s="403">
        <v>72</v>
      </c>
      <c r="CQ141" s="403">
        <v>72</v>
      </c>
      <c r="CR141" s="404">
        <v>72</v>
      </c>
      <c r="CS141" s="405">
        <v>72</v>
      </c>
      <c r="CT141" s="403">
        <v>72</v>
      </c>
      <c r="CU141" s="403">
        <v>72</v>
      </c>
      <c r="CV141" s="403">
        <v>72</v>
      </c>
      <c r="CW141" s="403">
        <v>72</v>
      </c>
      <c r="CX141" s="403">
        <v>72</v>
      </c>
      <c r="CY141" s="403">
        <v>72</v>
      </c>
      <c r="CZ141" s="403">
        <v>72</v>
      </c>
      <c r="DA141" s="403">
        <v>72</v>
      </c>
      <c r="DB141" s="403">
        <v>72</v>
      </c>
      <c r="DC141" s="403">
        <v>72</v>
      </c>
      <c r="DD141" s="403">
        <v>72</v>
      </c>
      <c r="DE141" s="403">
        <v>72</v>
      </c>
      <c r="DF141" s="403">
        <v>0</v>
      </c>
      <c r="DG141" s="951" t="s">
        <v>178</v>
      </c>
      <c r="DH141" s="405">
        <v>0</v>
      </c>
      <c r="DI141" s="403">
        <v>0</v>
      </c>
      <c r="DJ141" s="403">
        <v>0</v>
      </c>
      <c r="DK141" s="407">
        <v>0</v>
      </c>
      <c r="DL141" s="277"/>
      <c r="DM141" s="277" cm="1">
        <f t="array" ref="DM141">SUM(IF(ISNUMBER($BY141:$DK141),$BY141:$DK141, 0))</f>
        <v>1584</v>
      </c>
      <c r="DN141" s="277">
        <v>1584</v>
      </c>
      <c r="DO141" s="277">
        <f>DM141*(BX141)/(BX141+1)</f>
        <v>1523.0769230769231</v>
      </c>
      <c r="DP141" s="277"/>
      <c r="DQ141" s="386" t="s">
        <v>579</v>
      </c>
      <c r="DR141" s="1208" t="s">
        <v>580</v>
      </c>
      <c r="DS141" s="388">
        <v>72</v>
      </c>
      <c r="DT141" s="1288">
        <f>SUM(DS141,DS142)</f>
        <v>72</v>
      </c>
      <c r="DU141" s="467">
        <v>1936000.0000000002</v>
      </c>
      <c r="DV141" s="1289">
        <v>2469500</v>
      </c>
      <c r="DW141" s="478">
        <v>47212000</v>
      </c>
      <c r="DX141" s="478">
        <v>62972250.000000007</v>
      </c>
      <c r="DY141" s="478">
        <v>2691000</v>
      </c>
      <c r="DZ141" s="478">
        <v>25938921.599999998</v>
      </c>
      <c r="EA141" s="478">
        <v>16354656</v>
      </c>
      <c r="EB141" s="478">
        <v>1178906.3999999999</v>
      </c>
      <c r="EC141" s="480">
        <v>0</v>
      </c>
      <c r="ED141" s="480">
        <v>0</v>
      </c>
      <c r="EE141" s="480">
        <v>625000</v>
      </c>
      <c r="EF141" s="480">
        <v>90000000</v>
      </c>
      <c r="EG141" s="481"/>
      <c r="EH141" s="481">
        <v>110184250</v>
      </c>
      <c r="EI141" s="484">
        <v>46274</v>
      </c>
      <c r="EJ141" s="484">
        <v>46299</v>
      </c>
      <c r="EK141" s="666">
        <v>46274</v>
      </c>
      <c r="EL141" s="667">
        <v>46299</v>
      </c>
      <c r="EM141" s="663">
        <v>25</v>
      </c>
      <c r="EN141" s="277"/>
      <c r="EO141" s="386" t="s">
        <v>579</v>
      </c>
      <c r="EP141" s="408" t="s">
        <v>580</v>
      </c>
      <c r="EQ141" s="409">
        <v>72</v>
      </c>
      <c r="ER141" s="1290">
        <v>72</v>
      </c>
      <c r="ES141" s="245">
        <v>264</v>
      </c>
      <c r="ET141" s="245">
        <v>264</v>
      </c>
      <c r="EU141" s="245">
        <v>116</v>
      </c>
      <c r="EV141" s="1291" t="s">
        <v>581</v>
      </c>
      <c r="EW141" s="412">
        <v>10.6</v>
      </c>
      <c r="EX141" s="413">
        <v>18</v>
      </c>
      <c r="EY141" s="494" t="s">
        <v>582</v>
      </c>
      <c r="EZ141" s="492">
        <v>10.5</v>
      </c>
      <c r="FA141" s="493">
        <v>20</v>
      </c>
      <c r="FB141" s="414" t="s">
        <v>583</v>
      </c>
      <c r="FC141" s="492">
        <v>10.5</v>
      </c>
      <c r="FD141" s="493">
        <v>20</v>
      </c>
      <c r="FE141" s="494" t="s">
        <v>189</v>
      </c>
      <c r="FF141" s="492"/>
      <c r="FG141" s="493"/>
      <c r="FH141" s="494" t="s">
        <v>189</v>
      </c>
      <c r="FI141" s="492"/>
      <c r="FJ141" s="495"/>
      <c r="FK141" s="289">
        <v>454</v>
      </c>
      <c r="FL141" s="497">
        <v>0.63231197771587744</v>
      </c>
      <c r="FM141" s="498" t="s">
        <v>584</v>
      </c>
      <c r="FN141" s="1018" t="s">
        <v>336</v>
      </c>
      <c r="FO141" s="550" t="s">
        <v>296</v>
      </c>
      <c r="FP141" s="562">
        <v>1936000.0000000002</v>
      </c>
      <c r="FQ141" s="563">
        <v>2475</v>
      </c>
      <c r="FR141" s="468">
        <v>1625</v>
      </c>
      <c r="FS141" s="562">
        <v>40</v>
      </c>
      <c r="FT141" s="965">
        <v>160</v>
      </c>
      <c r="FU141" s="1292">
        <v>66</v>
      </c>
      <c r="FV141" s="394">
        <v>29333.333333333336</v>
      </c>
      <c r="FW141" s="390">
        <v>48400.000000000007</v>
      </c>
      <c r="FX141" s="394">
        <v>12100.000000000002</v>
      </c>
      <c r="FY141" s="395">
        <v>42353</v>
      </c>
      <c r="FZ141" s="395">
        <v>58824</v>
      </c>
      <c r="GA141" s="562">
        <v>1974500.0000000002</v>
      </c>
      <c r="GB141" s="562">
        <v>5</v>
      </c>
      <c r="GC141" s="565">
        <v>47212000</v>
      </c>
      <c r="GD141" s="565">
        <v>50349750.000000007</v>
      </c>
      <c r="GE141" s="565">
        <v>47212000</v>
      </c>
      <c r="GF141" s="565">
        <v>50349750.000000007</v>
      </c>
      <c r="GG141" s="478">
        <v>0</v>
      </c>
      <c r="GH141" s="478">
        <v>0</v>
      </c>
      <c r="GI141" s="478">
        <v>1614600</v>
      </c>
      <c r="GJ141" s="566"/>
      <c r="GK141" s="566"/>
      <c r="GL141" s="566"/>
      <c r="GM141" s="480">
        <v>0</v>
      </c>
      <c r="GN141" s="480">
        <v>350000</v>
      </c>
      <c r="GO141" s="480">
        <v>90000000</v>
      </c>
      <c r="GP141" s="566">
        <v>5</v>
      </c>
      <c r="GQ141" s="566">
        <v>2</v>
      </c>
      <c r="GR141" s="966">
        <v>97561750</v>
      </c>
      <c r="GS141" s="1019">
        <v>27967999.999999993</v>
      </c>
      <c r="GT141" s="1012" t="s">
        <v>175</v>
      </c>
      <c r="GU141" s="1020">
        <v>46274</v>
      </c>
      <c r="GV141" s="1020">
        <v>46299</v>
      </c>
      <c r="GW141" s="666">
        <v>46274</v>
      </c>
      <c r="GX141" s="667">
        <v>46299</v>
      </c>
      <c r="GY141" s="663">
        <v>25</v>
      </c>
      <c r="GZ141" s="556"/>
      <c r="HA141" s="557"/>
      <c r="HB141" s="557"/>
      <c r="HC141" s="557"/>
      <c r="HD141" s="405">
        <v>0</v>
      </c>
      <c r="HE141" s="403">
        <v>0</v>
      </c>
      <c r="HF141" s="403">
        <v>0</v>
      </c>
      <c r="HG141" s="403">
        <v>0</v>
      </c>
      <c r="HH141" s="403">
        <v>0</v>
      </c>
      <c r="HI141" s="400" t="s">
        <v>177</v>
      </c>
      <c r="HJ141" s="400" t="s">
        <v>177</v>
      </c>
      <c r="HK141" s="403">
        <v>72</v>
      </c>
      <c r="HL141" s="403">
        <v>72</v>
      </c>
      <c r="HM141" s="403">
        <v>72</v>
      </c>
      <c r="HN141" s="403">
        <v>72</v>
      </c>
      <c r="HO141" s="403">
        <v>72</v>
      </c>
      <c r="HP141" s="403">
        <v>72</v>
      </c>
      <c r="HQ141" s="403">
        <v>72</v>
      </c>
      <c r="HR141" s="403">
        <v>72</v>
      </c>
      <c r="HS141" s="404">
        <v>72</v>
      </c>
      <c r="HT141" s="405">
        <v>72</v>
      </c>
      <c r="HU141" s="403">
        <v>72</v>
      </c>
      <c r="HV141" s="403">
        <v>72</v>
      </c>
      <c r="HW141" s="403">
        <v>72</v>
      </c>
      <c r="HX141" s="403">
        <v>72</v>
      </c>
      <c r="HY141" s="403">
        <v>72</v>
      </c>
      <c r="HZ141" s="403">
        <v>72</v>
      </c>
      <c r="IA141" s="403">
        <v>72</v>
      </c>
      <c r="IB141" s="403">
        <v>72</v>
      </c>
      <c r="IC141" s="403">
        <v>72</v>
      </c>
      <c r="ID141" s="403">
        <v>72</v>
      </c>
      <c r="IE141" s="403">
        <v>72</v>
      </c>
      <c r="IF141" s="403">
        <v>72</v>
      </c>
      <c r="IG141" s="403">
        <v>72</v>
      </c>
      <c r="IH141" s="951" t="s">
        <v>178</v>
      </c>
      <c r="II141" s="405">
        <v>0</v>
      </c>
      <c r="IJ141" s="403">
        <v>0</v>
      </c>
      <c r="IK141" s="403">
        <v>0</v>
      </c>
      <c r="IL141" s="407">
        <v>0</v>
      </c>
      <c r="IM141" s="277"/>
      <c r="IN141" s="277" cm="1">
        <f t="array" ref="IN141">SUM(IF(ISNUMBER($HD141:$IL141),$HD141:$IL141, 0))</f>
        <v>1656</v>
      </c>
      <c r="IO141" s="426"/>
      <c r="IP141" s="427"/>
      <c r="IQ141" s="541"/>
      <c r="IR141" s="569">
        <f>VLOOKUP($E141,[1]アジアResults1031!$A$1:$CH$259,23,FALSE)</f>
        <v>4089426</v>
      </c>
      <c r="IS141" s="570">
        <f>VLOOKUP($E141,[1]アジアResults1031!$A$1:$CH$259,32,FALSE)</f>
        <v>80</v>
      </c>
      <c r="IT141" s="570">
        <f>KY141/(GY141-2)</f>
        <v>118.52173913043478</v>
      </c>
      <c r="IU141" s="570">
        <f>IR141/IT141</f>
        <v>34503.594277329423</v>
      </c>
      <c r="IV141" s="570">
        <f>VLOOKUP(E141,[1]アジアResults1031!$A$1:$CH$264,26,FALSE)</f>
        <v>42353</v>
      </c>
      <c r="IW141" s="570">
        <f>VLOOKUP(E141,[1]アジアResults1031!$A$1:$CH$264,27,FALSE)</f>
        <v>58824</v>
      </c>
      <c r="IX141" s="571">
        <f>VLOOKUP($E141,[1]アジアResults1031!$A$1:$CH$259,18,FALSE)</f>
        <v>931764</v>
      </c>
      <c r="IY141" s="571">
        <f>VLOOKUP($E141,[1]アジアResults1031!$A$1:$CH$259,9,FALSE)</f>
        <v>2</v>
      </c>
      <c r="IZ141" s="570">
        <f>IR141*JF141</f>
        <v>102235650</v>
      </c>
      <c r="JA141" s="570">
        <f>IX141*JF141</f>
        <v>23294100</v>
      </c>
      <c r="JB141" s="570"/>
      <c r="JC141" s="570"/>
      <c r="JD141" s="572">
        <f>IFERROR(INDEX($JO$9:$KW$9, MATCH("準備", JO141:KW141, 0)), "")</f>
        <v>46274</v>
      </c>
      <c r="JE141" s="572" cm="1">
        <f t="array" ref="JE141">IF(COUNTIF(JO141:KW141,"*撤去*")=0,"",INDEX(JO$9:KW$9,1,MAX(IF(JO141:KW141="撤去",COLUMN(JO141:KW141)-COLUMN(JO141)+1))))</f>
        <v>46299</v>
      </c>
      <c r="JF141" s="573">
        <f>JE141-JD141</f>
        <v>25</v>
      </c>
      <c r="JG141" s="503">
        <v>4089426</v>
      </c>
      <c r="JH141" s="506">
        <v>931764</v>
      </c>
      <c r="JO141" s="507"/>
      <c r="JP141" s="508"/>
      <c r="JQ141" s="508"/>
      <c r="JR141" s="508"/>
      <c r="JS141" s="508"/>
      <c r="JT141" s="400" t="s">
        <v>177</v>
      </c>
      <c r="JU141" s="400" t="s">
        <v>177</v>
      </c>
      <c r="JV141" s="508">
        <v>116</v>
      </c>
      <c r="JW141" s="508">
        <v>116</v>
      </c>
      <c r="JX141" s="508">
        <v>116</v>
      </c>
      <c r="JY141" s="508">
        <v>116</v>
      </c>
      <c r="JZ141" s="508">
        <v>116</v>
      </c>
      <c r="KA141" s="508">
        <v>116</v>
      </c>
      <c r="KB141" s="508">
        <v>116</v>
      </c>
      <c r="KC141" s="508">
        <v>116</v>
      </c>
      <c r="KD141" s="508">
        <v>116</v>
      </c>
      <c r="KE141" s="508">
        <v>116</v>
      </c>
      <c r="KF141" s="508">
        <v>116</v>
      </c>
      <c r="KG141" s="508">
        <v>174</v>
      </c>
      <c r="KH141" s="508">
        <v>116</v>
      </c>
      <c r="KI141" s="508">
        <v>116</v>
      </c>
      <c r="KJ141" s="508">
        <v>116</v>
      </c>
      <c r="KK141" s="508">
        <v>116</v>
      </c>
      <c r="KL141" s="508">
        <v>116</v>
      </c>
      <c r="KM141" s="508">
        <v>116</v>
      </c>
      <c r="KN141" s="508">
        <v>116</v>
      </c>
      <c r="KO141" s="508">
        <v>116</v>
      </c>
      <c r="KP141" s="508">
        <v>116</v>
      </c>
      <c r="KQ141" s="508">
        <v>116</v>
      </c>
      <c r="KR141" s="508">
        <v>116</v>
      </c>
      <c r="KS141" s="406" t="s">
        <v>178</v>
      </c>
      <c r="KT141" s="508"/>
      <c r="KU141" s="508"/>
      <c r="KV141" s="508"/>
      <c r="KW141" s="509"/>
      <c r="KX141" s="277"/>
      <c r="KY141" s="277" cm="1">
        <f t="array" ref="KY141">SUM(IF(ISNUMBER($JO141:$KW141),$JO141:$KW141, 0))</f>
        <v>2726</v>
      </c>
    </row>
    <row r="142" spans="1:398" s="547" customFormat="1" ht="40" customHeight="1" thickBot="1">
      <c r="A142" s="1"/>
      <c r="B142" s="299"/>
      <c r="C142" s="241"/>
      <c r="D142" s="445"/>
      <c r="E142" s="510" t="s">
        <v>165</v>
      </c>
      <c r="F142" s="511"/>
      <c r="G142" s="512">
        <v>0</v>
      </c>
      <c r="H142" s="512">
        <v>0</v>
      </c>
      <c r="I142" s="512">
        <v>0</v>
      </c>
      <c r="J142" s="1038">
        <v>0</v>
      </c>
      <c r="K142" s="1038"/>
      <c r="L142" s="512">
        <v>0</v>
      </c>
      <c r="M142" s="513">
        <v>0</v>
      </c>
      <c r="N142" s="514">
        <v>0</v>
      </c>
      <c r="O142" s="514">
        <v>0</v>
      </c>
      <c r="P142" s="513">
        <v>0</v>
      </c>
      <c r="Q142" s="514">
        <v>0</v>
      </c>
      <c r="R142" s="514">
        <v>0</v>
      </c>
      <c r="S142" s="514">
        <v>0</v>
      </c>
      <c r="T142" s="514">
        <v>0</v>
      </c>
      <c r="U142" s="515" t="s">
        <v>165</v>
      </c>
      <c r="V142" s="1024"/>
      <c r="W142" s="1024"/>
      <c r="X142" s="1024"/>
      <c r="Y142" s="1024"/>
      <c r="Z142" s="1024"/>
      <c r="AA142" s="446"/>
      <c r="AB142" s="447" t="s">
        <v>170</v>
      </c>
      <c r="AC142" s="448">
        <v>0</v>
      </c>
      <c r="AD142" s="766"/>
      <c r="AE142" s="655"/>
      <c r="AF142" s="656"/>
      <c r="AG142" s="656"/>
      <c r="AH142" s="656"/>
      <c r="AI142" s="656"/>
      <c r="AJ142" s="656"/>
      <c r="AK142" s="656"/>
      <c r="AL142" s="656"/>
      <c r="AM142" s="656"/>
      <c r="AN142" s="656"/>
      <c r="AO142" s="656"/>
      <c r="AP142" s="656"/>
      <c r="AQ142" s="656"/>
      <c r="AR142" s="656"/>
      <c r="AS142" s="767"/>
      <c r="AT142" s="656"/>
      <c r="AU142" s="767"/>
      <c r="AV142" s="656"/>
      <c r="AW142" s="656"/>
      <c r="AX142" s="656"/>
      <c r="AY142" s="656"/>
      <c r="AZ142" s="768"/>
      <c r="BA142" s="768"/>
      <c r="BB142" s="768"/>
      <c r="BC142" s="768"/>
      <c r="BD142" s="768"/>
      <c r="BE142" s="768"/>
      <c r="BF142" s="768"/>
      <c r="BG142" s="768"/>
      <c r="BH142" s="768"/>
      <c r="BI142" s="768"/>
      <c r="BJ142" s="768"/>
      <c r="BK142" s="768"/>
      <c r="BL142" s="768"/>
      <c r="BM142" s="768"/>
      <c r="BN142" s="768"/>
      <c r="BO142" s="656"/>
      <c r="BP142" s="656"/>
      <c r="BQ142" s="656"/>
      <c r="BR142" s="940"/>
      <c r="BS142" s="941"/>
      <c r="BT142" s="942"/>
      <c r="BU142" s="942"/>
      <c r="BV142" s="773" t="str">
        <f>IFERROR(INDEX($HD$9:$II$9, MATCH("準備", CC142:DK142, 0)), "")</f>
        <v/>
      </c>
      <c r="BW142" s="773" t="str" cm="1">
        <f t="array" ref="BW142">IF(COUNTIF(CC142:DK142,"*撤去*")=0,"",INDEX(CC$9:DK$9,1,MAX(IF(CC142:DK142="撤去",COLUMN(CC142:DK142)-COLUMN(CC142)+1))))</f>
        <v/>
      </c>
      <c r="BX142" s="774"/>
      <c r="BY142" s="360" t="s">
        <v>246</v>
      </c>
      <c r="BZ142" s="361" t="s">
        <v>247</v>
      </c>
      <c r="CA142" s="777"/>
      <c r="CB142" s="777"/>
      <c r="CC142" s="874"/>
      <c r="CD142" s="875"/>
      <c r="CE142" s="875"/>
      <c r="CF142" s="875"/>
      <c r="CG142" s="875"/>
      <c r="CH142" s="363"/>
      <c r="CI142" s="363"/>
      <c r="CJ142" s="363"/>
      <c r="CK142" s="363"/>
      <c r="CL142" s="363"/>
      <c r="CM142" s="363"/>
      <c r="CN142" s="363"/>
      <c r="CO142" s="363"/>
      <c r="CP142" s="363"/>
      <c r="CQ142" s="364"/>
      <c r="CR142" s="365"/>
      <c r="CS142" s="366"/>
      <c r="CT142" s="363"/>
      <c r="CU142" s="363"/>
      <c r="CV142" s="363"/>
      <c r="CW142" s="363"/>
      <c r="CX142" s="363"/>
      <c r="CY142" s="363"/>
      <c r="CZ142" s="363"/>
      <c r="DA142" s="363"/>
      <c r="DB142" s="363"/>
      <c r="DC142" s="363"/>
      <c r="DD142" s="363"/>
      <c r="DE142" s="363"/>
      <c r="DF142" s="364"/>
      <c r="DG142" s="365"/>
      <c r="DH142" s="874"/>
      <c r="DI142" s="875"/>
      <c r="DJ142" s="875"/>
      <c r="DK142" s="886"/>
      <c r="DL142" s="277"/>
      <c r="DM142" s="277"/>
      <c r="DN142" s="277"/>
      <c r="DO142" s="277"/>
      <c r="DP142" s="277"/>
      <c r="DQ142" s="446"/>
      <c r="DR142" s="447" t="s">
        <v>170</v>
      </c>
      <c r="DS142" s="448">
        <v>0</v>
      </c>
      <c r="DT142" s="766"/>
      <c r="DU142" s="656"/>
      <c r="DV142" s="656"/>
      <c r="DW142" s="768"/>
      <c r="DX142" s="768"/>
      <c r="DY142" s="768"/>
      <c r="DZ142" s="768"/>
      <c r="EA142" s="768"/>
      <c r="EB142" s="768"/>
      <c r="EC142" s="768"/>
      <c r="ED142" s="768"/>
      <c r="EE142" s="768"/>
      <c r="EF142" s="768"/>
      <c r="EG142" s="656"/>
      <c r="EH142" s="656"/>
      <c r="EI142" s="942"/>
      <c r="EJ142" s="942"/>
      <c r="EK142" s="773" t="s">
        <v>165</v>
      </c>
      <c r="EL142" s="773" t="s">
        <v>165</v>
      </c>
      <c r="EM142" s="774"/>
      <c r="EN142" s="277"/>
      <c r="EO142" s="446"/>
      <c r="EP142" s="450" t="s">
        <v>170</v>
      </c>
      <c r="EQ142" s="451">
        <v>0</v>
      </c>
      <c r="ER142" s="1293"/>
      <c r="ES142" s="1294" t="e">
        <v>#N/A</v>
      </c>
      <c r="ET142" s="1294"/>
      <c r="EU142" s="1294"/>
      <c r="EV142" s="1295" t="s">
        <v>170</v>
      </c>
      <c r="EW142" s="453"/>
      <c r="EX142" s="454"/>
      <c r="EY142" s="458" t="s">
        <v>170</v>
      </c>
      <c r="EZ142" s="456"/>
      <c r="FA142" s="457"/>
      <c r="FB142" s="455" t="s">
        <v>170</v>
      </c>
      <c r="FC142" s="456"/>
      <c r="FD142" s="457"/>
      <c r="FE142" s="458" t="s">
        <v>170</v>
      </c>
      <c r="FF142" s="880"/>
      <c r="FG142" s="881"/>
      <c r="FH142" s="458" t="s">
        <v>170</v>
      </c>
      <c r="FI142" s="880"/>
      <c r="FJ142" s="883"/>
      <c r="FK142" s="375"/>
      <c r="FL142" s="376"/>
      <c r="FM142" s="535"/>
      <c r="FN142" s="655"/>
      <c r="FO142" s="656"/>
      <c r="FP142" s="656"/>
      <c r="FQ142" s="656"/>
      <c r="FR142" s="656"/>
      <c r="FS142" s="656"/>
      <c r="FT142" s="656"/>
      <c r="FU142" s="656"/>
      <c r="FV142" s="767"/>
      <c r="FW142" s="656"/>
      <c r="FX142" s="767"/>
      <c r="FY142" s="656"/>
      <c r="FZ142" s="656"/>
      <c r="GA142" s="656"/>
      <c r="GB142" s="656"/>
      <c r="GC142" s="768"/>
      <c r="GD142" s="768"/>
      <c r="GE142" s="768"/>
      <c r="GF142" s="768"/>
      <c r="GG142" s="768"/>
      <c r="GH142" s="768"/>
      <c r="GI142" s="768"/>
      <c r="GJ142" s="768"/>
      <c r="GK142" s="768"/>
      <c r="GL142" s="768"/>
      <c r="GM142" s="768"/>
      <c r="GN142" s="768"/>
      <c r="GO142" s="768"/>
      <c r="GP142" s="768"/>
      <c r="GQ142" s="768"/>
      <c r="GR142" s="656"/>
      <c r="GS142" s="656"/>
      <c r="GT142" s="941"/>
      <c r="GU142" s="942"/>
      <c r="GV142" s="942"/>
      <c r="GW142" s="773" t="s">
        <v>165</v>
      </c>
      <c r="GX142" s="773" t="s">
        <v>165</v>
      </c>
      <c r="GY142" s="774"/>
      <c r="GZ142" s="943"/>
      <c r="HA142" s="777"/>
      <c r="HB142" s="777"/>
      <c r="HC142" s="777"/>
      <c r="HD142" s="874"/>
      <c r="HE142" s="875"/>
      <c r="HF142" s="875"/>
      <c r="HG142" s="875"/>
      <c r="HH142" s="875"/>
      <c r="HI142" s="875"/>
      <c r="HJ142" s="875"/>
      <c r="HK142" s="875"/>
      <c r="HL142" s="875"/>
      <c r="HM142" s="875"/>
      <c r="HN142" s="875"/>
      <c r="HO142" s="875"/>
      <c r="HP142" s="875"/>
      <c r="HQ142" s="875"/>
      <c r="HR142" s="779"/>
      <c r="HS142" s="884"/>
      <c r="HT142" s="874"/>
      <c r="HU142" s="875"/>
      <c r="HV142" s="875"/>
      <c r="HW142" s="875"/>
      <c r="HX142" s="875"/>
      <c r="HY142" s="875"/>
      <c r="HZ142" s="875"/>
      <c r="IA142" s="875"/>
      <c r="IB142" s="875"/>
      <c r="IC142" s="875"/>
      <c r="ID142" s="272"/>
      <c r="IE142" s="875"/>
      <c r="IF142" s="875"/>
      <c r="IG142" s="779"/>
      <c r="IH142" s="884"/>
      <c r="II142" s="874"/>
      <c r="IJ142" s="875"/>
      <c r="IK142" s="875"/>
      <c r="IL142" s="886"/>
      <c r="IM142" s="277"/>
      <c r="IN142" s="277"/>
      <c r="IO142" s="944"/>
      <c r="IP142" s="945"/>
      <c r="IQ142" s="541"/>
      <c r="IR142" s="542"/>
      <c r="IS142" s="543"/>
      <c r="IT142" s="543"/>
      <c r="IU142" s="543"/>
      <c r="IV142" s="543"/>
      <c r="IW142" s="543"/>
      <c r="IX142" s="544"/>
      <c r="IY142" s="544"/>
      <c r="IZ142" s="543"/>
      <c r="JA142" s="543"/>
      <c r="JB142" s="543"/>
      <c r="JC142" s="543"/>
      <c r="JD142" s="545"/>
      <c r="JE142" s="545"/>
      <c r="JF142" s="546"/>
      <c r="JG142" s="503"/>
      <c r="JH142" s="506"/>
      <c r="JI142" s="1"/>
      <c r="JJ142" s="1"/>
      <c r="JK142" s="1"/>
      <c r="JL142" s="1"/>
      <c r="JM142" s="1"/>
      <c r="JN142" s="1"/>
      <c r="JO142" s="507"/>
      <c r="JP142" s="508"/>
      <c r="JQ142" s="508"/>
      <c r="JR142" s="508"/>
      <c r="JS142" s="729"/>
      <c r="JT142" s="729"/>
      <c r="JU142" s="729"/>
      <c r="JV142" s="729"/>
      <c r="JW142" s="729"/>
      <c r="JX142" s="729"/>
      <c r="JY142" s="729"/>
      <c r="JZ142" s="729"/>
      <c r="KA142" s="729"/>
      <c r="KB142" s="729"/>
      <c r="KC142" s="729"/>
      <c r="KD142" s="729"/>
      <c r="KE142" s="729"/>
      <c r="KF142" s="729"/>
      <c r="KG142" s="729"/>
      <c r="KH142" s="729"/>
      <c r="KI142" s="729"/>
      <c r="KJ142" s="729"/>
      <c r="KK142" s="729"/>
      <c r="KL142" s="729"/>
      <c r="KM142" s="729"/>
      <c r="KN142" s="729"/>
      <c r="KO142" s="729"/>
      <c r="KP142" s="729"/>
      <c r="KQ142" s="729"/>
      <c r="KR142" s="729"/>
      <c r="KS142" s="729"/>
      <c r="KT142" s="729"/>
      <c r="KU142" s="729"/>
      <c r="KV142" s="729"/>
      <c r="KW142" s="730"/>
      <c r="KX142" s="277"/>
      <c r="KY142" s="277"/>
      <c r="KZ142" s="1"/>
      <c r="LA142" s="1"/>
      <c r="LB142" s="1"/>
      <c r="LC142" s="1"/>
      <c r="LD142" s="1"/>
      <c r="LE142" s="1"/>
      <c r="LF142" s="1"/>
      <c r="LG142" s="1"/>
      <c r="LH142" s="1"/>
      <c r="LI142" s="1"/>
      <c r="LJ142" s="1"/>
      <c r="LK142" s="1"/>
      <c r="LL142" s="1"/>
      <c r="LM142" s="1"/>
      <c r="LN142" s="1"/>
      <c r="LO142" s="1"/>
      <c r="LP142" s="1"/>
      <c r="LQ142" s="1"/>
      <c r="LR142" s="1"/>
      <c r="LS142" s="1"/>
      <c r="LT142" s="1"/>
      <c r="LU142" s="1"/>
      <c r="LV142" s="1"/>
      <c r="LW142" s="1"/>
      <c r="LX142" s="1"/>
      <c r="LY142" s="1"/>
      <c r="LZ142" s="1"/>
      <c r="MA142" s="1"/>
      <c r="MB142" s="1"/>
      <c r="MC142" s="1"/>
      <c r="MD142" s="1"/>
      <c r="ME142" s="1"/>
      <c r="MF142" s="1"/>
      <c r="MG142" s="1"/>
      <c r="MH142" s="1"/>
      <c r="MI142" s="1"/>
      <c r="MJ142" s="1"/>
      <c r="MK142" s="1"/>
      <c r="ML142" s="1"/>
      <c r="MM142" s="1"/>
      <c r="MN142" s="1"/>
      <c r="MO142" s="1"/>
      <c r="MP142" s="1"/>
      <c r="MQ142" s="1"/>
      <c r="MR142" s="1"/>
      <c r="MS142" s="1"/>
      <c r="MT142" s="1"/>
      <c r="MU142" s="1"/>
      <c r="MV142" s="1"/>
      <c r="MW142" s="1"/>
      <c r="MX142" s="1"/>
      <c r="MY142" s="1"/>
      <c r="MZ142" s="1"/>
      <c r="NA142" s="1"/>
      <c r="NB142" s="1"/>
      <c r="NC142" s="1"/>
      <c r="ND142" s="1"/>
      <c r="NE142" s="1"/>
      <c r="NF142" s="1"/>
      <c r="NG142" s="1"/>
      <c r="NH142" s="1"/>
      <c r="NI142" s="1"/>
      <c r="NJ142" s="1"/>
      <c r="NK142" s="1"/>
      <c r="NL142" s="1"/>
      <c r="NM142" s="1"/>
      <c r="NN142" s="1"/>
      <c r="NO142" s="1"/>
      <c r="NP142" s="1"/>
      <c r="NQ142" s="1"/>
      <c r="NR142" s="1"/>
      <c r="NS142" s="1"/>
      <c r="NT142" s="1"/>
      <c r="NU142" s="1"/>
      <c r="NV142" s="1"/>
      <c r="NW142" s="1"/>
      <c r="NX142" s="1"/>
      <c r="NY142" s="1"/>
      <c r="NZ142" s="1"/>
      <c r="OA142" s="1"/>
      <c r="OB142" s="1"/>
      <c r="OC142" s="1"/>
      <c r="OD142" s="1"/>
      <c r="OE142" s="1"/>
      <c r="OF142" s="1"/>
      <c r="OG142" s="1"/>
      <c r="OH142" s="1"/>
    </row>
    <row r="143" spans="1:398" ht="40" customHeight="1">
      <c r="B143" s="299"/>
      <c r="C143" s="242"/>
      <c r="D143" s="378">
        <v>38</v>
      </c>
      <c r="E143" s="243">
        <v>2018</v>
      </c>
      <c r="F143" s="946" t="s">
        <v>585</v>
      </c>
      <c r="G143" s="246">
        <v>92</v>
      </c>
      <c r="H143" s="246">
        <v>148</v>
      </c>
      <c r="I143" s="246">
        <v>55</v>
      </c>
      <c r="J143" s="873">
        <v>88</v>
      </c>
      <c r="K143" s="873"/>
      <c r="L143" s="246">
        <v>72</v>
      </c>
      <c r="M143" s="300">
        <v>8</v>
      </c>
      <c r="N143" s="251" t="s">
        <v>305</v>
      </c>
      <c r="O143" s="251" t="s">
        <v>168</v>
      </c>
      <c r="P143" s="300">
        <v>53</v>
      </c>
      <c r="Q143" s="251" t="s">
        <v>170</v>
      </c>
      <c r="R143" s="251" t="s">
        <v>170</v>
      </c>
      <c r="S143" s="251" t="s">
        <v>169</v>
      </c>
      <c r="T143" s="251" t="s">
        <v>449</v>
      </c>
      <c r="U143" s="301" t="s">
        <v>169</v>
      </c>
      <c r="V143" s="1286" t="s">
        <v>320</v>
      </c>
      <c r="W143" s="1286"/>
      <c r="X143" s="1287" t="s">
        <v>292</v>
      </c>
      <c r="Y143" s="1287" t="s">
        <v>292</v>
      </c>
      <c r="Z143" s="1286"/>
      <c r="AA143" s="386" t="s">
        <v>586</v>
      </c>
      <c r="AB143" s="1208" t="s">
        <v>580</v>
      </c>
      <c r="AC143" s="388">
        <v>72</v>
      </c>
      <c r="AD143" s="1288">
        <f>SUM(AC143,AC144)</f>
        <v>72</v>
      </c>
      <c r="AE143" s="465" t="s">
        <v>295</v>
      </c>
      <c r="AF143" s="550" t="s">
        <v>296</v>
      </c>
      <c r="AG143" s="467">
        <f>FP143</f>
        <v>1523500.0000000002</v>
      </c>
      <c r="AH143" s="468">
        <f>FQ143</f>
        <v>3300</v>
      </c>
      <c r="AI143" s="468">
        <f>FR143</f>
        <v>800</v>
      </c>
      <c r="AJ143" s="469">
        <v>0.98599999999999999</v>
      </c>
      <c r="AK143" s="551">
        <f>$AK$4</f>
        <v>26106</v>
      </c>
      <c r="AL143" s="552">
        <v>0.83</v>
      </c>
      <c r="AM143" s="551">
        <f>$AM$4</f>
        <v>24690</v>
      </c>
      <c r="AN143" s="468" t="s">
        <v>308</v>
      </c>
      <c r="AO143" s="551">
        <f>$AO$4</f>
        <v>2373</v>
      </c>
      <c r="AP143" s="467">
        <f t="shared" ref="AP143:AQ143" si="20">FS143</f>
        <v>55</v>
      </c>
      <c r="AQ143" s="467">
        <f t="shared" si="20"/>
        <v>88</v>
      </c>
      <c r="AR143" s="474">
        <f>DM143/(BX143-2)</f>
        <v>68.869565217391298</v>
      </c>
      <c r="AS143" s="475">
        <f>AG143/AR143</f>
        <v>22121.527777777785</v>
      </c>
      <c r="AT143" s="476">
        <f>AG143/AP143</f>
        <v>27700.000000000004</v>
      </c>
      <c r="AU143" s="475">
        <f>AG143/AQ143</f>
        <v>17312.500000000004</v>
      </c>
      <c r="AV143" s="477">
        <v>26000</v>
      </c>
      <c r="AW143" s="477">
        <v>48000</v>
      </c>
      <c r="AX143" s="467">
        <f>GA143</f>
        <v>885500.00000000012</v>
      </c>
      <c r="AY143" s="467">
        <f>GB143</f>
        <v>3</v>
      </c>
      <c r="AZ143" s="478">
        <f>GC143</f>
        <v>37216300</v>
      </c>
      <c r="BA143" s="478">
        <f>GD143</f>
        <v>22668800</v>
      </c>
      <c r="BB143" s="478">
        <f>AI143*DM143</f>
        <v>1267200</v>
      </c>
      <c r="BC143" s="478">
        <f>AH143*DM143</f>
        <v>5227200</v>
      </c>
      <c r="BD143" s="478">
        <f>AK143*DM143*0.6</f>
        <v>24811142.399999999</v>
      </c>
      <c r="BE143" s="478">
        <f>BD143-21000*DM143*0.6</f>
        <v>4852742.3999999985</v>
      </c>
      <c r="BF143" s="478">
        <f>AM143*DM143*0.4</f>
        <v>15643584</v>
      </c>
      <c r="BG143" s="478">
        <f>BF143-0</f>
        <v>15643584</v>
      </c>
      <c r="BH143" s="478">
        <f>AO143*DM143*0.3</f>
        <v>1127649.5999999999</v>
      </c>
      <c r="BI143" s="480">
        <f>GJ143</f>
        <v>0</v>
      </c>
      <c r="BJ143" s="480">
        <f>GK143</f>
        <v>0</v>
      </c>
      <c r="BK143" s="480">
        <f>BM143*5000*BX143</f>
        <v>500000</v>
      </c>
      <c r="BL143" s="480">
        <f>1800000*BN143*BX143</f>
        <v>45000000</v>
      </c>
      <c r="BM143" s="480">
        <f>GP143</f>
        <v>4</v>
      </c>
      <c r="BN143" s="480">
        <f>GQ143</f>
        <v>1</v>
      </c>
      <c r="BO143" s="481"/>
      <c r="BP143" s="481">
        <f>SUM(AZ143,BA143,BI143,BO143)</f>
        <v>59885100</v>
      </c>
      <c r="BQ143" s="481">
        <f>BP143-GR143</f>
        <v>0</v>
      </c>
      <c r="BR143" s="554"/>
      <c r="BS143" s="1012" t="s">
        <v>175</v>
      </c>
      <c r="BT143" s="484">
        <f>GU143</f>
        <v>46274</v>
      </c>
      <c r="BU143" s="484">
        <f>GV143</f>
        <v>46299</v>
      </c>
      <c r="BV143" s="666">
        <f>IFERROR(INDEX($BY$9:$DH$9, MATCH("準備", BY143:DK143, 0)), "")</f>
        <v>46274</v>
      </c>
      <c r="BW143" s="667" cm="1">
        <f t="array" ref="BW143">IF(COUNTIF(BY143:DK143,"*撤去*")=0,"",INDEX(BY$9:DK$9,1,MAX(IF(CC143:DK143="撤去",COLUMN(CC143:DK143)-COLUMN(BY143)+1))))</f>
        <v>46299</v>
      </c>
      <c r="BX143" s="663">
        <f>BW143-BV143</f>
        <v>25</v>
      </c>
      <c r="BY143" s="596">
        <v>0</v>
      </c>
      <c r="BZ143" s="597">
        <v>0</v>
      </c>
      <c r="CA143" s="597">
        <v>0</v>
      </c>
      <c r="CB143" s="597">
        <v>0</v>
      </c>
      <c r="CC143" s="750">
        <v>0</v>
      </c>
      <c r="CD143" s="274">
        <v>0</v>
      </c>
      <c r="CE143" s="274">
        <v>0</v>
      </c>
      <c r="CF143" s="274">
        <v>0</v>
      </c>
      <c r="CG143" s="274">
        <v>0</v>
      </c>
      <c r="CH143" s="400" t="s">
        <v>177</v>
      </c>
      <c r="CI143" s="400" t="s">
        <v>177</v>
      </c>
      <c r="CJ143" s="403">
        <v>72</v>
      </c>
      <c r="CK143" s="403">
        <v>72</v>
      </c>
      <c r="CL143" s="403">
        <v>72</v>
      </c>
      <c r="CM143" s="403">
        <v>72</v>
      </c>
      <c r="CN143" s="403">
        <v>72</v>
      </c>
      <c r="CO143" s="403">
        <v>72</v>
      </c>
      <c r="CP143" s="403">
        <v>72</v>
      </c>
      <c r="CQ143" s="403">
        <v>72</v>
      </c>
      <c r="CR143" s="404">
        <v>72</v>
      </c>
      <c r="CS143" s="405">
        <v>72</v>
      </c>
      <c r="CT143" s="403">
        <v>72</v>
      </c>
      <c r="CU143" s="403">
        <v>72</v>
      </c>
      <c r="CV143" s="403">
        <v>72</v>
      </c>
      <c r="CW143" s="403">
        <v>72</v>
      </c>
      <c r="CX143" s="403">
        <v>72</v>
      </c>
      <c r="CY143" s="403">
        <v>72</v>
      </c>
      <c r="CZ143" s="403">
        <v>72</v>
      </c>
      <c r="DA143" s="403">
        <v>72</v>
      </c>
      <c r="DB143" s="403">
        <v>72</v>
      </c>
      <c r="DC143" s="403">
        <v>72</v>
      </c>
      <c r="DD143" s="403">
        <v>72</v>
      </c>
      <c r="DE143" s="403">
        <v>72</v>
      </c>
      <c r="DF143" s="403">
        <v>0</v>
      </c>
      <c r="DG143" s="951" t="s">
        <v>178</v>
      </c>
      <c r="DH143" s="750">
        <v>0</v>
      </c>
      <c r="DI143" s="274">
        <v>0</v>
      </c>
      <c r="DJ143" s="274">
        <v>0</v>
      </c>
      <c r="DK143" s="276">
        <v>0</v>
      </c>
      <c r="DL143" s="277"/>
      <c r="DM143" s="277" cm="1">
        <f t="array" ref="DM143">SUM(IF(ISNUMBER($BY143:$DK143),$BY143:$DK143, 0))</f>
        <v>1584</v>
      </c>
      <c r="DN143" s="277">
        <v>1584</v>
      </c>
      <c r="DO143" s="277">
        <f>DM143*(BX143)/(BX143+1)</f>
        <v>1523.0769230769231</v>
      </c>
      <c r="DP143" s="277"/>
      <c r="DQ143" s="386" t="s">
        <v>586</v>
      </c>
      <c r="DR143" s="1208" t="s">
        <v>580</v>
      </c>
      <c r="DS143" s="388">
        <v>72</v>
      </c>
      <c r="DT143" s="1288">
        <f>SUM(DS143,DS144)</f>
        <v>72</v>
      </c>
      <c r="DU143" s="467">
        <v>1523500.0000000002</v>
      </c>
      <c r="DV143" s="467">
        <v>885500.00000000012</v>
      </c>
      <c r="DW143" s="478">
        <v>37216300</v>
      </c>
      <c r="DX143" s="478">
        <v>22668800</v>
      </c>
      <c r="DY143" s="478">
        <v>1324800</v>
      </c>
      <c r="DZ143" s="478">
        <v>25938921.599999998</v>
      </c>
      <c r="EA143" s="478">
        <v>16354656</v>
      </c>
      <c r="EB143" s="478">
        <v>1178906.3999999999</v>
      </c>
      <c r="EC143" s="480">
        <v>0</v>
      </c>
      <c r="ED143" s="480">
        <v>0</v>
      </c>
      <c r="EE143" s="480">
        <v>500000</v>
      </c>
      <c r="EF143" s="480">
        <v>45000000</v>
      </c>
      <c r="EG143" s="481"/>
      <c r="EH143" s="481">
        <v>59885100</v>
      </c>
      <c r="EI143" s="484">
        <v>46274</v>
      </c>
      <c r="EJ143" s="484">
        <v>46299</v>
      </c>
      <c r="EK143" s="666">
        <v>46274</v>
      </c>
      <c r="EL143" s="667">
        <v>46299</v>
      </c>
      <c r="EM143" s="663">
        <v>25</v>
      </c>
      <c r="EN143" s="277"/>
      <c r="EO143" s="386" t="s">
        <v>586</v>
      </c>
      <c r="EP143" s="408" t="s">
        <v>580</v>
      </c>
      <c r="EQ143" s="409">
        <v>72</v>
      </c>
      <c r="ER143" s="1290">
        <v>72</v>
      </c>
      <c r="ES143" s="1296"/>
      <c r="ET143" s="1296"/>
      <c r="EU143" s="1296"/>
      <c r="EV143" s="1297"/>
      <c r="EW143" s="609"/>
      <c r="EX143" s="610"/>
      <c r="EY143" s="443"/>
      <c r="EZ143" s="440"/>
      <c r="FA143" s="441"/>
      <c r="FB143" s="442"/>
      <c r="FC143" s="440"/>
      <c r="FD143" s="441"/>
      <c r="FE143" s="443"/>
      <c r="FF143" s="440"/>
      <c r="FG143" s="441"/>
      <c r="FH143" s="443"/>
      <c r="FI143" s="440"/>
      <c r="FJ143" s="444"/>
      <c r="FK143" s="289"/>
      <c r="FL143" s="290"/>
      <c r="FM143" s="349"/>
      <c r="FN143" s="1214" t="s">
        <v>300</v>
      </c>
      <c r="FO143" s="550" t="s">
        <v>296</v>
      </c>
      <c r="FP143" s="562">
        <v>1523500.0000000002</v>
      </c>
      <c r="FQ143" s="563">
        <v>3300</v>
      </c>
      <c r="FR143" s="468">
        <v>800</v>
      </c>
      <c r="FS143" s="562">
        <v>55</v>
      </c>
      <c r="FT143" s="965">
        <v>88</v>
      </c>
      <c r="FU143" s="1292">
        <v>66</v>
      </c>
      <c r="FV143" s="394">
        <v>23083.333333333336</v>
      </c>
      <c r="FW143" s="390">
        <v>27700.000000000004</v>
      </c>
      <c r="FX143" s="394">
        <v>17312.500000000004</v>
      </c>
      <c r="FY143" s="395">
        <v>0</v>
      </c>
      <c r="FZ143" s="395">
        <v>0</v>
      </c>
      <c r="GA143" s="562">
        <v>885500.00000000012</v>
      </c>
      <c r="GB143" s="562">
        <v>3</v>
      </c>
      <c r="GC143" s="565">
        <v>37216300</v>
      </c>
      <c r="GD143" s="565">
        <v>22668800</v>
      </c>
      <c r="GE143" s="565">
        <v>37216300</v>
      </c>
      <c r="GF143" s="565">
        <v>22668800</v>
      </c>
      <c r="GG143" s="478">
        <v>0</v>
      </c>
      <c r="GH143" s="478">
        <v>0</v>
      </c>
      <c r="GI143" s="478">
        <v>794880</v>
      </c>
      <c r="GJ143" s="566"/>
      <c r="GK143" s="566"/>
      <c r="GL143" s="566"/>
      <c r="GM143" s="480">
        <v>0</v>
      </c>
      <c r="GN143" s="480">
        <v>280000</v>
      </c>
      <c r="GO143" s="480">
        <v>45000000</v>
      </c>
      <c r="GP143" s="566">
        <v>4</v>
      </c>
      <c r="GQ143" s="566">
        <v>1</v>
      </c>
      <c r="GR143" s="966">
        <v>59885100</v>
      </c>
      <c r="GS143" s="1019">
        <v>-59885100</v>
      </c>
      <c r="GT143" s="1012" t="s">
        <v>175</v>
      </c>
      <c r="GU143" s="1020">
        <v>46274</v>
      </c>
      <c r="GV143" s="1020">
        <v>46299</v>
      </c>
      <c r="GW143" s="666">
        <v>46274</v>
      </c>
      <c r="GX143" s="667">
        <v>46299</v>
      </c>
      <c r="GY143" s="663">
        <v>25</v>
      </c>
      <c r="GZ143" s="596"/>
      <c r="HA143" s="597"/>
      <c r="HB143" s="597"/>
      <c r="HC143" s="597"/>
      <c r="HD143" s="750">
        <v>0</v>
      </c>
      <c r="HE143" s="274">
        <v>0</v>
      </c>
      <c r="HF143" s="274">
        <v>0</v>
      </c>
      <c r="HG143" s="274">
        <v>0</v>
      </c>
      <c r="HH143" s="274">
        <v>0</v>
      </c>
      <c r="HI143" s="400" t="s">
        <v>177</v>
      </c>
      <c r="HJ143" s="400" t="s">
        <v>177</v>
      </c>
      <c r="HK143" s="274">
        <v>72</v>
      </c>
      <c r="HL143" s="274">
        <v>72</v>
      </c>
      <c r="HM143" s="274">
        <v>72</v>
      </c>
      <c r="HN143" s="274">
        <v>72</v>
      </c>
      <c r="HO143" s="274">
        <v>72</v>
      </c>
      <c r="HP143" s="274">
        <v>72</v>
      </c>
      <c r="HQ143" s="274">
        <v>72</v>
      </c>
      <c r="HR143" s="274">
        <v>72</v>
      </c>
      <c r="HS143" s="275">
        <v>72</v>
      </c>
      <c r="HT143" s="750">
        <v>72</v>
      </c>
      <c r="HU143" s="272">
        <v>72</v>
      </c>
      <c r="HV143" s="272">
        <v>72</v>
      </c>
      <c r="HW143" s="274">
        <v>72</v>
      </c>
      <c r="HX143" s="274">
        <v>72</v>
      </c>
      <c r="HY143" s="274">
        <v>72</v>
      </c>
      <c r="HZ143" s="274">
        <v>72</v>
      </c>
      <c r="IA143" s="274">
        <v>72</v>
      </c>
      <c r="IB143" s="274">
        <v>72</v>
      </c>
      <c r="IC143" s="274">
        <v>72</v>
      </c>
      <c r="ID143" s="598">
        <v>72</v>
      </c>
      <c r="IE143" s="274">
        <v>72</v>
      </c>
      <c r="IF143" s="274">
        <v>72</v>
      </c>
      <c r="IG143" s="274">
        <v>72</v>
      </c>
      <c r="IH143" s="951" t="s">
        <v>178</v>
      </c>
      <c r="II143" s="750">
        <v>0</v>
      </c>
      <c r="IJ143" s="274">
        <v>0</v>
      </c>
      <c r="IK143" s="274">
        <v>0</v>
      </c>
      <c r="IL143" s="276">
        <v>0</v>
      </c>
      <c r="IM143" s="277"/>
      <c r="IN143" s="277" cm="1">
        <f t="array" ref="IN143">SUM(IF(ISNUMBER($HD143:$IL143),$HD143:$IL143, 0))</f>
        <v>1656</v>
      </c>
      <c r="IO143" s="333"/>
      <c r="IP143" s="334"/>
      <c r="IQ143" s="541"/>
      <c r="IR143" s="500">
        <v>0</v>
      </c>
      <c r="IS143" s="501"/>
      <c r="IT143" s="501"/>
      <c r="IU143" s="501"/>
      <c r="IV143" s="501"/>
      <c r="IW143" s="501"/>
      <c r="IX143" s="502">
        <v>0</v>
      </c>
      <c r="IY143" s="502"/>
      <c r="IZ143" s="501">
        <v>0</v>
      </c>
      <c r="JA143" s="503">
        <v>0</v>
      </c>
      <c r="JB143" s="501"/>
      <c r="JC143" s="501"/>
      <c r="JD143" s="504"/>
      <c r="JE143" s="504"/>
      <c r="JF143" s="505"/>
      <c r="JG143" s="503"/>
      <c r="JH143" s="506"/>
      <c r="JO143" s="507"/>
      <c r="JP143" s="508"/>
      <c r="JQ143" s="508"/>
      <c r="JR143" s="508"/>
      <c r="JS143" s="508"/>
      <c r="JT143" s="508"/>
      <c r="JU143" s="508"/>
      <c r="JV143" s="508"/>
      <c r="JW143" s="508"/>
      <c r="JX143" s="508"/>
      <c r="JY143" s="508"/>
      <c r="JZ143" s="508"/>
      <c r="KA143" s="508"/>
      <c r="KB143" s="508"/>
      <c r="KC143" s="508"/>
      <c r="KD143" s="508"/>
      <c r="KE143" s="508"/>
      <c r="KF143" s="508"/>
      <c r="KG143" s="508"/>
      <c r="KH143" s="508"/>
      <c r="KI143" s="508"/>
      <c r="KJ143" s="508"/>
      <c r="KK143" s="508"/>
      <c r="KL143" s="508"/>
      <c r="KM143" s="508"/>
      <c r="KN143" s="508"/>
      <c r="KO143" s="508"/>
      <c r="KP143" s="508"/>
      <c r="KQ143" s="508"/>
      <c r="KR143" s="508"/>
      <c r="KS143" s="508"/>
      <c r="KT143" s="508"/>
      <c r="KU143" s="508"/>
      <c r="KV143" s="508"/>
      <c r="KW143" s="509"/>
      <c r="KX143" s="277"/>
      <c r="KY143" s="277"/>
    </row>
    <row r="144" spans="1:398" ht="40" customHeight="1">
      <c r="B144" s="299"/>
      <c r="C144" s="241"/>
      <c r="D144" s="445"/>
      <c r="E144" s="510"/>
      <c r="F144" s="511"/>
      <c r="G144" s="512"/>
      <c r="H144" s="512"/>
      <c r="I144" s="512">
        <v>0</v>
      </c>
      <c r="J144" s="1038">
        <v>0</v>
      </c>
      <c r="K144" s="873"/>
      <c r="L144" s="512">
        <v>0</v>
      </c>
      <c r="M144" s="513"/>
      <c r="N144" s="514"/>
      <c r="O144" s="514"/>
      <c r="P144" s="513"/>
      <c r="Q144" s="514"/>
      <c r="R144" s="514"/>
      <c r="S144" s="514"/>
      <c r="T144" s="514"/>
      <c r="U144" s="515"/>
      <c r="V144" s="445"/>
      <c r="W144" s="445"/>
      <c r="X144" s="445"/>
      <c r="Y144" s="445"/>
      <c r="Z144" s="445"/>
      <c r="AA144" s="446"/>
      <c r="AB144" s="447" t="s">
        <v>170</v>
      </c>
      <c r="AC144" s="448">
        <v>0</v>
      </c>
      <c r="AD144" s="766"/>
      <c r="AE144" s="655"/>
      <c r="AF144" s="656"/>
      <c r="AG144" s="656"/>
      <c r="AH144" s="656"/>
      <c r="AI144" s="656"/>
      <c r="AJ144" s="656"/>
      <c r="AK144" s="656"/>
      <c r="AL144" s="656"/>
      <c r="AM144" s="656"/>
      <c r="AN144" s="656"/>
      <c r="AO144" s="656"/>
      <c r="AP144" s="656"/>
      <c r="AQ144" s="656"/>
      <c r="AR144" s="656"/>
      <c r="AS144" s="767"/>
      <c r="AT144" s="656"/>
      <c r="AU144" s="767"/>
      <c r="AV144" s="656"/>
      <c r="AW144" s="656"/>
      <c r="AX144" s="656"/>
      <c r="AY144" s="656"/>
      <c r="AZ144" s="768"/>
      <c r="BA144" s="768"/>
      <c r="BB144" s="768"/>
      <c r="BC144" s="768"/>
      <c r="BD144" s="768"/>
      <c r="BE144" s="768"/>
      <c r="BF144" s="768"/>
      <c r="BG144" s="768"/>
      <c r="BH144" s="768"/>
      <c r="BI144" s="768"/>
      <c r="BJ144" s="768"/>
      <c r="BK144" s="768"/>
      <c r="BL144" s="768"/>
      <c r="BM144" s="768"/>
      <c r="BN144" s="768"/>
      <c r="BO144" s="656"/>
      <c r="BP144" s="656"/>
      <c r="BQ144" s="656"/>
      <c r="BR144" s="940"/>
      <c r="BS144" s="941"/>
      <c r="BT144" s="938"/>
      <c r="BU144" s="938"/>
      <c r="BV144" s="615" t="str">
        <f>IFERROR(INDEX($HD$9:$II$9, MATCH("準備", CC144:DK144, 0)), "")</f>
        <v/>
      </c>
      <c r="BW144" s="615" t="str" cm="1">
        <f t="array" ref="BW144">IF(COUNTIF(CC144:DK144,"*撤去*")=0,"",INDEX(CC$9:DK$9,1,MAX(IF(CC144:DK144="撤去",COLUMN(CC144:DK144)-COLUMN(CC144)+1))))</f>
        <v/>
      </c>
      <c r="BX144" s="616"/>
      <c r="BY144" s="360" t="s">
        <v>246</v>
      </c>
      <c r="BZ144" s="361" t="s">
        <v>247</v>
      </c>
      <c r="CA144" s="597"/>
      <c r="CB144" s="597"/>
      <c r="CC144" s="750"/>
      <c r="CD144" s="274"/>
      <c r="CE144" s="274"/>
      <c r="CF144" s="274"/>
      <c r="CG144" s="274"/>
      <c r="CH144" s="363"/>
      <c r="CI144" s="363"/>
      <c r="CJ144" s="363"/>
      <c r="CK144" s="363"/>
      <c r="CL144" s="363"/>
      <c r="CM144" s="363"/>
      <c r="CN144" s="363"/>
      <c r="CO144" s="363"/>
      <c r="CP144" s="363"/>
      <c r="CQ144" s="364"/>
      <c r="CR144" s="365"/>
      <c r="CS144" s="366"/>
      <c r="CT144" s="363"/>
      <c r="CU144" s="363"/>
      <c r="CV144" s="363"/>
      <c r="CW144" s="363"/>
      <c r="CX144" s="363"/>
      <c r="CY144" s="363"/>
      <c r="CZ144" s="363"/>
      <c r="DA144" s="363"/>
      <c r="DB144" s="363"/>
      <c r="DC144" s="363"/>
      <c r="DD144" s="363"/>
      <c r="DE144" s="363"/>
      <c r="DF144" s="364"/>
      <c r="DG144" s="365"/>
      <c r="DH144" s="750"/>
      <c r="DI144" s="274"/>
      <c r="DJ144" s="274"/>
      <c r="DK144" s="276"/>
      <c r="DL144" s="277"/>
      <c r="DM144" s="277"/>
      <c r="DN144" s="277"/>
      <c r="DO144" s="277"/>
      <c r="DP144" s="277"/>
      <c r="DQ144" s="446"/>
      <c r="DR144" s="447" t="s">
        <v>170</v>
      </c>
      <c r="DS144" s="448">
        <v>0</v>
      </c>
      <c r="DT144" s="766"/>
      <c r="DU144" s="656"/>
      <c r="DV144" s="656"/>
      <c r="DW144" s="768"/>
      <c r="DX144" s="768"/>
      <c r="DY144" s="768"/>
      <c r="DZ144" s="768"/>
      <c r="EA144" s="768"/>
      <c r="EB144" s="768"/>
      <c r="EC144" s="768"/>
      <c r="ED144" s="768"/>
      <c r="EE144" s="768"/>
      <c r="EF144" s="768"/>
      <c r="EG144" s="656"/>
      <c r="EH144" s="656"/>
      <c r="EI144" s="938"/>
      <c r="EJ144" s="938"/>
      <c r="EK144" s="615" t="s">
        <v>165</v>
      </c>
      <c r="EL144" s="615" t="s">
        <v>165</v>
      </c>
      <c r="EM144" s="616"/>
      <c r="EN144" s="277"/>
      <c r="EO144" s="446"/>
      <c r="EP144" s="450" t="s">
        <v>170</v>
      </c>
      <c r="EQ144" s="451">
        <v>0</v>
      </c>
      <c r="ER144" s="1293"/>
      <c r="ES144" s="1296"/>
      <c r="ET144" s="1296"/>
      <c r="EU144" s="1296"/>
      <c r="EV144" s="1297"/>
      <c r="EW144" s="609"/>
      <c r="EX144" s="610"/>
      <c r="EY144" s="443"/>
      <c r="EZ144" s="440"/>
      <c r="FA144" s="441"/>
      <c r="FB144" s="442"/>
      <c r="FC144" s="440"/>
      <c r="FD144" s="441"/>
      <c r="FE144" s="443"/>
      <c r="FF144" s="440"/>
      <c r="FG144" s="441"/>
      <c r="FH144" s="443"/>
      <c r="FI144" s="440"/>
      <c r="FJ144" s="444"/>
      <c r="FK144" s="289"/>
      <c r="FL144" s="290"/>
      <c r="FM144" s="349"/>
      <c r="FN144" s="655"/>
      <c r="FO144" s="656"/>
      <c r="FP144" s="656"/>
      <c r="FQ144" s="656"/>
      <c r="FR144" s="656"/>
      <c r="FS144" s="656"/>
      <c r="FT144" s="656"/>
      <c r="FU144" s="656"/>
      <c r="FV144" s="767"/>
      <c r="FW144" s="656"/>
      <c r="FX144" s="767"/>
      <c r="FY144" s="656"/>
      <c r="FZ144" s="656"/>
      <c r="GA144" s="656"/>
      <c r="GB144" s="656"/>
      <c r="GC144" s="768"/>
      <c r="GD144" s="768"/>
      <c r="GE144" s="768"/>
      <c r="GF144" s="768"/>
      <c r="GG144" s="768"/>
      <c r="GH144" s="768"/>
      <c r="GI144" s="768"/>
      <c r="GJ144" s="768"/>
      <c r="GK144" s="768"/>
      <c r="GL144" s="768"/>
      <c r="GM144" s="768"/>
      <c r="GN144" s="768"/>
      <c r="GO144" s="768"/>
      <c r="GP144" s="768"/>
      <c r="GQ144" s="768"/>
      <c r="GR144" s="656"/>
      <c r="GS144" s="656"/>
      <c r="GT144" s="941"/>
      <c r="GU144" s="938"/>
      <c r="GV144" s="938"/>
      <c r="GW144" s="615" t="s">
        <v>165</v>
      </c>
      <c r="GX144" s="615" t="s">
        <v>165</v>
      </c>
      <c r="GY144" s="616"/>
      <c r="GZ144" s="596"/>
      <c r="HA144" s="597"/>
      <c r="HB144" s="597"/>
      <c r="HC144" s="597"/>
      <c r="HD144" s="750"/>
      <c r="HE144" s="274"/>
      <c r="HF144" s="274"/>
      <c r="HG144" s="274"/>
      <c r="HH144" s="274"/>
      <c r="HI144" s="274"/>
      <c r="HJ144" s="274"/>
      <c r="HK144" s="274"/>
      <c r="HL144" s="274"/>
      <c r="HM144" s="274"/>
      <c r="HN144" s="274"/>
      <c r="HO144" s="274"/>
      <c r="HP144" s="274"/>
      <c r="HQ144" s="274"/>
      <c r="HR144" s="274"/>
      <c r="HS144" s="275"/>
      <c r="HT144" s="750"/>
      <c r="HU144" s="272"/>
      <c r="HV144" s="272"/>
      <c r="HW144" s="274"/>
      <c r="HX144" s="274"/>
      <c r="HY144" s="274"/>
      <c r="HZ144" s="274"/>
      <c r="IA144" s="274"/>
      <c r="IB144" s="274"/>
      <c r="IC144" s="274"/>
      <c r="ID144" s="272"/>
      <c r="IE144" s="274"/>
      <c r="IF144" s="274"/>
      <c r="IG144" s="274"/>
      <c r="IH144" s="275"/>
      <c r="II144" s="750"/>
      <c r="IJ144" s="274"/>
      <c r="IK144" s="274"/>
      <c r="IL144" s="276"/>
      <c r="IM144" s="277"/>
      <c r="IN144" s="277"/>
      <c r="IO144" s="333"/>
      <c r="IP144" s="334"/>
      <c r="IQ144" s="541"/>
      <c r="IR144" s="542"/>
      <c r="IS144" s="543"/>
      <c r="IT144" s="543"/>
      <c r="IU144" s="543"/>
      <c r="IV144" s="543"/>
      <c r="IW144" s="543"/>
      <c r="IX144" s="544"/>
      <c r="IY144" s="544"/>
      <c r="IZ144" s="543"/>
      <c r="JA144" s="543"/>
      <c r="JB144" s="543"/>
      <c r="JC144" s="543"/>
      <c r="JD144" s="545"/>
      <c r="JE144" s="545"/>
      <c r="JF144" s="546"/>
      <c r="JG144" s="503"/>
      <c r="JH144" s="506"/>
      <c r="JO144" s="507"/>
      <c r="JP144" s="508"/>
      <c r="JQ144" s="508"/>
      <c r="JR144" s="508"/>
      <c r="JS144" s="508"/>
      <c r="JT144" s="508"/>
      <c r="JU144" s="508"/>
      <c r="JV144" s="508"/>
      <c r="JW144" s="508"/>
      <c r="JX144" s="508"/>
      <c r="JY144" s="508"/>
      <c r="JZ144" s="508"/>
      <c r="KA144" s="508"/>
      <c r="KB144" s="508"/>
      <c r="KC144" s="508"/>
      <c r="KD144" s="508"/>
      <c r="KE144" s="508"/>
      <c r="KF144" s="508"/>
      <c r="KG144" s="508"/>
      <c r="KH144" s="508"/>
      <c r="KI144" s="508"/>
      <c r="KJ144" s="508"/>
      <c r="KK144" s="508"/>
      <c r="KL144" s="508"/>
      <c r="KM144" s="508"/>
      <c r="KN144" s="508"/>
      <c r="KO144" s="508"/>
      <c r="KP144" s="508"/>
      <c r="KQ144" s="508"/>
      <c r="KR144" s="508"/>
      <c r="KS144" s="508"/>
      <c r="KT144" s="508"/>
      <c r="KU144" s="508"/>
      <c r="KV144" s="508"/>
      <c r="KW144" s="509"/>
      <c r="KX144" s="277"/>
      <c r="KY144" s="277"/>
    </row>
    <row r="145" spans="1:398" ht="40" customHeight="1">
      <c r="B145" s="299"/>
      <c r="C145" s="1205" t="s">
        <v>587</v>
      </c>
      <c r="D145" s="242">
        <v>39</v>
      </c>
      <c r="E145" s="243">
        <v>2041</v>
      </c>
      <c r="F145" s="1010" t="s">
        <v>588</v>
      </c>
      <c r="G145" s="246">
        <v>232</v>
      </c>
      <c r="H145" s="246">
        <v>306</v>
      </c>
      <c r="I145" s="246">
        <v>118</v>
      </c>
      <c r="J145" s="246">
        <v>190</v>
      </c>
      <c r="K145" s="245" t="s">
        <v>589</v>
      </c>
      <c r="L145" s="246">
        <v>114</v>
      </c>
      <c r="M145" s="300">
        <v>10</v>
      </c>
      <c r="N145" s="251" t="s">
        <v>167</v>
      </c>
      <c r="O145" s="251" t="s">
        <v>168</v>
      </c>
      <c r="P145" s="300" t="s">
        <v>167</v>
      </c>
      <c r="Q145" s="251" t="s">
        <v>170</v>
      </c>
      <c r="R145" s="251" t="s">
        <v>170</v>
      </c>
      <c r="S145" s="251" t="s">
        <v>167</v>
      </c>
      <c r="T145" s="251" t="s">
        <v>291</v>
      </c>
      <c r="U145" s="301" t="s">
        <v>169</v>
      </c>
      <c r="V145" s="242" t="s">
        <v>320</v>
      </c>
      <c r="W145" s="242"/>
      <c r="X145" s="592" t="s">
        <v>292</v>
      </c>
      <c r="Y145" s="592" t="s">
        <v>292</v>
      </c>
      <c r="Z145" s="242"/>
      <c r="AA145" s="253" t="s">
        <v>590</v>
      </c>
      <c r="AB145" s="254" t="s">
        <v>587</v>
      </c>
      <c r="AC145" s="255">
        <v>114</v>
      </c>
      <c r="AD145" s="947">
        <f>SUM(AC145,AC146)</f>
        <v>114</v>
      </c>
      <c r="AE145" s="465" t="s">
        <v>295</v>
      </c>
      <c r="AF145" s="1298" t="s">
        <v>296</v>
      </c>
      <c r="AG145" s="467">
        <f>FP145</f>
        <v>2101000</v>
      </c>
      <c r="AH145" s="468">
        <f>FQ145</f>
        <v>2200</v>
      </c>
      <c r="AI145" s="468">
        <f>FR145</f>
        <v>1900</v>
      </c>
      <c r="AJ145" s="469">
        <f>AK145/AT145</f>
        <v>1.0193717277486911</v>
      </c>
      <c r="AK145" s="468">
        <f>16500*1.1</f>
        <v>18150</v>
      </c>
      <c r="AL145" s="469">
        <f>AM145/AT145</f>
        <v>1.0193717277486911</v>
      </c>
      <c r="AM145" s="468">
        <f>16500*1.1</f>
        <v>18150</v>
      </c>
      <c r="AN145" s="626" t="s">
        <v>297</v>
      </c>
      <c r="AO145" s="468">
        <f>2000*1.1</f>
        <v>2200</v>
      </c>
      <c r="AP145" s="467">
        <f t="shared" ref="AP145:AQ145" si="21">FS145</f>
        <v>118</v>
      </c>
      <c r="AQ145" s="467">
        <f t="shared" si="21"/>
        <v>190</v>
      </c>
      <c r="AR145" s="474">
        <f>DM145/(BX145-2)</f>
        <v>97.714285714285708</v>
      </c>
      <c r="AS145" s="475">
        <f>AG145/AR145</f>
        <v>21501.461988304094</v>
      </c>
      <c r="AT145" s="476">
        <f>AG145/AP145</f>
        <v>17805.084745762713</v>
      </c>
      <c r="AU145" s="475">
        <f>AG145/AQ145</f>
        <v>11057.894736842105</v>
      </c>
      <c r="AV145" s="477">
        <v>26000</v>
      </c>
      <c r="AW145" s="477">
        <v>48000</v>
      </c>
      <c r="AX145" s="467">
        <f>GA145</f>
        <v>1785850.0000000002</v>
      </c>
      <c r="AY145" s="467">
        <f>GB145</f>
        <v>6</v>
      </c>
      <c r="AZ145" s="478">
        <f>GC145</f>
        <v>18130200</v>
      </c>
      <c r="BA145" s="478">
        <f>GD145</f>
        <v>17858500</v>
      </c>
      <c r="BB145" s="478"/>
      <c r="BC145" s="478">
        <f>AH145*DM145</f>
        <v>1504800</v>
      </c>
      <c r="BD145" s="478">
        <f>AK145*DM145*0.6</f>
        <v>7448760</v>
      </c>
      <c r="BE145" s="479">
        <f>BD145-21000*DM145*0.6</f>
        <v>-1169640</v>
      </c>
      <c r="BF145" s="478">
        <f>AM145*DM145*0.4</f>
        <v>4965840</v>
      </c>
      <c r="BG145" s="479">
        <f>BF145-0</f>
        <v>4965840</v>
      </c>
      <c r="BH145" s="478">
        <f>AO145*DM145*0.3</f>
        <v>451440</v>
      </c>
      <c r="BI145" s="480">
        <f>GJ145</f>
        <v>0</v>
      </c>
      <c r="BJ145" s="480">
        <f>GK145</f>
        <v>0</v>
      </c>
      <c r="BK145" s="480">
        <f>BM145*5000*BX145</f>
        <v>225000</v>
      </c>
      <c r="BL145" s="480">
        <f>1800000*BN145*BX145</f>
        <v>48600000</v>
      </c>
      <c r="BM145" s="480">
        <f>GP145</f>
        <v>5</v>
      </c>
      <c r="BN145" s="480">
        <f>GQ145</f>
        <v>3</v>
      </c>
      <c r="BO145" s="481"/>
      <c r="BP145" s="481">
        <f>SUM(AZ145,BA145,BI145,BO145)</f>
        <v>35988700</v>
      </c>
      <c r="BQ145" s="481">
        <f>BP145-GR145</f>
        <v>0</v>
      </c>
      <c r="BR145" s="554"/>
      <c r="BS145" s="1012" t="s">
        <v>591</v>
      </c>
      <c r="BT145" s="484">
        <f>GU145</f>
        <v>46286</v>
      </c>
      <c r="BU145" s="484">
        <f>GV145</f>
        <v>46295</v>
      </c>
      <c r="BV145" s="666">
        <f>IFERROR(INDEX($BY$9:$DH$9, MATCH("準備", BY145:DK145, 0)), "")</f>
        <v>46286</v>
      </c>
      <c r="BW145" s="667" cm="1">
        <f t="array" ref="BW145">IF(COUNTIF(BY145:DK145,"*撤去*")=0,"",INDEX(BY$9:DK$9,1,MAX(IF(CC145:DK145="撤去",COLUMN(CC145:DK145)-COLUMN(BY145)+1))))</f>
        <v>46295</v>
      </c>
      <c r="BX145" s="663">
        <f>BW145-BV145</f>
        <v>9</v>
      </c>
      <c r="BY145" s="556">
        <v>0</v>
      </c>
      <c r="BZ145" s="557">
        <v>0</v>
      </c>
      <c r="CA145" s="557">
        <v>0</v>
      </c>
      <c r="CB145" s="557">
        <v>0</v>
      </c>
      <c r="CC145" s="405">
        <v>0</v>
      </c>
      <c r="CD145" s="403">
        <v>0</v>
      </c>
      <c r="CE145" s="403">
        <v>0</v>
      </c>
      <c r="CF145" s="403">
        <v>0</v>
      </c>
      <c r="CG145" s="403">
        <v>0</v>
      </c>
      <c r="CH145" s="403">
        <v>0</v>
      </c>
      <c r="CI145" s="403">
        <v>0</v>
      </c>
      <c r="CJ145" s="403">
        <v>0</v>
      </c>
      <c r="CK145" s="403">
        <v>0</v>
      </c>
      <c r="CL145" s="403">
        <v>0</v>
      </c>
      <c r="CM145" s="403">
        <v>0</v>
      </c>
      <c r="CN145" s="403">
        <v>0</v>
      </c>
      <c r="CO145" s="403">
        <v>0</v>
      </c>
      <c r="CP145" s="403">
        <v>0</v>
      </c>
      <c r="CQ145" s="403">
        <v>0</v>
      </c>
      <c r="CR145" s="404">
        <v>0</v>
      </c>
      <c r="CS145" s="405">
        <v>0</v>
      </c>
      <c r="CT145" s="400" t="s">
        <v>177</v>
      </c>
      <c r="CU145" s="400" t="s">
        <v>177</v>
      </c>
      <c r="CV145" s="403">
        <v>114</v>
      </c>
      <c r="CW145" s="403">
        <v>114</v>
      </c>
      <c r="CX145" s="403">
        <v>114</v>
      </c>
      <c r="CY145" s="403">
        <v>114</v>
      </c>
      <c r="CZ145" s="403">
        <v>114</v>
      </c>
      <c r="DA145" s="403">
        <v>114</v>
      </c>
      <c r="DB145" s="403">
        <v>0</v>
      </c>
      <c r="DC145" s="406" t="s">
        <v>178</v>
      </c>
      <c r="DD145" s="403">
        <v>0</v>
      </c>
      <c r="DE145" s="403">
        <v>0</v>
      </c>
      <c r="DF145" s="403">
        <v>0</v>
      </c>
      <c r="DG145" s="404">
        <v>0</v>
      </c>
      <c r="DH145" s="405">
        <v>0</v>
      </c>
      <c r="DI145" s="403">
        <v>0</v>
      </c>
      <c r="DJ145" s="403">
        <v>0</v>
      </c>
      <c r="DK145" s="407">
        <v>0</v>
      </c>
      <c r="DL145" s="1016"/>
      <c r="DM145" s="277" cm="1">
        <f t="array" ref="DM145">SUM(IF(ISNUMBER($BY145:$DK145),$BY145:$DK145, 0))</f>
        <v>684</v>
      </c>
      <c r="DN145" s="277">
        <v>684</v>
      </c>
      <c r="DO145" s="277">
        <f>DM145*(BX145)/(BX145+1)</f>
        <v>615.6</v>
      </c>
      <c r="DP145" s="277"/>
      <c r="DQ145" s="253" t="s">
        <v>592</v>
      </c>
      <c r="DR145" s="254" t="s">
        <v>587</v>
      </c>
      <c r="DS145" s="255">
        <v>114</v>
      </c>
      <c r="DT145" s="947">
        <f>SUM(DS145,DS146)</f>
        <v>114</v>
      </c>
      <c r="DU145" s="467">
        <v>2101000</v>
      </c>
      <c r="DV145" s="467">
        <v>1785850.0000000002</v>
      </c>
      <c r="DW145" s="478">
        <v>18130200</v>
      </c>
      <c r="DX145" s="478">
        <v>17858500</v>
      </c>
      <c r="DY145" s="478">
        <v>1516200</v>
      </c>
      <c r="DZ145" s="478">
        <v>8690220</v>
      </c>
      <c r="EA145" s="478">
        <v>5793480</v>
      </c>
      <c r="EB145" s="478">
        <v>526680</v>
      </c>
      <c r="EC145" s="480">
        <v>0</v>
      </c>
      <c r="ED145" s="480">
        <v>0</v>
      </c>
      <c r="EE145" s="480">
        <v>225000</v>
      </c>
      <c r="EF145" s="480">
        <v>48600000</v>
      </c>
      <c r="EG145" s="481"/>
      <c r="EH145" s="481">
        <v>35988700</v>
      </c>
      <c r="EI145" s="484">
        <v>46286</v>
      </c>
      <c r="EJ145" s="484">
        <v>46295</v>
      </c>
      <c r="EK145" s="666">
        <v>46286</v>
      </c>
      <c r="EL145" s="667">
        <v>46295</v>
      </c>
      <c r="EM145" s="663">
        <v>9</v>
      </c>
      <c r="EN145" s="277"/>
      <c r="EO145" s="253" t="s">
        <v>592</v>
      </c>
      <c r="EP145" s="278" t="s">
        <v>587</v>
      </c>
      <c r="EQ145" s="279">
        <v>114</v>
      </c>
      <c r="ER145" s="952">
        <v>114</v>
      </c>
      <c r="ES145" s="245">
        <v>114</v>
      </c>
      <c r="ET145" s="245">
        <v>114</v>
      </c>
      <c r="EU145" s="245">
        <v>99</v>
      </c>
      <c r="EV145" s="281" t="s">
        <v>593</v>
      </c>
      <c r="EW145" s="282">
        <v>9.4</v>
      </c>
      <c r="EX145" s="283">
        <v>18</v>
      </c>
      <c r="EY145" s="287" t="s">
        <v>188</v>
      </c>
      <c r="EZ145" s="285">
        <v>9.4</v>
      </c>
      <c r="FA145" s="286">
        <v>18</v>
      </c>
      <c r="FB145" s="284" t="s">
        <v>189</v>
      </c>
      <c r="FC145" s="285"/>
      <c r="FD145" s="286"/>
      <c r="FE145" s="287" t="s">
        <v>189</v>
      </c>
      <c r="FF145" s="285"/>
      <c r="FG145" s="286"/>
      <c r="FH145" s="287" t="s">
        <v>189</v>
      </c>
      <c r="FI145" s="492"/>
      <c r="FJ145" s="495"/>
      <c r="FK145" s="289">
        <v>192</v>
      </c>
      <c r="FL145" s="1017">
        <v>0.62745098039215685</v>
      </c>
      <c r="FM145" s="291" t="s">
        <v>594</v>
      </c>
      <c r="FN145" s="1214" t="s">
        <v>300</v>
      </c>
      <c r="FO145" s="1298" t="s">
        <v>296</v>
      </c>
      <c r="FP145" s="562">
        <v>2101000</v>
      </c>
      <c r="FQ145" s="563">
        <v>2200</v>
      </c>
      <c r="FR145" s="468">
        <v>1900</v>
      </c>
      <c r="FS145" s="562">
        <v>118</v>
      </c>
      <c r="FT145" s="562">
        <v>190</v>
      </c>
      <c r="FU145" s="261">
        <v>114</v>
      </c>
      <c r="FV145" s="263">
        <v>18429.824561403508</v>
      </c>
      <c r="FW145" s="390">
        <v>17805.084745762713</v>
      </c>
      <c r="FX145" s="394">
        <v>11057.894736842105</v>
      </c>
      <c r="FY145" s="550">
        <v>11000</v>
      </c>
      <c r="FZ145" s="550">
        <v>30000</v>
      </c>
      <c r="GA145" s="562">
        <v>1785850.0000000002</v>
      </c>
      <c r="GB145" s="562">
        <v>6</v>
      </c>
      <c r="GC145" s="565">
        <v>18130200</v>
      </c>
      <c r="GD145" s="565">
        <v>17858500</v>
      </c>
      <c r="GE145" s="565">
        <v>18130200</v>
      </c>
      <c r="GF145" s="565">
        <v>17858500</v>
      </c>
      <c r="GG145" s="478">
        <v>0</v>
      </c>
      <c r="GH145" s="478">
        <v>0</v>
      </c>
      <c r="GI145" s="478">
        <v>909720</v>
      </c>
      <c r="GJ145" s="566"/>
      <c r="GK145" s="566"/>
      <c r="GL145" s="566"/>
      <c r="GM145" s="480">
        <v>0</v>
      </c>
      <c r="GN145" s="480">
        <v>350000</v>
      </c>
      <c r="GO145" s="480">
        <v>48600000</v>
      </c>
      <c r="GP145" s="566">
        <v>5</v>
      </c>
      <c r="GQ145" s="566">
        <v>3</v>
      </c>
      <c r="GR145" s="1019">
        <v>35988700</v>
      </c>
      <c r="GS145" s="1019">
        <v>-698530</v>
      </c>
      <c r="GT145" s="1012" t="s">
        <v>591</v>
      </c>
      <c r="GU145" s="1020">
        <v>46286</v>
      </c>
      <c r="GV145" s="1020">
        <v>46295</v>
      </c>
      <c r="GW145" s="666">
        <v>46286</v>
      </c>
      <c r="GX145" s="667">
        <v>46295</v>
      </c>
      <c r="GY145" s="663">
        <v>9</v>
      </c>
      <c r="GZ145" s="556"/>
      <c r="HA145" s="557"/>
      <c r="HB145" s="557"/>
      <c r="HC145" s="557"/>
      <c r="HD145" s="405">
        <v>0</v>
      </c>
      <c r="HE145" s="403">
        <v>0</v>
      </c>
      <c r="HF145" s="403">
        <v>0</v>
      </c>
      <c r="HG145" s="403">
        <v>0</v>
      </c>
      <c r="HH145" s="403">
        <v>0</v>
      </c>
      <c r="HI145" s="403">
        <v>0</v>
      </c>
      <c r="HJ145" s="403">
        <v>0</v>
      </c>
      <c r="HK145" s="403">
        <v>0</v>
      </c>
      <c r="HL145" s="403">
        <v>0</v>
      </c>
      <c r="HM145" s="403">
        <v>0</v>
      </c>
      <c r="HN145" s="403">
        <v>0</v>
      </c>
      <c r="HO145" s="403">
        <v>0</v>
      </c>
      <c r="HP145" s="403">
        <v>0</v>
      </c>
      <c r="HQ145" s="403">
        <v>0</v>
      </c>
      <c r="HR145" s="403">
        <v>0</v>
      </c>
      <c r="HS145" s="404">
        <v>0</v>
      </c>
      <c r="HT145" s="405">
        <v>0</v>
      </c>
      <c r="HU145" s="400" t="s">
        <v>177</v>
      </c>
      <c r="HV145" s="400" t="s">
        <v>177</v>
      </c>
      <c r="HW145" s="403">
        <v>114</v>
      </c>
      <c r="HX145" s="403">
        <v>114</v>
      </c>
      <c r="HY145" s="403">
        <v>114</v>
      </c>
      <c r="HZ145" s="403">
        <v>114</v>
      </c>
      <c r="IA145" s="403">
        <v>114</v>
      </c>
      <c r="IB145" s="403">
        <v>114</v>
      </c>
      <c r="IC145" s="403">
        <v>114</v>
      </c>
      <c r="ID145" s="406" t="s">
        <v>178</v>
      </c>
      <c r="IE145" s="403">
        <v>0</v>
      </c>
      <c r="IF145" s="403">
        <v>0</v>
      </c>
      <c r="IG145" s="403">
        <v>0</v>
      </c>
      <c r="IH145" s="404">
        <v>0</v>
      </c>
      <c r="II145" s="405">
        <v>0</v>
      </c>
      <c r="IJ145" s="403">
        <v>0</v>
      </c>
      <c r="IK145" s="403">
        <v>0</v>
      </c>
      <c r="IL145" s="407">
        <v>0</v>
      </c>
      <c r="IM145" s="1016"/>
      <c r="IN145" s="277" cm="1">
        <f t="array" ref="IN145">SUM(IF(ISNUMBER($HD145:$IL145),$HD145:$IL145, 0))</f>
        <v>798</v>
      </c>
      <c r="IO145" s="1047"/>
      <c r="IP145" s="1048"/>
      <c r="IQ145" s="541"/>
      <c r="IR145" s="569">
        <f>VLOOKUP($E145,[1]アジアResults1031!$A$1:$CH$259,23,FALSE)</f>
        <v>1087108</v>
      </c>
      <c r="IS145" s="570">
        <f>VLOOKUP($E145,[1]アジアResults1031!$A$1:$CH$259,32,FALSE)</f>
        <v>80</v>
      </c>
      <c r="IT145" s="570">
        <f>KY145/(GY145-2)</f>
        <v>99</v>
      </c>
      <c r="IU145" s="570">
        <f>IR145/IT145</f>
        <v>10980.888888888889</v>
      </c>
      <c r="IV145" s="570">
        <f>VLOOKUP(E145,[1]アジアResults1031!$A$1:$CH$264,26,FALSE)</f>
        <v>8236</v>
      </c>
      <c r="IW145" s="570">
        <f>VLOOKUP(E145,[1]アジアResults1031!$A$1:$CH$264,27,FALSE)</f>
        <v>24706</v>
      </c>
      <c r="IX145" s="571">
        <f>VLOOKUP($E145,[1]アジアResults1031!$A$1:$CH$259,18,FALSE)</f>
        <v>2834022</v>
      </c>
      <c r="IY145" s="571">
        <f>VLOOKUP($E145,[1]アジアResults1031!$A$1:$CH$259,9,FALSE)</f>
        <v>3</v>
      </c>
      <c r="IZ145" s="570">
        <f>IR145*JF145</f>
        <v>9783972</v>
      </c>
      <c r="JA145" s="570">
        <f>IX145*JF145</f>
        <v>25506198</v>
      </c>
      <c r="JB145" s="570"/>
      <c r="JC145" s="570"/>
      <c r="JD145" s="572">
        <f>IFERROR(INDEX($JO$9:$KW$9, MATCH("準備", JO145:KW145, 0)), "")</f>
        <v>46286</v>
      </c>
      <c r="JE145" s="572" cm="1">
        <f t="array" ref="JE145">IF(COUNTIF(JO145:KW145,"*撤去*")=0,"",INDEX(JO$9:KW$9,1,MAX(IF(JO145:KW145="撤去",COLUMN(JO145:KW145)-COLUMN(JO145)+1))))</f>
        <v>46295</v>
      </c>
      <c r="JF145" s="573">
        <f>JE145-JD145</f>
        <v>9</v>
      </c>
      <c r="JG145" s="574">
        <v>2101000</v>
      </c>
      <c r="JH145" s="575">
        <v>1785850</v>
      </c>
      <c r="JO145" s="507"/>
      <c r="JP145" s="508"/>
      <c r="JQ145" s="508"/>
      <c r="JR145" s="508"/>
      <c r="JS145" s="508"/>
      <c r="JT145" s="508"/>
      <c r="JU145" s="508"/>
      <c r="JV145" s="508"/>
      <c r="JW145" s="508"/>
      <c r="JX145" s="508"/>
      <c r="JY145" s="508"/>
      <c r="JZ145" s="508"/>
      <c r="KA145" s="508"/>
      <c r="KB145" s="508"/>
      <c r="KC145" s="508"/>
      <c r="KD145" s="508"/>
      <c r="KE145" s="508"/>
      <c r="KF145" s="400" t="s">
        <v>177</v>
      </c>
      <c r="KG145" s="400" t="s">
        <v>177</v>
      </c>
      <c r="KH145" s="508">
        <v>99</v>
      </c>
      <c r="KI145" s="508">
        <v>99</v>
      </c>
      <c r="KJ145" s="508">
        <v>99</v>
      </c>
      <c r="KK145" s="508">
        <v>99</v>
      </c>
      <c r="KL145" s="508">
        <v>99</v>
      </c>
      <c r="KM145" s="508">
        <v>99</v>
      </c>
      <c r="KN145" s="508">
        <v>99</v>
      </c>
      <c r="KO145" s="406" t="s">
        <v>178</v>
      </c>
      <c r="KP145" s="508"/>
      <c r="KQ145" s="508"/>
      <c r="KR145" s="508"/>
      <c r="KS145" s="508"/>
      <c r="KT145" s="508"/>
      <c r="KU145" s="508"/>
      <c r="KV145" s="508"/>
      <c r="KW145" s="509"/>
      <c r="KX145" s="1016"/>
      <c r="KY145" s="277" cm="1">
        <f t="array" ref="KY145">SUM(IF(ISNUMBER($JO145:$KW145),$JO145:$KW145, 0))</f>
        <v>693</v>
      </c>
    </row>
    <row r="146" spans="1:398" s="1039" customFormat="1" ht="40" customHeight="1">
      <c r="A146" s="1"/>
      <c r="B146" s="299"/>
      <c r="C146" s="241"/>
      <c r="D146" s="445"/>
      <c r="E146" s="510" t="s">
        <v>165</v>
      </c>
      <c r="F146" s="1023"/>
      <c r="G146" s="512">
        <v>0</v>
      </c>
      <c r="H146" s="512">
        <v>0</v>
      </c>
      <c r="I146" s="512">
        <v>0</v>
      </c>
      <c r="J146" s="512">
        <v>0</v>
      </c>
      <c r="K146" s="512"/>
      <c r="L146" s="512">
        <v>0</v>
      </c>
      <c r="M146" s="513">
        <v>0</v>
      </c>
      <c r="N146" s="514">
        <v>0</v>
      </c>
      <c r="O146" s="514">
        <v>0</v>
      </c>
      <c r="P146" s="513">
        <v>0</v>
      </c>
      <c r="Q146" s="1045">
        <v>0</v>
      </c>
      <c r="R146" s="514">
        <v>0</v>
      </c>
      <c r="S146" s="514">
        <v>0</v>
      </c>
      <c r="T146" s="514">
        <v>0</v>
      </c>
      <c r="U146" s="515" t="s">
        <v>165</v>
      </c>
      <c r="V146" s="445"/>
      <c r="W146" s="445"/>
      <c r="X146" s="445"/>
      <c r="Y146" s="445"/>
      <c r="Z146" s="445"/>
      <c r="AA146" s="763"/>
      <c r="AB146" s="764" t="s">
        <v>170</v>
      </c>
      <c r="AC146" s="765">
        <v>0</v>
      </c>
      <c r="AD146" s="969"/>
      <c r="AE146" s="655"/>
      <c r="AF146" s="656"/>
      <c r="AG146" s="656"/>
      <c r="AH146" s="656"/>
      <c r="AI146" s="656"/>
      <c r="AJ146" s="656"/>
      <c r="AK146" s="656"/>
      <c r="AL146" s="656"/>
      <c r="AM146" s="656"/>
      <c r="AN146" s="656"/>
      <c r="AO146" s="656"/>
      <c r="AP146" s="656"/>
      <c r="AQ146" s="656"/>
      <c r="AR146" s="656"/>
      <c r="AS146" s="767"/>
      <c r="AT146" s="656"/>
      <c r="AU146" s="767"/>
      <c r="AV146" s="656"/>
      <c r="AW146" s="656"/>
      <c r="AX146" s="656"/>
      <c r="AY146" s="656"/>
      <c r="AZ146" s="768"/>
      <c r="BA146" s="768"/>
      <c r="BB146" s="768"/>
      <c r="BC146" s="768"/>
      <c r="BD146" s="768"/>
      <c r="BE146" s="768"/>
      <c r="BF146" s="768"/>
      <c r="BG146" s="768"/>
      <c r="BH146" s="768"/>
      <c r="BI146" s="768"/>
      <c r="BJ146" s="768"/>
      <c r="BK146" s="768"/>
      <c r="BL146" s="768"/>
      <c r="BM146" s="768"/>
      <c r="BN146" s="768"/>
      <c r="BO146" s="656"/>
      <c r="BP146" s="656"/>
      <c r="BQ146" s="656"/>
      <c r="BR146" s="940"/>
      <c r="BS146" s="941"/>
      <c r="BT146" s="942"/>
      <c r="BU146" s="942"/>
      <c r="BV146" s="773" t="str">
        <f>IFERROR(INDEX($HD$9:$II$9, MATCH("準備", CC146:DK146, 0)), "")</f>
        <v/>
      </c>
      <c r="BW146" s="773" t="str" cm="1">
        <f t="array" ref="BW146">IF(COUNTIF(CC146:DK146,"*撤去*")=0,"",INDEX(CC$9:DK$9,1,MAX(IF(CC146:DK146="撤去",COLUMN(CC146:DK146)-COLUMN(CC146)+1))))</f>
        <v/>
      </c>
      <c r="BX146" s="774"/>
      <c r="BY146" s="360" t="s">
        <v>246</v>
      </c>
      <c r="BZ146" s="361" t="s">
        <v>247</v>
      </c>
      <c r="CA146" s="777"/>
      <c r="CB146" s="777"/>
      <c r="CC146" s="874"/>
      <c r="CD146" s="875"/>
      <c r="CE146" s="875"/>
      <c r="CF146" s="875"/>
      <c r="CG146" s="875"/>
      <c r="CH146" s="875"/>
      <c r="CI146" s="875"/>
      <c r="CJ146" s="875"/>
      <c r="CK146" s="875"/>
      <c r="CL146" s="875"/>
      <c r="CM146" s="875"/>
      <c r="CN146" s="875"/>
      <c r="CO146" s="875"/>
      <c r="CP146" s="875"/>
      <c r="CQ146" s="779"/>
      <c r="CR146" s="884"/>
      <c r="CS146" s="874"/>
      <c r="CT146" s="363"/>
      <c r="CU146" s="363"/>
      <c r="CV146" s="363"/>
      <c r="CW146" s="363"/>
      <c r="CX146" s="363"/>
      <c r="CY146" s="363"/>
      <c r="CZ146" s="363"/>
      <c r="DA146" s="363"/>
      <c r="DB146" s="363"/>
      <c r="DC146" s="363"/>
      <c r="DD146" s="272"/>
      <c r="DE146" s="875"/>
      <c r="DF146" s="779"/>
      <c r="DG146" s="884"/>
      <c r="DH146" s="874"/>
      <c r="DI146" s="875"/>
      <c r="DJ146" s="875"/>
      <c r="DK146" s="886"/>
      <c r="DL146" s="1016"/>
      <c r="DM146" s="1016"/>
      <c r="DN146" s="1016"/>
      <c r="DO146" s="1016"/>
      <c r="DP146" s="1016"/>
      <c r="DQ146" s="763"/>
      <c r="DR146" s="764" t="s">
        <v>170</v>
      </c>
      <c r="DS146" s="765">
        <v>0</v>
      </c>
      <c r="DT146" s="969"/>
      <c r="DU146" s="656"/>
      <c r="DV146" s="656"/>
      <c r="DW146" s="768"/>
      <c r="DX146" s="768"/>
      <c r="DY146" s="768"/>
      <c r="DZ146" s="768"/>
      <c r="EA146" s="768"/>
      <c r="EB146" s="768"/>
      <c r="EC146" s="768"/>
      <c r="ED146" s="768"/>
      <c r="EE146" s="768"/>
      <c r="EF146" s="768"/>
      <c r="EG146" s="656"/>
      <c r="EH146" s="656"/>
      <c r="EI146" s="942"/>
      <c r="EJ146" s="942"/>
      <c r="EK146" s="773" t="s">
        <v>165</v>
      </c>
      <c r="EL146" s="773" t="s">
        <v>165</v>
      </c>
      <c r="EM146" s="774"/>
      <c r="EN146" s="1016"/>
      <c r="EO146" s="763"/>
      <c r="EP146" s="1032" t="s">
        <v>170</v>
      </c>
      <c r="EQ146" s="1033">
        <v>0</v>
      </c>
      <c r="ER146" s="1046"/>
      <c r="ES146" s="1046" t="e">
        <v>#N/A</v>
      </c>
      <c r="ET146" s="1046"/>
      <c r="EU146" s="1046"/>
      <c r="EV146" s="1027" t="s">
        <v>170</v>
      </c>
      <c r="EW146" s="453"/>
      <c r="EX146" s="454"/>
      <c r="EY146" s="879" t="s">
        <v>170</v>
      </c>
      <c r="EZ146" s="456"/>
      <c r="FA146" s="457"/>
      <c r="FB146" s="879" t="s">
        <v>170</v>
      </c>
      <c r="FC146" s="880"/>
      <c r="FD146" s="881"/>
      <c r="FE146" s="882" t="s">
        <v>170</v>
      </c>
      <c r="FF146" s="880"/>
      <c r="FG146" s="881"/>
      <c r="FH146" s="882" t="s">
        <v>170</v>
      </c>
      <c r="FI146" s="880"/>
      <c r="FJ146" s="883"/>
      <c r="FK146" s="375"/>
      <c r="FL146" s="1028"/>
      <c r="FM146" s="535"/>
      <c r="FN146" s="655"/>
      <c r="FO146" s="656"/>
      <c r="FP146" s="656"/>
      <c r="FQ146" s="656"/>
      <c r="FR146" s="656"/>
      <c r="FS146" s="656"/>
      <c r="FT146" s="656"/>
      <c r="FU146" s="656"/>
      <c r="FV146" s="767"/>
      <c r="FW146" s="656"/>
      <c r="FX146" s="767"/>
      <c r="FY146" s="656"/>
      <c r="FZ146" s="656"/>
      <c r="GA146" s="656"/>
      <c r="GB146" s="656"/>
      <c r="GC146" s="768"/>
      <c r="GD146" s="768"/>
      <c r="GE146" s="768"/>
      <c r="GF146" s="768"/>
      <c r="GG146" s="768"/>
      <c r="GH146" s="768"/>
      <c r="GI146" s="768"/>
      <c r="GJ146" s="768"/>
      <c r="GK146" s="768"/>
      <c r="GL146" s="768"/>
      <c r="GM146" s="768"/>
      <c r="GN146" s="768"/>
      <c r="GO146" s="768"/>
      <c r="GP146" s="768"/>
      <c r="GQ146" s="768"/>
      <c r="GR146" s="656"/>
      <c r="GS146" s="656"/>
      <c r="GT146" s="941"/>
      <c r="GU146" s="942"/>
      <c r="GV146" s="942"/>
      <c r="GW146" s="773" t="s">
        <v>165</v>
      </c>
      <c r="GX146" s="773" t="s">
        <v>165</v>
      </c>
      <c r="GY146" s="774"/>
      <c r="GZ146" s="943"/>
      <c r="HA146" s="777"/>
      <c r="HB146" s="777"/>
      <c r="HC146" s="777"/>
      <c r="HD146" s="874"/>
      <c r="HE146" s="875"/>
      <c r="HF146" s="875"/>
      <c r="HG146" s="875"/>
      <c r="HH146" s="875"/>
      <c r="HI146" s="875"/>
      <c r="HJ146" s="875"/>
      <c r="HK146" s="875"/>
      <c r="HL146" s="875"/>
      <c r="HM146" s="875"/>
      <c r="HN146" s="875"/>
      <c r="HO146" s="875"/>
      <c r="HP146" s="875"/>
      <c r="HQ146" s="875"/>
      <c r="HR146" s="779"/>
      <c r="HS146" s="884"/>
      <c r="HT146" s="874"/>
      <c r="HU146" s="875"/>
      <c r="HV146" s="875"/>
      <c r="HW146" s="875"/>
      <c r="HX146" s="875"/>
      <c r="HY146" s="875"/>
      <c r="HZ146" s="875"/>
      <c r="IA146" s="875"/>
      <c r="IB146" s="875"/>
      <c r="IC146" s="875"/>
      <c r="ID146" s="875"/>
      <c r="IE146" s="272"/>
      <c r="IF146" s="875"/>
      <c r="IG146" s="779"/>
      <c r="IH146" s="884"/>
      <c r="II146" s="874"/>
      <c r="IJ146" s="875"/>
      <c r="IK146" s="875"/>
      <c r="IL146" s="886"/>
      <c r="IM146" s="1016"/>
      <c r="IN146" s="1016"/>
      <c r="IO146" s="1029"/>
      <c r="IP146" s="1030"/>
      <c r="IQ146" s="541"/>
      <c r="IR146" s="581"/>
      <c r="IS146" s="582"/>
      <c r="IT146" s="582"/>
      <c r="IU146" s="582"/>
      <c r="IV146" s="582"/>
      <c r="IW146" s="582"/>
      <c r="IX146" s="583"/>
      <c r="IY146" s="583"/>
      <c r="IZ146" s="582"/>
      <c r="JA146" s="582"/>
      <c r="JB146" s="582"/>
      <c r="JC146" s="582"/>
      <c r="JD146" s="584"/>
      <c r="JE146" s="584"/>
      <c r="JF146" s="585"/>
      <c r="JG146" s="586"/>
      <c r="JH146" s="587"/>
      <c r="JI146" s="1"/>
      <c r="JJ146" s="1"/>
      <c r="JK146" s="1"/>
      <c r="JL146" s="1"/>
      <c r="JM146" s="1"/>
      <c r="JN146" s="1"/>
      <c r="JO146" s="507"/>
      <c r="JP146" s="508"/>
      <c r="JQ146" s="508"/>
      <c r="JR146" s="508"/>
      <c r="JS146" s="589"/>
      <c r="JT146" s="589"/>
      <c r="JU146" s="589"/>
      <c r="JV146" s="589"/>
      <c r="JW146" s="589"/>
      <c r="JX146" s="589"/>
      <c r="JY146" s="589"/>
      <c r="JZ146" s="589"/>
      <c r="KA146" s="589"/>
      <c r="KB146" s="589"/>
      <c r="KC146" s="589"/>
      <c r="KD146" s="589"/>
      <c r="KE146" s="589"/>
      <c r="KF146" s="589"/>
      <c r="KG146" s="589"/>
      <c r="KH146" s="589"/>
      <c r="KI146" s="589"/>
      <c r="KJ146" s="589"/>
      <c r="KK146" s="589"/>
      <c r="KL146" s="589"/>
      <c r="KM146" s="589"/>
      <c r="KN146" s="589"/>
      <c r="KO146" s="589"/>
      <c r="KP146" s="589"/>
      <c r="KQ146" s="589"/>
      <c r="KR146" s="589"/>
      <c r="KS146" s="589"/>
      <c r="KT146" s="589"/>
      <c r="KU146" s="589"/>
      <c r="KV146" s="589"/>
      <c r="KW146" s="590"/>
      <c r="KX146" s="1016"/>
      <c r="KY146" s="1016"/>
      <c r="KZ146" s="1"/>
      <c r="LA146" s="1"/>
      <c r="LB146" s="1"/>
      <c r="LC146" s="1"/>
      <c r="LD146" s="1"/>
      <c r="LE146" s="1"/>
      <c r="LF146" s="1"/>
      <c r="LG146" s="1"/>
      <c r="LH146" s="1"/>
      <c r="LI146" s="1"/>
      <c r="LJ146" s="1"/>
      <c r="LK146" s="1"/>
      <c r="LL146" s="1"/>
      <c r="LM146" s="1"/>
      <c r="LN146" s="1"/>
      <c r="LO146" s="1"/>
      <c r="LP146" s="1"/>
      <c r="LQ146" s="1"/>
      <c r="LR146" s="1"/>
      <c r="LS146" s="1"/>
      <c r="LT146" s="1"/>
      <c r="LU146" s="1"/>
      <c r="LV146" s="1"/>
      <c r="LW146" s="1"/>
      <c r="LX146" s="1"/>
      <c r="LY146" s="1"/>
      <c r="LZ146" s="1"/>
      <c r="MA146" s="1"/>
      <c r="MB146" s="1"/>
      <c r="MC146" s="1"/>
      <c r="MD146" s="1"/>
      <c r="ME146" s="1"/>
      <c r="MF146" s="1"/>
      <c r="MG146" s="1"/>
      <c r="MH146" s="1"/>
      <c r="MI146" s="1"/>
      <c r="MJ146" s="1"/>
      <c r="MK146" s="1"/>
      <c r="ML146" s="1"/>
      <c r="MM146" s="1"/>
      <c r="MN146" s="1"/>
      <c r="MO146" s="1"/>
      <c r="MP146" s="1"/>
      <c r="MQ146" s="1"/>
      <c r="MR146" s="1"/>
      <c r="MS146" s="1"/>
      <c r="MT146" s="1"/>
      <c r="MU146" s="1"/>
      <c r="MV146" s="1"/>
      <c r="MW146" s="1"/>
      <c r="MX146" s="1"/>
      <c r="MY146" s="1"/>
      <c r="MZ146" s="1"/>
      <c r="NA146" s="1"/>
      <c r="NB146" s="1"/>
      <c r="NC146" s="1"/>
      <c r="ND146" s="1"/>
      <c r="NE146" s="1"/>
      <c r="NF146" s="1"/>
      <c r="NG146" s="1"/>
      <c r="NH146" s="1"/>
      <c r="NI146" s="1"/>
      <c r="NJ146" s="1"/>
      <c r="NK146" s="1"/>
      <c r="NL146" s="1"/>
      <c r="NM146" s="1"/>
      <c r="NN146" s="1"/>
      <c r="NO146" s="1"/>
      <c r="NP146" s="1"/>
      <c r="NQ146" s="1"/>
      <c r="NR146" s="1"/>
      <c r="NS146" s="1"/>
      <c r="NT146" s="1"/>
      <c r="NU146" s="1"/>
      <c r="NV146" s="1"/>
      <c r="NW146" s="1"/>
      <c r="NX146" s="1"/>
      <c r="NY146" s="1"/>
      <c r="NZ146" s="1"/>
      <c r="OA146" s="1"/>
      <c r="OB146" s="1"/>
      <c r="OC146" s="1"/>
      <c r="OD146" s="1"/>
      <c r="OE146" s="1"/>
      <c r="OF146" s="1"/>
      <c r="OG146" s="1"/>
      <c r="OH146" s="1"/>
    </row>
    <row r="147" spans="1:398" ht="40" customHeight="1">
      <c r="B147" s="299"/>
      <c r="C147" s="242"/>
      <c r="D147" s="242">
        <v>40</v>
      </c>
      <c r="E147" s="243">
        <v>2019</v>
      </c>
      <c r="F147" s="548" t="s">
        <v>595</v>
      </c>
      <c r="G147" s="381">
        <v>369</v>
      </c>
      <c r="H147" s="549">
        <v>641</v>
      </c>
      <c r="I147" s="549">
        <v>135</v>
      </c>
      <c r="J147" s="549">
        <v>265</v>
      </c>
      <c r="K147" s="549">
        <v>173760400</v>
      </c>
      <c r="L147" s="383">
        <v>2</v>
      </c>
      <c r="M147" s="384" t="s">
        <v>167</v>
      </c>
      <c r="N147" s="384" t="s">
        <v>168</v>
      </c>
      <c r="O147" s="383">
        <v>250</v>
      </c>
      <c r="P147" s="384" t="s">
        <v>170</v>
      </c>
      <c r="Q147" s="384" t="s">
        <v>596</v>
      </c>
      <c r="R147" s="384" t="s">
        <v>169</v>
      </c>
      <c r="S147" s="384" t="s">
        <v>306</v>
      </c>
      <c r="T147" s="385" t="s">
        <v>169</v>
      </c>
      <c r="U147" s="378" t="s">
        <v>320</v>
      </c>
      <c r="V147" s="242"/>
      <c r="W147" s="242"/>
      <c r="X147" s="592" t="s">
        <v>292</v>
      </c>
      <c r="Y147" s="592" t="s">
        <v>292</v>
      </c>
      <c r="Z147" s="242"/>
      <c r="AA147" s="386" t="s">
        <v>597</v>
      </c>
      <c r="AB147" s="1208" t="s">
        <v>503</v>
      </c>
      <c r="AC147" s="388">
        <v>288</v>
      </c>
      <c r="AD147" s="1288">
        <f>SUM(AC147,AC148)</f>
        <v>288</v>
      </c>
      <c r="AE147" s="257" t="s">
        <v>175</v>
      </c>
      <c r="AF147" s="1298" t="s">
        <v>296</v>
      </c>
      <c r="AG147" s="467">
        <f>'[1]2019_メルキュール浜名湖　別紙1-1'!M25</f>
        <v>9102500</v>
      </c>
      <c r="AH147" s="468">
        <v>3000</v>
      </c>
      <c r="AI147" s="468">
        <f>4100-AH147</f>
        <v>1100</v>
      </c>
      <c r="AJ147" s="469">
        <v>0.98599999999999999</v>
      </c>
      <c r="AK147" s="551">
        <f>$AK$4</f>
        <v>26106</v>
      </c>
      <c r="AL147" s="552">
        <v>0.83</v>
      </c>
      <c r="AM147" s="551">
        <f>$AM$4</f>
        <v>24690</v>
      </c>
      <c r="AN147" s="468" t="s">
        <v>308</v>
      </c>
      <c r="AO147" s="551">
        <f>$AO$4</f>
        <v>2373</v>
      </c>
      <c r="AP147" s="467">
        <f>'[1]2019_メルキュール浜名湖　別紙1-1'!K23</f>
        <v>225</v>
      </c>
      <c r="AQ147" s="467">
        <f>'[1]2019_メルキュール浜名湖　別紙1-1'!AF23</f>
        <v>335</v>
      </c>
      <c r="AR147" s="474">
        <f>DM147/(BX147-2)</f>
        <v>261.81818181818181</v>
      </c>
      <c r="AS147" s="475">
        <f>AG147/AR147</f>
        <v>34766.493055555555</v>
      </c>
      <c r="AT147" s="476">
        <f>AG147/AP147</f>
        <v>40455.555555555555</v>
      </c>
      <c r="AU147" s="475">
        <f>AG147/AQ147</f>
        <v>27171.641791044774</v>
      </c>
      <c r="AV147" s="477">
        <v>26000</v>
      </c>
      <c r="AW147" s="477">
        <v>48000</v>
      </c>
      <c r="AX147" s="467">
        <f>'[1]2019_メルキュール浜名湖　別紙1-2'!N33</f>
        <v>1251800</v>
      </c>
      <c r="AY147" s="467">
        <f>'[1]2019_メルキュール浜名湖　別紙1-2'!I30</f>
        <v>11</v>
      </c>
      <c r="AZ147" s="478">
        <f>'[1]2019_メルキュール浜名湖　別紙1-1'!C27</f>
        <v>115016000</v>
      </c>
      <c r="BA147" s="478">
        <f>'[1]2019_メルキュール浜名湖　別紙1-2'!O31</f>
        <v>17394300</v>
      </c>
      <c r="BB147" s="478">
        <f>AI147*DM147</f>
        <v>3168000</v>
      </c>
      <c r="BC147" s="478">
        <f>AH147*DM147</f>
        <v>8640000</v>
      </c>
      <c r="BD147" s="478">
        <f>AK147*DM147*0.6</f>
        <v>45111168</v>
      </c>
      <c r="BE147" s="478">
        <f>BD147-21000*DM147*0.6</f>
        <v>8823168</v>
      </c>
      <c r="BF147" s="478">
        <f>AM147*DM147*0.4</f>
        <v>28442880</v>
      </c>
      <c r="BG147" s="478">
        <f>BF147-0</f>
        <v>28442880</v>
      </c>
      <c r="BH147" s="478">
        <f>AO147*DM147*0.3</f>
        <v>2050272</v>
      </c>
      <c r="BI147" s="480">
        <f>GJ147</f>
        <v>0</v>
      </c>
      <c r="BJ147" s="480">
        <f>GK147</f>
        <v>0</v>
      </c>
      <c r="BK147" s="480">
        <f>BM147*5000*BX147</f>
        <v>130000</v>
      </c>
      <c r="BL147" s="480">
        <f>1800000*BN147*BX147</f>
        <v>0</v>
      </c>
      <c r="BM147" s="480">
        <v>2</v>
      </c>
      <c r="BN147" s="480">
        <f>GQ147</f>
        <v>0</v>
      </c>
      <c r="BO147" s="481"/>
      <c r="BP147" s="481">
        <f>SUM(AZ147,BA147,BI147,BO147)</f>
        <v>132410300</v>
      </c>
      <c r="BQ147" s="481">
        <f>BP147-GR147</f>
        <v>132410300</v>
      </c>
      <c r="BR147" s="554"/>
      <c r="BS147" s="1012" t="s">
        <v>295</v>
      </c>
      <c r="BT147" s="484">
        <f>'[1]2019_メルキュール浜名湖　別紙1-1'!B8</f>
        <v>46281</v>
      </c>
      <c r="BU147" s="484">
        <f>'[1]2019_メルキュール浜名湖　別紙1-1'!G8</f>
        <v>46294</v>
      </c>
      <c r="BV147" s="666">
        <f>IFERROR(INDEX($BY$9:$DH$9, MATCH("準備", BY147:DK147, 0)), "")</f>
        <v>46281</v>
      </c>
      <c r="BW147" s="667" cm="1">
        <f t="array" ref="BW147">IF(COUNTIF(BY147:DK147,"*撤去*")=0,"",INDEX(BY$9:DK$9,1,MAX(IF(CC147:DK147="撤去",COLUMN(CC147:DK147)-COLUMN(BY147)+1))))</f>
        <v>46294</v>
      </c>
      <c r="BX147" s="663">
        <f>BW147-BV147</f>
        <v>13</v>
      </c>
      <c r="BY147" s="596">
        <v>0</v>
      </c>
      <c r="BZ147" s="597">
        <v>0</v>
      </c>
      <c r="CA147" s="597">
        <v>0</v>
      </c>
      <c r="CB147" s="597">
        <v>0</v>
      </c>
      <c r="CC147" s="750">
        <v>0</v>
      </c>
      <c r="CD147" s="274">
        <v>0</v>
      </c>
      <c r="CE147" s="274">
        <v>0</v>
      </c>
      <c r="CF147" s="274">
        <v>0</v>
      </c>
      <c r="CG147" s="272">
        <v>0</v>
      </c>
      <c r="CH147" s="272">
        <v>0</v>
      </c>
      <c r="CI147" s="272">
        <v>0</v>
      </c>
      <c r="CJ147" s="274">
        <v>0</v>
      </c>
      <c r="CK147" s="274">
        <v>0</v>
      </c>
      <c r="CL147" s="274">
        <v>0</v>
      </c>
      <c r="CM147" s="274">
        <v>0</v>
      </c>
      <c r="CN147" s="274">
        <v>0</v>
      </c>
      <c r="CO147" s="400" t="s">
        <v>177</v>
      </c>
      <c r="CP147" s="400" t="s">
        <v>177</v>
      </c>
      <c r="CQ147" s="274">
        <v>288</v>
      </c>
      <c r="CR147" s="275">
        <v>288</v>
      </c>
      <c r="CS147" s="750">
        <v>288</v>
      </c>
      <c r="CT147" s="274">
        <v>288</v>
      </c>
      <c r="CU147" s="274">
        <v>288</v>
      </c>
      <c r="CV147" s="274">
        <v>288</v>
      </c>
      <c r="CW147" s="274">
        <v>288</v>
      </c>
      <c r="CX147" s="274">
        <v>288</v>
      </c>
      <c r="CY147" s="274">
        <v>288</v>
      </c>
      <c r="CZ147" s="274">
        <v>288</v>
      </c>
      <c r="DA147" s="274">
        <v>0</v>
      </c>
      <c r="DB147" s="406" t="s">
        <v>178</v>
      </c>
      <c r="DC147" s="274">
        <v>0</v>
      </c>
      <c r="DD147" s="598">
        <v>0</v>
      </c>
      <c r="DE147" s="274">
        <v>0</v>
      </c>
      <c r="DF147" s="274">
        <v>0</v>
      </c>
      <c r="DG147" s="275">
        <v>0</v>
      </c>
      <c r="DH147" s="750">
        <v>0</v>
      </c>
      <c r="DI147" s="274">
        <v>0</v>
      </c>
      <c r="DJ147" s="274">
        <v>0</v>
      </c>
      <c r="DK147" s="276">
        <v>0</v>
      </c>
      <c r="DL147" s="1016"/>
      <c r="DM147" s="277" cm="1">
        <f t="array" ref="DM147">SUM(IF(ISNUMBER($BY147:$DK147),$BY147:$DK147, 0))</f>
        <v>2880</v>
      </c>
      <c r="DN147" s="277">
        <v>2880</v>
      </c>
      <c r="DO147" s="277">
        <f>DM147*(BX147)/(BX147+1)</f>
        <v>2674.2857142857142</v>
      </c>
      <c r="DP147" s="277"/>
      <c r="DQ147" s="386" t="s">
        <v>598</v>
      </c>
      <c r="DR147" s="1208" t="s">
        <v>170</v>
      </c>
      <c r="DS147" s="388">
        <v>108</v>
      </c>
      <c r="DT147" s="1288">
        <f>SUM(DS147,DS148)</f>
        <v>288</v>
      </c>
      <c r="DU147" s="467">
        <v>9102500</v>
      </c>
      <c r="DV147" s="467">
        <v>1251800</v>
      </c>
      <c r="DW147" s="478">
        <v>115016000</v>
      </c>
      <c r="DX147" s="478">
        <v>17394300</v>
      </c>
      <c r="DY147" s="478">
        <v>3484800</v>
      </c>
      <c r="DZ147" s="478">
        <v>49622284.799999997</v>
      </c>
      <c r="EA147" s="478">
        <v>31287168</v>
      </c>
      <c r="EB147" s="478">
        <v>2255299.1999999997</v>
      </c>
      <c r="EC147" s="480">
        <v>0</v>
      </c>
      <c r="ED147" s="480">
        <v>0</v>
      </c>
      <c r="EE147" s="480">
        <v>130000</v>
      </c>
      <c r="EF147" s="480">
        <v>0</v>
      </c>
      <c r="EG147" s="481"/>
      <c r="EH147" s="481">
        <v>132410300</v>
      </c>
      <c r="EI147" s="484"/>
      <c r="EJ147" s="484"/>
      <c r="EK147" s="666">
        <v>46281</v>
      </c>
      <c r="EL147" s="667">
        <v>46294</v>
      </c>
      <c r="EM147" s="663">
        <v>13</v>
      </c>
      <c r="EN147" s="1016"/>
      <c r="EO147" s="604"/>
      <c r="EP147" s="605"/>
      <c r="EQ147" s="878"/>
      <c r="ER147" s="952"/>
      <c r="ES147" s="952"/>
      <c r="ET147" s="952"/>
      <c r="EU147" s="952"/>
      <c r="EV147" s="608"/>
      <c r="EW147" s="609"/>
      <c r="EX147" s="610"/>
      <c r="EY147" s="442"/>
      <c r="EZ147" s="440"/>
      <c r="FA147" s="441"/>
      <c r="FB147" s="442"/>
      <c r="FC147" s="440"/>
      <c r="FD147" s="441"/>
      <c r="FE147" s="443"/>
      <c r="FF147" s="440"/>
      <c r="FG147" s="441"/>
      <c r="FH147" s="443"/>
      <c r="FI147" s="440"/>
      <c r="FJ147" s="444"/>
      <c r="FK147" s="289"/>
      <c r="FL147" s="1017"/>
      <c r="FM147" s="349"/>
      <c r="FN147" s="336"/>
      <c r="FO147" s="337"/>
      <c r="FP147" s="337"/>
      <c r="FQ147" s="337"/>
      <c r="FR147" s="337"/>
      <c r="FS147" s="337"/>
      <c r="FT147" s="337"/>
      <c r="FU147" s="337"/>
      <c r="FV147" s="339"/>
      <c r="FW147" s="337"/>
      <c r="FX147" s="339"/>
      <c r="FY147" s="337"/>
      <c r="FZ147" s="337"/>
      <c r="GA147" s="337"/>
      <c r="GB147" s="337"/>
      <c r="GC147" s="611"/>
      <c r="GD147" s="611"/>
      <c r="GE147" s="611"/>
      <c r="GF147" s="611"/>
      <c r="GG147" s="611"/>
      <c r="GH147" s="611"/>
      <c r="GI147" s="611"/>
      <c r="GJ147" s="611"/>
      <c r="GK147" s="611"/>
      <c r="GL147" s="611"/>
      <c r="GM147" s="611"/>
      <c r="GN147" s="611"/>
      <c r="GO147" s="611"/>
      <c r="GP147" s="611"/>
      <c r="GQ147" s="611"/>
      <c r="GR147" s="337"/>
      <c r="GS147" s="337"/>
      <c r="GT147" s="342"/>
      <c r="GU147" s="938"/>
      <c r="GV147" s="938"/>
      <c r="GW147" s="615"/>
      <c r="GX147" s="615"/>
      <c r="GY147" s="616"/>
      <c r="GZ147" s="596"/>
      <c r="HA147" s="597"/>
      <c r="HB147" s="597"/>
      <c r="HC147" s="597"/>
      <c r="HD147" s="750"/>
      <c r="HE147" s="274"/>
      <c r="HF147" s="274"/>
      <c r="HG147" s="274"/>
      <c r="HH147" s="272"/>
      <c r="HI147" s="272"/>
      <c r="HJ147" s="272"/>
      <c r="HK147" s="274"/>
      <c r="HL147" s="274"/>
      <c r="HM147" s="274"/>
      <c r="HN147" s="274"/>
      <c r="HO147" s="274"/>
      <c r="HP147" s="274"/>
      <c r="HQ147" s="274"/>
      <c r="HR147" s="274"/>
      <c r="HS147" s="275"/>
      <c r="HT147" s="750"/>
      <c r="HU147" s="274"/>
      <c r="HV147" s="274"/>
      <c r="HW147" s="274"/>
      <c r="HX147" s="274"/>
      <c r="HY147" s="274"/>
      <c r="HZ147" s="274"/>
      <c r="IA147" s="274"/>
      <c r="IB147" s="274"/>
      <c r="IC147" s="274"/>
      <c r="ID147" s="274"/>
      <c r="IE147" s="598"/>
      <c r="IF147" s="274"/>
      <c r="IG147" s="274"/>
      <c r="IH147" s="275"/>
      <c r="II147" s="750"/>
      <c r="IJ147" s="274"/>
      <c r="IK147" s="274"/>
      <c r="IL147" s="276"/>
      <c r="IM147" s="1016"/>
      <c r="IN147" s="1016"/>
      <c r="IO147" s="1047"/>
      <c r="IP147" s="1048"/>
      <c r="IQ147" s="541"/>
      <c r="IR147" s="542"/>
      <c r="IS147" s="543"/>
      <c r="IT147" s="543"/>
      <c r="IU147" s="543"/>
      <c r="IV147" s="543"/>
      <c r="IW147" s="543"/>
      <c r="IX147" s="544"/>
      <c r="IY147" s="544"/>
      <c r="IZ147" s="543"/>
      <c r="JA147" s="543"/>
      <c r="JB147" s="543"/>
      <c r="JC147" s="543"/>
      <c r="JD147" s="545"/>
      <c r="JE147" s="545"/>
      <c r="JF147" s="546"/>
      <c r="JG147" s="503"/>
      <c r="JH147" s="506"/>
      <c r="JO147" s="507"/>
      <c r="JP147" s="508"/>
      <c r="JQ147" s="508"/>
      <c r="JR147" s="508"/>
      <c r="JS147" s="508"/>
      <c r="JT147" s="508"/>
      <c r="JU147" s="508"/>
      <c r="JV147" s="508"/>
      <c r="JW147" s="508"/>
      <c r="JX147" s="508"/>
      <c r="JY147" s="508"/>
      <c r="JZ147" s="508"/>
      <c r="KA147" s="508"/>
      <c r="KB147" s="508"/>
      <c r="KC147" s="508"/>
      <c r="KD147" s="508"/>
      <c r="KE147" s="508"/>
      <c r="KF147" s="508"/>
      <c r="KG147" s="508"/>
      <c r="KH147" s="508"/>
      <c r="KI147" s="508"/>
      <c r="KJ147" s="508"/>
      <c r="KK147" s="508"/>
      <c r="KL147" s="508"/>
      <c r="KM147" s="508"/>
      <c r="KN147" s="508"/>
      <c r="KO147" s="508"/>
      <c r="KP147" s="508"/>
      <c r="KQ147" s="508"/>
      <c r="KR147" s="508"/>
      <c r="KS147" s="508"/>
      <c r="KT147" s="508"/>
      <c r="KU147" s="508"/>
      <c r="KV147" s="508"/>
      <c r="KW147" s="509"/>
      <c r="KX147" s="1016"/>
      <c r="KY147" s="1016"/>
    </row>
    <row r="148" spans="1:398" ht="40" customHeight="1">
      <c r="B148" s="299"/>
      <c r="C148" s="241"/>
      <c r="D148" s="242"/>
      <c r="E148" s="243"/>
      <c r="F148" s="1050"/>
      <c r="G148" s="246"/>
      <c r="H148" s="246"/>
      <c r="I148" s="246"/>
      <c r="J148" s="246"/>
      <c r="K148" s="246"/>
      <c r="L148" s="246"/>
      <c r="M148" s="300"/>
      <c r="N148" s="251"/>
      <c r="O148" s="251"/>
      <c r="P148" s="300"/>
      <c r="Q148" s="1051"/>
      <c r="R148" s="251"/>
      <c r="S148" s="251"/>
      <c r="T148" s="251"/>
      <c r="U148" s="301"/>
      <c r="V148" s="242"/>
      <c r="W148" s="242"/>
      <c r="X148" s="242"/>
      <c r="Y148" s="242"/>
      <c r="Z148" s="242"/>
      <c r="AA148" s="446"/>
      <c r="AB148" s="447"/>
      <c r="AC148" s="448"/>
      <c r="AD148" s="766"/>
      <c r="AE148" s="336"/>
      <c r="AF148" s="337"/>
      <c r="AG148" s="337"/>
      <c r="AH148" s="337"/>
      <c r="AI148" s="337"/>
      <c r="AJ148" s="337"/>
      <c r="AK148" s="337"/>
      <c r="AL148" s="337"/>
      <c r="AM148" s="337"/>
      <c r="AN148" s="337"/>
      <c r="AO148" s="337"/>
      <c r="AP148" s="337"/>
      <c r="AQ148" s="337"/>
      <c r="AR148" s="337"/>
      <c r="AS148" s="339"/>
      <c r="AT148" s="337"/>
      <c r="AU148" s="339"/>
      <c r="AV148" s="337"/>
      <c r="AW148" s="337"/>
      <c r="AX148" s="337"/>
      <c r="AY148" s="337"/>
      <c r="AZ148" s="611"/>
      <c r="BA148" s="611"/>
      <c r="BB148" s="611"/>
      <c r="BC148" s="611"/>
      <c r="BD148" s="611"/>
      <c r="BE148" s="611"/>
      <c r="BF148" s="611"/>
      <c r="BG148" s="611"/>
      <c r="BH148" s="611"/>
      <c r="BI148" s="611"/>
      <c r="BJ148" s="611"/>
      <c r="BK148" s="611"/>
      <c r="BL148" s="611"/>
      <c r="BM148" s="611"/>
      <c r="BN148" s="611"/>
      <c r="BO148" s="337"/>
      <c r="BP148" s="337"/>
      <c r="BQ148" s="337"/>
      <c r="BR148" s="340"/>
      <c r="BS148" s="342"/>
      <c r="BT148" s="938"/>
      <c r="BU148" s="938"/>
      <c r="BV148" s="615"/>
      <c r="BW148" s="615"/>
      <c r="BX148" s="616"/>
      <c r="BY148" s="360" t="s">
        <v>246</v>
      </c>
      <c r="BZ148" s="361" t="s">
        <v>247</v>
      </c>
      <c r="CA148" s="597"/>
      <c r="CB148" s="597"/>
      <c r="CC148" s="750"/>
      <c r="CD148" s="274"/>
      <c r="CE148" s="274"/>
      <c r="CF148" s="274"/>
      <c r="CG148" s="272"/>
      <c r="CH148" s="272"/>
      <c r="CI148" s="272"/>
      <c r="CJ148" s="274"/>
      <c r="CK148" s="274"/>
      <c r="CL148" s="274"/>
      <c r="CM148" s="274"/>
      <c r="CN148" s="274"/>
      <c r="CO148" s="363"/>
      <c r="CP148" s="363"/>
      <c r="CQ148" s="364"/>
      <c r="CR148" s="365"/>
      <c r="CS148" s="366"/>
      <c r="CT148" s="363"/>
      <c r="CU148" s="363"/>
      <c r="CV148" s="363"/>
      <c r="CW148" s="363"/>
      <c r="CX148" s="363"/>
      <c r="CY148" s="363"/>
      <c r="CZ148" s="363"/>
      <c r="DA148" s="363"/>
      <c r="DB148" s="363"/>
      <c r="DC148" s="274"/>
      <c r="DD148" s="272"/>
      <c r="DE148" s="274"/>
      <c r="DF148" s="274"/>
      <c r="DG148" s="275"/>
      <c r="DH148" s="750"/>
      <c r="DI148" s="274"/>
      <c r="DJ148" s="274"/>
      <c r="DK148" s="276"/>
      <c r="DL148" s="1016"/>
      <c r="DM148" s="1016"/>
      <c r="DN148" s="1016"/>
      <c r="DO148" s="1016"/>
      <c r="DP148" s="1016"/>
      <c r="DQ148" s="446" t="s">
        <v>599</v>
      </c>
      <c r="DR148" s="447" t="s">
        <v>170</v>
      </c>
      <c r="DS148" s="448">
        <v>180</v>
      </c>
      <c r="DT148" s="766"/>
      <c r="DU148" s="337"/>
      <c r="DV148" s="337"/>
      <c r="DW148" s="611"/>
      <c r="DX148" s="611"/>
      <c r="DY148" s="611"/>
      <c r="DZ148" s="611"/>
      <c r="EA148" s="611"/>
      <c r="EB148" s="611"/>
      <c r="EC148" s="611"/>
      <c r="ED148" s="611"/>
      <c r="EE148" s="611"/>
      <c r="EF148" s="611"/>
      <c r="EG148" s="337"/>
      <c r="EH148" s="337"/>
      <c r="EI148" s="938"/>
      <c r="EJ148" s="938"/>
      <c r="EK148" s="615"/>
      <c r="EL148" s="615"/>
      <c r="EM148" s="616"/>
      <c r="EN148" s="1016"/>
      <c r="EO148" s="604"/>
      <c r="EP148" s="605"/>
      <c r="EQ148" s="878"/>
      <c r="ER148" s="952"/>
      <c r="ES148" s="952"/>
      <c r="ET148" s="952"/>
      <c r="EU148" s="952"/>
      <c r="EV148" s="608"/>
      <c r="EW148" s="609"/>
      <c r="EX148" s="610"/>
      <c r="EY148" s="442"/>
      <c r="EZ148" s="440"/>
      <c r="FA148" s="441"/>
      <c r="FB148" s="442"/>
      <c r="FC148" s="440"/>
      <c r="FD148" s="441"/>
      <c r="FE148" s="443"/>
      <c r="FF148" s="440"/>
      <c r="FG148" s="441"/>
      <c r="FH148" s="443"/>
      <c r="FI148" s="440"/>
      <c r="FJ148" s="444"/>
      <c r="FK148" s="289"/>
      <c r="FL148" s="1017"/>
      <c r="FM148" s="349"/>
      <c r="FN148" s="336"/>
      <c r="FO148" s="337"/>
      <c r="FP148" s="337"/>
      <c r="FQ148" s="337"/>
      <c r="FR148" s="337"/>
      <c r="FS148" s="337"/>
      <c r="FT148" s="337"/>
      <c r="FU148" s="337"/>
      <c r="FV148" s="339"/>
      <c r="FW148" s="337"/>
      <c r="FX148" s="339"/>
      <c r="FY148" s="337"/>
      <c r="FZ148" s="337"/>
      <c r="GA148" s="337"/>
      <c r="GB148" s="337"/>
      <c r="GC148" s="611"/>
      <c r="GD148" s="611"/>
      <c r="GE148" s="611"/>
      <c r="GF148" s="611"/>
      <c r="GG148" s="611"/>
      <c r="GH148" s="611"/>
      <c r="GI148" s="611"/>
      <c r="GJ148" s="611"/>
      <c r="GK148" s="611"/>
      <c r="GL148" s="611"/>
      <c r="GM148" s="611"/>
      <c r="GN148" s="611"/>
      <c r="GO148" s="611"/>
      <c r="GP148" s="611"/>
      <c r="GQ148" s="611"/>
      <c r="GR148" s="337"/>
      <c r="GS148" s="337"/>
      <c r="GT148" s="342"/>
      <c r="GU148" s="938"/>
      <c r="GV148" s="938"/>
      <c r="GW148" s="615"/>
      <c r="GX148" s="615"/>
      <c r="GY148" s="616"/>
      <c r="GZ148" s="596"/>
      <c r="HA148" s="597"/>
      <c r="HB148" s="597"/>
      <c r="HC148" s="597"/>
      <c r="HD148" s="750"/>
      <c r="HE148" s="274"/>
      <c r="HF148" s="274"/>
      <c r="HG148" s="274"/>
      <c r="HH148" s="272"/>
      <c r="HI148" s="272"/>
      <c r="HJ148" s="272"/>
      <c r="HK148" s="274"/>
      <c r="HL148" s="274"/>
      <c r="HM148" s="274"/>
      <c r="HN148" s="274"/>
      <c r="HO148" s="274"/>
      <c r="HP148" s="274"/>
      <c r="HQ148" s="274"/>
      <c r="HR148" s="274"/>
      <c r="HS148" s="275"/>
      <c r="HT148" s="750"/>
      <c r="HU148" s="274"/>
      <c r="HV148" s="274"/>
      <c r="HW148" s="274"/>
      <c r="HX148" s="274"/>
      <c r="HY148" s="274"/>
      <c r="HZ148" s="274"/>
      <c r="IA148" s="274"/>
      <c r="IB148" s="274"/>
      <c r="IC148" s="274"/>
      <c r="ID148" s="274"/>
      <c r="IE148" s="272"/>
      <c r="IF148" s="274"/>
      <c r="IG148" s="274"/>
      <c r="IH148" s="275"/>
      <c r="II148" s="750"/>
      <c r="IJ148" s="274"/>
      <c r="IK148" s="274"/>
      <c r="IL148" s="276"/>
      <c r="IM148" s="1016"/>
      <c r="IN148" s="1016"/>
      <c r="IO148" s="1047"/>
      <c r="IP148" s="1048"/>
      <c r="IQ148" s="541"/>
      <c r="IR148" s="542"/>
      <c r="IS148" s="543"/>
      <c r="IT148" s="543"/>
      <c r="IU148" s="543"/>
      <c r="IV148" s="543"/>
      <c r="IW148" s="543"/>
      <c r="IX148" s="544"/>
      <c r="IY148" s="544"/>
      <c r="IZ148" s="543"/>
      <c r="JA148" s="543"/>
      <c r="JB148" s="543"/>
      <c r="JC148" s="543"/>
      <c r="JD148" s="545"/>
      <c r="JE148" s="545"/>
      <c r="JF148" s="546"/>
      <c r="JG148" s="503"/>
      <c r="JH148" s="506"/>
      <c r="JO148" s="507"/>
      <c r="JP148" s="508"/>
      <c r="JQ148" s="508"/>
      <c r="JR148" s="508"/>
      <c r="JS148" s="508"/>
      <c r="JT148" s="508"/>
      <c r="JU148" s="508"/>
      <c r="JV148" s="508"/>
      <c r="JW148" s="508"/>
      <c r="JX148" s="508"/>
      <c r="JY148" s="508"/>
      <c r="JZ148" s="508"/>
      <c r="KA148" s="508"/>
      <c r="KB148" s="508"/>
      <c r="KC148" s="508"/>
      <c r="KD148" s="508"/>
      <c r="KE148" s="508"/>
      <c r="KF148" s="508"/>
      <c r="KG148" s="508"/>
      <c r="KH148" s="508"/>
      <c r="KI148" s="508"/>
      <c r="KJ148" s="508"/>
      <c r="KK148" s="508"/>
      <c r="KL148" s="508"/>
      <c r="KM148" s="508"/>
      <c r="KN148" s="508"/>
      <c r="KO148" s="508"/>
      <c r="KP148" s="508"/>
      <c r="KQ148" s="508"/>
      <c r="KR148" s="508"/>
      <c r="KS148" s="508"/>
      <c r="KT148" s="508"/>
      <c r="KU148" s="508"/>
      <c r="KV148" s="508"/>
      <c r="KW148" s="509"/>
      <c r="KX148" s="1016"/>
      <c r="KY148" s="1016"/>
    </row>
    <row r="149" spans="1:398" s="1044" customFormat="1" ht="40" customHeight="1">
      <c r="A149" s="1"/>
      <c r="B149" s="299"/>
      <c r="C149" s="1205" t="s">
        <v>600</v>
      </c>
      <c r="D149" s="378">
        <v>41</v>
      </c>
      <c r="E149" s="379">
        <v>2008</v>
      </c>
      <c r="F149" s="460" t="s">
        <v>601</v>
      </c>
      <c r="G149" s="381">
        <v>241</v>
      </c>
      <c r="H149" s="381">
        <v>456</v>
      </c>
      <c r="I149" s="381">
        <v>84</v>
      </c>
      <c r="J149" s="381">
        <v>160</v>
      </c>
      <c r="K149" s="245" t="s">
        <v>602</v>
      </c>
      <c r="L149" s="381">
        <v>144</v>
      </c>
      <c r="M149" s="383">
        <v>20</v>
      </c>
      <c r="N149" s="384" t="s">
        <v>305</v>
      </c>
      <c r="O149" s="384" t="s">
        <v>168</v>
      </c>
      <c r="P149" s="383">
        <v>170</v>
      </c>
      <c r="Q149" s="384" t="s">
        <v>170</v>
      </c>
      <c r="R149" s="384" t="s">
        <v>170</v>
      </c>
      <c r="S149" s="384" t="s">
        <v>170</v>
      </c>
      <c r="T149" s="384" t="s">
        <v>603</v>
      </c>
      <c r="U149" s="385" t="s">
        <v>169</v>
      </c>
      <c r="V149" s="378" t="s">
        <v>320</v>
      </c>
      <c r="W149" s="378"/>
      <c r="X149" s="462" t="s">
        <v>292</v>
      </c>
      <c r="Y149" s="462" t="s">
        <v>292</v>
      </c>
      <c r="Z149" s="378"/>
      <c r="AA149" s="386" t="s">
        <v>604</v>
      </c>
      <c r="AB149" s="1208" t="s">
        <v>605</v>
      </c>
      <c r="AC149" s="388">
        <v>144</v>
      </c>
      <c r="AD149" s="955">
        <f>SUM(AC149,AC150)</f>
        <v>144</v>
      </c>
      <c r="AE149" s="257" t="s">
        <v>175</v>
      </c>
      <c r="AF149" s="550" t="s">
        <v>296</v>
      </c>
      <c r="AG149" s="467">
        <f>FP149</f>
        <v>3048320.0000000005</v>
      </c>
      <c r="AH149" s="468">
        <f>FQ149</f>
        <v>2860</v>
      </c>
      <c r="AI149" s="468">
        <f>FR149</f>
        <v>1240</v>
      </c>
      <c r="AJ149" s="469">
        <v>0.98599999999999999</v>
      </c>
      <c r="AK149" s="468">
        <f>22000*1.1</f>
        <v>24200.000000000004</v>
      </c>
      <c r="AL149" s="469">
        <f>AM149/AT149</f>
        <v>0.66685912240184753</v>
      </c>
      <c r="AM149" s="468">
        <f>22000*1.1</f>
        <v>24200.000000000004</v>
      </c>
      <c r="AN149" s="626" t="s">
        <v>297</v>
      </c>
      <c r="AO149" s="468">
        <f>2000*1.1</f>
        <v>2200</v>
      </c>
      <c r="AP149" s="467">
        <f t="shared" ref="AP149:AQ149" si="22">FS149</f>
        <v>84</v>
      </c>
      <c r="AQ149" s="467">
        <f t="shared" si="22"/>
        <v>160</v>
      </c>
      <c r="AR149" s="474">
        <f>DM149/(BX149-2)</f>
        <v>137.14285714285714</v>
      </c>
      <c r="AS149" s="475">
        <f>AG149/AR149</f>
        <v>22227.333333333336</v>
      </c>
      <c r="AT149" s="476">
        <f>AG149/AP149</f>
        <v>36289.523809523816</v>
      </c>
      <c r="AU149" s="475">
        <f>AG149/AQ149</f>
        <v>19052.000000000004</v>
      </c>
      <c r="AV149" s="477">
        <v>26000</v>
      </c>
      <c r="AW149" s="477">
        <v>48000</v>
      </c>
      <c r="AX149" s="467">
        <f>GA149</f>
        <v>4953740</v>
      </c>
      <c r="AY149" s="467">
        <f>GB149</f>
        <v>5</v>
      </c>
      <c r="AZ149" s="478">
        <f>GC149</f>
        <v>68738560</v>
      </c>
      <c r="BA149" s="478">
        <f>GD149</f>
        <v>121477950.00000001</v>
      </c>
      <c r="BB149" s="478"/>
      <c r="BC149" s="478">
        <f>AH149*DM149</f>
        <v>8236800</v>
      </c>
      <c r="BD149" s="479">
        <v>30589680.000000004</v>
      </c>
      <c r="BE149" s="479"/>
      <c r="BF149" s="479">
        <v>26949120.000000004</v>
      </c>
      <c r="BG149" s="479">
        <v>26949120.000000004</v>
      </c>
      <c r="BH149" s="479">
        <v>2032800.0000000002</v>
      </c>
      <c r="BI149" s="480">
        <f>500*DM149</f>
        <v>1440000</v>
      </c>
      <c r="BJ149" s="480">
        <f>GK149</f>
        <v>0</v>
      </c>
      <c r="BK149" s="480">
        <f>BM149*5000*BX149</f>
        <v>575000</v>
      </c>
      <c r="BL149" s="480">
        <f>1800000*BN149*BX149</f>
        <v>165600000</v>
      </c>
      <c r="BM149" s="480">
        <f>GP149</f>
        <v>5</v>
      </c>
      <c r="BN149" s="480">
        <f>GQ149</f>
        <v>4</v>
      </c>
      <c r="BO149" s="481">
        <f>AX149</f>
        <v>4953740</v>
      </c>
      <c r="BP149" s="481">
        <f>SUM(AZ149,BA149,BI149,BO149)</f>
        <v>196610250</v>
      </c>
      <c r="BQ149" s="481">
        <f>BP149-GR149</f>
        <v>4881740</v>
      </c>
      <c r="BR149" s="594"/>
      <c r="BS149" s="1299" t="s">
        <v>175</v>
      </c>
      <c r="BT149" s="484">
        <f>GU149</f>
        <v>46274</v>
      </c>
      <c r="BU149" s="484">
        <f>GV149</f>
        <v>46297</v>
      </c>
      <c r="BV149" s="666">
        <f>IFERROR(INDEX($BY$9:$DH$9, MATCH("準備", BY149:DK149, 0)), "")</f>
        <v>46274</v>
      </c>
      <c r="BW149" s="667" cm="1">
        <f t="array" ref="BW149">IF(COUNTIF(BY149:DK149,"*撤去*")=0,"",INDEX(BY$9:DK$9,1,MAX(IF(CC149:DK149="撤去",COLUMN(CC149:DK149)-COLUMN(BY149)+1))))</f>
        <v>46297</v>
      </c>
      <c r="BX149" s="663">
        <f>BW149-BV149</f>
        <v>23</v>
      </c>
      <c r="BY149" s="556">
        <v>0</v>
      </c>
      <c r="BZ149" s="557">
        <v>0</v>
      </c>
      <c r="CA149" s="557">
        <v>0</v>
      </c>
      <c r="CB149" s="557">
        <v>0</v>
      </c>
      <c r="CC149" s="405">
        <v>0</v>
      </c>
      <c r="CD149" s="403">
        <v>0</v>
      </c>
      <c r="CE149" s="403">
        <v>0</v>
      </c>
      <c r="CF149" s="403">
        <v>0</v>
      </c>
      <c r="CG149" s="403">
        <v>0</v>
      </c>
      <c r="CH149" s="400" t="s">
        <v>177</v>
      </c>
      <c r="CI149" s="400" t="s">
        <v>177</v>
      </c>
      <c r="CJ149" s="403">
        <v>144</v>
      </c>
      <c r="CK149" s="403">
        <v>144</v>
      </c>
      <c r="CL149" s="403">
        <v>144</v>
      </c>
      <c r="CM149" s="403">
        <v>144</v>
      </c>
      <c r="CN149" s="403">
        <v>144</v>
      </c>
      <c r="CO149" s="403">
        <v>144</v>
      </c>
      <c r="CP149" s="403">
        <v>144</v>
      </c>
      <c r="CQ149" s="403">
        <v>144</v>
      </c>
      <c r="CR149" s="404">
        <v>144</v>
      </c>
      <c r="CS149" s="405">
        <v>144</v>
      </c>
      <c r="CT149" s="403">
        <v>144</v>
      </c>
      <c r="CU149" s="403">
        <v>144</v>
      </c>
      <c r="CV149" s="403">
        <v>144</v>
      </c>
      <c r="CW149" s="403">
        <v>144</v>
      </c>
      <c r="CX149" s="403">
        <v>144</v>
      </c>
      <c r="CY149" s="403">
        <v>144</v>
      </c>
      <c r="CZ149" s="403">
        <v>144</v>
      </c>
      <c r="DA149" s="403">
        <v>144</v>
      </c>
      <c r="DB149" s="403">
        <v>144</v>
      </c>
      <c r="DC149" s="403">
        <v>144</v>
      </c>
      <c r="DD149" s="598">
        <v>0</v>
      </c>
      <c r="DE149" s="406" t="s">
        <v>178</v>
      </c>
      <c r="DF149" s="403">
        <v>0</v>
      </c>
      <c r="DG149" s="404">
        <v>0</v>
      </c>
      <c r="DH149" s="405">
        <v>0</v>
      </c>
      <c r="DI149" s="403">
        <v>0</v>
      </c>
      <c r="DJ149" s="403">
        <v>0</v>
      </c>
      <c r="DK149" s="407">
        <v>0</v>
      </c>
      <c r="DL149" s="277"/>
      <c r="DM149" s="277" cm="1">
        <f t="array" ref="DM149">SUM(IF(ISNUMBER($BY149:$DK149),$BY149:$DK149, 0))</f>
        <v>2880</v>
      </c>
      <c r="DN149" s="277">
        <v>2880</v>
      </c>
      <c r="DO149" s="277">
        <f>DM149*(BX149)/(BX149+1)</f>
        <v>2760</v>
      </c>
      <c r="DP149" s="277"/>
      <c r="DQ149" s="386" t="s">
        <v>604</v>
      </c>
      <c r="DR149" s="1208" t="s">
        <v>605</v>
      </c>
      <c r="DS149" s="388">
        <v>144</v>
      </c>
      <c r="DT149" s="955">
        <f>SUM(DS149,DS150)</f>
        <v>144</v>
      </c>
      <c r="DU149" s="467">
        <v>3048320.0000000005</v>
      </c>
      <c r="DV149" s="467">
        <v>4953740</v>
      </c>
      <c r="DW149" s="478">
        <v>68738560</v>
      </c>
      <c r="DX149" s="478">
        <v>121477950.00000001</v>
      </c>
      <c r="DY149" s="478">
        <v>3749760</v>
      </c>
      <c r="DZ149" s="478">
        <v>43908480.000000007</v>
      </c>
      <c r="EA149" s="478">
        <v>29272320.000000007</v>
      </c>
      <c r="EB149" s="478">
        <v>1995840</v>
      </c>
      <c r="EC149" s="480">
        <v>1512000</v>
      </c>
      <c r="ED149" s="480">
        <v>0</v>
      </c>
      <c r="EE149" s="480">
        <v>575000</v>
      </c>
      <c r="EF149" s="480">
        <v>165600000</v>
      </c>
      <c r="EG149" s="481">
        <v>4953740</v>
      </c>
      <c r="EH149" s="481">
        <v>196682250</v>
      </c>
      <c r="EI149" s="484">
        <v>46274</v>
      </c>
      <c r="EJ149" s="484">
        <v>46297</v>
      </c>
      <c r="EK149" s="666">
        <v>46274</v>
      </c>
      <c r="EL149" s="667">
        <v>46297</v>
      </c>
      <c r="EM149" s="663">
        <v>23</v>
      </c>
      <c r="EN149" s="277"/>
      <c r="EO149" s="386" t="s">
        <v>604</v>
      </c>
      <c r="EP149" s="408" t="s">
        <v>605</v>
      </c>
      <c r="EQ149" s="409">
        <v>144</v>
      </c>
      <c r="ER149" s="957">
        <v>144</v>
      </c>
      <c r="ES149" s="245">
        <v>132</v>
      </c>
      <c r="ET149" s="245">
        <v>132</v>
      </c>
      <c r="EU149" s="245">
        <v>116</v>
      </c>
      <c r="EV149" s="411" t="s">
        <v>606</v>
      </c>
      <c r="EW149" s="412">
        <v>13.6</v>
      </c>
      <c r="EX149" s="413">
        <v>27</v>
      </c>
      <c r="EY149" s="414" t="s">
        <v>607</v>
      </c>
      <c r="EZ149" s="492">
        <v>5.8</v>
      </c>
      <c r="FA149" s="493">
        <v>14</v>
      </c>
      <c r="FB149" s="414" t="s">
        <v>608</v>
      </c>
      <c r="FC149" s="492">
        <v>47.6</v>
      </c>
      <c r="FD149" s="493">
        <v>48</v>
      </c>
      <c r="FE149" s="494" t="s">
        <v>189</v>
      </c>
      <c r="FF149" s="285"/>
      <c r="FG149" s="286"/>
      <c r="FH149" s="494" t="s">
        <v>189</v>
      </c>
      <c r="FI149" s="492"/>
      <c r="FJ149" s="495"/>
      <c r="FK149" s="289">
        <v>324</v>
      </c>
      <c r="FL149" s="1042">
        <v>0.71052631578947367</v>
      </c>
      <c r="FM149" s="498" t="s">
        <v>609</v>
      </c>
      <c r="FN149" s="561" t="s">
        <v>300</v>
      </c>
      <c r="FO149" s="550" t="s">
        <v>296</v>
      </c>
      <c r="FP149" s="562">
        <v>3048320.0000000005</v>
      </c>
      <c r="FQ149" s="563">
        <v>2860</v>
      </c>
      <c r="FR149" s="468">
        <v>1240</v>
      </c>
      <c r="FS149" s="562">
        <v>84</v>
      </c>
      <c r="FT149" s="965">
        <v>160</v>
      </c>
      <c r="FU149" s="261">
        <v>144</v>
      </c>
      <c r="FV149" s="394">
        <v>21168.888888888891</v>
      </c>
      <c r="FW149" s="390">
        <v>36289.523809523816</v>
      </c>
      <c r="FX149" s="394">
        <v>19052.000000000004</v>
      </c>
      <c r="FY149" s="395">
        <v>49412</v>
      </c>
      <c r="FZ149" s="395">
        <v>52942</v>
      </c>
      <c r="GA149" s="562">
        <v>4953740</v>
      </c>
      <c r="GB149" s="562">
        <v>5</v>
      </c>
      <c r="GC149" s="565">
        <v>68738560</v>
      </c>
      <c r="GD149" s="565">
        <v>121477950.00000001</v>
      </c>
      <c r="GE149" s="565">
        <v>68738560</v>
      </c>
      <c r="GF149" s="565">
        <v>116524210.00000001</v>
      </c>
      <c r="GG149" s="478">
        <v>0</v>
      </c>
      <c r="GH149" s="478">
        <v>-4953740</v>
      </c>
      <c r="GI149" s="478">
        <v>2249856</v>
      </c>
      <c r="GJ149" s="565">
        <v>1512000</v>
      </c>
      <c r="GK149" s="566"/>
      <c r="GL149" s="566"/>
      <c r="GM149" s="480">
        <v>0</v>
      </c>
      <c r="GN149" s="480">
        <v>350000</v>
      </c>
      <c r="GO149" s="480">
        <v>165600000</v>
      </c>
      <c r="GP149" s="566">
        <v>5</v>
      </c>
      <c r="GQ149" s="566">
        <v>4</v>
      </c>
      <c r="GR149" s="966">
        <v>191728510</v>
      </c>
      <c r="GS149" s="1019">
        <v>-14725326.000000015</v>
      </c>
      <c r="GT149" s="1012" t="s">
        <v>175</v>
      </c>
      <c r="GU149" s="1020">
        <v>46274</v>
      </c>
      <c r="GV149" s="1020">
        <v>46297</v>
      </c>
      <c r="GW149" s="666">
        <v>46273</v>
      </c>
      <c r="GX149" s="667">
        <v>46296</v>
      </c>
      <c r="GY149" s="663">
        <v>23</v>
      </c>
      <c r="GZ149" s="556"/>
      <c r="HA149" s="557"/>
      <c r="HB149" s="557"/>
      <c r="HC149" s="557"/>
      <c r="HD149" s="405">
        <v>0</v>
      </c>
      <c r="HE149" s="403">
        <v>0</v>
      </c>
      <c r="HF149" s="403">
        <v>0</v>
      </c>
      <c r="HG149" s="403">
        <v>0</v>
      </c>
      <c r="HH149" s="400" t="s">
        <v>177</v>
      </c>
      <c r="HI149" s="400" t="s">
        <v>177</v>
      </c>
      <c r="HJ149" s="664">
        <v>144</v>
      </c>
      <c r="HK149" s="403">
        <v>144</v>
      </c>
      <c r="HL149" s="403">
        <v>144</v>
      </c>
      <c r="HM149" s="403">
        <v>144</v>
      </c>
      <c r="HN149" s="403">
        <v>144</v>
      </c>
      <c r="HO149" s="403">
        <v>144</v>
      </c>
      <c r="HP149" s="403">
        <v>144</v>
      </c>
      <c r="HQ149" s="403">
        <v>144</v>
      </c>
      <c r="HR149" s="403">
        <v>144</v>
      </c>
      <c r="HS149" s="404">
        <v>144</v>
      </c>
      <c r="HT149" s="405">
        <v>144</v>
      </c>
      <c r="HU149" s="403">
        <v>144</v>
      </c>
      <c r="HV149" s="403">
        <v>144</v>
      </c>
      <c r="HW149" s="403">
        <v>144</v>
      </c>
      <c r="HX149" s="403">
        <v>144</v>
      </c>
      <c r="HY149" s="403">
        <v>144</v>
      </c>
      <c r="HZ149" s="403">
        <v>144</v>
      </c>
      <c r="IA149" s="403">
        <v>144</v>
      </c>
      <c r="IB149" s="403">
        <v>144</v>
      </c>
      <c r="IC149" s="403">
        <v>144</v>
      </c>
      <c r="ID149" s="403">
        <v>144</v>
      </c>
      <c r="IE149" s="406" t="s">
        <v>178</v>
      </c>
      <c r="IF149" s="403">
        <v>0</v>
      </c>
      <c r="IG149" s="403">
        <v>0</v>
      </c>
      <c r="IH149" s="404">
        <v>0</v>
      </c>
      <c r="II149" s="405">
        <v>0</v>
      </c>
      <c r="IJ149" s="403">
        <v>0</v>
      </c>
      <c r="IK149" s="403">
        <v>0</v>
      </c>
      <c r="IL149" s="407">
        <v>0</v>
      </c>
      <c r="IM149" s="277"/>
      <c r="IN149" s="277" cm="1">
        <f t="array" ref="IN149">SUM(IF(ISNUMBER($HD149:$IL149),$HD149:$IL149, 0))</f>
        <v>3024</v>
      </c>
      <c r="IO149" s="426"/>
      <c r="IP149" s="427"/>
      <c r="IQ149" s="541"/>
      <c r="IR149" s="569">
        <f>VLOOKUP($E149,[1]アジアResults1031!$A$1:$CH$259,23,FALSE)</f>
        <v>4503576</v>
      </c>
      <c r="IS149" s="570">
        <f>VLOOKUP($E149,[1]アジアResults1031!$A$1:$CH$259,32,FALSE)</f>
        <v>80</v>
      </c>
      <c r="IT149" s="570">
        <f>KY149/(GY149-2)</f>
        <v>110.47619047619048</v>
      </c>
      <c r="IU149" s="570">
        <f>IR149/IT149</f>
        <v>40765.127586206894</v>
      </c>
      <c r="IV149" s="570">
        <f>VLOOKUP(E149,[1]アジアResults1031!$A$1:$CH$264,26,FALSE)</f>
        <v>49412</v>
      </c>
      <c r="IW149" s="570">
        <f>VLOOKUP(E149,[1]アジアResults1031!$A$1:$CH$264,27,FALSE)</f>
        <v>52942</v>
      </c>
      <c r="IX149" s="571">
        <f>VLOOKUP($E149,[1]アジアResults1031!$A$1:$CH$259,18,FALSE)</f>
        <v>3473296</v>
      </c>
      <c r="IY149" s="571">
        <f>VLOOKUP($E149,[1]アジアResults1031!$A$1:$CH$259,9,FALSE)</f>
        <v>3</v>
      </c>
      <c r="IZ149" s="570">
        <f>IR149*JF149</f>
        <v>99078672</v>
      </c>
      <c r="JA149" s="570">
        <f>IX149*JF149</f>
        <v>76412512</v>
      </c>
      <c r="JB149" s="570"/>
      <c r="JC149" s="570"/>
      <c r="JD149" s="572">
        <f>IFERROR(INDEX($JO$9:$KW$9, MATCH("準備", JO149:KW149, 0)), "")</f>
        <v>46274</v>
      </c>
      <c r="JE149" s="572" cm="1">
        <f t="array" ref="JE149">IF(COUNTIF(JO149:KW149,"*撤去*")=0,"",INDEX(JO$9:KW$9,1,MAX(IF(JO149:KW149="撤去",COLUMN(JO149:KW149)-COLUMN(JO149)+1))))</f>
        <v>46296</v>
      </c>
      <c r="JF149" s="573">
        <f>JE149-JD149</f>
        <v>22</v>
      </c>
      <c r="JG149" s="503">
        <v>4503576</v>
      </c>
      <c r="JH149" s="506">
        <v>3473296</v>
      </c>
      <c r="JI149" s="1"/>
      <c r="JJ149" s="1"/>
      <c r="JK149" s="1"/>
      <c r="JL149" s="1"/>
      <c r="JM149" s="1"/>
      <c r="JN149" s="1"/>
      <c r="JO149" s="507"/>
      <c r="JP149" s="508"/>
      <c r="JQ149" s="508"/>
      <c r="JR149" s="508"/>
      <c r="JS149" s="577"/>
      <c r="JT149" s="400" t="s">
        <v>177</v>
      </c>
      <c r="JU149" s="400" t="s">
        <v>177</v>
      </c>
      <c r="JV149" s="577">
        <v>116</v>
      </c>
      <c r="JW149" s="577">
        <v>116</v>
      </c>
      <c r="JX149" s="577">
        <v>116</v>
      </c>
      <c r="JY149" s="577">
        <v>116</v>
      </c>
      <c r="JZ149" s="577">
        <v>116</v>
      </c>
      <c r="KA149" s="577">
        <v>116</v>
      </c>
      <c r="KB149" s="577">
        <v>116</v>
      </c>
      <c r="KC149" s="577">
        <v>116</v>
      </c>
      <c r="KD149" s="577">
        <v>116</v>
      </c>
      <c r="KE149" s="577">
        <v>116</v>
      </c>
      <c r="KF149" s="577">
        <v>116</v>
      </c>
      <c r="KG149" s="577">
        <v>116</v>
      </c>
      <c r="KH149" s="577">
        <v>116</v>
      </c>
      <c r="KI149" s="577">
        <v>116</v>
      </c>
      <c r="KJ149" s="577">
        <v>116</v>
      </c>
      <c r="KK149" s="577">
        <v>116</v>
      </c>
      <c r="KL149" s="577">
        <v>116</v>
      </c>
      <c r="KM149" s="577">
        <v>116</v>
      </c>
      <c r="KN149" s="577">
        <v>116</v>
      </c>
      <c r="KO149" s="577">
        <v>116</v>
      </c>
      <c r="KP149" s="406" t="s">
        <v>178</v>
      </c>
      <c r="KQ149" s="577"/>
      <c r="KR149" s="577"/>
      <c r="KS149" s="577"/>
      <c r="KT149" s="577"/>
      <c r="KU149" s="577"/>
      <c r="KV149" s="577"/>
      <c r="KW149" s="578"/>
      <c r="KX149" s="277"/>
      <c r="KY149" s="277" cm="1">
        <f t="array" ref="KY149">SUM(IF(ISNUMBER($JO149:$KW149),$JO149:$KW149, 0))</f>
        <v>2320</v>
      </c>
      <c r="KZ149" s="1"/>
      <c r="LA149" s="1"/>
      <c r="LB149" s="1"/>
      <c r="LC149" s="1"/>
      <c r="LD149" s="1"/>
      <c r="LE149" s="1"/>
      <c r="LF149" s="1"/>
      <c r="LG149" s="1"/>
      <c r="LH149" s="1"/>
      <c r="LI149" s="1"/>
      <c r="LJ149" s="1"/>
      <c r="LK149" s="1"/>
      <c r="LL149" s="1"/>
      <c r="LM149" s="1"/>
      <c r="LN149" s="1"/>
      <c r="LO149" s="1"/>
      <c r="LP149" s="1"/>
      <c r="LQ149" s="1"/>
      <c r="LR149" s="1"/>
      <c r="LS149" s="1"/>
      <c r="LT149" s="1"/>
      <c r="LU149" s="1"/>
      <c r="LV149" s="1"/>
      <c r="LW149" s="1"/>
      <c r="LX149" s="1"/>
      <c r="LY149" s="1"/>
      <c r="LZ149" s="1"/>
      <c r="MA149" s="1"/>
      <c r="MB149" s="1"/>
      <c r="MC149" s="1"/>
      <c r="MD149" s="1"/>
      <c r="ME149" s="1"/>
      <c r="MF149" s="1"/>
      <c r="MG149" s="1"/>
      <c r="MH149" s="1"/>
      <c r="MI149" s="1"/>
      <c r="MJ149" s="1"/>
      <c r="MK149" s="1"/>
      <c r="ML149" s="1"/>
      <c r="MM149" s="1"/>
      <c r="MN149" s="1"/>
      <c r="MO149" s="1"/>
      <c r="MP149" s="1"/>
      <c r="MQ149" s="1"/>
      <c r="MR149" s="1"/>
      <c r="MS149" s="1"/>
      <c r="MT149" s="1"/>
      <c r="MU149" s="1"/>
      <c r="MV149" s="1"/>
      <c r="MW149" s="1"/>
      <c r="MX149" s="1"/>
      <c r="MY149" s="1"/>
      <c r="MZ149" s="1"/>
      <c r="NA149" s="1"/>
      <c r="NB149" s="1"/>
      <c r="NC149" s="1"/>
      <c r="ND149" s="1"/>
      <c r="NE149" s="1"/>
      <c r="NF149" s="1"/>
      <c r="NG149" s="1"/>
      <c r="NH149" s="1"/>
      <c r="NI149" s="1"/>
      <c r="NJ149" s="1"/>
      <c r="NK149" s="1"/>
      <c r="NL149" s="1"/>
      <c r="NM149" s="1"/>
      <c r="NN149" s="1"/>
      <c r="NO149" s="1"/>
      <c r="NP149" s="1"/>
      <c r="NQ149" s="1"/>
      <c r="NR149" s="1"/>
      <c r="NS149" s="1"/>
      <c r="NT149" s="1"/>
      <c r="NU149" s="1"/>
      <c r="NV149" s="1"/>
      <c r="NW149" s="1"/>
      <c r="NX149" s="1"/>
      <c r="NY149" s="1"/>
      <c r="NZ149" s="1"/>
      <c r="OA149" s="1"/>
      <c r="OB149" s="1"/>
      <c r="OC149" s="1"/>
      <c r="OD149" s="1"/>
      <c r="OE149" s="1"/>
      <c r="OF149" s="1"/>
      <c r="OG149" s="1"/>
      <c r="OH149" s="1"/>
    </row>
    <row r="150" spans="1:398" s="547" customFormat="1" ht="40" customHeight="1" thickBot="1">
      <c r="A150" s="1"/>
      <c r="B150" s="299"/>
      <c r="C150" s="1209"/>
      <c r="D150" s="445"/>
      <c r="E150" s="510" t="s">
        <v>165</v>
      </c>
      <c r="F150" s="511"/>
      <c r="G150" s="512">
        <v>0</v>
      </c>
      <c r="H150" s="512">
        <v>0</v>
      </c>
      <c r="I150" s="512">
        <v>0</v>
      </c>
      <c r="J150" s="512">
        <v>0</v>
      </c>
      <c r="K150" s="512"/>
      <c r="L150" s="512">
        <v>0</v>
      </c>
      <c r="M150" s="513">
        <v>0</v>
      </c>
      <c r="N150" s="514">
        <v>0</v>
      </c>
      <c r="O150" s="514">
        <v>0</v>
      </c>
      <c r="P150" s="513">
        <v>0</v>
      </c>
      <c r="Q150" s="514">
        <v>0</v>
      </c>
      <c r="R150" s="514">
        <v>0</v>
      </c>
      <c r="S150" s="514">
        <v>0</v>
      </c>
      <c r="T150" s="514">
        <v>0</v>
      </c>
      <c r="U150" s="515" t="s">
        <v>165</v>
      </c>
      <c r="V150" s="445"/>
      <c r="W150" s="445"/>
      <c r="X150" s="445"/>
      <c r="Y150" s="445"/>
      <c r="Z150" s="445"/>
      <c r="AA150" s="763"/>
      <c r="AB150" s="764" t="s">
        <v>170</v>
      </c>
      <c r="AC150" s="765">
        <v>0</v>
      </c>
      <c r="AD150" s="969"/>
      <c r="AE150" s="655"/>
      <c r="AF150" s="656"/>
      <c r="AG150" s="656"/>
      <c r="AH150" s="656"/>
      <c r="AI150" s="656"/>
      <c r="AJ150" s="656"/>
      <c r="AK150" s="656"/>
      <c r="AL150" s="656"/>
      <c r="AM150" s="656"/>
      <c r="AN150" s="656"/>
      <c r="AO150" s="656"/>
      <c r="AP150" s="656"/>
      <c r="AQ150" s="656"/>
      <c r="AR150" s="656"/>
      <c r="AS150" s="767"/>
      <c r="AT150" s="656"/>
      <c r="AU150" s="767"/>
      <c r="AV150" s="656"/>
      <c r="AW150" s="656"/>
      <c r="AX150" s="656"/>
      <c r="AY150" s="656"/>
      <c r="AZ150" s="768"/>
      <c r="BA150" s="768"/>
      <c r="BB150" s="768"/>
      <c r="BC150" s="768"/>
      <c r="BD150" s="768"/>
      <c r="BE150" s="768"/>
      <c r="BF150" s="768"/>
      <c r="BG150" s="768"/>
      <c r="BH150" s="768"/>
      <c r="BI150" s="768"/>
      <c r="BJ150" s="768"/>
      <c r="BK150" s="768"/>
      <c r="BL150" s="768"/>
      <c r="BM150" s="768"/>
      <c r="BN150" s="768"/>
      <c r="BO150" s="656"/>
      <c r="BP150" s="656"/>
      <c r="BQ150" s="656"/>
      <c r="BR150" s="940"/>
      <c r="BS150" s="941"/>
      <c r="BT150" s="942"/>
      <c r="BU150" s="942"/>
      <c r="BV150" s="773" t="str">
        <f>IFERROR(INDEX($HD$9:$II$9, MATCH("準備", CC150:DK150, 0)), "")</f>
        <v/>
      </c>
      <c r="BW150" s="773" t="str" cm="1">
        <f t="array" ref="BW150">IF(COUNTIF(CC150:DK150,"*撤去*")=0,"",INDEX(CC$9:DK$9,1,MAX(IF(CC150:DK150="撤去",COLUMN(CC150:DK150)-COLUMN(CC150)+1))))</f>
        <v/>
      </c>
      <c r="BX150" s="774"/>
      <c r="BY150" s="360" t="s">
        <v>246</v>
      </c>
      <c r="BZ150" s="361" t="s">
        <v>247</v>
      </c>
      <c r="CA150" s="777"/>
      <c r="CB150" s="777"/>
      <c r="CC150" s="874"/>
      <c r="CD150" s="875"/>
      <c r="CE150" s="875"/>
      <c r="CF150" s="875"/>
      <c r="CG150" s="875"/>
      <c r="CH150" s="363"/>
      <c r="CI150" s="363"/>
      <c r="CJ150" s="363"/>
      <c r="CK150" s="363"/>
      <c r="CL150" s="363"/>
      <c r="CM150" s="363"/>
      <c r="CN150" s="363"/>
      <c r="CO150" s="363"/>
      <c r="CP150" s="363"/>
      <c r="CQ150" s="364"/>
      <c r="CR150" s="365"/>
      <c r="CS150" s="366"/>
      <c r="CT150" s="363"/>
      <c r="CU150" s="363"/>
      <c r="CV150" s="363"/>
      <c r="CW150" s="363"/>
      <c r="CX150" s="363"/>
      <c r="CY150" s="363"/>
      <c r="CZ150" s="363"/>
      <c r="DA150" s="363"/>
      <c r="DB150" s="363"/>
      <c r="DC150" s="363"/>
      <c r="DD150" s="363"/>
      <c r="DE150" s="363"/>
      <c r="DF150" s="779"/>
      <c r="DG150" s="884"/>
      <c r="DH150" s="874"/>
      <c r="DI150" s="875"/>
      <c r="DJ150" s="875"/>
      <c r="DK150" s="886"/>
      <c r="DL150" s="277"/>
      <c r="DM150" s="277"/>
      <c r="DN150" s="277"/>
      <c r="DO150" s="277"/>
      <c r="DP150" s="277"/>
      <c r="DQ150" s="763"/>
      <c r="DR150" s="764" t="s">
        <v>170</v>
      </c>
      <c r="DS150" s="765">
        <v>0</v>
      </c>
      <c r="DT150" s="969"/>
      <c r="DU150" s="656"/>
      <c r="DV150" s="656"/>
      <c r="DW150" s="768"/>
      <c r="DX150" s="768"/>
      <c r="DY150" s="768"/>
      <c r="DZ150" s="768"/>
      <c r="EA150" s="768"/>
      <c r="EB150" s="768"/>
      <c r="EC150" s="768"/>
      <c r="ED150" s="768"/>
      <c r="EE150" s="768"/>
      <c r="EF150" s="768"/>
      <c r="EG150" s="656"/>
      <c r="EH150" s="656"/>
      <c r="EI150" s="942"/>
      <c r="EJ150" s="942"/>
      <c r="EK150" s="773" t="s">
        <v>165</v>
      </c>
      <c r="EL150" s="773" t="s">
        <v>165</v>
      </c>
      <c r="EM150" s="774"/>
      <c r="EN150" s="277"/>
      <c r="EO150" s="763"/>
      <c r="EP150" s="1032" t="s">
        <v>170</v>
      </c>
      <c r="EQ150" s="1033">
        <v>0</v>
      </c>
      <c r="ER150" s="1046"/>
      <c r="ES150" s="1046" t="e">
        <v>#N/A</v>
      </c>
      <c r="ET150" s="1046"/>
      <c r="EU150" s="1046"/>
      <c r="EV150" s="1027" t="s">
        <v>170</v>
      </c>
      <c r="EW150" s="453"/>
      <c r="EX150" s="454"/>
      <c r="EY150" s="879" t="s">
        <v>170</v>
      </c>
      <c r="EZ150" s="456"/>
      <c r="FA150" s="457"/>
      <c r="FB150" s="879" t="s">
        <v>170</v>
      </c>
      <c r="FC150" s="880"/>
      <c r="FD150" s="881"/>
      <c r="FE150" s="882" t="s">
        <v>170</v>
      </c>
      <c r="FF150" s="880"/>
      <c r="FG150" s="881"/>
      <c r="FH150" s="882" t="s">
        <v>170</v>
      </c>
      <c r="FI150" s="880"/>
      <c r="FJ150" s="883"/>
      <c r="FK150" s="375"/>
      <c r="FL150" s="1028"/>
      <c r="FM150" s="535"/>
      <c r="FN150" s="655"/>
      <c r="FO150" s="656"/>
      <c r="FP150" s="656"/>
      <c r="FQ150" s="656"/>
      <c r="FR150" s="656"/>
      <c r="FS150" s="656"/>
      <c r="FT150" s="656"/>
      <c r="FU150" s="656"/>
      <c r="FV150" s="767"/>
      <c r="FW150" s="656"/>
      <c r="FX150" s="767"/>
      <c r="FY150" s="656"/>
      <c r="FZ150" s="656"/>
      <c r="GA150" s="656"/>
      <c r="GB150" s="656"/>
      <c r="GC150" s="768"/>
      <c r="GD150" s="768"/>
      <c r="GE150" s="768"/>
      <c r="GF150" s="768"/>
      <c r="GG150" s="768"/>
      <c r="GH150" s="768"/>
      <c r="GI150" s="768"/>
      <c r="GJ150" s="768"/>
      <c r="GK150" s="768"/>
      <c r="GL150" s="768"/>
      <c r="GM150" s="768"/>
      <c r="GN150" s="768"/>
      <c r="GO150" s="768"/>
      <c r="GP150" s="768"/>
      <c r="GQ150" s="768"/>
      <c r="GR150" s="656"/>
      <c r="GS150" s="656"/>
      <c r="GT150" s="941"/>
      <c r="GU150" s="942"/>
      <c r="GV150" s="942"/>
      <c r="GW150" s="773" t="s">
        <v>165</v>
      </c>
      <c r="GX150" s="773" t="s">
        <v>165</v>
      </c>
      <c r="GY150" s="774"/>
      <c r="GZ150" s="943"/>
      <c r="HA150" s="777"/>
      <c r="HB150" s="777"/>
      <c r="HC150" s="777"/>
      <c r="HD150" s="874"/>
      <c r="HE150" s="875"/>
      <c r="HF150" s="875"/>
      <c r="HG150" s="875"/>
      <c r="HH150" s="875"/>
      <c r="HI150" s="875"/>
      <c r="HJ150" s="875"/>
      <c r="HK150" s="875"/>
      <c r="HL150" s="875"/>
      <c r="HM150" s="875"/>
      <c r="HN150" s="875"/>
      <c r="HO150" s="875"/>
      <c r="HP150" s="875"/>
      <c r="HQ150" s="875"/>
      <c r="HR150" s="779"/>
      <c r="HS150" s="884"/>
      <c r="HT150" s="874"/>
      <c r="HU150" s="875"/>
      <c r="HV150" s="875"/>
      <c r="HW150" s="875"/>
      <c r="HX150" s="272"/>
      <c r="HY150" s="875"/>
      <c r="HZ150" s="875"/>
      <c r="IA150" s="875"/>
      <c r="IB150" s="875"/>
      <c r="IC150" s="875"/>
      <c r="ID150" s="875"/>
      <c r="IE150" s="875"/>
      <c r="IF150" s="875"/>
      <c r="IG150" s="779"/>
      <c r="IH150" s="884"/>
      <c r="II150" s="874"/>
      <c r="IJ150" s="875"/>
      <c r="IK150" s="875"/>
      <c r="IL150" s="886"/>
      <c r="IM150" s="277"/>
      <c r="IN150" s="277"/>
      <c r="IO150" s="944"/>
      <c r="IP150" s="945"/>
      <c r="IQ150" s="541"/>
      <c r="IR150" s="542"/>
      <c r="IS150" s="543"/>
      <c r="IT150" s="543"/>
      <c r="IU150" s="543"/>
      <c r="IV150" s="543"/>
      <c r="IW150" s="543"/>
      <c r="IX150" s="544"/>
      <c r="IY150" s="544"/>
      <c r="IZ150" s="543"/>
      <c r="JA150" s="543"/>
      <c r="JB150" s="543"/>
      <c r="JC150" s="543"/>
      <c r="JD150" s="545"/>
      <c r="JE150" s="545"/>
      <c r="JF150" s="546"/>
      <c r="JG150" s="503"/>
      <c r="JH150" s="506"/>
      <c r="JI150" s="1"/>
      <c r="JJ150" s="1"/>
      <c r="JK150" s="1"/>
      <c r="JL150" s="1"/>
      <c r="JM150" s="1"/>
      <c r="JN150" s="1"/>
      <c r="JO150" s="507"/>
      <c r="JP150" s="508"/>
      <c r="JQ150" s="508"/>
      <c r="JR150" s="508"/>
      <c r="JS150" s="729"/>
      <c r="JT150" s="729"/>
      <c r="JU150" s="729"/>
      <c r="JV150" s="729"/>
      <c r="JW150" s="729"/>
      <c r="JX150" s="729"/>
      <c r="JY150" s="729"/>
      <c r="JZ150" s="729"/>
      <c r="KA150" s="729"/>
      <c r="KB150" s="729"/>
      <c r="KC150" s="729"/>
      <c r="KD150" s="729"/>
      <c r="KE150" s="729"/>
      <c r="KF150" s="729"/>
      <c r="KG150" s="729"/>
      <c r="KH150" s="729"/>
      <c r="KI150" s="729"/>
      <c r="KJ150" s="729"/>
      <c r="KK150" s="729"/>
      <c r="KL150" s="729"/>
      <c r="KM150" s="729"/>
      <c r="KN150" s="729"/>
      <c r="KO150" s="729"/>
      <c r="KP150" s="729"/>
      <c r="KQ150" s="729"/>
      <c r="KR150" s="729"/>
      <c r="KS150" s="729"/>
      <c r="KT150" s="729"/>
      <c r="KU150" s="729"/>
      <c r="KV150" s="729"/>
      <c r="KW150" s="730"/>
      <c r="KX150" s="277"/>
      <c r="KY150" s="277"/>
      <c r="KZ150" s="1"/>
      <c r="LA150" s="1"/>
      <c r="LB150" s="1"/>
      <c r="LC150" s="1"/>
      <c r="LD150" s="1"/>
      <c r="LE150" s="1"/>
      <c r="LF150" s="1"/>
      <c r="LG150" s="1"/>
      <c r="LH150" s="1"/>
      <c r="LI150" s="1"/>
      <c r="LJ150" s="1"/>
      <c r="LK150" s="1"/>
      <c r="LL150" s="1"/>
      <c r="LM150" s="1"/>
      <c r="LN150" s="1"/>
      <c r="LO150" s="1"/>
      <c r="LP150" s="1"/>
      <c r="LQ150" s="1"/>
      <c r="LR150" s="1"/>
      <c r="LS150" s="1"/>
      <c r="LT150" s="1"/>
      <c r="LU150" s="1"/>
      <c r="LV150" s="1"/>
      <c r="LW150" s="1"/>
      <c r="LX150" s="1"/>
      <c r="LY150" s="1"/>
      <c r="LZ150" s="1"/>
      <c r="MA150" s="1"/>
      <c r="MB150" s="1"/>
      <c r="MC150" s="1"/>
      <c r="MD150" s="1"/>
      <c r="ME150" s="1"/>
      <c r="MF150" s="1"/>
      <c r="MG150" s="1"/>
      <c r="MH150" s="1"/>
      <c r="MI150" s="1"/>
      <c r="MJ150" s="1"/>
      <c r="MK150" s="1"/>
      <c r="ML150" s="1"/>
      <c r="MM150" s="1"/>
      <c r="MN150" s="1"/>
      <c r="MO150" s="1"/>
      <c r="MP150" s="1"/>
      <c r="MQ150" s="1"/>
      <c r="MR150" s="1"/>
      <c r="MS150" s="1"/>
      <c r="MT150" s="1"/>
      <c r="MU150" s="1"/>
      <c r="MV150" s="1"/>
      <c r="MW150" s="1"/>
      <c r="MX150" s="1"/>
      <c r="MY150" s="1"/>
      <c r="MZ150" s="1"/>
      <c r="NA150" s="1"/>
      <c r="NB150" s="1"/>
      <c r="NC150" s="1"/>
      <c r="ND150" s="1"/>
      <c r="NE150" s="1"/>
      <c r="NF150" s="1"/>
      <c r="NG150" s="1"/>
      <c r="NH150" s="1"/>
      <c r="NI150" s="1"/>
      <c r="NJ150" s="1"/>
      <c r="NK150" s="1"/>
      <c r="NL150" s="1"/>
      <c r="NM150" s="1"/>
      <c r="NN150" s="1"/>
      <c r="NO150" s="1"/>
      <c r="NP150" s="1"/>
      <c r="NQ150" s="1"/>
      <c r="NR150" s="1"/>
      <c r="NS150" s="1"/>
      <c r="NT150" s="1"/>
      <c r="NU150" s="1"/>
      <c r="NV150" s="1"/>
      <c r="NW150" s="1"/>
      <c r="NX150" s="1"/>
      <c r="NY150" s="1"/>
      <c r="NZ150" s="1"/>
      <c r="OA150" s="1"/>
      <c r="OB150" s="1"/>
      <c r="OC150" s="1"/>
      <c r="OD150" s="1"/>
      <c r="OE150" s="1"/>
      <c r="OF150" s="1"/>
      <c r="OG150" s="1"/>
      <c r="OH150" s="1"/>
    </row>
    <row r="151" spans="1:398" s="1044" customFormat="1" ht="40" customHeight="1">
      <c r="A151" s="1"/>
      <c r="B151" s="299"/>
      <c r="C151" s="1205" t="s">
        <v>610</v>
      </c>
      <c r="D151" s="378">
        <v>42</v>
      </c>
      <c r="E151" s="379">
        <v>2049</v>
      </c>
      <c r="F151" s="623" t="s">
        <v>611</v>
      </c>
      <c r="G151" s="381">
        <v>220</v>
      </c>
      <c r="H151" s="381" t="s">
        <v>167</v>
      </c>
      <c r="I151" s="381">
        <v>156</v>
      </c>
      <c r="J151" s="381">
        <v>218</v>
      </c>
      <c r="K151" s="245" t="e">
        <v>#N/A</v>
      </c>
      <c r="L151" s="381">
        <v>159</v>
      </c>
      <c r="M151" s="383" t="s">
        <v>167</v>
      </c>
      <c r="N151" s="384" t="s">
        <v>170</v>
      </c>
      <c r="O151" s="384" t="s">
        <v>167</v>
      </c>
      <c r="P151" s="383" t="s">
        <v>167</v>
      </c>
      <c r="Q151" s="384" t="s">
        <v>167</v>
      </c>
      <c r="R151" s="384" t="s">
        <v>170</v>
      </c>
      <c r="S151" s="384" t="s">
        <v>167</v>
      </c>
      <c r="T151" s="384" t="s">
        <v>167</v>
      </c>
      <c r="U151" s="385" t="s">
        <v>169</v>
      </c>
      <c r="V151" s="378" t="s">
        <v>320</v>
      </c>
      <c r="W151" s="378"/>
      <c r="X151" s="462" t="s">
        <v>292</v>
      </c>
      <c r="Y151" s="462" t="s">
        <v>292</v>
      </c>
      <c r="Z151" s="378"/>
      <c r="AA151" s="386" t="s">
        <v>612</v>
      </c>
      <c r="AB151" s="1208" t="s">
        <v>613</v>
      </c>
      <c r="AC151" s="388">
        <v>269</v>
      </c>
      <c r="AD151" s="955">
        <f>SUM(AC151,AC152)</f>
        <v>269</v>
      </c>
      <c r="AE151" s="465" t="s">
        <v>295</v>
      </c>
      <c r="AF151" s="550" t="s">
        <v>296</v>
      </c>
      <c r="AG151" s="467">
        <f>'[1]2049_青年館ホテル　別紙1-1'!M25</f>
        <v>3655850.0000000005</v>
      </c>
      <c r="AH151" s="468">
        <f>FQ151</f>
        <v>2750</v>
      </c>
      <c r="AI151" s="468">
        <f>FR151</f>
        <v>1350</v>
      </c>
      <c r="AJ151" s="469">
        <v>0.98599999999999999</v>
      </c>
      <c r="AK151" s="468">
        <f>17500*1.1</f>
        <v>19250</v>
      </c>
      <c r="AL151" s="469">
        <f>AM151/AT151</f>
        <v>0.61606739882653827</v>
      </c>
      <c r="AM151" s="468">
        <f>17500*1.1</f>
        <v>19250</v>
      </c>
      <c r="AN151" s="626" t="s">
        <v>297</v>
      </c>
      <c r="AO151" s="468">
        <f>2000*1.1</f>
        <v>2200</v>
      </c>
      <c r="AP151" s="467">
        <f>'[1]2049_青年館ホテル　別紙1-1'!K23</f>
        <v>117</v>
      </c>
      <c r="AQ151" s="467">
        <f>'[1]2049_青年館ホテル　別紙1-1'!AF23</f>
        <v>163</v>
      </c>
      <c r="AR151" s="474">
        <f>DM151/(BX151-2)</f>
        <v>256.1904761904762</v>
      </c>
      <c r="AS151" s="475">
        <f>AG151/AR151</f>
        <v>14270.046468401488</v>
      </c>
      <c r="AT151" s="476">
        <f>AG151/AP151</f>
        <v>31246.581196581199</v>
      </c>
      <c r="AU151" s="475">
        <f>AG151/AQ151</f>
        <v>22428.527607361964</v>
      </c>
      <c r="AV151" s="477">
        <v>26000</v>
      </c>
      <c r="AW151" s="477">
        <v>48000</v>
      </c>
      <c r="AX151" s="467">
        <f>'[1]2049_青年館ホテル　別紙1-2'!N27</f>
        <v>2651165</v>
      </c>
      <c r="AY151" s="467">
        <f>'[1]2049_青年館ホテル　別紙1-2'!G24</f>
        <v>8</v>
      </c>
      <c r="AZ151" s="478">
        <f>'[1]2049_青年館ホテル　別紙1-1'!C27</f>
        <v>82739800</v>
      </c>
      <c r="BA151" s="478">
        <f>'[1]2049_青年館ホテル　別紙1-2'!O25</f>
        <v>63482100.000000007</v>
      </c>
      <c r="BB151" s="478"/>
      <c r="BC151" s="478">
        <f>AH151*DM151</f>
        <v>14795000</v>
      </c>
      <c r="BD151" s="479">
        <f>1.1*(35280000-7335000)</f>
        <v>30739500.000000004</v>
      </c>
      <c r="BE151" s="479">
        <f>BD151-21000*DM151*0.6</f>
        <v>-37048500</v>
      </c>
      <c r="BF151" s="479">
        <f>1.1*23152500</f>
        <v>25467750.000000004</v>
      </c>
      <c r="BG151" s="479">
        <f>BF151-0</f>
        <v>25467750.000000004</v>
      </c>
      <c r="BH151" s="479">
        <f>1.1*2016000</f>
        <v>2217600</v>
      </c>
      <c r="BI151" s="480">
        <f>200*DM151</f>
        <v>1076000</v>
      </c>
      <c r="BJ151" s="480">
        <f>GK151</f>
        <v>0</v>
      </c>
      <c r="BK151" s="480">
        <f>BM151*5000*BX151</f>
        <v>575000</v>
      </c>
      <c r="BL151" s="480">
        <f>1800000*BN151*BX151</f>
        <v>82800000</v>
      </c>
      <c r="BM151" s="480">
        <f>GP151</f>
        <v>5</v>
      </c>
      <c r="BN151" s="480">
        <f>GQ151</f>
        <v>2</v>
      </c>
      <c r="BO151" s="481"/>
      <c r="BP151" s="481">
        <f>SUM(AZ151,BA151,BI151,BO151)</f>
        <v>147297900</v>
      </c>
      <c r="BQ151" s="481">
        <f>BP151-GR151</f>
        <v>-18825335</v>
      </c>
      <c r="BR151" s="554"/>
      <c r="BS151" s="1012" t="s">
        <v>301</v>
      </c>
      <c r="BT151" s="484">
        <f>'[1]2049_青年館ホテル　別紙1-1'!B8</f>
        <v>46278</v>
      </c>
      <c r="BU151" s="484">
        <f>'[1]2049_青年館ホテル　別紙1-1'!G8</f>
        <v>46301</v>
      </c>
      <c r="BV151" s="666">
        <f>IFERROR(INDEX($BY$9:$DH$9, MATCH("準備", BY151:DK151, 0)), "")</f>
        <v>46278</v>
      </c>
      <c r="BW151" s="667" cm="1">
        <f t="array" ref="BW151">IF(COUNTIF(BY151:DK151,"*撤去*")=0,"",INDEX(BY$9:DK$9,1,MAX(IF(CC151:DK151="撤去",COLUMN(CC151:DK151)-COLUMN(BY151)+1))))</f>
        <v>46301</v>
      </c>
      <c r="BX151" s="1300">
        <f>BW151-BV151</f>
        <v>23</v>
      </c>
      <c r="BY151" s="556">
        <v>0</v>
      </c>
      <c r="BZ151" s="557">
        <v>0</v>
      </c>
      <c r="CA151" s="557">
        <v>0</v>
      </c>
      <c r="CB151" s="557">
        <v>0</v>
      </c>
      <c r="CC151" s="405">
        <v>0</v>
      </c>
      <c r="CD151" s="403">
        <v>0</v>
      </c>
      <c r="CE151" s="403">
        <v>0</v>
      </c>
      <c r="CF151" s="403">
        <v>0</v>
      </c>
      <c r="CG151" s="403">
        <v>0</v>
      </c>
      <c r="CH151" s="403">
        <v>0</v>
      </c>
      <c r="CI151" s="403">
        <v>0</v>
      </c>
      <c r="CJ151" s="403">
        <v>0</v>
      </c>
      <c r="CK151" s="403">
        <v>0</v>
      </c>
      <c r="CL151" s="400" t="s">
        <v>177</v>
      </c>
      <c r="CM151" s="400" t="s">
        <v>177</v>
      </c>
      <c r="CN151" s="403">
        <v>269</v>
      </c>
      <c r="CO151" s="403">
        <v>269</v>
      </c>
      <c r="CP151" s="403">
        <v>269</v>
      </c>
      <c r="CQ151" s="403">
        <v>269</v>
      </c>
      <c r="CR151" s="404">
        <v>269</v>
      </c>
      <c r="CS151" s="405">
        <v>269</v>
      </c>
      <c r="CT151" s="403">
        <v>269</v>
      </c>
      <c r="CU151" s="403">
        <v>269</v>
      </c>
      <c r="CV151" s="403">
        <v>269</v>
      </c>
      <c r="CW151" s="403">
        <v>269</v>
      </c>
      <c r="CX151" s="403">
        <v>269</v>
      </c>
      <c r="CY151" s="403">
        <v>269</v>
      </c>
      <c r="CZ151" s="403">
        <v>269</v>
      </c>
      <c r="DA151" s="403">
        <v>269</v>
      </c>
      <c r="DB151" s="403">
        <v>269</v>
      </c>
      <c r="DC151" s="403">
        <v>269</v>
      </c>
      <c r="DD151" s="403">
        <v>269</v>
      </c>
      <c r="DE151" s="403">
        <v>269</v>
      </c>
      <c r="DF151" s="403">
        <v>269</v>
      </c>
      <c r="DG151" s="404">
        <v>269</v>
      </c>
      <c r="DH151" s="405">
        <v>0</v>
      </c>
      <c r="DI151" s="406" t="s">
        <v>178</v>
      </c>
      <c r="DJ151" s="403">
        <v>0</v>
      </c>
      <c r="DK151" s="407">
        <v>0</v>
      </c>
      <c r="DL151" s="277"/>
      <c r="DM151" s="277" cm="1">
        <f t="array" ref="DM151">SUM(IF(ISNUMBER($BY151:$DK151),$BY151:$DK151, 0))</f>
        <v>5380</v>
      </c>
      <c r="DN151" s="277">
        <v>3180</v>
      </c>
      <c r="DO151" s="277">
        <f>DM151*(BX151)/(BX151+1)</f>
        <v>5155.833333333333</v>
      </c>
      <c r="DP151" s="277"/>
      <c r="DQ151" s="386" t="s">
        <v>612</v>
      </c>
      <c r="DR151" s="1208" t="s">
        <v>613</v>
      </c>
      <c r="DS151" s="388">
        <v>159</v>
      </c>
      <c r="DT151" s="955">
        <f>SUM(DS151,DS152)</f>
        <v>159</v>
      </c>
      <c r="DU151" s="467">
        <v>4876300</v>
      </c>
      <c r="DV151" s="467">
        <v>2651165</v>
      </c>
      <c r="DW151" s="478">
        <v>105480100</v>
      </c>
      <c r="DX151" s="478">
        <v>63482100.000000007</v>
      </c>
      <c r="DY151" s="478">
        <v>4507650</v>
      </c>
      <c r="DZ151" s="478">
        <v>38565450</v>
      </c>
      <c r="EA151" s="478">
        <v>25710300</v>
      </c>
      <c r="EB151" s="478">
        <v>2203740</v>
      </c>
      <c r="EC151" s="480">
        <v>667800</v>
      </c>
      <c r="ED151" s="480">
        <v>0</v>
      </c>
      <c r="EE151" s="480">
        <v>575000</v>
      </c>
      <c r="EF151" s="480">
        <v>82800000</v>
      </c>
      <c r="EG151" s="481"/>
      <c r="EH151" s="481">
        <v>169630000</v>
      </c>
      <c r="EI151" s="484">
        <v>46277</v>
      </c>
      <c r="EJ151" s="484">
        <v>46299</v>
      </c>
      <c r="EK151" s="666">
        <v>46278</v>
      </c>
      <c r="EL151" s="667">
        <v>46301</v>
      </c>
      <c r="EM151" s="1300">
        <v>23</v>
      </c>
      <c r="EN151" s="277"/>
      <c r="EO151" s="386" t="s">
        <v>612</v>
      </c>
      <c r="EP151" s="408" t="s">
        <v>613</v>
      </c>
      <c r="EQ151" s="985">
        <v>159</v>
      </c>
      <c r="ER151" s="958">
        <v>159</v>
      </c>
      <c r="ES151" s="245" t="e">
        <v>#N/A</v>
      </c>
      <c r="ET151" s="245" t="e">
        <v>#N/A</v>
      </c>
      <c r="EU151" s="245" t="e">
        <v>#N/A</v>
      </c>
      <c r="EV151" s="411" t="s">
        <v>614</v>
      </c>
      <c r="EW151" s="412">
        <v>9.3000000000000007</v>
      </c>
      <c r="EX151" s="413">
        <v>24</v>
      </c>
      <c r="EY151" s="414" t="s">
        <v>188</v>
      </c>
      <c r="EZ151" s="492">
        <v>9.3000000000000007</v>
      </c>
      <c r="FA151" s="493">
        <v>24</v>
      </c>
      <c r="FB151" s="414" t="s">
        <v>189</v>
      </c>
      <c r="FC151" s="492"/>
      <c r="FD151" s="493"/>
      <c r="FE151" s="494" t="s">
        <v>189</v>
      </c>
      <c r="FF151" s="492"/>
      <c r="FG151" s="493"/>
      <c r="FH151" s="494" t="s">
        <v>189</v>
      </c>
      <c r="FI151" s="492"/>
      <c r="FJ151" s="495"/>
      <c r="FK151" s="289" t="e">
        <v>#VALUE!</v>
      </c>
      <c r="FL151" s="1042" t="e">
        <v>#VALUE!</v>
      </c>
      <c r="FM151" s="498" t="s">
        <v>615</v>
      </c>
      <c r="FN151" s="668" t="s">
        <v>336</v>
      </c>
      <c r="FO151" s="550" t="s">
        <v>296</v>
      </c>
      <c r="FP151" s="562">
        <v>4876300</v>
      </c>
      <c r="FQ151" s="563">
        <v>2750</v>
      </c>
      <c r="FR151" s="468">
        <v>1350</v>
      </c>
      <c r="FS151" s="562">
        <v>156</v>
      </c>
      <c r="FT151" s="965">
        <v>218</v>
      </c>
      <c r="FU151" s="261">
        <v>159</v>
      </c>
      <c r="FV151" s="394">
        <v>30668.553459119496</v>
      </c>
      <c r="FW151" s="390">
        <v>31258.333333333332</v>
      </c>
      <c r="FX151" s="394">
        <v>22368.34862385321</v>
      </c>
      <c r="FY151" s="1301">
        <v>22200</v>
      </c>
      <c r="FZ151" s="1301">
        <v>35400</v>
      </c>
      <c r="GA151" s="562">
        <v>2651165</v>
      </c>
      <c r="GB151" s="562">
        <v>8</v>
      </c>
      <c r="GC151" s="565">
        <v>105480100</v>
      </c>
      <c r="GD151" s="565">
        <v>60038935.000000007</v>
      </c>
      <c r="GE151" s="565">
        <v>79083950</v>
      </c>
      <c r="GF151" s="565">
        <v>60038935.000000007</v>
      </c>
      <c r="GG151" s="478">
        <v>-26396150</v>
      </c>
      <c r="GH151" s="478">
        <v>0</v>
      </c>
      <c r="GI151" s="478">
        <v>2447010</v>
      </c>
      <c r="GJ151" s="565">
        <v>604200</v>
      </c>
      <c r="GK151" s="566"/>
      <c r="GL151" s="566"/>
      <c r="GM151" s="480">
        <v>0</v>
      </c>
      <c r="GN151" s="480">
        <v>350000</v>
      </c>
      <c r="GO151" s="480">
        <v>75600000</v>
      </c>
      <c r="GP151" s="566">
        <v>5</v>
      </c>
      <c r="GQ151" s="566">
        <v>2</v>
      </c>
      <c r="GR151" s="966">
        <v>166123235</v>
      </c>
      <c r="GS151" s="1019">
        <v>-165519035</v>
      </c>
      <c r="GT151" s="1012" t="s">
        <v>301</v>
      </c>
      <c r="GU151" s="1020">
        <v>46277</v>
      </c>
      <c r="GV151" s="1302">
        <v>46299</v>
      </c>
      <c r="GW151" s="666">
        <v>46277</v>
      </c>
      <c r="GX151" s="667">
        <v>46298</v>
      </c>
      <c r="GY151" s="663">
        <v>21</v>
      </c>
      <c r="GZ151" s="556"/>
      <c r="HA151" s="557"/>
      <c r="HB151" s="557"/>
      <c r="HC151" s="557"/>
      <c r="HD151" s="405">
        <v>0</v>
      </c>
      <c r="HE151" s="403">
        <v>0</v>
      </c>
      <c r="HF151" s="403">
        <v>0</v>
      </c>
      <c r="HG151" s="403">
        <v>0</v>
      </c>
      <c r="HH151" s="403">
        <v>0</v>
      </c>
      <c r="HI151" s="403">
        <v>0</v>
      </c>
      <c r="HJ151" s="403">
        <v>0</v>
      </c>
      <c r="HK151" s="403">
        <v>0</v>
      </c>
      <c r="HL151" s="400" t="s">
        <v>177</v>
      </c>
      <c r="HM151" s="400" t="s">
        <v>177</v>
      </c>
      <c r="HN151" s="403">
        <v>159</v>
      </c>
      <c r="HO151" s="403">
        <v>159</v>
      </c>
      <c r="HP151" s="403">
        <v>159</v>
      </c>
      <c r="HQ151" s="403">
        <v>159</v>
      </c>
      <c r="HR151" s="403">
        <v>159</v>
      </c>
      <c r="HS151" s="404">
        <v>159</v>
      </c>
      <c r="HT151" s="405">
        <v>159</v>
      </c>
      <c r="HU151" s="403">
        <v>159</v>
      </c>
      <c r="HV151" s="403">
        <v>159</v>
      </c>
      <c r="HW151" s="403">
        <v>159</v>
      </c>
      <c r="HX151" s="403">
        <v>159</v>
      </c>
      <c r="HY151" s="403">
        <v>159</v>
      </c>
      <c r="HZ151" s="403">
        <v>159</v>
      </c>
      <c r="IA151" s="403">
        <v>159</v>
      </c>
      <c r="IB151" s="403">
        <v>159</v>
      </c>
      <c r="IC151" s="403">
        <v>159</v>
      </c>
      <c r="ID151" s="403">
        <v>159</v>
      </c>
      <c r="IE151" s="403">
        <v>159</v>
      </c>
      <c r="IF151" s="403">
        <v>159</v>
      </c>
      <c r="IG151" s="1303" t="s">
        <v>178</v>
      </c>
      <c r="IH151" s="404">
        <v>0</v>
      </c>
      <c r="II151" s="405">
        <v>0</v>
      </c>
      <c r="IJ151" s="403">
        <v>0</v>
      </c>
      <c r="IK151" s="403">
        <v>0</v>
      </c>
      <c r="IL151" s="407">
        <v>0</v>
      </c>
      <c r="IM151" s="277"/>
      <c r="IN151" s="277" cm="1">
        <f t="array" ref="IN151">SUM(IF(ISNUMBER($HD151:$IL151),$HD151:$IL151, 0))</f>
        <v>3021</v>
      </c>
      <c r="IO151" s="426"/>
      <c r="IP151" s="427"/>
      <c r="IQ151" s="541"/>
      <c r="IR151" s="569">
        <v>0</v>
      </c>
      <c r="IS151" s="570"/>
      <c r="IT151" s="570"/>
      <c r="IU151" s="570"/>
      <c r="IV151" s="570"/>
      <c r="IW151" s="570"/>
      <c r="IX151" s="571">
        <v>0</v>
      </c>
      <c r="IY151" s="571"/>
      <c r="IZ151" s="570">
        <v>0</v>
      </c>
      <c r="JA151" s="574">
        <v>0</v>
      </c>
      <c r="JB151" s="570"/>
      <c r="JC151" s="570"/>
      <c r="JD151" s="572"/>
      <c r="JE151" s="572"/>
      <c r="JF151" s="573"/>
      <c r="JG151" s="574">
        <v>8110927</v>
      </c>
      <c r="JH151" s="575">
        <v>3289000</v>
      </c>
      <c r="JI151" s="1"/>
      <c r="JJ151" s="1"/>
      <c r="JK151" s="1"/>
      <c r="JL151" s="1"/>
      <c r="JM151" s="1"/>
      <c r="JN151" s="1"/>
      <c r="JO151" s="507"/>
      <c r="JP151" s="508"/>
      <c r="JQ151" s="508"/>
      <c r="JR151" s="508"/>
      <c r="JS151" s="577"/>
      <c r="JT151" s="577"/>
      <c r="JU151" s="577"/>
      <c r="JV151" s="577"/>
      <c r="JW151" s="577"/>
      <c r="JX151" s="577"/>
      <c r="JY151" s="577"/>
      <c r="JZ151" s="577"/>
      <c r="KA151" s="577"/>
      <c r="KB151" s="577"/>
      <c r="KC151" s="577"/>
      <c r="KD151" s="577"/>
      <c r="KE151" s="577"/>
      <c r="KF151" s="577"/>
      <c r="KG151" s="577"/>
      <c r="KH151" s="577"/>
      <c r="KI151" s="577"/>
      <c r="KJ151" s="577"/>
      <c r="KK151" s="577"/>
      <c r="KL151" s="577"/>
      <c r="KM151" s="577"/>
      <c r="KN151" s="577"/>
      <c r="KO151" s="577"/>
      <c r="KP151" s="577"/>
      <c r="KQ151" s="577"/>
      <c r="KR151" s="577"/>
      <c r="KS151" s="577"/>
      <c r="KT151" s="577"/>
      <c r="KU151" s="577"/>
      <c r="KV151" s="577"/>
      <c r="KW151" s="578"/>
      <c r="KX151" s="277"/>
      <c r="KY151" s="277" cm="1">
        <f t="array" ref="KY151">SUM(IF(ISNUMBER($JO151:$KW151),$JO151:$KW151, 0))</f>
        <v>0</v>
      </c>
      <c r="KZ151" s="1"/>
      <c r="LA151" s="1"/>
      <c r="LB151" s="1"/>
      <c r="LC151" s="1"/>
      <c r="LD151" s="1"/>
      <c r="LE151" s="1"/>
      <c r="LF151" s="1"/>
      <c r="LG151" s="1"/>
      <c r="LH151" s="1"/>
      <c r="LI151" s="1"/>
      <c r="LJ151" s="1"/>
      <c r="LK151" s="1"/>
      <c r="LL151" s="1"/>
      <c r="LM151" s="1"/>
      <c r="LN151" s="1"/>
      <c r="LO151" s="1"/>
      <c r="LP151" s="1"/>
      <c r="LQ151" s="1"/>
      <c r="LR151" s="1"/>
      <c r="LS151" s="1"/>
      <c r="LT151" s="1"/>
      <c r="LU151" s="1"/>
      <c r="LV151" s="1"/>
      <c r="LW151" s="1"/>
      <c r="LX151" s="1"/>
      <c r="LY151" s="1"/>
      <c r="LZ151" s="1"/>
      <c r="MA151" s="1"/>
      <c r="MB151" s="1"/>
      <c r="MC151" s="1"/>
      <c r="MD151" s="1"/>
      <c r="ME151" s="1"/>
      <c r="MF151" s="1"/>
      <c r="MG151" s="1"/>
      <c r="MH151" s="1"/>
      <c r="MI151" s="1"/>
      <c r="MJ151" s="1"/>
      <c r="MK151" s="1"/>
      <c r="ML151" s="1"/>
      <c r="MM151" s="1"/>
      <c r="MN151" s="1"/>
      <c r="MO151" s="1"/>
      <c r="MP151" s="1"/>
      <c r="MQ151" s="1"/>
      <c r="MR151" s="1"/>
      <c r="MS151" s="1"/>
      <c r="MT151" s="1"/>
      <c r="MU151" s="1"/>
      <c r="MV151" s="1"/>
      <c r="MW151" s="1"/>
      <c r="MX151" s="1"/>
      <c r="MY151" s="1"/>
      <c r="MZ151" s="1"/>
      <c r="NA151" s="1"/>
      <c r="NB151" s="1"/>
      <c r="NC151" s="1"/>
      <c r="ND151" s="1"/>
      <c r="NE151" s="1"/>
      <c r="NF151" s="1"/>
      <c r="NG151" s="1"/>
      <c r="NH151" s="1"/>
      <c r="NI151" s="1"/>
      <c r="NJ151" s="1"/>
      <c r="NK151" s="1"/>
      <c r="NL151" s="1"/>
      <c r="NM151" s="1"/>
      <c r="NN151" s="1"/>
      <c r="NO151" s="1"/>
      <c r="NP151" s="1"/>
      <c r="NQ151" s="1"/>
      <c r="NR151" s="1"/>
      <c r="NS151" s="1"/>
      <c r="NT151" s="1"/>
      <c r="NU151" s="1"/>
      <c r="NV151" s="1"/>
      <c r="NW151" s="1"/>
      <c r="NX151" s="1"/>
      <c r="NY151" s="1"/>
      <c r="NZ151" s="1"/>
      <c r="OA151" s="1"/>
      <c r="OB151" s="1"/>
      <c r="OC151" s="1"/>
      <c r="OD151" s="1"/>
      <c r="OE151" s="1"/>
      <c r="OF151" s="1"/>
      <c r="OG151" s="1"/>
      <c r="OH151" s="1"/>
    </row>
    <row r="152" spans="1:398" s="547" customFormat="1" ht="40" customHeight="1" thickBot="1">
      <c r="A152" s="1"/>
      <c r="B152" s="299"/>
      <c r="C152" s="241"/>
      <c r="D152" s="445"/>
      <c r="E152" s="510" t="s">
        <v>165</v>
      </c>
      <c r="F152" s="511"/>
      <c r="G152" s="512">
        <v>0</v>
      </c>
      <c r="H152" s="512">
        <v>0</v>
      </c>
      <c r="I152" s="512">
        <v>0</v>
      </c>
      <c r="J152" s="512">
        <v>0</v>
      </c>
      <c r="K152" s="512"/>
      <c r="L152" s="512">
        <v>0</v>
      </c>
      <c r="M152" s="513">
        <v>0</v>
      </c>
      <c r="N152" s="514">
        <v>0</v>
      </c>
      <c r="O152" s="514">
        <v>0</v>
      </c>
      <c r="P152" s="513">
        <v>0</v>
      </c>
      <c r="Q152" s="514">
        <v>0</v>
      </c>
      <c r="R152" s="514">
        <v>0</v>
      </c>
      <c r="S152" s="514">
        <v>0</v>
      </c>
      <c r="T152" s="514">
        <v>0</v>
      </c>
      <c r="U152" s="515" t="s">
        <v>165</v>
      </c>
      <c r="V152" s="445"/>
      <c r="W152" s="445"/>
      <c r="X152" s="445"/>
      <c r="Y152" s="445"/>
      <c r="Z152" s="445"/>
      <c r="AA152" s="763"/>
      <c r="AB152" s="764" t="s">
        <v>170</v>
      </c>
      <c r="AC152" s="765">
        <v>0</v>
      </c>
      <c r="AD152" s="969"/>
      <c r="AE152" s="655"/>
      <c r="AF152" s="656"/>
      <c r="AG152" s="656"/>
      <c r="AH152" s="656"/>
      <c r="AI152" s="656"/>
      <c r="AJ152" s="656"/>
      <c r="AK152" s="656"/>
      <c r="AL152" s="656"/>
      <c r="AM152" s="656"/>
      <c r="AN152" s="656"/>
      <c r="AO152" s="656"/>
      <c r="AP152" s="656"/>
      <c r="AQ152" s="656"/>
      <c r="AR152" s="656"/>
      <c r="AS152" s="767"/>
      <c r="AT152" s="656"/>
      <c r="AU152" s="767"/>
      <c r="AV152" s="656"/>
      <c r="AW152" s="656"/>
      <c r="AX152" s="656"/>
      <c r="AY152" s="656"/>
      <c r="AZ152" s="768"/>
      <c r="BA152" s="768"/>
      <c r="BB152" s="768"/>
      <c r="BC152" s="768"/>
      <c r="BD152" s="768"/>
      <c r="BE152" s="768"/>
      <c r="BF152" s="768"/>
      <c r="BG152" s="768"/>
      <c r="BH152" s="768"/>
      <c r="BI152" s="768"/>
      <c r="BJ152" s="768"/>
      <c r="BK152" s="768"/>
      <c r="BL152" s="768"/>
      <c r="BM152" s="768"/>
      <c r="BN152" s="768"/>
      <c r="BO152" s="656"/>
      <c r="BP152" s="656"/>
      <c r="BQ152" s="656"/>
      <c r="BR152" s="940"/>
      <c r="BS152" s="941"/>
      <c r="BT152" s="942"/>
      <c r="BU152" s="942"/>
      <c r="BV152" s="773" t="str">
        <f>IFERROR(INDEX($HD$9:$II$9, MATCH("準備", CC152:DK152, 0)), "")</f>
        <v/>
      </c>
      <c r="BW152" s="773" t="str" cm="1">
        <f t="array" ref="BW152">IF(COUNTIF(CC152:DK152,"*撤去*")=0,"",INDEX(CC$9:DK$9,1,MAX(IF(CC152:DK152="撤去",COLUMN(CC152:DK152)-COLUMN(CC152)+1))))</f>
        <v/>
      </c>
      <c r="BX152" s="774"/>
      <c r="BY152" s="360" t="s">
        <v>246</v>
      </c>
      <c r="BZ152" s="361" t="s">
        <v>247</v>
      </c>
      <c r="CA152" s="777"/>
      <c r="CB152" s="777"/>
      <c r="CC152" s="874"/>
      <c r="CD152" s="875"/>
      <c r="CE152" s="875"/>
      <c r="CF152" s="875"/>
      <c r="CG152" s="875"/>
      <c r="CH152" s="875"/>
      <c r="CI152" s="875"/>
      <c r="CJ152" s="875"/>
      <c r="CK152" s="363"/>
      <c r="CL152" s="363"/>
      <c r="CM152" s="363"/>
      <c r="CN152" s="363"/>
      <c r="CO152" s="363"/>
      <c r="CP152" s="363"/>
      <c r="CQ152" s="364"/>
      <c r="CR152" s="365"/>
      <c r="CS152" s="366"/>
      <c r="CT152" s="363"/>
      <c r="CU152" s="363"/>
      <c r="CV152" s="363"/>
      <c r="CW152" s="363"/>
      <c r="CX152" s="363"/>
      <c r="CY152" s="363"/>
      <c r="CZ152" s="363"/>
      <c r="DA152" s="363"/>
      <c r="DB152" s="363"/>
      <c r="DC152" s="363"/>
      <c r="DD152" s="363"/>
      <c r="DE152" s="363"/>
      <c r="DF152" s="364"/>
      <c r="DG152" s="884"/>
      <c r="DH152" s="874"/>
      <c r="DI152" s="875"/>
      <c r="DJ152" s="875"/>
      <c r="DK152" s="886"/>
      <c r="DL152" s="277"/>
      <c r="DM152" s="277"/>
      <c r="DN152" s="277"/>
      <c r="DO152" s="277"/>
      <c r="DP152" s="277"/>
      <c r="DQ152" s="763"/>
      <c r="DR152" s="764" t="s">
        <v>170</v>
      </c>
      <c r="DS152" s="765">
        <v>0</v>
      </c>
      <c r="DT152" s="969"/>
      <c r="DU152" s="656"/>
      <c r="DV152" s="656"/>
      <c r="DW152" s="768"/>
      <c r="DX152" s="768"/>
      <c r="DY152" s="768"/>
      <c r="DZ152" s="768"/>
      <c r="EA152" s="768"/>
      <c r="EB152" s="768"/>
      <c r="EC152" s="768"/>
      <c r="ED152" s="768"/>
      <c r="EE152" s="768"/>
      <c r="EF152" s="768"/>
      <c r="EG152" s="656"/>
      <c r="EH152" s="656"/>
      <c r="EI152" s="942"/>
      <c r="EJ152" s="942"/>
      <c r="EK152" s="773" t="s">
        <v>165</v>
      </c>
      <c r="EL152" s="773" t="s">
        <v>165</v>
      </c>
      <c r="EM152" s="774"/>
      <c r="EN152" s="277"/>
      <c r="EO152" s="763"/>
      <c r="EP152" s="1032" t="s">
        <v>170</v>
      </c>
      <c r="EQ152" s="1033">
        <v>0</v>
      </c>
      <c r="ER152" s="1046"/>
      <c r="ES152" s="1046" t="e">
        <v>#N/A</v>
      </c>
      <c r="ET152" s="1046"/>
      <c r="EU152" s="1046"/>
      <c r="EV152" s="1027" t="s">
        <v>170</v>
      </c>
      <c r="EW152" s="453"/>
      <c r="EX152" s="454"/>
      <c r="EY152" s="879" t="s">
        <v>170</v>
      </c>
      <c r="EZ152" s="456"/>
      <c r="FA152" s="457"/>
      <c r="FB152" s="879" t="s">
        <v>170</v>
      </c>
      <c r="FC152" s="880"/>
      <c r="FD152" s="881"/>
      <c r="FE152" s="882" t="s">
        <v>170</v>
      </c>
      <c r="FF152" s="880"/>
      <c r="FG152" s="881"/>
      <c r="FH152" s="882" t="s">
        <v>170</v>
      </c>
      <c r="FI152" s="880"/>
      <c r="FJ152" s="883"/>
      <c r="FK152" s="375"/>
      <c r="FL152" s="1028"/>
      <c r="FM152" s="535"/>
      <c r="FN152" s="655"/>
      <c r="FO152" s="656"/>
      <c r="FP152" s="656"/>
      <c r="FQ152" s="656"/>
      <c r="FR152" s="656"/>
      <c r="FS152" s="656"/>
      <c r="FT152" s="656"/>
      <c r="FU152" s="656"/>
      <c r="FV152" s="767"/>
      <c r="FW152" s="656"/>
      <c r="FX152" s="767"/>
      <c r="FY152" s="656"/>
      <c r="FZ152" s="656"/>
      <c r="GA152" s="656"/>
      <c r="GB152" s="656"/>
      <c r="GC152" s="768"/>
      <c r="GD152" s="768"/>
      <c r="GE152" s="768"/>
      <c r="GF152" s="768"/>
      <c r="GG152" s="768"/>
      <c r="GH152" s="768"/>
      <c r="GI152" s="768"/>
      <c r="GJ152" s="768"/>
      <c r="GK152" s="768"/>
      <c r="GL152" s="768"/>
      <c r="GM152" s="768"/>
      <c r="GN152" s="768"/>
      <c r="GO152" s="768"/>
      <c r="GP152" s="768"/>
      <c r="GQ152" s="768"/>
      <c r="GR152" s="656"/>
      <c r="GS152" s="656"/>
      <c r="GT152" s="941"/>
      <c r="GU152" s="942"/>
      <c r="GV152" s="942"/>
      <c r="GW152" s="773" t="s">
        <v>165</v>
      </c>
      <c r="GX152" s="773" t="s">
        <v>165</v>
      </c>
      <c r="GY152" s="774"/>
      <c r="GZ152" s="943"/>
      <c r="HA152" s="777"/>
      <c r="HB152" s="777"/>
      <c r="HC152" s="777"/>
      <c r="HD152" s="874"/>
      <c r="HE152" s="875"/>
      <c r="HF152" s="875"/>
      <c r="HG152" s="875"/>
      <c r="HH152" s="875"/>
      <c r="HI152" s="875"/>
      <c r="HJ152" s="875"/>
      <c r="HK152" s="875"/>
      <c r="HL152" s="875"/>
      <c r="HM152" s="875"/>
      <c r="HN152" s="875"/>
      <c r="HO152" s="875"/>
      <c r="HP152" s="875"/>
      <c r="HQ152" s="875"/>
      <c r="HR152" s="779"/>
      <c r="HS152" s="884"/>
      <c r="HT152" s="874"/>
      <c r="HU152" s="875"/>
      <c r="HV152" s="875"/>
      <c r="HW152" s="875"/>
      <c r="HX152" s="875"/>
      <c r="HY152" s="875"/>
      <c r="HZ152" s="875"/>
      <c r="IA152" s="875"/>
      <c r="IB152" s="875"/>
      <c r="IC152" s="875"/>
      <c r="ID152" s="875"/>
      <c r="IE152" s="875"/>
      <c r="IF152" s="875"/>
      <c r="IG152" s="779"/>
      <c r="IH152" s="884"/>
      <c r="II152" s="874"/>
      <c r="IJ152" s="875"/>
      <c r="IK152" s="875"/>
      <c r="IL152" s="886"/>
      <c r="IM152" s="277"/>
      <c r="IN152" s="277"/>
      <c r="IO152" s="944"/>
      <c r="IP152" s="945"/>
      <c r="IQ152" s="541"/>
      <c r="IR152" s="581"/>
      <c r="IS152" s="582"/>
      <c r="IT152" s="582"/>
      <c r="IU152" s="582"/>
      <c r="IV152" s="582"/>
      <c r="IW152" s="582"/>
      <c r="IX152" s="583"/>
      <c r="IY152" s="583"/>
      <c r="IZ152" s="582"/>
      <c r="JA152" s="582"/>
      <c r="JB152" s="582"/>
      <c r="JC152" s="582"/>
      <c r="JD152" s="584"/>
      <c r="JE152" s="584"/>
      <c r="JF152" s="585"/>
      <c r="JG152" s="586"/>
      <c r="JH152" s="587"/>
      <c r="JI152" s="1"/>
      <c r="JJ152" s="1"/>
      <c r="JK152" s="1"/>
      <c r="JL152" s="1"/>
      <c r="JM152" s="1"/>
      <c r="JN152" s="1"/>
      <c r="JO152" s="507"/>
      <c r="JP152" s="508"/>
      <c r="JQ152" s="508"/>
      <c r="JR152" s="508"/>
      <c r="JS152" s="729"/>
      <c r="JT152" s="729"/>
      <c r="JU152" s="729"/>
      <c r="JV152" s="729"/>
      <c r="JW152" s="729"/>
      <c r="JX152" s="729"/>
      <c r="JY152" s="729"/>
      <c r="JZ152" s="729"/>
      <c r="KA152" s="729"/>
      <c r="KB152" s="729"/>
      <c r="KC152" s="729"/>
      <c r="KD152" s="729"/>
      <c r="KE152" s="729"/>
      <c r="KF152" s="729"/>
      <c r="KG152" s="729"/>
      <c r="KH152" s="729"/>
      <c r="KI152" s="729"/>
      <c r="KJ152" s="729"/>
      <c r="KK152" s="729"/>
      <c r="KL152" s="729"/>
      <c r="KM152" s="729"/>
      <c r="KN152" s="729"/>
      <c r="KO152" s="729"/>
      <c r="KP152" s="729"/>
      <c r="KQ152" s="729"/>
      <c r="KR152" s="729"/>
      <c r="KS152" s="729"/>
      <c r="KT152" s="729"/>
      <c r="KU152" s="729"/>
      <c r="KV152" s="729"/>
      <c r="KW152" s="730"/>
      <c r="KX152" s="277"/>
      <c r="KY152" s="277"/>
      <c r="KZ152" s="1"/>
      <c r="LA152" s="1"/>
      <c r="LB152" s="1"/>
      <c r="LC152" s="1"/>
      <c r="LD152" s="1"/>
      <c r="LE152" s="1"/>
      <c r="LF152" s="1"/>
      <c r="LG152" s="1"/>
      <c r="LH152" s="1"/>
      <c r="LI152" s="1"/>
      <c r="LJ152" s="1"/>
      <c r="LK152" s="1"/>
      <c r="LL152" s="1"/>
      <c r="LM152" s="1"/>
      <c r="LN152" s="1"/>
      <c r="LO152" s="1"/>
      <c r="LP152" s="1"/>
      <c r="LQ152" s="1"/>
      <c r="LR152" s="1"/>
      <c r="LS152" s="1"/>
      <c r="LT152" s="1"/>
      <c r="LU152" s="1"/>
      <c r="LV152" s="1"/>
      <c r="LW152" s="1"/>
      <c r="LX152" s="1"/>
      <c r="LY152" s="1"/>
      <c r="LZ152" s="1"/>
      <c r="MA152" s="1"/>
      <c r="MB152" s="1"/>
      <c r="MC152" s="1"/>
      <c r="MD152" s="1"/>
      <c r="ME152" s="1"/>
      <c r="MF152" s="1"/>
      <c r="MG152" s="1"/>
      <c r="MH152" s="1"/>
      <c r="MI152" s="1"/>
      <c r="MJ152" s="1"/>
      <c r="MK152" s="1"/>
      <c r="ML152" s="1"/>
      <c r="MM152" s="1"/>
      <c r="MN152" s="1"/>
      <c r="MO152" s="1"/>
      <c r="MP152" s="1"/>
      <c r="MQ152" s="1"/>
      <c r="MR152" s="1"/>
      <c r="MS152" s="1"/>
      <c r="MT152" s="1"/>
      <c r="MU152" s="1"/>
      <c r="MV152" s="1"/>
      <c r="MW152" s="1"/>
      <c r="MX152" s="1"/>
      <c r="MY152" s="1"/>
      <c r="MZ152" s="1"/>
      <c r="NA152" s="1"/>
      <c r="NB152" s="1"/>
      <c r="NC152" s="1"/>
      <c r="ND152" s="1"/>
      <c r="NE152" s="1"/>
      <c r="NF152" s="1"/>
      <c r="NG152" s="1"/>
      <c r="NH152" s="1"/>
      <c r="NI152" s="1"/>
      <c r="NJ152" s="1"/>
      <c r="NK152" s="1"/>
      <c r="NL152" s="1"/>
      <c r="NM152" s="1"/>
      <c r="NN152" s="1"/>
      <c r="NO152" s="1"/>
      <c r="NP152" s="1"/>
      <c r="NQ152" s="1"/>
      <c r="NR152" s="1"/>
      <c r="NS152" s="1"/>
      <c r="NT152" s="1"/>
      <c r="NU152" s="1"/>
      <c r="NV152" s="1"/>
      <c r="NW152" s="1"/>
      <c r="NX152" s="1"/>
      <c r="NY152" s="1"/>
      <c r="NZ152" s="1"/>
      <c r="OA152" s="1"/>
      <c r="OB152" s="1"/>
      <c r="OC152" s="1"/>
      <c r="OD152" s="1"/>
      <c r="OE152" s="1"/>
      <c r="OF152" s="1"/>
      <c r="OG152" s="1"/>
      <c r="OH152" s="1"/>
    </row>
    <row r="153" spans="1:398" ht="40" customHeight="1">
      <c r="B153" s="299"/>
      <c r="C153" s="241"/>
      <c r="D153" s="378">
        <v>43</v>
      </c>
      <c r="E153" s="379" t="s">
        <v>616</v>
      </c>
      <c r="F153" s="380" t="s">
        <v>617</v>
      </c>
      <c r="G153" s="246"/>
      <c r="H153" s="246"/>
      <c r="I153" s="246"/>
      <c r="J153" s="246"/>
      <c r="K153" s="246"/>
      <c r="L153" s="246"/>
      <c r="M153" s="300"/>
      <c r="N153" s="251"/>
      <c r="O153" s="251"/>
      <c r="P153" s="300"/>
      <c r="Q153" s="251"/>
      <c r="R153" s="251"/>
      <c r="S153" s="251"/>
      <c r="T153" s="251"/>
      <c r="U153" s="301"/>
      <c r="V153" s="242"/>
      <c r="W153" s="242"/>
      <c r="X153" s="242"/>
      <c r="Y153" s="242"/>
      <c r="Z153" s="242"/>
      <c r="AA153" s="604" t="s">
        <v>618</v>
      </c>
      <c r="AB153" s="617" t="s">
        <v>610</v>
      </c>
      <c r="AC153" s="618">
        <v>60</v>
      </c>
      <c r="AD153" s="955">
        <f>SUM(AC153,AC154)</f>
        <v>118</v>
      </c>
      <c r="AE153" s="336"/>
      <c r="AF153" s="337"/>
      <c r="AG153" s="731">
        <f>'[1]KKR中目黒　別紙1-1'!I20</f>
        <v>1375651.2000000002</v>
      </c>
      <c r="AH153" s="732"/>
      <c r="AI153" s="732"/>
      <c r="AJ153" s="732"/>
      <c r="AK153" s="551">
        <f>$AK$4</f>
        <v>26106</v>
      </c>
      <c r="AL153" s="552">
        <v>0.83</v>
      </c>
      <c r="AM153" s="551">
        <f>$AM$4</f>
        <v>24690</v>
      </c>
      <c r="AN153" s="468" t="s">
        <v>308</v>
      </c>
      <c r="AO153" s="551">
        <f>$AO$4</f>
        <v>2373</v>
      </c>
      <c r="AP153" s="732"/>
      <c r="AQ153" s="732"/>
      <c r="AR153" s="258"/>
      <c r="AS153" s="263"/>
      <c r="AT153" s="258"/>
      <c r="AU153" s="263"/>
      <c r="AV153" s="258"/>
      <c r="AW153" s="731"/>
      <c r="AX153" s="732">
        <v>0</v>
      </c>
      <c r="AY153" s="732">
        <v>0</v>
      </c>
      <c r="AZ153" s="963">
        <f>'[1]KKR中目黒　別紙1-1'!D22</f>
        <v>9629558</v>
      </c>
      <c r="BA153" s="963">
        <v>0</v>
      </c>
      <c r="BB153" s="963"/>
      <c r="BC153" s="963"/>
      <c r="BD153" s="478">
        <f>AK153*DM153*0.6</f>
        <v>6422076</v>
      </c>
      <c r="BE153" s="478">
        <f>BD153-21000*DM153*0.6</f>
        <v>1256076</v>
      </c>
      <c r="BF153" s="478">
        <f>AM153*DM153*0.4</f>
        <v>4049160</v>
      </c>
      <c r="BG153" s="478">
        <f>BF153-0</f>
        <v>4049160</v>
      </c>
      <c r="BH153" s="478">
        <f>AO153*DM153*0.3</f>
        <v>291879</v>
      </c>
      <c r="BI153" s="480">
        <f>200*DM153</f>
        <v>82000</v>
      </c>
      <c r="BJ153" s="963"/>
      <c r="BK153" s="963"/>
      <c r="BL153" s="963"/>
      <c r="BM153" s="963"/>
      <c r="BN153" s="963"/>
      <c r="BO153" s="732"/>
      <c r="BP153" s="481">
        <f>SUM(AZ153,BA153,BI153,BO153)</f>
        <v>9711558</v>
      </c>
      <c r="BQ153" s="732"/>
      <c r="BR153" s="1130"/>
      <c r="BS153" s="401"/>
      <c r="BT153" s="269">
        <f>'[1]KKR中目黒　別紙1-1'!C8</f>
        <v>46287</v>
      </c>
      <c r="BU153" s="269">
        <f>'[1]KKR中目黒　別紙1-1'!D8</f>
        <v>46294</v>
      </c>
      <c r="BV153" s="269">
        <v>46287</v>
      </c>
      <c r="BW153" s="269">
        <v>46294</v>
      </c>
      <c r="BX153" s="1300">
        <f>BW153-BV153</f>
        <v>7</v>
      </c>
      <c r="BY153" s="679"/>
      <c r="BZ153" s="680"/>
      <c r="CA153" s="597"/>
      <c r="CB153" s="597"/>
      <c r="CC153" s="271"/>
      <c r="CD153" s="272"/>
      <c r="CE153" s="272"/>
      <c r="CF153" s="272"/>
      <c r="CG153" s="272"/>
      <c r="CH153" s="272"/>
      <c r="CI153" s="272"/>
      <c r="CJ153" s="272"/>
      <c r="CK153" s="1304"/>
      <c r="CL153" s="1304"/>
      <c r="CM153" s="1304"/>
      <c r="CN153" s="1304"/>
      <c r="CO153" s="1304"/>
      <c r="CP153" s="1304"/>
      <c r="CQ153" s="1305"/>
      <c r="CR153" s="1306"/>
      <c r="CS153" s="1307"/>
      <c r="CT153" s="1304"/>
      <c r="CU153" s="1304">
        <v>60</v>
      </c>
      <c r="CV153" s="1304">
        <v>60</v>
      </c>
      <c r="CW153" s="1304">
        <v>58</v>
      </c>
      <c r="CX153" s="1304">
        <v>58</v>
      </c>
      <c r="CY153" s="1304">
        <v>58</v>
      </c>
      <c r="CZ153" s="1304">
        <v>58</v>
      </c>
      <c r="DA153" s="1304">
        <v>58</v>
      </c>
      <c r="DB153" s="1304"/>
      <c r="DC153" s="1304"/>
      <c r="DD153" s="1304"/>
      <c r="DE153" s="1304"/>
      <c r="DF153" s="1305"/>
      <c r="DG153" s="275"/>
      <c r="DH153" s="271"/>
      <c r="DI153" s="272"/>
      <c r="DJ153" s="272"/>
      <c r="DK153" s="276"/>
      <c r="DL153" s="277"/>
      <c r="DM153" s="277" cm="1">
        <f t="array" ref="DM153">SUM(IF(ISNUMBER($BY153:$DK153),$BY153:$DK153, 0))</f>
        <v>410</v>
      </c>
      <c r="DN153" s="277">
        <v>3180</v>
      </c>
      <c r="DO153" s="277">
        <f>DM153*(BX153)/(BX153+1)</f>
        <v>358.75</v>
      </c>
      <c r="DP153" s="277"/>
      <c r="DQ153" s="277"/>
      <c r="DR153" s="277"/>
      <c r="DS153" s="277"/>
      <c r="DT153" s="277"/>
      <c r="DU153" s="277"/>
      <c r="DV153" s="277"/>
      <c r="DW153" s="277"/>
      <c r="DX153" s="277"/>
      <c r="DY153" s="277"/>
      <c r="DZ153" s="277"/>
      <c r="EA153" s="277"/>
      <c r="EB153" s="277"/>
      <c r="EC153" s="277"/>
      <c r="ED153" s="277"/>
      <c r="EE153" s="277"/>
      <c r="EF153" s="277"/>
      <c r="EG153" s="277"/>
      <c r="EH153" s="277"/>
      <c r="EI153" s="277"/>
      <c r="EJ153" s="277"/>
      <c r="EK153" s="277"/>
      <c r="EL153" s="277"/>
      <c r="EM153" s="277"/>
      <c r="EN153" s="277"/>
      <c r="EO153" s="604"/>
      <c r="EP153" s="605"/>
      <c r="EQ153" s="878"/>
      <c r="ER153" s="952"/>
      <c r="ES153" s="952"/>
      <c r="ET153" s="952"/>
      <c r="EU153" s="952"/>
      <c r="EV153" s="608"/>
      <c r="EW153" s="609"/>
      <c r="EX153" s="610"/>
      <c r="EY153" s="442"/>
      <c r="EZ153" s="440"/>
      <c r="FA153" s="441"/>
      <c r="FB153" s="442"/>
      <c r="FC153" s="440"/>
      <c r="FD153" s="441"/>
      <c r="FE153" s="443"/>
      <c r="FF153" s="440"/>
      <c r="FG153" s="441"/>
      <c r="FH153" s="443"/>
      <c r="FI153" s="440"/>
      <c r="FJ153" s="444"/>
      <c r="FK153" s="289"/>
      <c r="FL153" s="1017"/>
      <c r="FM153" s="349"/>
      <c r="FN153" s="336"/>
      <c r="FO153" s="337"/>
      <c r="FP153" s="337"/>
      <c r="FQ153" s="337"/>
      <c r="FR153" s="337"/>
      <c r="FS153" s="337"/>
      <c r="FT153" s="337"/>
      <c r="FU153" s="337"/>
      <c r="FV153" s="339"/>
      <c r="FW153" s="337"/>
      <c r="FX153" s="339"/>
      <c r="FY153" s="337"/>
      <c r="FZ153" s="337"/>
      <c r="GA153" s="337"/>
      <c r="GB153" s="337"/>
      <c r="GC153" s="611"/>
      <c r="GD153" s="611"/>
      <c r="GE153" s="611"/>
      <c r="GF153" s="611"/>
      <c r="GG153" s="611"/>
      <c r="GH153" s="611"/>
      <c r="GI153" s="611"/>
      <c r="GJ153" s="611"/>
      <c r="GK153" s="611"/>
      <c r="GL153" s="611"/>
      <c r="GM153" s="611"/>
      <c r="GN153" s="611"/>
      <c r="GO153" s="611"/>
      <c r="GP153" s="611"/>
      <c r="GQ153" s="611"/>
      <c r="GR153" s="337"/>
      <c r="GS153" s="337"/>
      <c r="GT153" s="342"/>
      <c r="GU153" s="938"/>
      <c r="GV153" s="938"/>
      <c r="GW153" s="615"/>
      <c r="GX153" s="615"/>
      <c r="GY153" s="616"/>
      <c r="GZ153" s="596"/>
      <c r="HA153" s="597"/>
      <c r="HB153" s="597"/>
      <c r="HC153" s="597"/>
      <c r="HD153" s="271"/>
      <c r="HE153" s="272"/>
      <c r="HF153" s="272"/>
      <c r="HG153" s="272"/>
      <c r="HH153" s="272"/>
      <c r="HI153" s="272"/>
      <c r="HJ153" s="272"/>
      <c r="HK153" s="272"/>
      <c r="HL153" s="272"/>
      <c r="HM153" s="272"/>
      <c r="HN153" s="272"/>
      <c r="HO153" s="272"/>
      <c r="HP153" s="272"/>
      <c r="HQ153" s="272"/>
      <c r="HR153" s="274"/>
      <c r="HS153" s="275"/>
      <c r="HT153" s="271"/>
      <c r="HU153" s="272"/>
      <c r="HV153" s="272"/>
      <c r="HW153" s="272"/>
      <c r="HX153" s="272"/>
      <c r="HY153" s="272"/>
      <c r="HZ153" s="272"/>
      <c r="IA153" s="272"/>
      <c r="IB153" s="272"/>
      <c r="IC153" s="272"/>
      <c r="ID153" s="272"/>
      <c r="IE153" s="272"/>
      <c r="IF153" s="272"/>
      <c r="IG153" s="274"/>
      <c r="IH153" s="275"/>
      <c r="II153" s="271"/>
      <c r="IJ153" s="272"/>
      <c r="IK153" s="272"/>
      <c r="IL153" s="276"/>
      <c r="IM153" s="277"/>
      <c r="IN153" s="277"/>
      <c r="IO153" s="333"/>
      <c r="IP153" s="334"/>
      <c r="IQ153" s="541"/>
      <c r="IR153" s="542"/>
      <c r="IS153" s="543"/>
      <c r="IT153" s="543"/>
      <c r="IU153" s="543"/>
      <c r="IV153" s="543"/>
      <c r="IW153" s="543"/>
      <c r="IX153" s="544"/>
      <c r="IY153" s="544"/>
      <c r="IZ153" s="543"/>
      <c r="JA153" s="543"/>
      <c r="JB153" s="543"/>
      <c r="JC153" s="543"/>
      <c r="JD153" s="545"/>
      <c r="JE153" s="545"/>
      <c r="JF153" s="546"/>
      <c r="JG153" s="503"/>
      <c r="JH153" s="506"/>
      <c r="JO153" s="507"/>
      <c r="JP153" s="508"/>
      <c r="JQ153" s="508"/>
      <c r="JR153" s="508"/>
      <c r="JS153" s="508"/>
      <c r="JT153" s="508"/>
      <c r="JU153" s="508"/>
      <c r="JV153" s="508"/>
      <c r="JW153" s="508"/>
      <c r="JX153" s="508"/>
      <c r="JY153" s="508"/>
      <c r="JZ153" s="508"/>
      <c r="KA153" s="508"/>
      <c r="KB153" s="508"/>
      <c r="KC153" s="508"/>
      <c r="KD153" s="508"/>
      <c r="KE153" s="508"/>
      <c r="KF153" s="508"/>
      <c r="KG153" s="508"/>
      <c r="KH153" s="508"/>
      <c r="KI153" s="508"/>
      <c r="KJ153" s="508"/>
      <c r="KK153" s="508"/>
      <c r="KL153" s="508"/>
      <c r="KM153" s="508"/>
      <c r="KN153" s="508"/>
      <c r="KO153" s="508"/>
      <c r="KP153" s="508"/>
      <c r="KQ153" s="508"/>
      <c r="KR153" s="508"/>
      <c r="KS153" s="508"/>
      <c r="KT153" s="508"/>
      <c r="KU153" s="508"/>
      <c r="KV153" s="508"/>
      <c r="KW153" s="509"/>
      <c r="KX153" s="277"/>
      <c r="KY153" s="277"/>
    </row>
    <row r="154" spans="1:398" ht="40" customHeight="1">
      <c r="B154" s="299"/>
      <c r="C154" s="241"/>
      <c r="D154" s="445"/>
      <c r="E154" s="510"/>
      <c r="F154" s="511"/>
      <c r="G154" s="246"/>
      <c r="H154" s="246"/>
      <c r="I154" s="246"/>
      <c r="J154" s="246"/>
      <c r="K154" s="246"/>
      <c r="L154" s="246"/>
      <c r="M154" s="300"/>
      <c r="N154" s="251"/>
      <c r="O154" s="251"/>
      <c r="P154" s="300"/>
      <c r="Q154" s="251"/>
      <c r="R154" s="251"/>
      <c r="S154" s="251"/>
      <c r="T154" s="251"/>
      <c r="U154" s="301"/>
      <c r="V154" s="242"/>
      <c r="W154" s="242"/>
      <c r="X154" s="242"/>
      <c r="Y154" s="242"/>
      <c r="Z154" s="242"/>
      <c r="AA154" s="604" t="s">
        <v>619</v>
      </c>
      <c r="AB154" s="617" t="s">
        <v>610</v>
      </c>
      <c r="AC154" s="618">
        <v>58</v>
      </c>
      <c r="AD154" s="947"/>
      <c r="AE154" s="336"/>
      <c r="AF154" s="337"/>
      <c r="AG154" s="337"/>
      <c r="AH154" s="337"/>
      <c r="AI154" s="337"/>
      <c r="AJ154" s="337"/>
      <c r="AK154" s="337"/>
      <c r="AL154" s="337"/>
      <c r="AM154" s="337"/>
      <c r="AN154" s="337"/>
      <c r="AO154" s="337"/>
      <c r="AP154" s="337"/>
      <c r="AQ154" s="337"/>
      <c r="AR154" s="337"/>
      <c r="AS154" s="339"/>
      <c r="AT154" s="337"/>
      <c r="AU154" s="339"/>
      <c r="AV154" s="337"/>
      <c r="AW154" s="337"/>
      <c r="AX154" s="337"/>
      <c r="AY154" s="337"/>
      <c r="AZ154" s="611"/>
      <c r="BA154" s="611"/>
      <c r="BB154" s="611"/>
      <c r="BC154" s="611"/>
      <c r="BD154" s="611"/>
      <c r="BE154" s="611"/>
      <c r="BF154" s="611"/>
      <c r="BG154" s="611"/>
      <c r="BH154" s="611"/>
      <c r="BI154" s="611"/>
      <c r="BJ154" s="611"/>
      <c r="BK154" s="611"/>
      <c r="BL154" s="611"/>
      <c r="BM154" s="611"/>
      <c r="BN154" s="611"/>
      <c r="BO154" s="337"/>
      <c r="BP154" s="337"/>
      <c r="BQ154" s="337"/>
      <c r="BR154" s="340"/>
      <c r="BS154" s="342"/>
      <c r="BT154" s="938"/>
      <c r="BU154" s="938"/>
      <c r="BV154" s="615"/>
      <c r="BW154" s="615"/>
      <c r="BX154" s="616"/>
      <c r="BY154" s="679"/>
      <c r="BZ154" s="680"/>
      <c r="CA154" s="597"/>
      <c r="CB154" s="597"/>
      <c r="CC154" s="271"/>
      <c r="CD154" s="272"/>
      <c r="CE154" s="272"/>
      <c r="CF154" s="272"/>
      <c r="CG154" s="272"/>
      <c r="CH154" s="272"/>
      <c r="CI154" s="272"/>
      <c r="CJ154" s="272"/>
      <c r="CK154" s="756"/>
      <c r="CL154" s="756"/>
      <c r="CM154" s="756"/>
      <c r="CN154" s="756"/>
      <c r="CO154" s="756"/>
      <c r="CP154" s="756"/>
      <c r="CQ154" s="755"/>
      <c r="CR154" s="757"/>
      <c r="CS154" s="1308"/>
      <c r="CT154" s="756"/>
      <c r="CU154" s="756"/>
      <c r="CV154" s="756"/>
      <c r="CW154" s="756"/>
      <c r="CX154" s="756"/>
      <c r="CY154" s="756"/>
      <c r="CZ154" s="756"/>
      <c r="DA154" s="756"/>
      <c r="DB154" s="756"/>
      <c r="DC154" s="756"/>
      <c r="DD154" s="756"/>
      <c r="DE154" s="756"/>
      <c r="DF154" s="755"/>
      <c r="DG154" s="275"/>
      <c r="DH154" s="271"/>
      <c r="DI154" s="272"/>
      <c r="DJ154" s="272"/>
      <c r="DK154" s="276"/>
      <c r="DL154" s="277"/>
      <c r="DM154" s="277"/>
      <c r="DN154" s="277"/>
      <c r="DO154" s="277"/>
      <c r="DP154" s="277"/>
      <c r="DQ154" s="277"/>
      <c r="DR154" s="277"/>
      <c r="DS154" s="277"/>
      <c r="DT154" s="277"/>
      <c r="DU154" s="277"/>
      <c r="DV154" s="277"/>
      <c r="DW154" s="277"/>
      <c r="DX154" s="277"/>
      <c r="DY154" s="277"/>
      <c r="DZ154" s="277"/>
      <c r="EA154" s="277"/>
      <c r="EB154" s="277"/>
      <c r="EC154" s="277"/>
      <c r="ED154" s="277"/>
      <c r="EE154" s="277"/>
      <c r="EF154" s="277"/>
      <c r="EG154" s="277"/>
      <c r="EH154" s="277"/>
      <c r="EI154" s="277"/>
      <c r="EJ154" s="277"/>
      <c r="EK154" s="277"/>
      <c r="EL154" s="277"/>
      <c r="EM154" s="277"/>
      <c r="EN154" s="277"/>
      <c r="EO154" s="604"/>
      <c r="EP154" s="605"/>
      <c r="EQ154" s="878"/>
      <c r="ER154" s="952"/>
      <c r="ES154" s="952"/>
      <c r="ET154" s="952"/>
      <c r="EU154" s="952"/>
      <c r="EV154" s="608"/>
      <c r="EW154" s="609"/>
      <c r="EX154" s="610"/>
      <c r="EY154" s="442"/>
      <c r="EZ154" s="440"/>
      <c r="FA154" s="441"/>
      <c r="FB154" s="442"/>
      <c r="FC154" s="440"/>
      <c r="FD154" s="441"/>
      <c r="FE154" s="443"/>
      <c r="FF154" s="440"/>
      <c r="FG154" s="441"/>
      <c r="FH154" s="443"/>
      <c r="FI154" s="440"/>
      <c r="FJ154" s="444"/>
      <c r="FK154" s="289"/>
      <c r="FL154" s="1017"/>
      <c r="FM154" s="349"/>
      <c r="FN154" s="336"/>
      <c r="FO154" s="337"/>
      <c r="FP154" s="337"/>
      <c r="FQ154" s="337"/>
      <c r="FR154" s="337"/>
      <c r="FS154" s="337"/>
      <c r="FT154" s="337"/>
      <c r="FU154" s="337"/>
      <c r="FV154" s="339"/>
      <c r="FW154" s="337"/>
      <c r="FX154" s="339"/>
      <c r="FY154" s="337"/>
      <c r="FZ154" s="337"/>
      <c r="GA154" s="337"/>
      <c r="GB154" s="337"/>
      <c r="GC154" s="611"/>
      <c r="GD154" s="611"/>
      <c r="GE154" s="611"/>
      <c r="GF154" s="611"/>
      <c r="GG154" s="611"/>
      <c r="GH154" s="611"/>
      <c r="GI154" s="611"/>
      <c r="GJ154" s="611"/>
      <c r="GK154" s="611"/>
      <c r="GL154" s="611"/>
      <c r="GM154" s="611"/>
      <c r="GN154" s="611"/>
      <c r="GO154" s="611"/>
      <c r="GP154" s="611"/>
      <c r="GQ154" s="611"/>
      <c r="GR154" s="337"/>
      <c r="GS154" s="337"/>
      <c r="GT154" s="342"/>
      <c r="GU154" s="938"/>
      <c r="GV154" s="938"/>
      <c r="GW154" s="615"/>
      <c r="GX154" s="615"/>
      <c r="GY154" s="616"/>
      <c r="GZ154" s="596"/>
      <c r="HA154" s="597"/>
      <c r="HB154" s="597"/>
      <c r="HC154" s="597"/>
      <c r="HD154" s="271"/>
      <c r="HE154" s="272"/>
      <c r="HF154" s="272"/>
      <c r="HG154" s="272"/>
      <c r="HH154" s="272"/>
      <c r="HI154" s="272"/>
      <c r="HJ154" s="272"/>
      <c r="HK154" s="272"/>
      <c r="HL154" s="272"/>
      <c r="HM154" s="272"/>
      <c r="HN154" s="272"/>
      <c r="HO154" s="272"/>
      <c r="HP154" s="272"/>
      <c r="HQ154" s="272"/>
      <c r="HR154" s="274"/>
      <c r="HS154" s="275"/>
      <c r="HT154" s="271"/>
      <c r="HU154" s="272"/>
      <c r="HV154" s="272"/>
      <c r="HW154" s="272"/>
      <c r="HX154" s="272"/>
      <c r="HY154" s="272"/>
      <c r="HZ154" s="272"/>
      <c r="IA154" s="272"/>
      <c r="IB154" s="272"/>
      <c r="IC154" s="272"/>
      <c r="ID154" s="272"/>
      <c r="IE154" s="272"/>
      <c r="IF154" s="272"/>
      <c r="IG154" s="274"/>
      <c r="IH154" s="275"/>
      <c r="II154" s="271"/>
      <c r="IJ154" s="272"/>
      <c r="IK154" s="272"/>
      <c r="IL154" s="276"/>
      <c r="IM154" s="277"/>
      <c r="IN154" s="277"/>
      <c r="IO154" s="333"/>
      <c r="IP154" s="334"/>
      <c r="IQ154" s="541"/>
      <c r="IR154" s="542"/>
      <c r="IS154" s="543"/>
      <c r="IT154" s="543"/>
      <c r="IU154" s="543"/>
      <c r="IV154" s="543"/>
      <c r="IW154" s="543"/>
      <c r="IX154" s="544"/>
      <c r="IY154" s="544"/>
      <c r="IZ154" s="543"/>
      <c r="JA154" s="543"/>
      <c r="JB154" s="543"/>
      <c r="JC154" s="543"/>
      <c r="JD154" s="545"/>
      <c r="JE154" s="545"/>
      <c r="JF154" s="546"/>
      <c r="JG154" s="503"/>
      <c r="JH154" s="506"/>
      <c r="JO154" s="507"/>
      <c r="JP154" s="508"/>
      <c r="JQ154" s="508"/>
      <c r="JR154" s="508"/>
      <c r="JS154" s="508"/>
      <c r="JT154" s="508"/>
      <c r="JU154" s="508"/>
      <c r="JV154" s="508"/>
      <c r="JW154" s="508"/>
      <c r="JX154" s="508"/>
      <c r="JY154" s="508"/>
      <c r="JZ154" s="508"/>
      <c r="KA154" s="508"/>
      <c r="KB154" s="508"/>
      <c r="KC154" s="508"/>
      <c r="KD154" s="508"/>
      <c r="KE154" s="508"/>
      <c r="KF154" s="508"/>
      <c r="KG154" s="508"/>
      <c r="KH154" s="508"/>
      <c r="KI154" s="508"/>
      <c r="KJ154" s="508"/>
      <c r="KK154" s="508"/>
      <c r="KL154" s="508"/>
      <c r="KM154" s="508"/>
      <c r="KN154" s="508"/>
      <c r="KO154" s="508"/>
      <c r="KP154" s="508"/>
      <c r="KQ154" s="508"/>
      <c r="KR154" s="508"/>
      <c r="KS154" s="508"/>
      <c r="KT154" s="508"/>
      <c r="KU154" s="508"/>
      <c r="KV154" s="508"/>
      <c r="KW154" s="509"/>
      <c r="KX154" s="277"/>
      <c r="KY154" s="277"/>
    </row>
    <row r="155" spans="1:398" ht="40" customHeight="1">
      <c r="B155" s="299"/>
      <c r="C155" s="242"/>
      <c r="D155" s="242">
        <v>44</v>
      </c>
      <c r="E155" s="243">
        <v>2051</v>
      </c>
      <c r="F155" s="1309" t="s">
        <v>620</v>
      </c>
      <c r="G155" s="382">
        <v>605</v>
      </c>
      <c r="H155" s="382">
        <v>1210</v>
      </c>
      <c r="I155" s="382">
        <v>383</v>
      </c>
      <c r="J155" s="382">
        <v>654</v>
      </c>
      <c r="K155" s="245" t="s">
        <v>621</v>
      </c>
      <c r="L155" s="382">
        <v>589</v>
      </c>
      <c r="M155" s="383">
        <v>1</v>
      </c>
      <c r="N155" s="384" t="s">
        <v>167</v>
      </c>
      <c r="O155" s="384" t="s">
        <v>168</v>
      </c>
      <c r="P155" s="383">
        <v>420</v>
      </c>
      <c r="Q155" s="384" t="s">
        <v>169</v>
      </c>
      <c r="R155" s="384" t="s">
        <v>169</v>
      </c>
      <c r="S155" s="384" t="s">
        <v>169</v>
      </c>
      <c r="T155" s="384" t="s">
        <v>495</v>
      </c>
      <c r="U155" s="385" t="s">
        <v>169</v>
      </c>
      <c r="V155" s="378" t="s">
        <v>172</v>
      </c>
      <c r="W155" s="378"/>
      <c r="X155" s="462" t="s">
        <v>292</v>
      </c>
      <c r="Y155" s="462" t="s">
        <v>292</v>
      </c>
      <c r="Z155" s="378"/>
      <c r="AA155" s="386" t="s">
        <v>622</v>
      </c>
      <c r="AB155" s="1208" t="s">
        <v>613</v>
      </c>
      <c r="AC155" s="388">
        <v>718</v>
      </c>
      <c r="AD155" s="389">
        <f>SUM(AC155,AC156)</f>
        <v>826</v>
      </c>
      <c r="AE155" s="465" t="s">
        <v>295</v>
      </c>
      <c r="AF155" s="466" t="s">
        <v>296</v>
      </c>
      <c r="AG155" s="467">
        <f>FP155</f>
        <v>12352120.000000002</v>
      </c>
      <c r="AH155" s="468">
        <f>FQ155</f>
        <v>4100</v>
      </c>
      <c r="AI155" s="468">
        <f>FR155</f>
        <v>0</v>
      </c>
      <c r="AJ155" s="469">
        <v>0.98599999999999999</v>
      </c>
      <c r="AK155" s="468">
        <f>16000*1.1</f>
        <v>17600</v>
      </c>
      <c r="AL155" s="469">
        <f>AM155/AT155</f>
        <v>0.54572008691625395</v>
      </c>
      <c r="AM155" s="468">
        <f>16000*1.1</f>
        <v>17600</v>
      </c>
      <c r="AN155" s="626" t="s">
        <v>297</v>
      </c>
      <c r="AO155" s="468">
        <f>1200*1.1</f>
        <v>1320</v>
      </c>
      <c r="AP155" s="467">
        <f t="shared" ref="AP155:AQ155" si="23">FS155</f>
        <v>383</v>
      </c>
      <c r="AQ155" s="467">
        <f t="shared" si="23"/>
        <v>654</v>
      </c>
      <c r="AR155" s="474">
        <f>DM155/(BX155-2)</f>
        <v>509.5</v>
      </c>
      <c r="AS155" s="475">
        <f>AG155/AR155</f>
        <v>24243.611383709522</v>
      </c>
      <c r="AT155" s="476">
        <f>AG155/AP155</f>
        <v>32250.966057441259</v>
      </c>
      <c r="AU155" s="475">
        <f>AG155/AQ155</f>
        <v>18887.033639143734</v>
      </c>
      <c r="AV155" s="477">
        <v>26000</v>
      </c>
      <c r="AW155" s="477">
        <v>48000</v>
      </c>
      <c r="AX155" s="467">
        <f>GA155</f>
        <v>99440.000000000015</v>
      </c>
      <c r="AY155" s="467">
        <f>GB155</f>
        <v>1</v>
      </c>
      <c r="AZ155" s="478">
        <f>GC155</f>
        <v>195017680.00000003</v>
      </c>
      <c r="BA155" s="478">
        <f>GD155</f>
        <v>1852070.0000000002</v>
      </c>
      <c r="BB155" s="478"/>
      <c r="BC155" s="478">
        <f>AH155*DM155</f>
        <v>33423200</v>
      </c>
      <c r="BD155" s="479">
        <f>1.1*(61584000-25688000)</f>
        <v>39485600</v>
      </c>
      <c r="BE155" s="479">
        <f>BD155-21000*DM155*0.6</f>
        <v>-63229600</v>
      </c>
      <c r="BF155" s="479">
        <f>1.1*40608000</f>
        <v>44668800</v>
      </c>
      <c r="BG155" s="479">
        <f>BF155-0</f>
        <v>44668800</v>
      </c>
      <c r="BH155" s="479">
        <f>1.1*2310000</f>
        <v>2541000</v>
      </c>
      <c r="BI155" s="480">
        <f>200*DM155</f>
        <v>1630400</v>
      </c>
      <c r="BJ155" s="480">
        <f>GK155</f>
        <v>0</v>
      </c>
      <c r="BK155" s="480">
        <f>BM155*5000*BX155</f>
        <v>450000</v>
      </c>
      <c r="BL155" s="480">
        <f>1800000*BN155*BX155</f>
        <v>64800000</v>
      </c>
      <c r="BM155" s="480">
        <f>GP155</f>
        <v>5</v>
      </c>
      <c r="BN155" s="480">
        <f>GQ155</f>
        <v>2</v>
      </c>
      <c r="BO155" s="481"/>
      <c r="BP155" s="481">
        <f>SUM(AZ155,BA155,BI155,BO155)</f>
        <v>198500150.00000003</v>
      </c>
      <c r="BQ155" s="481">
        <f>BP155-GR155</f>
        <v>353000</v>
      </c>
      <c r="BR155" s="554"/>
      <c r="BS155" s="555" t="s">
        <v>175</v>
      </c>
      <c r="BT155" s="484">
        <f>GU155</f>
        <v>46279</v>
      </c>
      <c r="BU155" s="484">
        <f>GV155</f>
        <v>46297</v>
      </c>
      <c r="BV155" s="666">
        <f>IFERROR(INDEX($BY$9:$DH$9, MATCH("準備", BY155:DK155, 0)), "")</f>
        <v>46279</v>
      </c>
      <c r="BW155" s="667" cm="1">
        <f t="array" ref="BW155">IF(COUNTIF(BY155:DK155,"*撤去*")=0,"",INDEX(BY$9:DK$9,1,MAX(IF(CC155:DK155="撤去",COLUMN(CC155:DK155)-COLUMN(BY155)+1))))</f>
        <v>46297</v>
      </c>
      <c r="BX155" s="663">
        <f>BW155-BV155</f>
        <v>18</v>
      </c>
      <c r="BY155" s="556">
        <v>0</v>
      </c>
      <c r="BZ155" s="557">
        <v>0</v>
      </c>
      <c r="CA155" s="557">
        <v>0</v>
      </c>
      <c r="CB155" s="557">
        <v>0</v>
      </c>
      <c r="CC155" s="487">
        <v>0</v>
      </c>
      <c r="CD155" s="488">
        <v>0</v>
      </c>
      <c r="CE155" s="488">
        <v>0</v>
      </c>
      <c r="CF155" s="488">
        <v>0</v>
      </c>
      <c r="CG155" s="488">
        <v>0</v>
      </c>
      <c r="CH155" s="488">
        <v>0</v>
      </c>
      <c r="CI155" s="488">
        <v>0</v>
      </c>
      <c r="CJ155" s="488">
        <v>0</v>
      </c>
      <c r="CK155" s="488">
        <v>0</v>
      </c>
      <c r="CL155" s="488">
        <v>0</v>
      </c>
      <c r="CM155" s="400" t="s">
        <v>177</v>
      </c>
      <c r="CN155" s="400" t="s">
        <v>177</v>
      </c>
      <c r="CO155" s="488">
        <v>718</v>
      </c>
      <c r="CP155" s="488">
        <v>718</v>
      </c>
      <c r="CQ155" s="403">
        <v>718</v>
      </c>
      <c r="CR155" s="404">
        <v>718</v>
      </c>
      <c r="CS155" s="487">
        <v>718</v>
      </c>
      <c r="CT155" s="488">
        <v>718</v>
      </c>
      <c r="CU155" s="488">
        <v>826</v>
      </c>
      <c r="CV155" s="488">
        <v>826</v>
      </c>
      <c r="CW155" s="488">
        <v>826</v>
      </c>
      <c r="CX155" s="488">
        <v>826</v>
      </c>
      <c r="CY155" s="488">
        <v>108</v>
      </c>
      <c r="CZ155" s="488">
        <v>108</v>
      </c>
      <c r="DA155" s="488">
        <v>108</v>
      </c>
      <c r="DB155" s="488">
        <v>108</v>
      </c>
      <c r="DC155" s="488">
        <v>108</v>
      </c>
      <c r="DD155" s="488">
        <v>0</v>
      </c>
      <c r="DE155" s="406" t="s">
        <v>178</v>
      </c>
      <c r="DF155" s="403">
        <v>0</v>
      </c>
      <c r="DG155" s="404">
        <v>0</v>
      </c>
      <c r="DH155" s="487">
        <v>0</v>
      </c>
      <c r="DI155" s="488">
        <v>0</v>
      </c>
      <c r="DJ155" s="488">
        <v>0</v>
      </c>
      <c r="DK155" s="407">
        <v>0</v>
      </c>
      <c r="DL155" s="277"/>
      <c r="DM155" s="277" cm="1">
        <f t="array" ref="DM155">SUM(IF(ISNUMBER($BY155:$DK155),$BY155:$DK155, 0))</f>
        <v>8152</v>
      </c>
      <c r="DN155" s="559"/>
      <c r="DO155" s="277">
        <f>DM155*(BX155)/(BX155+1)</f>
        <v>7722.9473684210525</v>
      </c>
      <c r="DP155" s="277"/>
      <c r="DQ155" s="386" t="s">
        <v>622</v>
      </c>
      <c r="DR155" s="1208" t="s">
        <v>613</v>
      </c>
      <c r="DS155" s="388">
        <v>497</v>
      </c>
      <c r="DT155" s="389">
        <f>SUM(DS155,DS156)</f>
        <v>589</v>
      </c>
      <c r="DU155" s="467">
        <v>12352120.000000002</v>
      </c>
      <c r="DV155" s="467">
        <v>99440.000000000015</v>
      </c>
      <c r="DW155" s="478">
        <v>195017680.00000003</v>
      </c>
      <c r="DX155" s="478">
        <v>1852070.0000000002</v>
      </c>
      <c r="DY155" s="478">
        <v>0</v>
      </c>
      <c r="DZ155" s="478">
        <v>67446720</v>
      </c>
      <c r="EA155" s="478">
        <v>44964480</v>
      </c>
      <c r="EB155" s="478">
        <v>2529252</v>
      </c>
      <c r="EC155" s="480">
        <v>1277400</v>
      </c>
      <c r="ED155" s="480">
        <v>0</v>
      </c>
      <c r="EE155" s="480">
        <v>450000</v>
      </c>
      <c r="EF155" s="480">
        <v>64800000</v>
      </c>
      <c r="EG155" s="481"/>
      <c r="EH155" s="481">
        <v>198147150.00000003</v>
      </c>
      <c r="EI155" s="484">
        <v>46279</v>
      </c>
      <c r="EJ155" s="484">
        <v>46297</v>
      </c>
      <c r="EK155" s="666">
        <v>46279</v>
      </c>
      <c r="EL155" s="667">
        <v>46297</v>
      </c>
      <c r="EM155" s="663">
        <v>18</v>
      </c>
      <c r="EN155" s="277"/>
      <c r="EO155" s="386" t="s">
        <v>622</v>
      </c>
      <c r="EP155" s="408" t="s">
        <v>613</v>
      </c>
      <c r="EQ155" s="985">
        <v>497</v>
      </c>
      <c r="ER155" s="491">
        <v>589</v>
      </c>
      <c r="ES155" s="245">
        <v>589</v>
      </c>
      <c r="ET155" s="245">
        <v>589</v>
      </c>
      <c r="EU155" s="245">
        <v>647</v>
      </c>
      <c r="EV155" s="411" t="s">
        <v>623</v>
      </c>
      <c r="EW155" s="412">
        <v>1.2</v>
      </c>
      <c r="EX155" s="413">
        <v>4</v>
      </c>
      <c r="EY155" s="414" t="s">
        <v>188</v>
      </c>
      <c r="EZ155" s="492">
        <v>1.2</v>
      </c>
      <c r="FA155" s="493">
        <v>4</v>
      </c>
      <c r="FB155" s="414" t="s">
        <v>189</v>
      </c>
      <c r="FC155" s="492"/>
      <c r="FD155" s="493"/>
      <c r="FE155" s="494" t="s">
        <v>189</v>
      </c>
      <c r="FF155" s="492"/>
      <c r="FG155" s="493"/>
      <c r="FH155" s="494" t="s">
        <v>189</v>
      </c>
      <c r="FI155" s="492"/>
      <c r="FJ155" s="495"/>
      <c r="FK155" s="289">
        <v>621</v>
      </c>
      <c r="FL155" s="497">
        <v>0.51322314049586781</v>
      </c>
      <c r="FM155" s="498" t="s">
        <v>624</v>
      </c>
      <c r="FN155" s="561" t="s">
        <v>300</v>
      </c>
      <c r="FO155" s="466" t="s">
        <v>296</v>
      </c>
      <c r="FP155" s="562">
        <v>12352120.000000002</v>
      </c>
      <c r="FQ155" s="1203">
        <v>4100</v>
      </c>
      <c r="FR155" s="468">
        <v>0</v>
      </c>
      <c r="FS155" s="562">
        <v>383</v>
      </c>
      <c r="FT155" s="965">
        <v>654</v>
      </c>
      <c r="FU155" s="261">
        <v>399.1875</v>
      </c>
      <c r="FV155" s="394">
        <v>30943.153280100207</v>
      </c>
      <c r="FW155" s="390">
        <v>32250.966057441259</v>
      </c>
      <c r="FX155" s="394">
        <v>18887.033639143734</v>
      </c>
      <c r="FY155" s="564">
        <v>46090</v>
      </c>
      <c r="FZ155" s="564">
        <v>46090</v>
      </c>
      <c r="GA155" s="562">
        <v>99440.000000000015</v>
      </c>
      <c r="GB155" s="562">
        <v>1</v>
      </c>
      <c r="GC155" s="565">
        <v>195017680.00000003</v>
      </c>
      <c r="GD155" s="565">
        <v>1852070.0000000002</v>
      </c>
      <c r="GE155" s="565">
        <v>195017680.00000003</v>
      </c>
      <c r="GF155" s="565">
        <v>1852070.0000000002</v>
      </c>
      <c r="GG155" s="478">
        <v>0</v>
      </c>
      <c r="GH155" s="478">
        <v>0</v>
      </c>
      <c r="GI155" s="478">
        <v>0</v>
      </c>
      <c r="GJ155" s="565">
        <v>1277400</v>
      </c>
      <c r="GK155" s="566"/>
      <c r="GL155" s="566"/>
      <c r="GM155" s="480">
        <v>0</v>
      </c>
      <c r="GN155" s="480">
        <v>425000</v>
      </c>
      <c r="GO155" s="480">
        <v>64800000</v>
      </c>
      <c r="GP155" s="566">
        <v>5</v>
      </c>
      <c r="GQ155" s="566">
        <v>2</v>
      </c>
      <c r="GR155" s="966">
        <v>198147150.00000003</v>
      </c>
      <c r="GS155" s="567">
        <v>63321125.99999997</v>
      </c>
      <c r="GT155" s="555" t="s">
        <v>175</v>
      </c>
      <c r="GU155" s="568">
        <v>46279</v>
      </c>
      <c r="GV155" s="568">
        <v>46297</v>
      </c>
      <c r="GW155" s="666">
        <v>46279</v>
      </c>
      <c r="GX155" s="667">
        <v>46297</v>
      </c>
      <c r="GY155" s="663">
        <v>18</v>
      </c>
      <c r="GZ155" s="556"/>
      <c r="HA155" s="557"/>
      <c r="HB155" s="557"/>
      <c r="HC155" s="557"/>
      <c r="HD155" s="487">
        <v>0</v>
      </c>
      <c r="HE155" s="488">
        <v>0</v>
      </c>
      <c r="HF155" s="488">
        <v>0</v>
      </c>
      <c r="HG155" s="488">
        <v>0</v>
      </c>
      <c r="HH155" s="488">
        <v>0</v>
      </c>
      <c r="HI155" s="488">
        <v>0</v>
      </c>
      <c r="HJ155" s="488">
        <v>0</v>
      </c>
      <c r="HK155" s="488">
        <v>0</v>
      </c>
      <c r="HL155" s="488">
        <v>0</v>
      </c>
      <c r="HM155" s="488">
        <v>0</v>
      </c>
      <c r="HN155" s="400" t="s">
        <v>177</v>
      </c>
      <c r="HO155" s="400" t="s">
        <v>177</v>
      </c>
      <c r="HP155" s="488">
        <v>497</v>
      </c>
      <c r="HQ155" s="488">
        <v>497</v>
      </c>
      <c r="HR155" s="403">
        <v>497</v>
      </c>
      <c r="HS155" s="404">
        <v>497</v>
      </c>
      <c r="HT155" s="487">
        <v>497</v>
      </c>
      <c r="HU155" s="488">
        <v>497</v>
      </c>
      <c r="HV155" s="488">
        <v>589</v>
      </c>
      <c r="HW155" s="488">
        <v>589</v>
      </c>
      <c r="HX155" s="488">
        <v>589</v>
      </c>
      <c r="HY155" s="488">
        <v>589</v>
      </c>
      <c r="HZ155" s="488">
        <v>589</v>
      </c>
      <c r="IA155" s="488">
        <v>92</v>
      </c>
      <c r="IB155" s="488">
        <v>92</v>
      </c>
      <c r="IC155" s="488">
        <v>92</v>
      </c>
      <c r="ID155" s="488">
        <v>92</v>
      </c>
      <c r="IE155" s="488">
        <v>92</v>
      </c>
      <c r="IF155" s="406" t="s">
        <v>178</v>
      </c>
      <c r="IG155" s="403">
        <v>0</v>
      </c>
      <c r="IH155" s="404">
        <v>0</v>
      </c>
      <c r="II155" s="487">
        <v>0</v>
      </c>
      <c r="IJ155" s="488">
        <v>0</v>
      </c>
      <c r="IK155" s="488">
        <v>0</v>
      </c>
      <c r="IL155" s="407">
        <v>0</v>
      </c>
      <c r="IM155" s="277"/>
      <c r="IN155" s="277" cm="1">
        <f t="array" ref="IN155">SUM(IF(ISNUMBER($HD155:$IL155),$HD155:$IL155, 0))</f>
        <v>6387</v>
      </c>
      <c r="IO155" s="333"/>
      <c r="IP155" s="334"/>
      <c r="IQ155" s="541"/>
      <c r="IR155" s="569">
        <f>VLOOKUP($E155,[1]アジアResults1031!$A$1:$CH$259,23,FALSE)</f>
        <v>10152915</v>
      </c>
      <c r="IS155" s="570">
        <f>VLOOKUP($E155,[1]アジアResults1031!$A$1:$CH$259,32,FALSE)</f>
        <v>207</v>
      </c>
      <c r="IT155" s="570">
        <f>KY155/(GY155-2)</f>
        <v>517.5</v>
      </c>
      <c r="IU155" s="570">
        <f>IR155/IT155</f>
        <v>19619.159420289856</v>
      </c>
      <c r="IV155" s="570">
        <f>VLOOKUP(E155,[1]アジアResults1031!$A$1:$CH$264,26,FALSE)</f>
        <v>44589</v>
      </c>
      <c r="IW155" s="570">
        <f>VLOOKUP(E155,[1]アジアResults1031!$A$1:$CH$264,27,FALSE)</f>
        <v>44589</v>
      </c>
      <c r="IX155" s="571">
        <f>VLOOKUP($E155,[1]アジアResults1031!$A$1:$CH$259,18,FALSE)</f>
        <v>1673943</v>
      </c>
      <c r="IY155" s="571">
        <f>VLOOKUP($E155,[1]アジアResults1031!$A$1:$CH$259,9,FALSE)</f>
        <v>3</v>
      </c>
      <c r="IZ155" s="570">
        <f>IR155*JF155</f>
        <v>223364130</v>
      </c>
      <c r="JA155" s="570">
        <f>IX155*JF155</f>
        <v>36826746</v>
      </c>
      <c r="JB155" s="570"/>
      <c r="JC155" s="570"/>
      <c r="JD155" s="572">
        <f>IFERROR(INDEX($JO$9:$KW$9, MATCH("準備", JO155:KW155, 0)), "")</f>
        <v>46277</v>
      </c>
      <c r="JE155" s="572" cm="1">
        <f t="array" ref="JE155">IF(COUNTIF(JO155:KW155,"*撤去*")=0,"",INDEX(JO$9:KW$9,1,MAX(IF(JO155:KW155="撤去",COLUMN(JO155:KW155)-COLUMN(JO155)+1))))</f>
        <v>46299</v>
      </c>
      <c r="JF155" s="573">
        <f>JE155-JD155</f>
        <v>22</v>
      </c>
      <c r="JG155" s="503">
        <v>10494693</v>
      </c>
      <c r="JH155" s="506">
        <v>1673943</v>
      </c>
      <c r="JO155" s="507"/>
      <c r="JP155" s="508"/>
      <c r="JQ155" s="508"/>
      <c r="JR155" s="508"/>
      <c r="JS155" s="508"/>
      <c r="JT155" s="508"/>
      <c r="JU155" s="508"/>
      <c r="JV155" s="508"/>
      <c r="JW155" s="400" t="s">
        <v>177</v>
      </c>
      <c r="JX155" s="400" t="s">
        <v>177</v>
      </c>
      <c r="JY155" s="508">
        <v>138</v>
      </c>
      <c r="JZ155" s="508">
        <v>138</v>
      </c>
      <c r="KA155" s="508">
        <v>568</v>
      </c>
      <c r="KB155" s="508">
        <v>568</v>
      </c>
      <c r="KC155" s="508">
        <v>568</v>
      </c>
      <c r="KD155" s="508">
        <v>568</v>
      </c>
      <c r="KE155" s="508">
        <v>568</v>
      </c>
      <c r="KF155" s="508">
        <v>568</v>
      </c>
      <c r="KG155" s="508">
        <v>647</v>
      </c>
      <c r="KH155" s="508">
        <v>647</v>
      </c>
      <c r="KI155" s="508">
        <v>647</v>
      </c>
      <c r="KJ155" s="508">
        <v>647</v>
      </c>
      <c r="KK155" s="508">
        <v>647</v>
      </c>
      <c r="KL155" s="508">
        <v>217</v>
      </c>
      <c r="KM155" s="508">
        <v>217</v>
      </c>
      <c r="KN155" s="508">
        <v>217</v>
      </c>
      <c r="KO155" s="508">
        <v>217</v>
      </c>
      <c r="KP155" s="508">
        <v>217</v>
      </c>
      <c r="KQ155" s="508">
        <v>138</v>
      </c>
      <c r="KR155" s="508">
        <v>138</v>
      </c>
      <c r="KS155" s="406" t="s">
        <v>178</v>
      </c>
      <c r="KT155" s="508"/>
      <c r="KU155" s="508"/>
      <c r="KV155" s="508"/>
      <c r="KW155" s="509"/>
      <c r="KX155" s="277"/>
      <c r="KY155" s="277" cm="1">
        <f t="array" ref="KY155">SUM(IF(ISNUMBER($JO155:$KW155),$JO155:$KW155, 0))</f>
        <v>8280</v>
      </c>
    </row>
    <row r="156" spans="1:398" ht="40" customHeight="1" thickBot="1">
      <c r="B156" s="1310"/>
      <c r="C156" s="1311"/>
      <c r="D156" s="1312"/>
      <c r="E156" s="1313" t="s">
        <v>165</v>
      </c>
      <c r="F156" s="1314"/>
      <c r="G156" s="1315">
        <v>0</v>
      </c>
      <c r="H156" s="1315">
        <v>0</v>
      </c>
      <c r="I156" s="1315">
        <v>0</v>
      </c>
      <c r="J156" s="1315">
        <v>0</v>
      </c>
      <c r="K156" s="1315"/>
      <c r="L156" s="1315">
        <v>0</v>
      </c>
      <c r="M156" s="1316">
        <v>0</v>
      </c>
      <c r="N156" s="1317">
        <v>0</v>
      </c>
      <c r="O156" s="1317">
        <v>0</v>
      </c>
      <c r="P156" s="1316">
        <v>0</v>
      </c>
      <c r="Q156" s="1317">
        <v>0</v>
      </c>
      <c r="R156" s="1317">
        <v>0</v>
      </c>
      <c r="S156" s="1317">
        <v>0</v>
      </c>
      <c r="T156" s="1317">
        <v>0</v>
      </c>
      <c r="U156" s="1318" t="s">
        <v>165</v>
      </c>
      <c r="V156" s="1312"/>
      <c r="W156" s="1312"/>
      <c r="X156" s="1312"/>
      <c r="Y156" s="1312"/>
      <c r="Z156" s="1312"/>
      <c r="AA156" s="1319" t="s">
        <v>625</v>
      </c>
      <c r="AB156" s="1320" t="s">
        <v>613</v>
      </c>
      <c r="AC156" s="1321">
        <v>108</v>
      </c>
      <c r="AD156" s="1322"/>
      <c r="AE156" s="1323"/>
      <c r="AF156" s="1324"/>
      <c r="AG156" s="1324"/>
      <c r="AH156" s="1324"/>
      <c r="AI156" s="1324"/>
      <c r="AJ156" s="1324"/>
      <c r="AK156" s="1324"/>
      <c r="AL156" s="1324"/>
      <c r="AM156" s="1324"/>
      <c r="AN156" s="1324"/>
      <c r="AO156" s="1324"/>
      <c r="AP156" s="1324"/>
      <c r="AQ156" s="1324"/>
      <c r="AR156" s="1324"/>
      <c r="AS156" s="1325"/>
      <c r="AT156" s="1324"/>
      <c r="AU156" s="1325"/>
      <c r="AV156" s="1324"/>
      <c r="AW156" s="1324"/>
      <c r="AX156" s="1324"/>
      <c r="AY156" s="1324"/>
      <c r="AZ156" s="1324"/>
      <c r="BA156" s="1324"/>
      <c r="BB156" s="1324"/>
      <c r="BC156" s="1324"/>
      <c r="BD156" s="1324"/>
      <c r="BE156" s="1324"/>
      <c r="BF156" s="1324"/>
      <c r="BG156" s="1324"/>
      <c r="BH156" s="1324"/>
      <c r="BI156" s="1324"/>
      <c r="BJ156" s="1324"/>
      <c r="BK156" s="1324"/>
      <c r="BL156" s="1324"/>
      <c r="BM156" s="1324"/>
      <c r="BN156" s="1324"/>
      <c r="BO156" s="1324"/>
      <c r="BP156" s="1324"/>
      <c r="BQ156" s="1324"/>
      <c r="BR156" s="1326"/>
      <c r="BS156" s="1327"/>
      <c r="BT156" s="1327"/>
      <c r="BU156" s="1327"/>
      <c r="BV156" s="1327"/>
      <c r="BW156" s="1327"/>
      <c r="BX156" s="1328"/>
      <c r="BY156" s="820" t="s">
        <v>246</v>
      </c>
      <c r="BZ156" s="821" t="s">
        <v>247</v>
      </c>
      <c r="CA156" s="1329"/>
      <c r="CB156" s="1329"/>
      <c r="CC156" s="1330"/>
      <c r="CD156" s="1331"/>
      <c r="CE156" s="1331"/>
      <c r="CF156" s="1331"/>
      <c r="CG156" s="1331"/>
      <c r="CH156" s="1331"/>
      <c r="CI156" s="1331"/>
      <c r="CJ156" s="1331"/>
      <c r="CK156" s="1331"/>
      <c r="CL156" s="1331"/>
      <c r="CM156" s="1332">
        <v>0</v>
      </c>
      <c r="CN156" s="1332">
        <v>0</v>
      </c>
      <c r="CO156" s="1332">
        <v>0</v>
      </c>
      <c r="CP156" s="1332">
        <v>0</v>
      </c>
      <c r="CQ156" s="1333">
        <v>0</v>
      </c>
      <c r="CR156" s="1334">
        <v>0</v>
      </c>
      <c r="CS156" s="1335">
        <v>0</v>
      </c>
      <c r="CT156" s="1332">
        <v>0</v>
      </c>
      <c r="CU156" s="1332">
        <v>0</v>
      </c>
      <c r="CV156" s="1332">
        <v>0</v>
      </c>
      <c r="CW156" s="1332">
        <v>0</v>
      </c>
      <c r="CX156" s="1332">
        <v>0</v>
      </c>
      <c r="CY156" s="1332">
        <v>0</v>
      </c>
      <c r="CZ156" s="1332">
        <v>0</v>
      </c>
      <c r="DA156" s="1332">
        <v>0</v>
      </c>
      <c r="DB156" s="1332">
        <v>0</v>
      </c>
      <c r="DC156" s="1332">
        <v>0</v>
      </c>
      <c r="DD156" s="1332">
        <v>0</v>
      </c>
      <c r="DE156" s="1332">
        <v>0</v>
      </c>
      <c r="DF156" s="1336"/>
      <c r="DG156" s="1337"/>
      <c r="DH156" s="1330"/>
      <c r="DI156" s="1331"/>
      <c r="DJ156" s="1331"/>
      <c r="DK156" s="1338"/>
      <c r="DL156" s="277"/>
      <c r="DM156" s="559">
        <f>SUM(DM50:DM155)</f>
        <v>136770</v>
      </c>
      <c r="DN156" s="559"/>
      <c r="DO156" s="277"/>
      <c r="DP156" s="277"/>
      <c r="DQ156" s="1319" t="s">
        <v>625</v>
      </c>
      <c r="DR156" s="1320" t="s">
        <v>613</v>
      </c>
      <c r="DS156" s="1321">
        <v>92</v>
      </c>
      <c r="DT156" s="1322"/>
      <c r="DU156" s="1324"/>
      <c r="DV156" s="1324"/>
      <c r="DW156" s="1324"/>
      <c r="DX156" s="1324"/>
      <c r="DY156" s="1324"/>
      <c r="DZ156" s="1324"/>
      <c r="EA156" s="1324"/>
      <c r="EB156" s="1324"/>
      <c r="EC156" s="1324"/>
      <c r="ED156" s="1324"/>
      <c r="EE156" s="1324"/>
      <c r="EF156" s="1324"/>
      <c r="EG156" s="1324"/>
      <c r="EH156" s="1324"/>
      <c r="EI156" s="1327"/>
      <c r="EJ156" s="1327"/>
      <c r="EK156" s="1327"/>
      <c r="EL156" s="1327"/>
      <c r="EM156" s="1328"/>
      <c r="EN156" s="277"/>
      <c r="EO156" s="1319" t="s">
        <v>625</v>
      </c>
      <c r="EP156" s="1339" t="s">
        <v>613</v>
      </c>
      <c r="EQ156" s="1340">
        <v>92</v>
      </c>
      <c r="ER156" s="1341"/>
      <c r="ES156" s="1341"/>
      <c r="ET156" s="1341"/>
      <c r="EU156" s="1341"/>
      <c r="EV156" s="1342" t="s">
        <v>623</v>
      </c>
      <c r="EW156" s="1343">
        <v>1.2</v>
      </c>
      <c r="EX156" s="1344">
        <v>4</v>
      </c>
      <c r="EY156" s="1345" t="s">
        <v>188</v>
      </c>
      <c r="EZ156" s="1346">
        <v>1.2</v>
      </c>
      <c r="FA156" s="1347">
        <v>4</v>
      </c>
      <c r="FB156" s="1345" t="s">
        <v>189</v>
      </c>
      <c r="FC156" s="1346"/>
      <c r="FD156" s="1347"/>
      <c r="FE156" s="1348" t="s">
        <v>189</v>
      </c>
      <c r="FF156" s="1346"/>
      <c r="FG156" s="1347"/>
      <c r="FH156" s="1348" t="s">
        <v>189</v>
      </c>
      <c r="FI156" s="1346"/>
      <c r="FJ156" s="1349"/>
      <c r="FK156" s="1350"/>
      <c r="FL156" s="1351"/>
      <c r="FM156" s="1352"/>
      <c r="FN156" s="1323"/>
      <c r="FO156" s="1324"/>
      <c r="FP156" s="1324"/>
      <c r="FQ156" s="1324"/>
      <c r="FR156" s="1324"/>
      <c r="FS156" s="1324"/>
      <c r="FT156" s="1324"/>
      <c r="FU156" s="1324"/>
      <c r="FV156" s="1325"/>
      <c r="FW156" s="1324"/>
      <c r="FX156" s="1325"/>
      <c r="FY156" s="1324"/>
      <c r="FZ156" s="1324"/>
      <c r="GA156" s="1324"/>
      <c r="GB156" s="1324"/>
      <c r="GC156" s="1324"/>
      <c r="GD156" s="1324"/>
      <c r="GE156" s="1324"/>
      <c r="GF156" s="1324"/>
      <c r="GG156" s="1324"/>
      <c r="GH156" s="1324"/>
      <c r="GI156" s="1324"/>
      <c r="GJ156" s="1324"/>
      <c r="GK156" s="1324"/>
      <c r="GL156" s="1324"/>
      <c r="GM156" s="1324"/>
      <c r="GN156" s="1324"/>
      <c r="GO156" s="1324"/>
      <c r="GP156" s="1324"/>
      <c r="GQ156" s="1324"/>
      <c r="GR156" s="1324"/>
      <c r="GS156" s="1324"/>
      <c r="GT156" s="1327"/>
      <c r="GU156" s="1327"/>
      <c r="GV156" s="1327"/>
      <c r="GW156" s="1327"/>
      <c r="GX156" s="1327"/>
      <c r="GY156" s="1328"/>
      <c r="GZ156" s="1353"/>
      <c r="HA156" s="1329"/>
      <c r="HB156" s="1329"/>
      <c r="HC156" s="1329"/>
      <c r="HD156" s="1330"/>
      <c r="HE156" s="1331"/>
      <c r="HF156" s="1331"/>
      <c r="HG156" s="1331"/>
      <c r="HH156" s="1331"/>
      <c r="HI156" s="1331"/>
      <c r="HJ156" s="1331"/>
      <c r="HK156" s="1331"/>
      <c r="HL156" s="1331"/>
      <c r="HM156" s="1331"/>
      <c r="HN156" s="1331"/>
      <c r="HO156" s="1331"/>
      <c r="HP156" s="1331"/>
      <c r="HQ156" s="1331"/>
      <c r="HR156" s="1336"/>
      <c r="HS156" s="1354"/>
      <c r="HT156" s="1330"/>
      <c r="HU156" s="1331"/>
      <c r="HV156" s="1331"/>
      <c r="HW156" s="1331"/>
      <c r="HX156" s="1331"/>
      <c r="HY156" s="1331"/>
      <c r="HZ156" s="1331"/>
      <c r="IA156" s="1331"/>
      <c r="IB156" s="1331"/>
      <c r="IC156" s="1331"/>
      <c r="ID156" s="1331"/>
      <c r="IE156" s="1331"/>
      <c r="IF156" s="1331"/>
      <c r="IG156" s="1336"/>
      <c r="IH156" s="1354"/>
      <c r="II156" s="1330"/>
      <c r="IJ156" s="1331"/>
      <c r="IK156" s="1331"/>
      <c r="IL156" s="1338"/>
      <c r="IM156" s="277"/>
      <c r="IN156" s="559">
        <f>SUM(IN50:IN155)</f>
        <v>119382</v>
      </c>
      <c r="IO156" s="1355"/>
      <c r="IP156" s="1356"/>
      <c r="IQ156" s="541"/>
      <c r="IR156" s="542"/>
      <c r="IS156" s="543"/>
      <c r="IT156" s="543"/>
      <c r="IU156" s="543"/>
      <c r="IV156" s="543"/>
      <c r="IW156" s="543"/>
      <c r="IX156" s="544"/>
      <c r="IY156" s="544"/>
      <c r="IZ156" s="543"/>
      <c r="JA156" s="543"/>
      <c r="JB156" s="543"/>
      <c r="JC156" s="543"/>
      <c r="JD156" s="545"/>
      <c r="JE156" s="545"/>
      <c r="JF156" s="546"/>
      <c r="JG156" s="503"/>
      <c r="JH156" s="506"/>
      <c r="JO156" s="335"/>
      <c r="KW156" s="296"/>
      <c r="KX156" s="277"/>
      <c r="KY156" s="277"/>
    </row>
    <row r="157" spans="1:398" s="1181" customFormat="1" ht="45.75" customHeight="1" thickTop="1">
      <c r="B157" s="1357"/>
      <c r="C157" s="1357"/>
      <c r="D157" s="1357"/>
      <c r="E157" s="1357"/>
      <c r="F157" s="1358"/>
      <c r="G157" s="1359"/>
      <c r="H157" s="1359"/>
      <c r="I157" s="1360"/>
      <c r="J157" s="1361"/>
      <c r="K157" s="1361"/>
      <c r="L157" s="1361"/>
      <c r="M157" s="1361"/>
      <c r="N157" s="1361"/>
      <c r="O157" s="1361"/>
      <c r="P157" s="1362"/>
      <c r="Q157" s="1363" t="s">
        <v>626</v>
      </c>
      <c r="R157" s="1364"/>
      <c r="S157" s="1364"/>
      <c r="T157" s="1365"/>
      <c r="U157" s="1366">
        <v>1</v>
      </c>
      <c r="V157" s="1357"/>
      <c r="W157" s="1357"/>
      <c r="X157" s="1357"/>
      <c r="Y157" s="1357"/>
      <c r="Z157" s="1357"/>
      <c r="AA157" s="1367"/>
      <c r="AC157" s="1187"/>
      <c r="AD157" s="1368">
        <f>SUBTOTAL(9,AD50:AD156)</f>
        <v>11587</v>
      </c>
      <c r="AE157" s="1369"/>
      <c r="AF157" s="1369"/>
      <c r="AG157" s="1369"/>
      <c r="AH157" s="1369"/>
      <c r="AI157" s="1369"/>
      <c r="AJ157" s="1369"/>
      <c r="AK157" s="1369"/>
      <c r="AL157" s="1369"/>
      <c r="AM157" s="1369"/>
      <c r="AN157" s="1369"/>
      <c r="AO157" s="1369"/>
      <c r="AP157" s="1368">
        <f>SUBTOTAL(109,AP50:AP156)</f>
        <v>7383</v>
      </c>
      <c r="AQ157" s="1368">
        <f>SUBTOTAL(109,AQ50:AQ156)</f>
        <v>10910</v>
      </c>
      <c r="AR157" s="1369"/>
      <c r="AS157" s="1369"/>
      <c r="AT157" s="1369"/>
      <c r="AU157" s="1369"/>
      <c r="AV157" s="1369"/>
      <c r="AW157" s="1369"/>
      <c r="AX157" s="258"/>
      <c r="AY157" s="258"/>
      <c r="AZ157" s="258"/>
      <c r="BA157" s="258"/>
      <c r="BB157" s="258"/>
      <c r="BC157" s="258"/>
      <c r="BD157" s="258">
        <f>SUM(BD50:BD156)</f>
        <v>1617944376.2</v>
      </c>
      <c r="BE157" s="258"/>
      <c r="BF157" s="258">
        <f>SUM(BF50:BF156)</f>
        <v>1112271703.7</v>
      </c>
      <c r="BG157" s="258"/>
      <c r="BH157" s="258">
        <f>SUM(BH50:BH156)</f>
        <v>84138950.799999997</v>
      </c>
      <c r="BI157" s="258"/>
      <c r="BJ157" s="258"/>
      <c r="BK157" s="258"/>
      <c r="BL157" s="258"/>
      <c r="BM157" s="258"/>
      <c r="BN157" s="258"/>
      <c r="BO157" s="1368"/>
      <c r="BP157" s="1368">
        <f>SUBTOTAL(9,BP50:BP156)</f>
        <v>7198111420.4349995</v>
      </c>
      <c r="BQ157" s="258"/>
      <c r="BR157" s="258"/>
      <c r="BS157" s="258"/>
      <c r="BT157" s="258"/>
      <c r="BU157" s="258"/>
      <c r="BV157" s="1066"/>
      <c r="BW157" s="1066"/>
      <c r="BX157" s="1066"/>
      <c r="BY157" s="1066"/>
      <c r="BZ157" s="1066"/>
      <c r="CA157" s="1066"/>
      <c r="CB157" s="1066"/>
      <c r="CC157" s="1370"/>
      <c r="CD157" s="1371"/>
      <c r="CE157" s="1371"/>
      <c r="CF157" s="1371"/>
      <c r="CG157" s="1371"/>
      <c r="CH157" s="1371"/>
      <c r="CI157" s="1371"/>
      <c r="CJ157" s="1371"/>
      <c r="CK157" s="1371"/>
      <c r="CL157" s="1371"/>
      <c r="CM157" s="1371"/>
      <c r="CN157" s="1371"/>
      <c r="CO157" s="1371"/>
      <c r="CP157" s="1371"/>
      <c r="CQ157" s="1371"/>
      <c r="CR157" s="750"/>
      <c r="CS157" s="1371"/>
      <c r="CT157" s="1371"/>
      <c r="CU157" s="1371"/>
      <c r="CV157" s="1371"/>
      <c r="CW157" s="1371"/>
      <c r="CX157" s="1371"/>
      <c r="CY157" s="1371"/>
      <c r="CZ157" s="1371"/>
      <c r="DA157" s="1371"/>
      <c r="DB157" s="1371"/>
      <c r="DC157" s="1371"/>
      <c r="DD157" s="1371"/>
      <c r="DE157" s="1371"/>
      <c r="DF157" s="1371"/>
      <c r="DG157" s="750"/>
      <c r="DH157" s="1371"/>
      <c r="DI157" s="1371"/>
      <c r="DJ157" s="1371"/>
      <c r="DK157" s="1371"/>
      <c r="DL157" s="1187"/>
      <c r="DM157" s="1187"/>
      <c r="DN157" s="1187"/>
      <c r="DO157" s="1187"/>
      <c r="DP157" s="1187"/>
      <c r="DQ157" s="1187"/>
      <c r="DR157" s="1187"/>
      <c r="DS157" s="1187"/>
      <c r="DT157" s="1187"/>
      <c r="DU157" s="1187"/>
      <c r="DV157" s="1187"/>
      <c r="DW157" s="1187"/>
      <c r="DX157" s="1187"/>
      <c r="DY157" s="1187"/>
      <c r="DZ157" s="1187"/>
      <c r="EA157" s="1187"/>
      <c r="EB157" s="1187"/>
      <c r="EC157" s="1187"/>
      <c r="ED157" s="1187"/>
      <c r="EE157" s="1187"/>
      <c r="EF157" s="1187"/>
      <c r="EG157" s="1187"/>
      <c r="EH157" s="1187"/>
      <c r="EI157" s="1187"/>
      <c r="EJ157" s="1187"/>
      <c r="EK157" s="1187"/>
      <c r="EL157" s="1187"/>
      <c r="EM157" s="1187"/>
      <c r="EN157" s="1187"/>
      <c r="EO157" s="1367"/>
      <c r="EQ157" s="1187"/>
      <c r="ER157" s="1368">
        <f>SUBTOTAL(9,ER50:ER156)</f>
        <v>8871</v>
      </c>
      <c r="ES157" s="1184"/>
      <c r="ET157" s="1184"/>
      <c r="EU157" s="1184"/>
      <c r="EV157" s="1372"/>
      <c r="EW157" s="1373"/>
      <c r="EX157" s="1373"/>
      <c r="EY157" s="1372"/>
      <c r="EZ157" s="1373"/>
      <c r="FA157" s="1373"/>
      <c r="FB157" s="1372"/>
      <c r="FC157" s="1373"/>
      <c r="FD157" s="1373"/>
      <c r="FE157" s="1372"/>
      <c r="FF157" s="1373"/>
      <c r="FG157" s="1373"/>
      <c r="FH157" s="1372"/>
      <c r="FI157" s="1373"/>
      <c r="FJ157" s="1373"/>
      <c r="FK157" s="1374"/>
      <c r="FL157" s="1374"/>
      <c r="FM157" s="1369"/>
      <c r="FN157" s="1369"/>
      <c r="FO157" s="1369"/>
      <c r="FP157" s="1369"/>
      <c r="FQ157" s="1369"/>
      <c r="FR157" s="1369"/>
      <c r="FS157" s="1368">
        <f>SUBTOTAL(109,FS50:FS156)</f>
        <v>6324</v>
      </c>
      <c r="FT157" s="1368">
        <f>SUBTOTAL(109,FT50:FT156)</f>
        <v>9424</v>
      </c>
      <c r="FU157" s="1369"/>
      <c r="FV157" s="1369"/>
      <c r="FW157" s="1369"/>
      <c r="FX157" s="1369"/>
      <c r="FY157" s="1369"/>
      <c r="FZ157" s="1369"/>
      <c r="GA157" s="258"/>
      <c r="GB157" s="258"/>
      <c r="GC157" s="258"/>
      <c r="GD157" s="258"/>
      <c r="GE157" s="258"/>
      <c r="GF157" s="258"/>
      <c r="GG157" s="258"/>
      <c r="GH157" s="258"/>
      <c r="GI157" s="258"/>
      <c r="GJ157" s="258"/>
      <c r="GK157" s="258"/>
      <c r="GL157" s="258"/>
      <c r="GM157" s="258"/>
      <c r="GN157" s="258"/>
      <c r="GO157" s="258"/>
      <c r="GP157" s="258"/>
      <c r="GQ157" s="258"/>
      <c r="GR157" s="1368">
        <f>SUBTOTAL(9,GR50:GR156)</f>
        <v>4983469703.9349995</v>
      </c>
      <c r="GS157" s="258"/>
      <c r="GT157" s="258"/>
      <c r="GU157" s="258"/>
      <c r="GV157" s="258"/>
      <c r="GW157" s="1066"/>
      <c r="GX157" s="1066"/>
      <c r="GY157" s="1066"/>
      <c r="GZ157" s="1066"/>
      <c r="HA157" s="1066"/>
      <c r="HB157" s="1066"/>
      <c r="HC157" s="1066"/>
      <c r="HD157" s="1370"/>
      <c r="HE157" s="1371"/>
      <c r="HF157" s="1371"/>
      <c r="HG157" s="1371"/>
      <c r="HH157" s="1371"/>
      <c r="HI157" s="1371"/>
      <c r="HJ157" s="1371"/>
      <c r="HK157" s="1371"/>
      <c r="HL157" s="1371"/>
      <c r="HM157" s="1371"/>
      <c r="HN157" s="1371"/>
      <c r="HO157" s="1371"/>
      <c r="HP157" s="1371"/>
      <c r="HQ157" s="1371"/>
      <c r="HR157" s="1371"/>
      <c r="HS157" s="1375"/>
      <c r="HT157" s="1371"/>
      <c r="HU157" s="1371"/>
      <c r="HV157" s="1371"/>
      <c r="HW157" s="1371"/>
      <c r="HX157" s="1371"/>
      <c r="HY157" s="1371"/>
      <c r="HZ157" s="1371"/>
      <c r="IA157" s="1371"/>
      <c r="IB157" s="1371"/>
      <c r="IC157" s="1371"/>
      <c r="ID157" s="1371"/>
      <c r="IE157" s="1371"/>
      <c r="IF157" s="1371"/>
      <c r="IG157" s="1371"/>
      <c r="IH157" s="1375"/>
      <c r="II157" s="1371"/>
      <c r="IJ157" s="1371"/>
      <c r="IK157" s="1371"/>
      <c r="IL157" s="1371"/>
      <c r="IM157" s="1187"/>
      <c r="IN157" s="1187"/>
      <c r="IO157" s="1187"/>
      <c r="IP157" s="1187"/>
      <c r="IR157" s="1376"/>
      <c r="IS157" s="1377"/>
      <c r="IT157" s="1377"/>
      <c r="IU157" s="1377"/>
      <c r="IV157" s="1377"/>
      <c r="IW157" s="1377"/>
      <c r="IX157" s="1378"/>
      <c r="IY157" s="1378"/>
      <c r="JD157" s="1379"/>
      <c r="JE157" s="1379"/>
      <c r="JG157" s="1380"/>
      <c r="JH157" s="1381"/>
      <c r="JO157" s="1382"/>
      <c r="KW157" s="1383"/>
      <c r="KX157" s="1187"/>
      <c r="KY157" s="1187"/>
    </row>
    <row r="158" spans="1:398" s="1181" customFormat="1" ht="45.75" customHeight="1">
      <c r="B158" s="1357"/>
      <c r="C158" s="1357"/>
      <c r="D158" s="1357"/>
      <c r="E158" s="1357"/>
      <c r="F158" s="1358"/>
      <c r="G158" s="1359"/>
      <c r="H158" s="1359"/>
      <c r="I158" s="1384"/>
      <c r="J158" s="1384"/>
      <c r="K158" s="1384"/>
      <c r="L158" s="1384"/>
      <c r="M158" s="1384"/>
      <c r="N158" s="1384"/>
      <c r="O158" s="1384"/>
      <c r="P158" s="1385"/>
      <c r="Q158" s="1386" t="s">
        <v>627</v>
      </c>
      <c r="R158" s="1387"/>
      <c r="S158" s="1387"/>
      <c r="T158" s="1388"/>
      <c r="U158" s="1389">
        <v>1</v>
      </c>
      <c r="V158" s="1390"/>
      <c r="W158" s="1390"/>
      <c r="X158" s="1390"/>
      <c r="Y158" s="1390"/>
      <c r="Z158" s="1390"/>
      <c r="AA158" s="1391"/>
      <c r="AB158" s="1390"/>
      <c r="AC158" s="1390"/>
      <c r="AD158" s="1390"/>
      <c r="AE158" s="1369"/>
      <c r="AF158" s="1369"/>
      <c r="AG158" s="1369"/>
      <c r="AH158" s="1369"/>
      <c r="AI158" s="1369"/>
      <c r="AJ158" s="1369"/>
      <c r="AK158" s="1369"/>
      <c r="AL158" s="1369"/>
      <c r="AM158" s="1369"/>
      <c r="AN158" s="1369"/>
      <c r="AO158" s="1369"/>
      <c r="AP158" s="1369"/>
      <c r="AQ158" s="1369"/>
      <c r="AR158" s="1369"/>
      <c r="AS158" s="1369"/>
      <c r="AT158" s="1369"/>
      <c r="AU158" s="1369"/>
      <c r="AV158" s="1369"/>
      <c r="AW158" s="1369"/>
      <c r="AX158" s="258"/>
      <c r="AY158" s="258"/>
      <c r="AZ158" s="258"/>
      <c r="BA158" s="258"/>
      <c r="BB158" s="258"/>
      <c r="BC158" s="258"/>
      <c r="BD158" s="258"/>
      <c r="BE158" s="258"/>
      <c r="BF158" s="258"/>
      <c r="BG158" s="258"/>
      <c r="BH158" s="258"/>
      <c r="BI158" s="258"/>
      <c r="BJ158" s="258"/>
      <c r="BK158" s="258"/>
      <c r="BL158" s="258"/>
      <c r="BM158" s="258"/>
      <c r="BN158" s="258"/>
      <c r="BO158" s="258"/>
      <c r="BP158" s="258"/>
      <c r="BQ158" s="258"/>
      <c r="BR158" s="258"/>
      <c r="BS158" s="258"/>
      <c r="BT158" s="258"/>
      <c r="BU158" s="258"/>
      <c r="BV158" s="1066"/>
      <c r="BW158" s="1066"/>
      <c r="BX158" s="1066"/>
      <c r="BY158" s="1066"/>
      <c r="BZ158" s="1066"/>
      <c r="CA158" s="1066"/>
      <c r="CB158" s="1066"/>
      <c r="CC158" s="1392"/>
      <c r="CD158" s="750"/>
      <c r="CE158" s="750"/>
      <c r="CF158" s="750"/>
      <c r="CG158" s="750"/>
      <c r="CH158" s="750"/>
      <c r="CI158" s="750"/>
      <c r="CJ158" s="750"/>
      <c r="CK158" s="750"/>
      <c r="CL158" s="750"/>
      <c r="CM158" s="750"/>
      <c r="CN158" s="750"/>
      <c r="CO158" s="750"/>
      <c r="CP158" s="750"/>
      <c r="CQ158" s="750"/>
      <c r="CR158" s="750"/>
      <c r="CS158" s="750"/>
      <c r="CT158" s="750"/>
      <c r="CU158" s="750"/>
      <c r="CV158" s="750"/>
      <c r="CW158" s="750"/>
      <c r="CX158" s="750"/>
      <c r="CY158" s="750"/>
      <c r="CZ158" s="750"/>
      <c r="DA158" s="750"/>
      <c r="DB158" s="750"/>
      <c r="DC158" s="750"/>
      <c r="DD158" s="750"/>
      <c r="DE158" s="750"/>
      <c r="DF158" s="750"/>
      <c r="DG158" s="750"/>
      <c r="DH158" s="750"/>
      <c r="DI158" s="750"/>
      <c r="DJ158" s="750"/>
      <c r="DK158" s="750"/>
      <c r="DL158" s="1187"/>
      <c r="DM158" s="1187"/>
      <c r="DN158" s="1187"/>
      <c r="DO158" s="1187"/>
      <c r="DP158" s="1187"/>
      <c r="DQ158" s="1187"/>
      <c r="DR158" s="1187"/>
      <c r="DS158" s="1187"/>
      <c r="DT158" s="1187"/>
      <c r="DU158" s="1187"/>
      <c r="DV158" s="1187"/>
      <c r="DW158" s="1187"/>
      <c r="DX158" s="1187"/>
      <c r="DY158" s="1187"/>
      <c r="DZ158" s="1187"/>
      <c r="EA158" s="1187"/>
      <c r="EB158" s="1187"/>
      <c r="EC158" s="1187"/>
      <c r="ED158" s="1187"/>
      <c r="EE158" s="1187"/>
      <c r="EF158" s="1187"/>
      <c r="EG158" s="1187"/>
      <c r="EH158" s="1187"/>
      <c r="EI158" s="1187"/>
      <c r="EJ158" s="1187"/>
      <c r="EK158" s="1187"/>
      <c r="EL158" s="1187"/>
      <c r="EM158" s="1187"/>
      <c r="EN158" s="1187"/>
      <c r="EO158" s="1391"/>
      <c r="EP158" s="1390"/>
      <c r="EQ158" s="1390"/>
      <c r="ER158" s="1390"/>
      <c r="ES158" s="1390"/>
      <c r="ET158" s="1390"/>
      <c r="EU158" s="1390"/>
      <c r="EV158" s="1390"/>
      <c r="EW158" s="1373"/>
      <c r="EX158" s="1373"/>
      <c r="EY158" s="1372"/>
      <c r="EZ158" s="1373"/>
      <c r="FA158" s="1373"/>
      <c r="FB158" s="1372"/>
      <c r="FC158" s="1373"/>
      <c r="FD158" s="1373"/>
      <c r="FE158" s="1372"/>
      <c r="FF158" s="1373"/>
      <c r="FG158" s="1373"/>
      <c r="FH158" s="1372"/>
      <c r="FI158" s="1373"/>
      <c r="FJ158" s="1373"/>
      <c r="FK158" s="1374"/>
      <c r="FL158" s="1374"/>
      <c r="FM158" s="1369"/>
      <c r="FN158" s="1369"/>
      <c r="FO158" s="1369"/>
      <c r="FP158" s="1369"/>
      <c r="FQ158" s="1369"/>
      <c r="FR158" s="1369"/>
      <c r="FS158" s="1369"/>
      <c r="FT158" s="1369"/>
      <c r="FU158" s="1369"/>
      <c r="FV158" s="1369"/>
      <c r="FW158" s="1369"/>
      <c r="FX158" s="1369"/>
      <c r="FY158" s="1369"/>
      <c r="FZ158" s="1369"/>
      <c r="GA158" s="258"/>
      <c r="GB158" s="258"/>
      <c r="GC158" s="258"/>
      <c r="GD158" s="258"/>
      <c r="GE158" s="258"/>
      <c r="GF158" s="258"/>
      <c r="GG158" s="258"/>
      <c r="GH158" s="258"/>
      <c r="GI158" s="258"/>
      <c r="GJ158" s="258"/>
      <c r="GK158" s="258"/>
      <c r="GL158" s="258"/>
      <c r="GM158" s="258"/>
      <c r="GN158" s="258"/>
      <c r="GO158" s="258"/>
      <c r="GP158" s="258"/>
      <c r="GQ158" s="258"/>
      <c r="GR158" s="258"/>
      <c r="GS158" s="258"/>
      <c r="GT158" s="258"/>
      <c r="GU158" s="258"/>
      <c r="GV158" s="258"/>
      <c r="GW158" s="1066"/>
      <c r="GX158" s="1066"/>
      <c r="GY158" s="1066"/>
      <c r="GZ158" s="1066"/>
      <c r="HA158" s="1066"/>
      <c r="HB158" s="1066"/>
      <c r="HC158" s="1066"/>
      <c r="HD158" s="1392"/>
      <c r="HE158" s="750"/>
      <c r="HF158" s="750"/>
      <c r="HG158" s="750"/>
      <c r="HH158" s="750"/>
      <c r="HI158" s="750"/>
      <c r="HJ158" s="750"/>
      <c r="HK158" s="750"/>
      <c r="HL158" s="750"/>
      <c r="HM158" s="750"/>
      <c r="HN158" s="750"/>
      <c r="HO158" s="750"/>
      <c r="HP158" s="750"/>
      <c r="HQ158" s="750"/>
      <c r="HR158" s="750"/>
      <c r="HS158" s="275"/>
      <c r="HT158" s="750"/>
      <c r="HU158" s="750"/>
      <c r="HV158" s="750"/>
      <c r="HW158" s="750"/>
      <c r="HX158" s="750"/>
      <c r="HY158" s="750"/>
      <c r="HZ158" s="750"/>
      <c r="IA158" s="750"/>
      <c r="IB158" s="750"/>
      <c r="IC158" s="750"/>
      <c r="ID158" s="750"/>
      <c r="IE158" s="750"/>
      <c r="IF158" s="750"/>
      <c r="IG158" s="750"/>
      <c r="IH158" s="275"/>
      <c r="II158" s="750"/>
      <c r="IJ158" s="750"/>
      <c r="IK158" s="750"/>
      <c r="IL158" s="750"/>
      <c r="IM158" s="1187"/>
      <c r="IN158" s="1187"/>
      <c r="IO158" s="1187"/>
      <c r="IP158" s="1187"/>
      <c r="IR158" s="1376"/>
      <c r="IS158" s="1377"/>
      <c r="IT158" s="1377"/>
      <c r="IU158" s="1377"/>
      <c r="IV158" s="1377"/>
      <c r="IW158" s="1377"/>
      <c r="IX158" s="1378"/>
      <c r="IY158" s="1378"/>
      <c r="JD158" s="1379"/>
      <c r="JE158" s="1379"/>
      <c r="JG158" s="1380"/>
      <c r="JH158" s="1381"/>
      <c r="JO158" s="1382"/>
      <c r="KW158" s="1383"/>
      <c r="KX158" s="1187"/>
      <c r="KY158" s="1187"/>
    </row>
    <row r="159" spans="1:398" s="1181" customFormat="1" ht="45.75" customHeight="1">
      <c r="B159" s="1357"/>
      <c r="C159" s="1357"/>
      <c r="D159" s="1357"/>
      <c r="E159" s="1357"/>
      <c r="F159" s="1358"/>
      <c r="G159" s="1358"/>
      <c r="H159" s="1358"/>
      <c r="I159" s="1384"/>
      <c r="J159" s="1384"/>
      <c r="K159" s="1384"/>
      <c r="L159" s="1384"/>
      <c r="M159" s="1384"/>
      <c r="N159" s="1384"/>
      <c r="O159" s="1384"/>
      <c r="P159" s="1385"/>
      <c r="Q159" s="1393" t="s">
        <v>628</v>
      </c>
      <c r="R159" s="1394"/>
      <c r="S159" s="1394"/>
      <c r="T159" s="1395"/>
      <c r="U159" s="1396">
        <v>3</v>
      </c>
      <c r="V159" s="1357"/>
      <c r="W159" s="1357"/>
      <c r="X159" s="1357"/>
      <c r="Y159" s="1357"/>
      <c r="Z159" s="1357"/>
      <c r="AA159" s="1367"/>
      <c r="AC159" s="1187"/>
      <c r="AD159" s="1184"/>
      <c r="AE159" s="1369"/>
      <c r="AF159" s="1369"/>
      <c r="AG159" s="1369"/>
      <c r="AH159" s="1369"/>
      <c r="AI159" s="1369"/>
      <c r="AJ159" s="1369"/>
      <c r="AK159" s="1369"/>
      <c r="AL159" s="1369"/>
      <c r="AM159" s="1369"/>
      <c r="AN159" s="1369"/>
      <c r="AO159" s="1369"/>
      <c r="AP159" s="1369"/>
      <c r="AQ159" s="1369"/>
      <c r="AR159" s="1369"/>
      <c r="AS159" s="1369"/>
      <c r="AT159" s="1369"/>
      <c r="AU159" s="1369"/>
      <c r="AV159" s="1369"/>
      <c r="AW159" s="1369"/>
      <c r="AX159" s="258"/>
      <c r="AY159" s="258"/>
      <c r="AZ159" s="258"/>
      <c r="BA159" s="258"/>
      <c r="BB159" s="258"/>
      <c r="BC159" s="258"/>
      <c r="BD159" s="258"/>
      <c r="BE159" s="258"/>
      <c r="BF159" s="258"/>
      <c r="BG159" s="258"/>
      <c r="BH159" s="258"/>
      <c r="BI159" s="258"/>
      <c r="BJ159" s="258"/>
      <c r="BK159" s="258"/>
      <c r="BL159" s="258"/>
      <c r="BM159" s="258"/>
      <c r="BN159" s="258"/>
      <c r="BO159" s="258"/>
      <c r="BP159" s="258"/>
      <c r="BQ159" s="258"/>
      <c r="BR159" s="258"/>
      <c r="BS159" s="258"/>
      <c r="BT159" s="258"/>
      <c r="BU159" s="258"/>
      <c r="BV159" s="1066"/>
      <c r="BW159" s="1066"/>
      <c r="BX159" s="1066"/>
      <c r="BY159" s="1066"/>
      <c r="BZ159" s="1066"/>
      <c r="CA159" s="1066"/>
      <c r="CB159" s="1066"/>
      <c r="CC159" s="1392"/>
      <c r="CD159" s="750"/>
      <c r="CE159" s="750"/>
      <c r="CF159" s="750"/>
      <c r="CG159" s="750"/>
      <c r="CH159" s="750"/>
      <c r="CI159" s="750"/>
      <c r="CJ159" s="750"/>
      <c r="CK159" s="750"/>
      <c r="CL159" s="750"/>
      <c r="CM159" s="750"/>
      <c r="CN159" s="750"/>
      <c r="CO159" s="750"/>
      <c r="CP159" s="750"/>
      <c r="CQ159" s="750"/>
      <c r="CR159" s="750"/>
      <c r="CS159" s="750"/>
      <c r="CT159" s="750"/>
      <c r="CU159" s="750"/>
      <c r="CV159" s="750"/>
      <c r="CW159" s="750"/>
      <c r="CX159" s="750"/>
      <c r="CY159" s="750"/>
      <c r="CZ159" s="750"/>
      <c r="DA159" s="750"/>
      <c r="DB159" s="750"/>
      <c r="DC159" s="750"/>
      <c r="DD159" s="750"/>
      <c r="DE159" s="750"/>
      <c r="DF159" s="750"/>
      <c r="DG159" s="750"/>
      <c r="DH159" s="750"/>
      <c r="DI159" s="750"/>
      <c r="DJ159" s="750"/>
      <c r="DK159" s="750"/>
      <c r="DL159" s="1187"/>
      <c r="DM159" s="1187"/>
      <c r="DN159" s="1187"/>
      <c r="DO159" s="1187"/>
      <c r="DP159" s="1187"/>
      <c r="DQ159" s="1187"/>
      <c r="DR159" s="1187"/>
      <c r="DS159" s="1187"/>
      <c r="DT159" s="1187"/>
      <c r="DU159" s="1187"/>
      <c r="DV159" s="1187"/>
      <c r="DW159" s="1187"/>
      <c r="DX159" s="1187"/>
      <c r="DY159" s="1187"/>
      <c r="DZ159" s="1187"/>
      <c r="EA159" s="1187"/>
      <c r="EB159" s="1187"/>
      <c r="EC159" s="1187"/>
      <c r="ED159" s="1187"/>
      <c r="EE159" s="1187"/>
      <c r="EF159" s="1187"/>
      <c r="EG159" s="1187"/>
      <c r="EH159" s="1187"/>
      <c r="EI159" s="1187"/>
      <c r="EJ159" s="1187"/>
      <c r="EK159" s="1187"/>
      <c r="EL159" s="1187"/>
      <c r="EM159" s="1187"/>
      <c r="EN159" s="1187"/>
      <c r="EO159" s="1367"/>
      <c r="EQ159" s="1187"/>
      <c r="ER159" s="1184"/>
      <c r="ES159" s="1184"/>
      <c r="ET159" s="1184"/>
      <c r="EU159" s="1184"/>
      <c r="EV159" s="1372"/>
      <c r="EW159" s="1373"/>
      <c r="EX159" s="1373"/>
      <c r="EY159" s="1372"/>
      <c r="EZ159" s="1373"/>
      <c r="FA159" s="1373"/>
      <c r="FB159" s="1372"/>
      <c r="FC159" s="1373"/>
      <c r="FD159" s="1373"/>
      <c r="FE159" s="1372"/>
      <c r="FF159" s="1373"/>
      <c r="FG159" s="1373"/>
      <c r="FH159" s="1372"/>
      <c r="FI159" s="1373"/>
      <c r="FJ159" s="1373"/>
      <c r="FK159" s="1374"/>
      <c r="FL159" s="1374"/>
      <c r="FM159" s="1369"/>
      <c r="FN159" s="1369"/>
      <c r="FO159" s="1369"/>
      <c r="FP159" s="1369"/>
      <c r="FQ159" s="1369"/>
      <c r="FR159" s="1369"/>
      <c r="FS159" s="1369"/>
      <c r="FT159" s="1369"/>
      <c r="FU159" s="1369"/>
      <c r="FV159" s="1369"/>
      <c r="FW159" s="1369"/>
      <c r="FX159" s="1369"/>
      <c r="FY159" s="1369"/>
      <c r="FZ159" s="1369"/>
      <c r="GA159" s="258"/>
      <c r="GB159" s="258"/>
      <c r="GC159" s="258"/>
      <c r="GD159" s="258"/>
      <c r="GE159" s="258"/>
      <c r="GF159" s="258"/>
      <c r="GG159" s="258"/>
      <c r="GH159" s="258"/>
      <c r="GI159" s="258"/>
      <c r="GJ159" s="258"/>
      <c r="GK159" s="258"/>
      <c r="GL159" s="258"/>
      <c r="GM159" s="258"/>
      <c r="GN159" s="258"/>
      <c r="GO159" s="258"/>
      <c r="GP159" s="258"/>
      <c r="GQ159" s="258"/>
      <c r="GR159" s="258"/>
      <c r="GS159" s="258"/>
      <c r="GT159" s="258"/>
      <c r="GU159" s="258"/>
      <c r="GV159" s="258"/>
      <c r="GW159" s="1066"/>
      <c r="GX159" s="1066"/>
      <c r="GY159" s="1066"/>
      <c r="GZ159" s="1066"/>
      <c r="HA159" s="1066"/>
      <c r="HB159" s="1066"/>
      <c r="HC159" s="1066"/>
      <c r="HD159" s="1392"/>
      <c r="HE159" s="750"/>
      <c r="HF159" s="750"/>
      <c r="HG159" s="750"/>
      <c r="HH159" s="750"/>
      <c r="HI159" s="750"/>
      <c r="HJ159" s="750"/>
      <c r="HK159" s="750"/>
      <c r="HL159" s="750"/>
      <c r="HM159" s="750"/>
      <c r="HN159" s="750"/>
      <c r="HO159" s="750"/>
      <c r="HP159" s="750"/>
      <c r="HQ159" s="750"/>
      <c r="HR159" s="750"/>
      <c r="HS159" s="275"/>
      <c r="HT159" s="750"/>
      <c r="HU159" s="750"/>
      <c r="HV159" s="750"/>
      <c r="HW159" s="750"/>
      <c r="HX159" s="750"/>
      <c r="HY159" s="750"/>
      <c r="HZ159" s="750"/>
      <c r="IA159" s="750"/>
      <c r="IB159" s="750"/>
      <c r="IC159" s="750"/>
      <c r="ID159" s="750"/>
      <c r="IE159" s="750"/>
      <c r="IF159" s="750"/>
      <c r="IG159" s="750"/>
      <c r="IH159" s="275"/>
      <c r="II159" s="750"/>
      <c r="IJ159" s="750"/>
      <c r="IK159" s="750"/>
      <c r="IL159" s="750"/>
      <c r="IM159" s="1187"/>
      <c r="IN159" s="1187"/>
      <c r="IO159" s="1187"/>
      <c r="IP159" s="1187"/>
      <c r="IR159" s="1376"/>
      <c r="IS159" s="1377"/>
      <c r="IT159" s="1377"/>
      <c r="IU159" s="1377"/>
      <c r="IV159" s="1377"/>
      <c r="IW159" s="1377"/>
      <c r="IX159" s="1378"/>
      <c r="IY159" s="1378"/>
      <c r="JD159" s="1379"/>
      <c r="JE159" s="1379"/>
      <c r="JG159" s="1380"/>
      <c r="JH159" s="1381"/>
      <c r="JO159" s="1382"/>
      <c r="KW159" s="1383"/>
      <c r="KX159" s="1187"/>
      <c r="KY159" s="1187"/>
    </row>
    <row r="160" spans="1:398" s="1181" customFormat="1" ht="45.75" customHeight="1">
      <c r="B160" s="1357"/>
      <c r="C160" s="1357"/>
      <c r="D160" s="1357"/>
      <c r="E160" s="1357"/>
      <c r="F160" s="1358"/>
      <c r="G160" s="1358"/>
      <c r="H160" s="1358"/>
      <c r="I160" s="1384"/>
      <c r="J160" s="1384"/>
      <c r="K160" s="1384"/>
      <c r="L160" s="1384"/>
      <c r="M160" s="1384"/>
      <c r="N160" s="1384"/>
      <c r="O160" s="1384"/>
      <c r="P160" s="1385"/>
      <c r="Q160" s="1386" t="s">
        <v>629</v>
      </c>
      <c r="R160" s="1387"/>
      <c r="S160" s="1387"/>
      <c r="T160" s="1388"/>
      <c r="U160" s="1389">
        <v>22</v>
      </c>
      <c r="V160" s="1390"/>
      <c r="W160" s="1390"/>
      <c r="X160" s="1390"/>
      <c r="Y160" s="1390"/>
      <c r="Z160" s="1390"/>
      <c r="AA160" s="1391"/>
      <c r="AB160" s="1390"/>
      <c r="AC160" s="1390"/>
      <c r="AD160" s="1390"/>
      <c r="AE160" s="1369"/>
      <c r="AF160" s="1369"/>
      <c r="AG160" s="1369"/>
      <c r="AH160" s="1369"/>
      <c r="AI160" s="1369"/>
      <c r="AJ160" s="1369"/>
      <c r="AK160" s="1369"/>
      <c r="AL160" s="1369"/>
      <c r="AM160" s="1369"/>
      <c r="AN160" s="1369"/>
      <c r="AO160" s="1369"/>
      <c r="AP160" s="1369"/>
      <c r="AQ160" s="1369"/>
      <c r="AR160" s="1369"/>
      <c r="AS160" s="1369"/>
      <c r="AT160" s="1369"/>
      <c r="AU160" s="1369"/>
      <c r="AV160" s="1369"/>
      <c r="AW160" s="1369"/>
      <c r="AX160" s="258"/>
      <c r="AY160" s="258"/>
      <c r="AZ160" s="258"/>
      <c r="BA160" s="258"/>
      <c r="BB160" s="258"/>
      <c r="BC160" s="258"/>
      <c r="BD160" s="258"/>
      <c r="BE160" s="258"/>
      <c r="BF160" s="258"/>
      <c r="BG160" s="258"/>
      <c r="BH160" s="258"/>
      <c r="BI160" s="258"/>
      <c r="BJ160" s="258"/>
      <c r="BK160" s="258"/>
      <c r="BL160" s="258"/>
      <c r="BM160" s="258"/>
      <c r="BN160" s="258"/>
      <c r="BO160" s="258"/>
      <c r="BP160" s="258"/>
      <c r="BQ160" s="258"/>
      <c r="BR160" s="258"/>
      <c r="BS160" s="258"/>
      <c r="BT160" s="258"/>
      <c r="BU160" s="258"/>
      <c r="BV160" s="1066"/>
      <c r="BW160" s="1066"/>
      <c r="BX160" s="1066"/>
      <c r="BY160" s="1066"/>
      <c r="BZ160" s="1066"/>
      <c r="CA160" s="1066"/>
      <c r="CB160" s="1066"/>
      <c r="CC160" s="1392"/>
      <c r="CD160" s="750"/>
      <c r="CE160" s="750"/>
      <c r="CF160" s="750"/>
      <c r="CG160" s="750"/>
      <c r="CH160" s="750"/>
      <c r="CI160" s="750"/>
      <c r="CJ160" s="750"/>
      <c r="CK160" s="750"/>
      <c r="CL160" s="750"/>
      <c r="CM160" s="750"/>
      <c r="CN160" s="750"/>
      <c r="CO160" s="750"/>
      <c r="CP160" s="750"/>
      <c r="CQ160" s="750"/>
      <c r="CR160" s="750"/>
      <c r="CS160" s="750"/>
      <c r="CT160" s="750"/>
      <c r="CU160" s="750"/>
      <c r="CV160" s="750"/>
      <c r="CW160" s="750"/>
      <c r="CX160" s="750"/>
      <c r="CY160" s="750"/>
      <c r="CZ160" s="750"/>
      <c r="DA160" s="750"/>
      <c r="DB160" s="750"/>
      <c r="DC160" s="750"/>
      <c r="DD160" s="750"/>
      <c r="DE160" s="750"/>
      <c r="DF160" s="750"/>
      <c r="DG160" s="750"/>
      <c r="DH160" s="750"/>
      <c r="DI160" s="750"/>
      <c r="DJ160" s="750"/>
      <c r="DK160" s="750"/>
      <c r="DL160" s="1187"/>
      <c r="DM160" s="1187"/>
      <c r="DN160" s="1187"/>
      <c r="DO160" s="1187"/>
      <c r="DP160" s="1187"/>
      <c r="DQ160" s="1187"/>
      <c r="DR160" s="1187"/>
      <c r="DS160" s="1187"/>
      <c r="DT160" s="1187"/>
      <c r="DU160" s="1187"/>
      <c r="DV160" s="1187"/>
      <c r="DW160" s="1187"/>
      <c r="DX160" s="1187"/>
      <c r="DY160" s="1187"/>
      <c r="DZ160" s="1187"/>
      <c r="EA160" s="1187"/>
      <c r="EB160" s="1187"/>
      <c r="EC160" s="1187"/>
      <c r="ED160" s="1187"/>
      <c r="EE160" s="1187"/>
      <c r="EF160" s="1187"/>
      <c r="EG160" s="1187"/>
      <c r="EH160" s="1187"/>
      <c r="EI160" s="1187"/>
      <c r="EJ160" s="1187"/>
      <c r="EK160" s="1187"/>
      <c r="EL160" s="1187"/>
      <c r="EM160" s="1187"/>
      <c r="EN160" s="1187"/>
      <c r="EO160" s="1391"/>
      <c r="EP160" s="1390"/>
      <c r="EQ160" s="1390"/>
      <c r="ER160" s="1390"/>
      <c r="ES160" s="1390"/>
      <c r="ET160" s="1390"/>
      <c r="EU160" s="1390"/>
      <c r="EV160" s="1390"/>
      <c r="EW160" s="1373"/>
      <c r="EX160" s="1373"/>
      <c r="EY160" s="1372"/>
      <c r="EZ160" s="1373"/>
      <c r="FA160" s="1373"/>
      <c r="FB160" s="1372"/>
      <c r="FC160" s="1373"/>
      <c r="FD160" s="1373"/>
      <c r="FE160" s="1372"/>
      <c r="FF160" s="1373"/>
      <c r="FG160" s="1373"/>
      <c r="FH160" s="1372"/>
      <c r="FI160" s="1373"/>
      <c r="FJ160" s="1373"/>
      <c r="FK160" s="1374"/>
      <c r="FL160" s="1374"/>
      <c r="FM160" s="1369"/>
      <c r="FN160" s="1369"/>
      <c r="FO160" s="1369"/>
      <c r="FP160" s="1369"/>
      <c r="FQ160" s="1369"/>
      <c r="FR160" s="1369"/>
      <c r="FS160" s="1369"/>
      <c r="FT160" s="1369"/>
      <c r="FU160" s="1369"/>
      <c r="FV160" s="1369"/>
      <c r="FW160" s="1369"/>
      <c r="FX160" s="1369"/>
      <c r="FY160" s="1369"/>
      <c r="FZ160" s="1369"/>
      <c r="GA160" s="258"/>
      <c r="GB160" s="258"/>
      <c r="GC160" s="258"/>
      <c r="GD160" s="258"/>
      <c r="GE160" s="258"/>
      <c r="GF160" s="258"/>
      <c r="GG160" s="258"/>
      <c r="GH160" s="258"/>
      <c r="GI160" s="258"/>
      <c r="GJ160" s="258"/>
      <c r="GK160" s="258"/>
      <c r="GL160" s="258"/>
      <c r="GM160" s="258"/>
      <c r="GN160" s="258"/>
      <c r="GO160" s="258"/>
      <c r="GP160" s="258"/>
      <c r="GQ160" s="258"/>
      <c r="GR160" s="258"/>
      <c r="GS160" s="258"/>
      <c r="GT160" s="258"/>
      <c r="GU160" s="258"/>
      <c r="GV160" s="258"/>
      <c r="GW160" s="1066"/>
      <c r="GX160" s="1066"/>
      <c r="GY160" s="1066"/>
      <c r="GZ160" s="1066"/>
      <c r="HA160" s="1066"/>
      <c r="HB160" s="1066"/>
      <c r="HC160" s="1066"/>
      <c r="HD160" s="1392"/>
      <c r="HE160" s="750"/>
      <c r="HF160" s="750"/>
      <c r="HG160" s="750"/>
      <c r="HH160" s="750"/>
      <c r="HI160" s="750"/>
      <c r="HJ160" s="750"/>
      <c r="HK160" s="750"/>
      <c r="HL160" s="750"/>
      <c r="HM160" s="750"/>
      <c r="HN160" s="750"/>
      <c r="HO160" s="750"/>
      <c r="HP160" s="750"/>
      <c r="HQ160" s="750"/>
      <c r="HR160" s="750"/>
      <c r="HS160" s="275"/>
      <c r="HT160" s="750"/>
      <c r="HU160" s="750"/>
      <c r="HV160" s="750"/>
      <c r="HW160" s="750"/>
      <c r="HX160" s="750"/>
      <c r="HY160" s="750"/>
      <c r="HZ160" s="750"/>
      <c r="IA160" s="750"/>
      <c r="IB160" s="750"/>
      <c r="IC160" s="750"/>
      <c r="ID160" s="750"/>
      <c r="IE160" s="750"/>
      <c r="IF160" s="750"/>
      <c r="IG160" s="750"/>
      <c r="IH160" s="275"/>
      <c r="II160" s="750"/>
      <c r="IJ160" s="750"/>
      <c r="IK160" s="750"/>
      <c r="IL160" s="750"/>
      <c r="IM160" s="1187"/>
      <c r="IN160" s="1187"/>
      <c r="IO160" s="1187"/>
      <c r="IP160" s="1187"/>
      <c r="IR160" s="1376"/>
      <c r="IS160" s="1377"/>
      <c r="IT160" s="1377"/>
      <c r="IU160" s="1377"/>
      <c r="IV160" s="1377"/>
      <c r="IW160" s="1377"/>
      <c r="IX160" s="1378"/>
      <c r="IY160" s="1378"/>
      <c r="JD160" s="1379"/>
      <c r="JE160" s="1379"/>
      <c r="JG160" s="1380"/>
      <c r="JH160" s="1381"/>
      <c r="JO160" s="1382"/>
      <c r="KW160" s="1383"/>
      <c r="KX160" s="1187"/>
      <c r="KY160" s="1187"/>
    </row>
    <row r="161" spans="2:311" s="1181" customFormat="1" ht="63" customHeight="1" thickBot="1">
      <c r="B161" s="1357"/>
      <c r="C161" s="1357"/>
      <c r="D161" s="1357"/>
      <c r="E161" s="1357"/>
      <c r="F161" s="1358"/>
      <c r="G161" s="1358"/>
      <c r="H161" s="1358"/>
      <c r="I161" s="1358"/>
      <c r="J161" s="1358"/>
      <c r="K161" s="1358"/>
      <c r="L161" s="1358"/>
      <c r="M161" s="1358"/>
      <c r="N161" s="1358"/>
      <c r="O161" s="1358"/>
      <c r="P161" s="1397"/>
      <c r="Q161" s="1398" t="s">
        <v>630</v>
      </c>
      <c r="R161" s="1399"/>
      <c r="S161" s="1399"/>
      <c r="T161" s="1400"/>
      <c r="U161" s="1401">
        <v>10</v>
      </c>
      <c r="V161" s="1390"/>
      <c r="W161" s="1390"/>
      <c r="X161" s="1390"/>
      <c r="Y161" s="1390"/>
      <c r="Z161" s="1390"/>
      <c r="AA161" s="1391"/>
      <c r="AB161" s="1390"/>
      <c r="AC161" s="1390"/>
      <c r="AD161" s="1390"/>
      <c r="AE161" s="1369"/>
      <c r="AF161" s="1369"/>
      <c r="AG161" s="1369"/>
      <c r="AH161" s="1369"/>
      <c r="AI161" s="1369"/>
      <c r="AJ161" s="1369"/>
      <c r="AK161" s="1369"/>
      <c r="AL161" s="1369"/>
      <c r="AM161" s="1369"/>
      <c r="AN161" s="1369"/>
      <c r="AO161" s="1369"/>
      <c r="AP161" s="1369"/>
      <c r="AQ161" s="1369"/>
      <c r="AR161" s="1369"/>
      <c r="AS161" s="1369"/>
      <c r="AT161" s="1369"/>
      <c r="AU161" s="1369"/>
      <c r="AV161" s="1369"/>
      <c r="AW161" s="1369"/>
      <c r="AX161" s="258"/>
      <c r="AY161" s="258"/>
      <c r="AZ161" s="258"/>
      <c r="BA161" s="258"/>
      <c r="BB161" s="258"/>
      <c r="BC161" s="258"/>
      <c r="BD161" s="258"/>
      <c r="BE161" s="258"/>
      <c r="BF161" s="258"/>
      <c r="BG161" s="258"/>
      <c r="BH161" s="258"/>
      <c r="BI161" s="258"/>
      <c r="BJ161" s="258"/>
      <c r="BK161" s="258"/>
      <c r="BL161" s="258"/>
      <c r="BM161" s="258"/>
      <c r="BN161" s="258"/>
      <c r="BO161" s="258"/>
      <c r="BP161" s="258"/>
      <c r="BQ161" s="258"/>
      <c r="BR161" s="258"/>
      <c r="BS161" s="258"/>
      <c r="BT161" s="258"/>
      <c r="BU161" s="258"/>
      <c r="BV161" s="1066"/>
      <c r="BW161" s="1066"/>
      <c r="BX161" s="1066"/>
      <c r="BY161" s="1066"/>
      <c r="BZ161" s="1066"/>
      <c r="CA161" s="1066"/>
      <c r="CB161" s="1066"/>
      <c r="CC161" s="1392"/>
      <c r="CD161" s="750"/>
      <c r="CE161" s="750"/>
      <c r="CF161" s="750"/>
      <c r="CG161" s="750"/>
      <c r="CH161" s="750"/>
      <c r="CI161" s="750"/>
      <c r="CJ161" s="750"/>
      <c r="CK161" s="750"/>
      <c r="CL161" s="750"/>
      <c r="CM161" s="750"/>
      <c r="CN161" s="750"/>
      <c r="CO161" s="750"/>
      <c r="CP161" s="750"/>
      <c r="CQ161" s="750"/>
      <c r="CR161" s="750"/>
      <c r="CS161" s="750"/>
      <c r="CT161" s="750"/>
      <c r="CU161" s="750"/>
      <c r="CV161" s="750"/>
      <c r="CW161" s="750"/>
      <c r="CX161" s="750"/>
      <c r="CY161" s="750"/>
      <c r="CZ161" s="750"/>
      <c r="DA161" s="750"/>
      <c r="DB161" s="750"/>
      <c r="DC161" s="750"/>
      <c r="DD161" s="750"/>
      <c r="DE161" s="750"/>
      <c r="DF161" s="750"/>
      <c r="DG161" s="750"/>
      <c r="DH161" s="750"/>
      <c r="DI161" s="750"/>
      <c r="DJ161" s="750"/>
      <c r="DK161" s="750"/>
      <c r="DL161" s="1402"/>
      <c r="DM161" s="1402"/>
      <c r="DN161" s="1402"/>
      <c r="DO161" s="1402"/>
      <c r="DP161" s="1402"/>
      <c r="DQ161" s="1402"/>
      <c r="DR161" s="1402"/>
      <c r="DS161" s="1402"/>
      <c r="DT161" s="1402"/>
      <c r="DU161" s="1402"/>
      <c r="DV161" s="1402"/>
      <c r="DW161" s="1402"/>
      <c r="DX161" s="1402"/>
      <c r="DY161" s="1402"/>
      <c r="DZ161" s="1402"/>
      <c r="EA161" s="1402"/>
      <c r="EB161" s="1402"/>
      <c r="EC161" s="1402"/>
      <c r="ED161" s="1402"/>
      <c r="EE161" s="1402"/>
      <c r="EF161" s="1402"/>
      <c r="EG161" s="1402"/>
      <c r="EH161" s="1402"/>
      <c r="EI161" s="1402"/>
      <c r="EJ161" s="1402"/>
      <c r="EK161" s="1402"/>
      <c r="EL161" s="1402"/>
      <c r="EM161" s="1402"/>
      <c r="EN161" s="1402"/>
      <c r="EO161" s="1391"/>
      <c r="EP161" s="1390"/>
      <c r="EQ161" s="1390"/>
      <c r="ER161" s="1390"/>
      <c r="ES161" s="1390"/>
      <c r="ET161" s="1390"/>
      <c r="EU161" s="1390"/>
      <c r="EV161" s="1390"/>
      <c r="EW161" s="1373"/>
      <c r="EX161" s="1373"/>
      <c r="EY161" s="1372"/>
      <c r="EZ161" s="1373"/>
      <c r="FA161" s="1373"/>
      <c r="FB161" s="1372"/>
      <c r="FC161" s="1373"/>
      <c r="FD161" s="1373"/>
      <c r="FE161" s="1372"/>
      <c r="FF161" s="1373"/>
      <c r="FG161" s="1373"/>
      <c r="FH161" s="1372"/>
      <c r="FI161" s="1373"/>
      <c r="FJ161" s="1373"/>
      <c r="FK161" s="1374"/>
      <c r="FL161" s="1374"/>
      <c r="FM161" s="1369"/>
      <c r="FN161" s="1369"/>
      <c r="FO161" s="1369"/>
      <c r="FP161" s="1369"/>
      <c r="FQ161" s="1369"/>
      <c r="FR161" s="1369"/>
      <c r="FS161" s="1369"/>
      <c r="FT161" s="1369"/>
      <c r="FU161" s="1369"/>
      <c r="FV161" s="1369"/>
      <c r="FW161" s="1369"/>
      <c r="FX161" s="1369"/>
      <c r="FY161" s="1369"/>
      <c r="FZ161" s="1369"/>
      <c r="GA161" s="258"/>
      <c r="GB161" s="258"/>
      <c r="GC161" s="258"/>
      <c r="GD161" s="258"/>
      <c r="GE161" s="258"/>
      <c r="GF161" s="258"/>
      <c r="GG161" s="258"/>
      <c r="GH161" s="258"/>
      <c r="GI161" s="258"/>
      <c r="GJ161" s="258"/>
      <c r="GK161" s="258"/>
      <c r="GL161" s="258"/>
      <c r="GM161" s="258"/>
      <c r="GN161" s="258"/>
      <c r="GO161" s="258"/>
      <c r="GP161" s="258"/>
      <c r="GQ161" s="258"/>
      <c r="GR161" s="258"/>
      <c r="GS161" s="258"/>
      <c r="GT161" s="258"/>
      <c r="GU161" s="258"/>
      <c r="GV161" s="258"/>
      <c r="GW161" s="1066"/>
      <c r="GX161" s="1066"/>
      <c r="GY161" s="1066"/>
      <c r="GZ161" s="1066"/>
      <c r="HA161" s="1066"/>
      <c r="HB161" s="1066"/>
      <c r="HC161" s="1066"/>
      <c r="HD161" s="1392"/>
      <c r="HE161" s="750"/>
      <c r="HF161" s="750"/>
      <c r="HG161" s="750"/>
      <c r="HH161" s="750"/>
      <c r="HI161" s="750"/>
      <c r="HJ161" s="750"/>
      <c r="HK161" s="750"/>
      <c r="HL161" s="750"/>
      <c r="HM161" s="750"/>
      <c r="HN161" s="750"/>
      <c r="HO161" s="750"/>
      <c r="HP161" s="750"/>
      <c r="HQ161" s="750"/>
      <c r="HR161" s="750"/>
      <c r="HS161" s="275"/>
      <c r="HT161" s="750"/>
      <c r="HU161" s="750"/>
      <c r="HV161" s="750"/>
      <c r="HW161" s="750"/>
      <c r="HX161" s="750"/>
      <c r="HY161" s="750"/>
      <c r="HZ161" s="750"/>
      <c r="IA161" s="750"/>
      <c r="IB161" s="750"/>
      <c r="IC161" s="750"/>
      <c r="ID161" s="750"/>
      <c r="IE161" s="750"/>
      <c r="IF161" s="750"/>
      <c r="IG161" s="750"/>
      <c r="IH161" s="275"/>
      <c r="II161" s="750"/>
      <c r="IJ161" s="750"/>
      <c r="IK161" s="750"/>
      <c r="IL161" s="750"/>
      <c r="IM161" s="1402"/>
      <c r="IN161" s="1402"/>
      <c r="IO161" s="1187"/>
      <c r="IP161" s="1187"/>
      <c r="IR161" s="1376"/>
      <c r="IS161" s="1377"/>
      <c r="IT161" s="1377"/>
      <c r="IU161" s="1377"/>
      <c r="IV161" s="1377"/>
      <c r="IW161" s="1377"/>
      <c r="IX161" s="1378"/>
      <c r="IY161" s="1378"/>
      <c r="JD161" s="1379"/>
      <c r="JE161" s="1379"/>
      <c r="JG161" s="1380"/>
      <c r="JH161" s="1381"/>
      <c r="JO161" s="1382"/>
      <c r="KW161" s="1383"/>
      <c r="KX161" s="1402"/>
      <c r="KY161" s="1402"/>
    </row>
    <row r="162" spans="2:311" s="1181" customFormat="1" ht="63" customHeight="1" thickTop="1" thickBot="1">
      <c r="B162" s="1357"/>
      <c r="C162" s="1357"/>
      <c r="D162" s="1357"/>
      <c r="E162" s="1357"/>
      <c r="F162" s="1358"/>
      <c r="G162" s="1358"/>
      <c r="H162" s="1358"/>
      <c r="I162" s="1358"/>
      <c r="J162" s="1358"/>
      <c r="K162" s="1358"/>
      <c r="L162" s="1358"/>
      <c r="M162" s="1358"/>
      <c r="N162" s="1358"/>
      <c r="O162" s="1358"/>
      <c r="P162" s="1397"/>
      <c r="Q162" s="1403" t="s">
        <v>631</v>
      </c>
      <c r="R162" s="1404"/>
      <c r="S162" s="1404"/>
      <c r="T162" s="1405"/>
      <c r="U162" s="1406">
        <v>37</v>
      </c>
      <c r="V162" s="1357"/>
      <c r="W162" s="1357"/>
      <c r="X162" s="1357"/>
      <c r="Y162" s="1357"/>
      <c r="Z162" s="1357"/>
      <c r="AA162" s="1367"/>
      <c r="AB162" s="1407"/>
      <c r="AC162" s="1408"/>
      <c r="AD162" s="1408"/>
      <c r="AE162" s="1369"/>
      <c r="AF162" s="1369"/>
      <c r="AG162" s="1369"/>
      <c r="AH162" s="1369"/>
      <c r="AI162" s="1369"/>
      <c r="AJ162" s="1369"/>
      <c r="AK162" s="1369"/>
      <c r="AL162" s="1369"/>
      <c r="AM162" s="1369"/>
      <c r="AN162" s="1369"/>
      <c r="AO162" s="1369"/>
      <c r="AP162" s="1369"/>
      <c r="AQ162" s="1369"/>
      <c r="AR162" s="1369"/>
      <c r="AS162" s="1369"/>
      <c r="AT162" s="1369"/>
      <c r="AU162" s="1369"/>
      <c r="AV162" s="1369"/>
      <c r="AW162" s="1369"/>
      <c r="AX162" s="258"/>
      <c r="AY162" s="258"/>
      <c r="AZ162" s="258"/>
      <c r="BA162" s="258"/>
      <c r="BB162" s="258"/>
      <c r="BC162" s="258"/>
      <c r="BD162" s="258"/>
      <c r="BE162" s="258"/>
      <c r="BF162" s="258"/>
      <c r="BG162" s="258"/>
      <c r="BH162" s="258"/>
      <c r="BI162" s="258"/>
      <c r="BJ162" s="258"/>
      <c r="BK162" s="258"/>
      <c r="BL162" s="258"/>
      <c r="BM162" s="258"/>
      <c r="BN162" s="258"/>
      <c r="BO162" s="258"/>
      <c r="BP162" s="258"/>
      <c r="BQ162" s="258"/>
      <c r="BR162" s="258"/>
      <c r="BS162" s="258"/>
      <c r="BT162" s="258"/>
      <c r="BU162" s="258"/>
      <c r="BV162" s="1066"/>
      <c r="BW162" s="1066"/>
      <c r="BX162" s="1066"/>
      <c r="BY162" s="1066"/>
      <c r="BZ162" s="1066"/>
      <c r="CA162" s="1066"/>
      <c r="CB162" s="1066"/>
      <c r="CC162" s="1409"/>
      <c r="CD162" s="1410"/>
      <c r="CE162" s="1410"/>
      <c r="CF162" s="1410"/>
      <c r="CG162" s="1410"/>
      <c r="CH162" s="1410"/>
      <c r="CI162" s="1410"/>
      <c r="CJ162" s="1410"/>
      <c r="CK162" s="1410"/>
      <c r="CL162" s="1410"/>
      <c r="CM162" s="1410"/>
      <c r="CN162" s="1410"/>
      <c r="CO162" s="1410"/>
      <c r="CP162" s="1410"/>
      <c r="CQ162" s="1410"/>
      <c r="CR162" s="750"/>
      <c r="CS162" s="1410"/>
      <c r="CT162" s="1410"/>
      <c r="CU162" s="1410"/>
      <c r="CV162" s="1410"/>
      <c r="CW162" s="1410"/>
      <c r="CX162" s="1410"/>
      <c r="CY162" s="1410"/>
      <c r="CZ162" s="1410"/>
      <c r="DA162" s="1410"/>
      <c r="DB162" s="1410"/>
      <c r="DC162" s="1410"/>
      <c r="DD162" s="1410"/>
      <c r="DE162" s="1410"/>
      <c r="DF162" s="1410"/>
      <c r="DG162" s="750"/>
      <c r="DH162" s="1410"/>
      <c r="DI162" s="1410"/>
      <c r="DJ162" s="1410"/>
      <c r="DK162" s="1410"/>
      <c r="DL162" s="1187"/>
      <c r="DM162" s="1187"/>
      <c r="DN162" s="1187"/>
      <c r="DO162" s="1187"/>
      <c r="DP162" s="1187"/>
      <c r="DQ162" s="1187"/>
      <c r="DR162" s="1187"/>
      <c r="DS162" s="1187"/>
      <c r="DT162" s="1187"/>
      <c r="DU162" s="1187"/>
      <c r="DV162" s="1187"/>
      <c r="DW162" s="1187"/>
      <c r="DX162" s="1187"/>
      <c r="DY162" s="1187"/>
      <c r="DZ162" s="1187"/>
      <c r="EA162" s="1187"/>
      <c r="EB162" s="1187"/>
      <c r="EC162" s="1187"/>
      <c r="ED162" s="1187"/>
      <c r="EE162" s="1187"/>
      <c r="EF162" s="1187"/>
      <c r="EG162" s="1187"/>
      <c r="EH162" s="1187"/>
      <c r="EI162" s="1187"/>
      <c r="EJ162" s="1187"/>
      <c r="EK162" s="1187"/>
      <c r="EL162" s="1187"/>
      <c r="EM162" s="1187"/>
      <c r="EN162" s="1187"/>
      <c r="EO162" s="1367"/>
      <c r="EP162" s="1407"/>
      <c r="EQ162" s="1408"/>
      <c r="ER162" s="1408"/>
      <c r="ES162" s="1408"/>
      <c r="ET162" s="1408"/>
      <c r="EU162" s="1408"/>
      <c r="EV162" s="1408"/>
      <c r="EW162" s="1408"/>
      <c r="EX162" s="1408"/>
      <c r="EY162" s="1408"/>
      <c r="EZ162" s="1408"/>
      <c r="FA162" s="1408"/>
      <c r="FB162" s="1408"/>
      <c r="FC162" s="1373"/>
      <c r="FD162" s="1373"/>
      <c r="FE162" s="1372"/>
      <c r="FF162" s="1373"/>
      <c r="FG162" s="1373"/>
      <c r="FH162" s="1372"/>
      <c r="FI162" s="1373"/>
      <c r="FJ162" s="1373"/>
      <c r="FK162" s="1374"/>
      <c r="FL162" s="1374"/>
      <c r="FM162" s="1369"/>
      <c r="FN162" s="1369"/>
      <c r="FO162" s="1369"/>
      <c r="FP162" s="1369"/>
      <c r="FQ162" s="1369"/>
      <c r="FR162" s="1369"/>
      <c r="FS162" s="1369"/>
      <c r="FT162" s="1369"/>
      <c r="FU162" s="1369"/>
      <c r="FV162" s="1369"/>
      <c r="FW162" s="1369"/>
      <c r="FX162" s="1369"/>
      <c r="FY162" s="1369"/>
      <c r="FZ162" s="1369"/>
      <c r="GA162" s="258"/>
      <c r="GB162" s="258"/>
      <c r="GC162" s="258"/>
      <c r="GD162" s="258"/>
      <c r="GE162" s="258"/>
      <c r="GF162" s="258"/>
      <c r="GG162" s="258"/>
      <c r="GH162" s="258"/>
      <c r="GI162" s="258"/>
      <c r="GJ162" s="258"/>
      <c r="GK162" s="258"/>
      <c r="GL162" s="258"/>
      <c r="GM162" s="258"/>
      <c r="GN162" s="258"/>
      <c r="GO162" s="258"/>
      <c r="GP162" s="258"/>
      <c r="GQ162" s="258"/>
      <c r="GR162" s="258"/>
      <c r="GS162" s="258"/>
      <c r="GT162" s="258"/>
      <c r="GU162" s="258"/>
      <c r="GV162" s="258"/>
      <c r="GW162" s="1066"/>
      <c r="GX162" s="1066"/>
      <c r="GY162" s="1066"/>
      <c r="GZ162" s="1066"/>
      <c r="HA162" s="1066"/>
      <c r="HB162" s="1066"/>
      <c r="HC162" s="1066"/>
      <c r="HD162" s="1409"/>
      <c r="HE162" s="1410"/>
      <c r="HF162" s="1410"/>
      <c r="HG162" s="1410"/>
      <c r="HH162" s="1410"/>
      <c r="HI162" s="1410"/>
      <c r="HJ162" s="1410"/>
      <c r="HK162" s="1410"/>
      <c r="HL162" s="1410"/>
      <c r="HM162" s="1410"/>
      <c r="HN162" s="1410"/>
      <c r="HO162" s="1410"/>
      <c r="HP162" s="1410"/>
      <c r="HQ162" s="1410"/>
      <c r="HR162" s="1410"/>
      <c r="HS162" s="1354"/>
      <c r="HT162" s="1410"/>
      <c r="HU162" s="1410"/>
      <c r="HV162" s="1410"/>
      <c r="HW162" s="1410"/>
      <c r="HX162" s="1410"/>
      <c r="HY162" s="1410"/>
      <c r="HZ162" s="1410"/>
      <c r="IA162" s="1410"/>
      <c r="IB162" s="1410"/>
      <c r="IC162" s="1410"/>
      <c r="ID162" s="1410"/>
      <c r="IE162" s="1410"/>
      <c r="IF162" s="1410"/>
      <c r="IG162" s="1410"/>
      <c r="IH162" s="1354"/>
      <c r="II162" s="1410"/>
      <c r="IJ162" s="1410"/>
      <c r="IK162" s="1410"/>
      <c r="IL162" s="1410"/>
      <c r="IM162" s="1187"/>
      <c r="IN162" s="1187"/>
      <c r="IO162" s="1187"/>
      <c r="IP162" s="1187"/>
      <c r="IR162" s="1376"/>
      <c r="IS162" s="1377"/>
      <c r="IT162" s="1377"/>
      <c r="IU162" s="1377"/>
      <c r="IV162" s="1377"/>
      <c r="IW162" s="1377"/>
      <c r="IX162" s="1378"/>
      <c r="IY162" s="1378"/>
      <c r="JD162" s="1379"/>
      <c r="JE162" s="1379"/>
      <c r="JG162" s="1380"/>
      <c r="JH162" s="1381"/>
      <c r="JO162" s="1382"/>
      <c r="KW162" s="1383"/>
      <c r="KX162" s="1187"/>
      <c r="KY162" s="1187"/>
    </row>
    <row r="163" spans="2:311" s="1181" customFormat="1" ht="44.5" customHeight="1" thickTop="1" thickBot="1">
      <c r="B163" s="1411"/>
      <c r="C163" s="1369"/>
      <c r="D163" s="1369"/>
      <c r="E163" s="1412"/>
      <c r="F163" s="1369"/>
      <c r="G163" s="1413"/>
      <c r="H163" s="1413"/>
      <c r="I163" s="3"/>
      <c r="J163" s="1413"/>
      <c r="K163" s="1413"/>
      <c r="L163" s="1413"/>
      <c r="M163" s="1414"/>
      <c r="N163" s="1415"/>
      <c r="O163" s="1415"/>
      <c r="P163" s="1414"/>
      <c r="Q163" s="1415"/>
      <c r="R163" s="1415"/>
      <c r="S163" s="1415"/>
      <c r="T163" s="1415"/>
      <c r="U163" s="1416"/>
      <c r="V163" s="1369"/>
      <c r="W163" s="1369"/>
      <c r="X163" s="1369"/>
      <c r="Y163" s="1369"/>
      <c r="Z163" s="1369"/>
      <c r="AA163" s="1417"/>
      <c r="AB163" s="1418"/>
      <c r="AC163" s="1187"/>
      <c r="AD163" s="1184"/>
      <c r="AE163" s="1369"/>
      <c r="AF163" s="1369"/>
      <c r="AG163" s="1369"/>
      <c r="AH163" s="1369"/>
      <c r="AI163" s="1369"/>
      <c r="AJ163" s="1369"/>
      <c r="AK163" s="1369"/>
      <c r="AL163" s="1369"/>
      <c r="AM163" s="1369"/>
      <c r="AN163" s="1369"/>
      <c r="AO163" s="1369"/>
      <c r="AP163" s="1369"/>
      <c r="AQ163" s="1369"/>
      <c r="AR163" s="1369"/>
      <c r="AS163" s="1369"/>
      <c r="AT163" s="1369"/>
      <c r="AU163" s="1369"/>
      <c r="AV163" s="1369"/>
      <c r="AW163" s="1369"/>
      <c r="AX163" s="1419" t="s">
        <v>632</v>
      </c>
      <c r="AY163" s="1419"/>
      <c r="AZ163" s="1420">
        <f>ROUNDUP(SUBTOTAL(9,AZ11:AZ156,BI11:BI156,BB50,BB89),0)</f>
        <v>5061075001</v>
      </c>
      <c r="BA163" s="1420"/>
      <c r="BB163" s="1421"/>
      <c r="BC163" s="1421"/>
      <c r="BD163" s="1421"/>
      <c r="BE163" s="1421"/>
      <c r="BF163" s="1421"/>
      <c r="BG163" s="1421"/>
      <c r="BH163" s="1421"/>
      <c r="BI163" s="1421"/>
      <c r="BJ163" s="1421"/>
      <c r="BK163" s="1421"/>
      <c r="BL163" s="1421"/>
      <c r="BM163" s="1421"/>
      <c r="BN163" s="1421"/>
      <c r="BO163" s="1421"/>
      <c r="BP163" s="1421"/>
      <c r="BQ163" s="1421"/>
      <c r="BR163" s="1421"/>
      <c r="BS163" s="1421"/>
      <c r="BT163" s="1421"/>
      <c r="BU163" s="1421"/>
      <c r="BV163" s="1422">
        <f>ROUNDUP(AZ179-AZ163,0)</f>
        <v>-2018383606</v>
      </c>
      <c r="BW163" s="1422"/>
      <c r="BX163" s="1423" t="s">
        <v>633</v>
      </c>
      <c r="BY163" s="1424"/>
      <c r="BZ163" s="1424"/>
      <c r="CA163" s="1424"/>
      <c r="CB163" s="1424"/>
      <c r="CC163" s="1425">
        <f t="shared" ref="CC163:CM163" si="24">SUM(CC11:CC156)-CC164</f>
        <v>590</v>
      </c>
      <c r="CD163" s="1426">
        <f t="shared" si="24"/>
        <v>590</v>
      </c>
      <c r="CE163" s="1426">
        <f t="shared" si="24"/>
        <v>590</v>
      </c>
      <c r="CF163" s="1426">
        <f t="shared" si="24"/>
        <v>922</v>
      </c>
      <c r="CG163" s="1426">
        <f t="shared" si="24"/>
        <v>922</v>
      </c>
      <c r="CH163" s="1426">
        <f t="shared" si="24"/>
        <v>922</v>
      </c>
      <c r="CI163" s="1426">
        <f t="shared" si="24"/>
        <v>922</v>
      </c>
      <c r="CJ163" s="1426">
        <f t="shared" si="24"/>
        <v>1557</v>
      </c>
      <c r="CK163" s="1426">
        <f t="shared" si="24"/>
        <v>1815</v>
      </c>
      <c r="CL163" s="1426">
        <f t="shared" si="24"/>
        <v>2905</v>
      </c>
      <c r="CM163" s="1426">
        <f t="shared" si="24"/>
        <v>3731</v>
      </c>
      <c r="CN163" s="1426">
        <f t="shared" ref="CN163:DK163" si="25">SUM(CN11:CN156)-CN164</f>
        <v>4306</v>
      </c>
      <c r="CO163" s="1426">
        <f t="shared" si="25"/>
        <v>9613</v>
      </c>
      <c r="CP163" s="1426">
        <f t="shared" si="25"/>
        <v>10361</v>
      </c>
      <c r="CQ163" s="1427">
        <f t="shared" si="25"/>
        <v>10713</v>
      </c>
      <c r="CR163" s="1428">
        <f t="shared" si="25"/>
        <v>10713</v>
      </c>
      <c r="CS163" s="1429">
        <f>SUM(CS11:CS156)-CS164</f>
        <v>13277</v>
      </c>
      <c r="CT163" s="1426">
        <f t="shared" si="25"/>
        <v>13697</v>
      </c>
      <c r="CU163" s="1426">
        <f t="shared" si="25"/>
        <v>13868</v>
      </c>
      <c r="CV163" s="1426">
        <f t="shared" si="25"/>
        <v>14456</v>
      </c>
      <c r="CW163" s="1426">
        <f t="shared" si="25"/>
        <v>13779</v>
      </c>
      <c r="CX163" s="1426">
        <f t="shared" si="25"/>
        <v>13779</v>
      </c>
      <c r="CY163" s="1426">
        <f t="shared" si="25"/>
        <v>13241</v>
      </c>
      <c r="CZ163" s="1426">
        <f t="shared" si="25"/>
        <v>13418</v>
      </c>
      <c r="DA163" s="1426">
        <f t="shared" si="25"/>
        <v>11831</v>
      </c>
      <c r="DB163" s="1426">
        <f t="shared" si="25"/>
        <v>11221</v>
      </c>
      <c r="DC163" s="1426">
        <f t="shared" si="25"/>
        <v>9525</v>
      </c>
      <c r="DD163" s="1426">
        <f t="shared" si="25"/>
        <v>9068</v>
      </c>
      <c r="DE163" s="1426">
        <f t="shared" si="25"/>
        <v>9068</v>
      </c>
      <c r="DF163" s="1427">
        <f t="shared" si="25"/>
        <v>7134</v>
      </c>
      <c r="DG163" s="1428">
        <f t="shared" si="25"/>
        <v>5967</v>
      </c>
      <c r="DH163" s="1429">
        <f t="shared" si="25"/>
        <v>2086</v>
      </c>
      <c r="DI163" s="1426">
        <f t="shared" si="25"/>
        <v>590</v>
      </c>
      <c r="DJ163" s="1426">
        <f t="shared" si="25"/>
        <v>0</v>
      </c>
      <c r="DK163" s="1430">
        <f t="shared" si="25"/>
        <v>0</v>
      </c>
      <c r="DL163" s="1187"/>
      <c r="DM163" s="1187"/>
      <c r="DN163" s="1187"/>
      <c r="DO163" s="1187"/>
      <c r="DP163" s="1187"/>
      <c r="DQ163" s="1187"/>
      <c r="DR163" s="1187"/>
      <c r="DS163" s="1187"/>
      <c r="DT163" s="1187"/>
      <c r="DU163" s="1187"/>
      <c r="DV163" s="1187"/>
      <c r="DW163" s="1187"/>
      <c r="DX163" s="1187"/>
      <c r="DY163" s="1187"/>
      <c r="DZ163" s="1187"/>
      <c r="EA163" s="1187"/>
      <c r="EB163" s="1187"/>
      <c r="EC163" s="1187"/>
      <c r="ED163" s="1187"/>
      <c r="EE163" s="1187"/>
      <c r="EF163" s="1187"/>
      <c r="EG163" s="1187"/>
      <c r="EH163" s="1187"/>
      <c r="EI163" s="1187"/>
      <c r="EJ163" s="1187"/>
      <c r="EK163" s="1187"/>
      <c r="EL163" s="1187"/>
      <c r="EM163" s="1187"/>
      <c r="EN163" s="1187"/>
      <c r="EO163" s="1417"/>
      <c r="EP163" s="1418"/>
      <c r="EQ163" s="1187"/>
      <c r="ER163" s="1184"/>
      <c r="ES163" s="1184"/>
      <c r="ET163" s="1184"/>
      <c r="EU163" s="1184"/>
      <c r="EV163" s="1372"/>
      <c r="EW163" s="1373"/>
      <c r="EX163" s="1373"/>
      <c r="EY163" s="1372"/>
      <c r="EZ163" s="1373"/>
      <c r="FA163" s="1373"/>
      <c r="FB163" s="1372"/>
      <c r="FC163" s="1373"/>
      <c r="FD163" s="1373"/>
      <c r="FE163" s="1372"/>
      <c r="FF163" s="1373"/>
      <c r="FG163" s="1373"/>
      <c r="FH163" s="1372"/>
      <c r="FI163" s="1373"/>
      <c r="FJ163" s="1373"/>
      <c r="FK163" s="1374"/>
      <c r="FL163" s="1374"/>
      <c r="FM163" s="1369"/>
      <c r="FN163" s="1369"/>
      <c r="FO163" s="1369"/>
      <c r="FP163" s="1369"/>
      <c r="FQ163" s="1369"/>
      <c r="FR163" s="1369"/>
      <c r="FS163" s="1369"/>
      <c r="FT163" s="1369"/>
      <c r="FU163" s="1369"/>
      <c r="FV163" s="1369"/>
      <c r="FW163" s="1369"/>
      <c r="FX163" s="1369"/>
      <c r="FY163" s="1369"/>
      <c r="FZ163" s="1369"/>
      <c r="GA163" s="1419" t="s">
        <v>632</v>
      </c>
      <c r="GB163" s="1419"/>
      <c r="GC163" s="1420">
        <f>SUBTOTAL(9,GC11:GC156,GJ11:GJ156,GI50,GI89)</f>
        <v>3364680671</v>
      </c>
      <c r="GD163" s="1420"/>
      <c r="GE163" s="1421"/>
      <c r="GF163" s="1421"/>
      <c r="GG163" s="1421"/>
      <c r="GH163" s="1421"/>
      <c r="GI163" s="1421"/>
      <c r="GJ163" s="1421"/>
      <c r="GK163" s="1421"/>
      <c r="GL163" s="1421"/>
      <c r="GM163" s="1421"/>
      <c r="GN163" s="1421"/>
      <c r="GO163" s="1421"/>
      <c r="GP163" s="1421"/>
      <c r="GQ163" s="1421"/>
      <c r="GR163" s="1421"/>
      <c r="GS163" s="1421"/>
      <c r="GT163" s="1421"/>
      <c r="GU163" s="1421"/>
      <c r="GV163" s="1421"/>
      <c r="GW163" s="1422">
        <f>ROUNDUP(GC179-GC163,0)</f>
        <v>-321989276</v>
      </c>
      <c r="GX163" s="1422"/>
      <c r="GY163" s="1423" t="s">
        <v>633</v>
      </c>
      <c r="GZ163" s="1424"/>
      <c r="HA163" s="1424"/>
      <c r="HB163" s="1424"/>
      <c r="HC163" s="1424"/>
      <c r="HD163" s="1431">
        <f t="shared" ref="HD163:IL163" si="26">SUM(HD11:HD156)</f>
        <v>300</v>
      </c>
      <c r="HE163" s="1432">
        <f t="shared" si="26"/>
        <v>300</v>
      </c>
      <c r="HF163" s="1432">
        <f t="shared" si="26"/>
        <v>300</v>
      </c>
      <c r="HG163" s="1432">
        <f t="shared" si="26"/>
        <v>732</v>
      </c>
      <c r="HH163" s="1432">
        <f t="shared" si="26"/>
        <v>732</v>
      </c>
      <c r="HI163" s="1432">
        <f t="shared" si="26"/>
        <v>732</v>
      </c>
      <c r="HJ163" s="1432">
        <f t="shared" si="26"/>
        <v>1596</v>
      </c>
      <c r="HK163" s="1432">
        <f t="shared" si="26"/>
        <v>1884</v>
      </c>
      <c r="HL163" s="1432">
        <f t="shared" si="26"/>
        <v>1884</v>
      </c>
      <c r="HM163" s="1432">
        <f t="shared" si="26"/>
        <v>2280</v>
      </c>
      <c r="HN163" s="1432">
        <f t="shared" si="26"/>
        <v>3292</v>
      </c>
      <c r="HO163" s="1432">
        <f t="shared" si="26"/>
        <v>3867</v>
      </c>
      <c r="HP163" s="1432">
        <f t="shared" si="26"/>
        <v>8311</v>
      </c>
      <c r="HQ163" s="1432">
        <f t="shared" si="26"/>
        <v>8937</v>
      </c>
      <c r="HR163" s="1433">
        <f t="shared" si="26"/>
        <v>9329</v>
      </c>
      <c r="HS163" s="1434">
        <f t="shared" si="26"/>
        <v>9329</v>
      </c>
      <c r="HT163" s="1435">
        <f t="shared" si="26"/>
        <v>11388</v>
      </c>
      <c r="HU163" s="1432">
        <f t="shared" si="26"/>
        <v>11768</v>
      </c>
      <c r="HV163" s="1432">
        <f t="shared" si="26"/>
        <v>11941</v>
      </c>
      <c r="HW163" s="1432">
        <f t="shared" si="26"/>
        <v>12287</v>
      </c>
      <c r="HX163" s="1432">
        <f t="shared" si="26"/>
        <v>12666</v>
      </c>
      <c r="HY163" s="1432">
        <f t="shared" si="26"/>
        <v>12064</v>
      </c>
      <c r="HZ163" s="1432">
        <f t="shared" si="26"/>
        <v>12163</v>
      </c>
      <c r="IA163" s="1432">
        <f t="shared" si="26"/>
        <v>11662</v>
      </c>
      <c r="IB163" s="1432">
        <f t="shared" si="26"/>
        <v>11029</v>
      </c>
      <c r="IC163" s="1432">
        <f t="shared" si="26"/>
        <v>10006</v>
      </c>
      <c r="ID163" s="1432">
        <f t="shared" si="26"/>
        <v>9756</v>
      </c>
      <c r="IE163" s="1432">
        <f t="shared" si="26"/>
        <v>7964</v>
      </c>
      <c r="IF163" s="1432">
        <f t="shared" si="26"/>
        <v>7392</v>
      </c>
      <c r="IG163" s="1433">
        <f t="shared" si="26"/>
        <v>7233</v>
      </c>
      <c r="IH163" s="1434">
        <f t="shared" si="26"/>
        <v>5039</v>
      </c>
      <c r="II163" s="1435">
        <f t="shared" si="26"/>
        <v>570</v>
      </c>
      <c r="IJ163" s="1432">
        <f t="shared" si="26"/>
        <v>300</v>
      </c>
      <c r="IK163" s="1432">
        <f t="shared" si="26"/>
        <v>0</v>
      </c>
      <c r="IL163" s="1436">
        <f t="shared" si="26"/>
        <v>0</v>
      </c>
      <c r="IM163" s="1187"/>
      <c r="IN163" s="1187"/>
      <c r="IO163" s="1187"/>
      <c r="IP163" s="1187"/>
      <c r="IR163" s="1437"/>
      <c r="IS163" s="1438"/>
      <c r="IT163" s="1438"/>
      <c r="IU163" s="1438"/>
      <c r="IV163" s="1438"/>
      <c r="IW163" s="1438"/>
      <c r="IX163" s="1439"/>
      <c r="IY163" s="1439"/>
      <c r="IZ163" s="1440"/>
      <c r="JA163" s="1440"/>
      <c r="JB163" s="1440"/>
      <c r="JC163" s="1440"/>
      <c r="JD163" s="1441"/>
      <c r="JE163" s="1441"/>
      <c r="JF163" s="1440"/>
      <c r="JG163" s="1442"/>
      <c r="JH163" s="1443"/>
      <c r="JO163" s="1382"/>
      <c r="KW163" s="1383"/>
      <c r="KX163" s="1187"/>
      <c r="KY163" s="1187"/>
    </row>
    <row r="164" spans="2:311" s="1181" customFormat="1" ht="44.5" customHeight="1" thickTop="1" thickBot="1">
      <c r="B164" s="1411"/>
      <c r="C164" s="1187"/>
      <c r="D164" s="1444"/>
      <c r="E164" s="1412"/>
      <c r="F164" s="1187"/>
      <c r="G164" s="1413"/>
      <c r="H164" s="1413"/>
      <c r="I164" s="1413"/>
      <c r="J164" s="1413"/>
      <c r="K164" s="1413"/>
      <c r="L164" s="1413"/>
      <c r="M164" s="1414"/>
      <c r="N164" s="1415"/>
      <c r="O164" s="1415"/>
      <c r="P164" s="1414"/>
      <c r="Q164" s="1415"/>
      <c r="R164" s="1415"/>
      <c r="S164" s="1415"/>
      <c r="T164" s="1415"/>
      <c r="U164" s="1444"/>
      <c r="V164" s="1369"/>
      <c r="W164" s="1369"/>
      <c r="X164" s="1369"/>
      <c r="Y164" s="1369"/>
      <c r="Z164" s="1369"/>
      <c r="AA164" s="1417"/>
      <c r="AB164" s="1418"/>
      <c r="AC164" s="1184"/>
      <c r="AD164" s="1445"/>
      <c r="AE164" s="1369"/>
      <c r="AF164" s="1369"/>
      <c r="AG164" s="1369"/>
      <c r="AH164" s="1369"/>
      <c r="AI164" s="1369"/>
      <c r="AJ164" s="1369"/>
      <c r="AK164" s="1369"/>
      <c r="AL164" s="1369"/>
      <c r="AM164" s="1369"/>
      <c r="AN164" s="1369"/>
      <c r="AO164" s="1369"/>
      <c r="AP164" s="1369"/>
      <c r="AQ164" s="1369"/>
      <c r="AR164" s="1369"/>
      <c r="AS164" s="1369"/>
      <c r="AT164" s="1369"/>
      <c r="AU164" s="1369"/>
      <c r="AV164" s="1369"/>
      <c r="AW164" s="1369"/>
      <c r="AX164" s="1446" t="s">
        <v>634</v>
      </c>
      <c r="AY164" s="1446"/>
      <c r="AZ164" s="1447">
        <f>ROUNDUP(SUBTOTAL(9,BA11:BA156),0)</f>
        <v>2054810760</v>
      </c>
      <c r="BA164" s="1447"/>
      <c r="BB164" s="1421"/>
      <c r="BC164" s="1421"/>
      <c r="BD164" s="1421"/>
      <c r="BE164" s="1421"/>
      <c r="BF164" s="1421"/>
      <c r="BG164" s="1421"/>
      <c r="BH164" s="1421"/>
      <c r="BI164" s="1421"/>
      <c r="BJ164" s="1421"/>
      <c r="BK164" s="1421">
        <f>SUM(BK50:BK156)</f>
        <v>16830000</v>
      </c>
      <c r="BL164" s="1421">
        <f>SUM(BL50:BL156)</f>
        <v>2383200000</v>
      </c>
      <c r="BM164" s="1421"/>
      <c r="BN164" s="1421"/>
      <c r="BO164" s="1421">
        <f>ROUNDUP(SUM(BO11:BO156),0)</f>
        <v>82225660</v>
      </c>
      <c r="BP164" s="1421"/>
      <c r="BQ164" s="1448">
        <f>ROUNDUP(SUM(BQ11:BQ156),0)</f>
        <v>839558570</v>
      </c>
      <c r="BR164" s="1421"/>
      <c r="BS164" s="1421"/>
      <c r="BT164" s="1421"/>
      <c r="BU164" s="1421"/>
      <c r="BV164" s="1422">
        <f>ROUNDDOWN(AZ180-AZ164,0)</f>
        <v>-1196222998</v>
      </c>
      <c r="BW164" s="1422"/>
      <c r="BX164" s="1449"/>
      <c r="BY164" s="1450"/>
      <c r="BZ164" s="1450"/>
      <c r="CA164" s="1450"/>
      <c r="CB164" s="1450"/>
      <c r="CC164" s="1451">
        <f>SUM(CC51,CC53,CC55,CC57,CC59,CC71,CC73,CC80,CC82,CC84,CC86,CC88,CC90,,CC92,CC94,CC96,CC98,CC100,CC103,CC106,CC110,CC112,CC116,CC118,CC120,CC122,CC126,CC128,CC130,CC132,CC134,CC136,CC138,CC140,CC142,CC144,CC146,CC148,CC150,CC152,CC156)</f>
        <v>0</v>
      </c>
      <c r="CD164" s="1452">
        <f t="shared" ref="CD164:DK164" si="27">SUM(CD51,CD53,CD55,CD57,CD59,CD71,CD73,CD80,CD82,CD84,CD86,CD88,CD90,,CD92,CD94,CD96,CD98,CD100,CD103,CD106,CD110,CD112,CD116,CD118,CD120,CD122,CD126,CD128,CD130,CD132,CD134,CD136,CD138,CD140,CD142,CD144,CD146,CD148,CD150,CD152,CD156)</f>
        <v>0</v>
      </c>
      <c r="CE164" s="1452">
        <f t="shared" si="27"/>
        <v>0</v>
      </c>
      <c r="CF164" s="1452">
        <f t="shared" si="27"/>
        <v>0</v>
      </c>
      <c r="CG164" s="1452">
        <f t="shared" si="27"/>
        <v>0</v>
      </c>
      <c r="CH164" s="1452">
        <f t="shared" si="27"/>
        <v>0</v>
      </c>
      <c r="CI164" s="1452">
        <f t="shared" si="27"/>
        <v>0</v>
      </c>
      <c r="CJ164" s="1452">
        <f t="shared" si="27"/>
        <v>0</v>
      </c>
      <c r="CK164" s="1452">
        <f t="shared" si="27"/>
        <v>0</v>
      </c>
      <c r="CL164" s="1452">
        <f t="shared" si="27"/>
        <v>0</v>
      </c>
      <c r="CM164" s="1452">
        <f t="shared" si="27"/>
        <v>0</v>
      </c>
      <c r="CN164" s="1452">
        <f t="shared" si="27"/>
        <v>78</v>
      </c>
      <c r="CO164" s="1452">
        <f t="shared" si="27"/>
        <v>78</v>
      </c>
      <c r="CP164" s="1452">
        <f t="shared" si="27"/>
        <v>78</v>
      </c>
      <c r="CQ164" s="1452">
        <f t="shared" si="27"/>
        <v>78</v>
      </c>
      <c r="CR164" s="1453">
        <f t="shared" si="27"/>
        <v>78</v>
      </c>
      <c r="CS164" s="1454">
        <f>SUM(CS51,CS53,CS55,CS57,CS59,CS71,CS73,CS80,CS82,CS84,CS86,CS88,CS90,,CS92,CS94,CS96,CS98,CS100,CS103,CS106,CS110,CS112,CS116,CS118,CS120,CS122,CS126,CS128,CS130,CS132,CS134,CS136,CS138,CS140,CS142,CS144,CS146,CS148,CS150,CS152,CS156)</f>
        <v>78</v>
      </c>
      <c r="CT164" s="1452">
        <f t="shared" si="27"/>
        <v>78</v>
      </c>
      <c r="CU164" s="1452">
        <f t="shared" si="27"/>
        <v>78</v>
      </c>
      <c r="CV164" s="1452">
        <f t="shared" si="27"/>
        <v>78</v>
      </c>
      <c r="CW164" s="1452">
        <f t="shared" si="27"/>
        <v>78</v>
      </c>
      <c r="CX164" s="1452">
        <f t="shared" si="27"/>
        <v>78</v>
      </c>
      <c r="CY164" s="1452">
        <f t="shared" si="27"/>
        <v>78</v>
      </c>
      <c r="CZ164" s="1452">
        <f t="shared" si="27"/>
        <v>78</v>
      </c>
      <c r="DA164" s="1452">
        <f t="shared" si="27"/>
        <v>78</v>
      </c>
      <c r="DB164" s="1452">
        <f t="shared" si="27"/>
        <v>78</v>
      </c>
      <c r="DC164" s="1452">
        <f t="shared" si="27"/>
        <v>78</v>
      </c>
      <c r="DD164" s="1452">
        <f t="shared" si="27"/>
        <v>78</v>
      </c>
      <c r="DE164" s="1452">
        <f t="shared" si="27"/>
        <v>78</v>
      </c>
      <c r="DF164" s="1452">
        <f t="shared" si="27"/>
        <v>78</v>
      </c>
      <c r="DG164" s="1453">
        <f t="shared" si="27"/>
        <v>78</v>
      </c>
      <c r="DH164" s="1452">
        <f t="shared" si="27"/>
        <v>0</v>
      </c>
      <c r="DI164" s="1452">
        <f t="shared" si="27"/>
        <v>0</v>
      </c>
      <c r="DJ164" s="1452">
        <f t="shared" si="27"/>
        <v>0</v>
      </c>
      <c r="DK164" s="1455">
        <f t="shared" si="27"/>
        <v>0</v>
      </c>
      <c r="DL164" s="1187"/>
      <c r="DM164" s="1187"/>
      <c r="DN164" s="1187"/>
      <c r="DO164" s="1187"/>
      <c r="DP164" s="1187"/>
      <c r="DQ164" s="1187"/>
      <c r="DR164" s="1187"/>
      <c r="DS164" s="1187"/>
      <c r="DT164" s="1187"/>
      <c r="DU164" s="1187"/>
      <c r="DV164" s="1187"/>
      <c r="DW164" s="1187"/>
      <c r="DX164" s="1187"/>
      <c r="DY164" s="1187"/>
      <c r="DZ164" s="1187"/>
      <c r="EA164" s="1187"/>
      <c r="EB164" s="1187"/>
      <c r="EC164" s="1187"/>
      <c r="ED164" s="1187"/>
      <c r="EE164" s="1187"/>
      <c r="EF164" s="1187"/>
      <c r="EG164" s="1187"/>
      <c r="EH164" s="1187"/>
      <c r="EI164" s="1187"/>
      <c r="EJ164" s="1187"/>
      <c r="EK164" s="1187"/>
      <c r="EL164" s="1187"/>
      <c r="EM164" s="1187"/>
      <c r="EN164" s="1187"/>
      <c r="EO164" s="1417"/>
      <c r="EP164" s="1418"/>
      <c r="EQ164" s="1184"/>
      <c r="ER164" s="1445"/>
      <c r="ES164" s="1445"/>
      <c r="ET164" s="1445"/>
      <c r="EU164" s="1445"/>
      <c r="EV164" s="1372"/>
      <c r="EW164" s="1185"/>
      <c r="EX164" s="1185"/>
      <c r="EY164" s="1372"/>
      <c r="EZ164" s="1185"/>
      <c r="FA164" s="1185"/>
      <c r="FB164" s="1372"/>
      <c r="FC164" s="1185"/>
      <c r="FD164" s="1185"/>
      <c r="FE164" s="1372"/>
      <c r="FF164" s="1185"/>
      <c r="FG164" s="1185"/>
      <c r="FH164" s="1372"/>
      <c r="FI164" s="1185"/>
      <c r="FJ164" s="1185"/>
      <c r="FK164" s="1374"/>
      <c r="FL164" s="1184" t="s">
        <v>635</v>
      </c>
      <c r="FM164" s="1369" t="s">
        <v>636</v>
      </c>
      <c r="FN164" s="1369"/>
      <c r="FO164" s="1369"/>
      <c r="FP164" s="1369"/>
      <c r="FQ164" s="1369"/>
      <c r="FR164" s="1369"/>
      <c r="FS164" s="1369"/>
      <c r="FT164" s="1369"/>
      <c r="FU164" s="1369"/>
      <c r="FV164" s="1369"/>
      <c r="FW164" s="1369"/>
      <c r="FX164" s="1369"/>
      <c r="FY164" s="1369"/>
      <c r="FZ164" s="1369"/>
      <c r="GA164" s="1446" t="s">
        <v>634</v>
      </c>
      <c r="GB164" s="1446"/>
      <c r="GC164" s="1447">
        <f>SUBTOTAL(9,GD11:GD156)</f>
        <v>1618789032.9349999</v>
      </c>
      <c r="GD164" s="1447"/>
      <c r="GE164" s="1421"/>
      <c r="GF164" s="1421"/>
      <c r="GG164" s="1421"/>
      <c r="GH164" s="1421"/>
      <c r="GI164" s="1421"/>
      <c r="GJ164" s="1421"/>
      <c r="GK164" s="1421"/>
      <c r="GL164" s="1421"/>
      <c r="GM164" s="1421"/>
      <c r="GN164" s="1421">
        <f>SUM(GN50:GN156)</f>
        <v>10045000</v>
      </c>
      <c r="GO164" s="1421">
        <f>SUM(GO50:GO156)</f>
        <v>2697400000</v>
      </c>
      <c r="GP164" s="1421"/>
      <c r="GQ164" s="1421"/>
      <c r="GR164" s="1421"/>
      <c r="GS164" s="1421"/>
      <c r="GT164" s="1421"/>
      <c r="GU164" s="1421"/>
      <c r="GV164" s="1421"/>
      <c r="GW164" s="1422">
        <f>ROUNDDOWN(GC180-GC164,0)</f>
        <v>-760201270</v>
      </c>
      <c r="GX164" s="1422"/>
      <c r="GY164" s="1449"/>
      <c r="GZ164" s="1450"/>
      <c r="HA164" s="1450"/>
      <c r="HB164" s="1450"/>
      <c r="HC164" s="1450"/>
      <c r="HD164" s="1184"/>
      <c r="HE164" s="1183"/>
      <c r="HF164" s="1183"/>
      <c r="HG164" s="1184"/>
      <c r="HH164" s="1184"/>
      <c r="HI164" s="1184"/>
      <c r="HJ164" s="1184"/>
      <c r="HK164" s="1184"/>
      <c r="HL164" s="1183"/>
      <c r="HM164" s="1183"/>
      <c r="HN164" s="1184"/>
      <c r="HO164" s="1184"/>
      <c r="HP164" s="1184"/>
      <c r="HQ164" s="1184"/>
      <c r="HR164" s="1184"/>
      <c r="HS164" s="1183"/>
      <c r="HT164" s="1183"/>
      <c r="HU164" s="1183"/>
      <c r="HV164" s="1184"/>
      <c r="HW164" s="1183"/>
      <c r="HX164" s="1184"/>
      <c r="HY164" s="1184"/>
      <c r="HZ164" s="1183"/>
      <c r="IA164" s="1183"/>
      <c r="IB164" s="1184"/>
      <c r="IC164" s="1184"/>
      <c r="ID164" s="1184"/>
      <c r="IE164" s="1184"/>
      <c r="IF164" s="1184"/>
      <c r="IG164" s="1183"/>
      <c r="IH164" s="1183"/>
      <c r="II164" s="1184"/>
      <c r="IJ164" s="1184"/>
      <c r="IK164" s="1184"/>
      <c r="IL164" s="1456"/>
      <c r="IM164" s="1187"/>
      <c r="IN164" s="1187"/>
      <c r="IO164" s="1187"/>
      <c r="IP164" s="1187"/>
      <c r="IR164" s="1376"/>
      <c r="IS164" s="1377"/>
      <c r="IT164" s="1377"/>
      <c r="IU164" s="1377"/>
      <c r="IV164" s="1377"/>
      <c r="IW164" s="1377"/>
      <c r="IX164" s="1378"/>
      <c r="IY164" s="1378"/>
      <c r="JD164" s="1379"/>
      <c r="JE164" s="1379"/>
      <c r="JG164" s="1380"/>
      <c r="JH164" s="1381"/>
      <c r="JO164" s="1382"/>
      <c r="KW164" s="1383"/>
      <c r="KX164" s="1187"/>
      <c r="KY164" s="1187"/>
    </row>
    <row r="165" spans="2:311" s="1181" customFormat="1" ht="44.5" customHeight="1" thickTop="1">
      <c r="B165" s="1411"/>
      <c r="C165" s="1187"/>
      <c r="D165" s="1444"/>
      <c r="E165" s="1412"/>
      <c r="F165" s="1187"/>
      <c r="G165" s="1413"/>
      <c r="H165" s="1413"/>
      <c r="I165" s="1413"/>
      <c r="J165" s="1413"/>
      <c r="K165" s="1413"/>
      <c r="L165" s="1413"/>
      <c r="M165" s="1414"/>
      <c r="N165" s="1415"/>
      <c r="O165" s="1415"/>
      <c r="P165" s="1414"/>
      <c r="Q165" s="1415"/>
      <c r="R165" s="1415"/>
      <c r="S165" s="1415"/>
      <c r="T165" s="1415"/>
      <c r="U165" s="1444"/>
      <c r="V165" s="1369"/>
      <c r="W165" s="1369"/>
      <c r="X165" s="1369"/>
      <c r="Y165" s="1369"/>
      <c r="Z165" s="1369"/>
      <c r="AA165" s="1417"/>
      <c r="AB165" s="1418"/>
      <c r="AC165" s="1184"/>
      <c r="AD165" s="1445"/>
      <c r="AE165" s="1369"/>
      <c r="AF165" s="1369"/>
      <c r="AG165" s="1369"/>
      <c r="AH165" s="1369"/>
      <c r="AI165" s="1369"/>
      <c r="AJ165" s="1369"/>
      <c r="AK165" s="1369"/>
      <c r="AL165" s="1369"/>
      <c r="AM165" s="1369"/>
      <c r="AN165" s="1369"/>
      <c r="AO165" s="1369"/>
      <c r="AP165" s="1369"/>
      <c r="AQ165" s="1369"/>
      <c r="AR165" s="1369"/>
      <c r="AS165" s="1369"/>
      <c r="AT165" s="1369"/>
      <c r="AU165" s="1369"/>
      <c r="AV165" s="1369"/>
      <c r="AW165" s="1369"/>
      <c r="AX165" s="1457" t="s">
        <v>637</v>
      </c>
      <c r="AY165" s="1457"/>
      <c r="AZ165" s="1447">
        <f>ROUNDUP(SUBTOTAL(9,BB50:BB156)-BB50-BB89,0)</f>
        <v>63921660</v>
      </c>
      <c r="BA165" s="1447"/>
      <c r="BB165" s="1421"/>
      <c r="BC165" s="1421"/>
      <c r="BD165" s="1421"/>
      <c r="BE165" s="1421"/>
      <c r="BF165" s="1421"/>
      <c r="BG165" s="1421"/>
      <c r="BH165" s="1421"/>
      <c r="BI165" s="1421"/>
      <c r="BJ165" s="1421"/>
      <c r="BK165" s="1421"/>
      <c r="BL165" s="1421"/>
      <c r="BM165" s="1421"/>
      <c r="BN165" s="1421"/>
      <c r="BO165" s="1421" t="s">
        <v>638</v>
      </c>
      <c r="BP165" s="1421"/>
      <c r="BQ165" s="1448" t="s">
        <v>639</v>
      </c>
      <c r="BR165" s="1421"/>
      <c r="BS165" s="1421"/>
      <c r="BT165" s="1421"/>
      <c r="BU165" s="1421"/>
      <c r="BV165" s="1374"/>
      <c r="BW165" s="1374"/>
      <c r="BX165" s="1449"/>
      <c r="BY165" s="120">
        <v>46265</v>
      </c>
      <c r="BZ165" s="121">
        <v>46266</v>
      </c>
      <c r="CA165" s="121">
        <v>46267</v>
      </c>
      <c r="CB165" s="121">
        <v>46268</v>
      </c>
      <c r="CC165" s="121">
        <v>46269</v>
      </c>
      <c r="CD165" s="122">
        <v>46270</v>
      </c>
      <c r="CE165" s="122">
        <v>46271</v>
      </c>
      <c r="CF165" s="121">
        <v>46272</v>
      </c>
      <c r="CG165" s="121">
        <v>46273</v>
      </c>
      <c r="CH165" s="121">
        <v>46274</v>
      </c>
      <c r="CI165" s="121">
        <v>46275</v>
      </c>
      <c r="CJ165" s="121">
        <v>46276</v>
      </c>
      <c r="CK165" s="122">
        <v>46277</v>
      </c>
      <c r="CL165" s="122">
        <v>46278</v>
      </c>
      <c r="CM165" s="121">
        <v>46279</v>
      </c>
      <c r="CN165" s="121">
        <v>46280</v>
      </c>
      <c r="CO165" s="121">
        <v>46281</v>
      </c>
      <c r="CP165" s="121">
        <v>46282</v>
      </c>
      <c r="CQ165" s="123">
        <v>46283</v>
      </c>
      <c r="CR165" s="145">
        <v>46284</v>
      </c>
      <c r="CS165" s="125">
        <v>46285</v>
      </c>
      <c r="CT165" s="122">
        <v>46286</v>
      </c>
      <c r="CU165" s="121">
        <v>46287</v>
      </c>
      <c r="CV165" s="122">
        <v>46288</v>
      </c>
      <c r="CW165" s="121">
        <v>46289</v>
      </c>
      <c r="CX165" s="121">
        <v>46290</v>
      </c>
      <c r="CY165" s="122">
        <v>46291</v>
      </c>
      <c r="CZ165" s="122">
        <v>46292</v>
      </c>
      <c r="DA165" s="121">
        <v>46293</v>
      </c>
      <c r="DB165" s="121">
        <v>46294</v>
      </c>
      <c r="DC165" s="121">
        <v>46295</v>
      </c>
      <c r="DD165" s="121">
        <v>46296</v>
      </c>
      <c r="DE165" s="121">
        <v>46297</v>
      </c>
      <c r="DF165" s="126">
        <v>46298</v>
      </c>
      <c r="DG165" s="145">
        <v>46299</v>
      </c>
      <c r="DH165" s="127">
        <v>46300</v>
      </c>
      <c r="DI165" s="121">
        <v>46301</v>
      </c>
      <c r="DJ165" s="121">
        <v>46302</v>
      </c>
      <c r="DK165" s="128">
        <v>46303</v>
      </c>
      <c r="DL165" s="1187"/>
      <c r="DM165" s="1187"/>
      <c r="DN165" s="1187"/>
      <c r="DO165" s="1187"/>
      <c r="DP165" s="1187"/>
      <c r="DQ165" s="1187"/>
      <c r="DR165" s="1187"/>
      <c r="DS165" s="1187"/>
      <c r="DT165" s="1187"/>
      <c r="DU165" s="1187"/>
      <c r="DV165" s="1187"/>
      <c r="DW165" s="1187"/>
      <c r="DX165" s="1187"/>
      <c r="DY165" s="1187"/>
      <c r="DZ165" s="1187"/>
      <c r="EA165" s="1187"/>
      <c r="EB165" s="1187"/>
      <c r="EC165" s="1187"/>
      <c r="ED165" s="1187"/>
      <c r="EE165" s="1187"/>
      <c r="EF165" s="1187"/>
      <c r="EG165" s="1187"/>
      <c r="EH165" s="1187"/>
      <c r="EI165" s="1187"/>
      <c r="EJ165" s="1187"/>
      <c r="EK165" s="1187"/>
      <c r="EL165" s="1187"/>
      <c r="EM165" s="1187"/>
      <c r="EN165" s="1187"/>
      <c r="EO165" s="1417"/>
      <c r="EP165" s="1418"/>
      <c r="EQ165" s="1184"/>
      <c r="ER165" s="1445"/>
      <c r="ES165" s="1445"/>
      <c r="ET165" s="1445"/>
      <c r="EU165" s="1445"/>
      <c r="EV165" s="1372"/>
      <c r="EW165" s="1185"/>
      <c r="EX165" s="1185"/>
      <c r="EY165" s="1372"/>
      <c r="EZ165" s="1185"/>
      <c r="FA165" s="1185"/>
      <c r="FB165" s="1372"/>
      <c r="FC165" s="1185"/>
      <c r="FD165" s="1185"/>
      <c r="FE165" s="1372"/>
      <c r="FF165" s="1185"/>
      <c r="FG165" s="1185"/>
      <c r="FH165" s="1372"/>
      <c r="FI165" s="1185"/>
      <c r="FJ165" s="1185"/>
      <c r="FK165" s="1374"/>
      <c r="FL165" s="1184"/>
      <c r="FM165" s="1369"/>
      <c r="FN165" s="1369"/>
      <c r="FO165" s="1369"/>
      <c r="FP165" s="1369"/>
      <c r="FQ165" s="1369"/>
      <c r="FR165" s="1369"/>
      <c r="FS165" s="1369"/>
      <c r="FT165" s="1369"/>
      <c r="FU165" s="1369"/>
      <c r="FV165" s="1369"/>
      <c r="FW165" s="1369"/>
      <c r="FX165" s="1369"/>
      <c r="FY165" s="1369"/>
      <c r="FZ165" s="1369"/>
      <c r="GA165" s="1457" t="s">
        <v>637</v>
      </c>
      <c r="GB165" s="1457"/>
      <c r="GC165" s="1447">
        <f>SUBTOTAL(9,GI50:GI156)-GI50-GI89</f>
        <v>79313574</v>
      </c>
      <c r="GD165" s="1447"/>
      <c r="GE165" s="1421"/>
      <c r="GF165" s="1421"/>
      <c r="GG165" s="1421"/>
      <c r="GH165" s="1421"/>
      <c r="GI165" s="1421"/>
      <c r="GJ165" s="1421"/>
      <c r="GK165" s="1421"/>
      <c r="GL165" s="1421"/>
      <c r="GM165" s="1421"/>
      <c r="GN165" s="1421"/>
      <c r="GO165" s="1421"/>
      <c r="GP165" s="1421"/>
      <c r="GQ165" s="1421"/>
      <c r="GR165" s="1421"/>
      <c r="GS165" s="1421"/>
      <c r="GT165" s="1421"/>
      <c r="GU165" s="1421"/>
      <c r="GV165" s="1421"/>
      <c r="GW165" s="1374"/>
      <c r="GX165" s="1374"/>
      <c r="GY165" s="1449"/>
      <c r="GZ165" s="1450"/>
      <c r="HA165" s="1450"/>
      <c r="HB165" s="1450"/>
      <c r="HC165" s="1450"/>
      <c r="HD165" s="1184"/>
      <c r="HE165" s="1183"/>
      <c r="HF165" s="1183"/>
      <c r="HG165" s="1184"/>
      <c r="HH165" s="1184"/>
      <c r="HI165" s="1184"/>
      <c r="HJ165" s="1184"/>
      <c r="HK165" s="1184"/>
      <c r="HL165" s="1183"/>
      <c r="HM165" s="1183"/>
      <c r="HN165" s="1184"/>
      <c r="HO165" s="1184"/>
      <c r="HP165" s="1184"/>
      <c r="HQ165" s="1184"/>
      <c r="HR165" s="1184"/>
      <c r="HS165" s="1183"/>
      <c r="HT165" s="1183"/>
      <c r="HU165" s="1183"/>
      <c r="HV165" s="1184"/>
      <c r="HW165" s="1183"/>
      <c r="HX165" s="1184"/>
      <c r="HY165" s="1184"/>
      <c r="HZ165" s="1183"/>
      <c r="IA165" s="1183"/>
      <c r="IB165" s="1184"/>
      <c r="IC165" s="1184"/>
      <c r="ID165" s="1184"/>
      <c r="IE165" s="1184"/>
      <c r="IF165" s="1184"/>
      <c r="IG165" s="1183"/>
      <c r="IH165" s="1183"/>
      <c r="II165" s="1184"/>
      <c r="IJ165" s="1184"/>
      <c r="IK165" s="1184"/>
      <c r="IL165" s="1456"/>
      <c r="IM165" s="1187"/>
      <c r="IN165" s="1187"/>
      <c r="IO165" s="1187"/>
      <c r="IP165" s="1187"/>
      <c r="IR165" s="1376"/>
      <c r="IS165" s="1377"/>
      <c r="IT165" s="1377"/>
      <c r="IU165" s="1377"/>
      <c r="IV165" s="1377"/>
      <c r="IW165" s="1377"/>
      <c r="IX165" s="1378"/>
      <c r="IY165" s="1378"/>
      <c r="JD165" s="1379"/>
      <c r="JE165" s="1379"/>
      <c r="JG165" s="1380"/>
      <c r="JH165" s="1381"/>
      <c r="JO165" s="1382"/>
      <c r="KW165" s="1383"/>
      <c r="KX165" s="1187"/>
      <c r="KY165" s="1187"/>
    </row>
    <row r="166" spans="2:311" s="1181" customFormat="1" ht="44.5" customHeight="1" thickBot="1">
      <c r="B166" s="1411"/>
      <c r="C166" s="1187"/>
      <c r="D166" s="1444"/>
      <c r="E166" s="1412"/>
      <c r="F166" s="1187"/>
      <c r="G166" s="1413"/>
      <c r="H166" s="1413"/>
      <c r="I166" s="1413"/>
      <c r="J166" s="1413"/>
      <c r="K166" s="1413"/>
      <c r="L166" s="1413"/>
      <c r="M166" s="1414"/>
      <c r="N166" s="1415"/>
      <c r="O166" s="1415"/>
      <c r="P166" s="1414"/>
      <c r="Q166" s="1415"/>
      <c r="R166" s="1415"/>
      <c r="S166" s="1415"/>
      <c r="T166" s="1415"/>
      <c r="U166" s="1444"/>
      <c r="V166" s="1369"/>
      <c r="W166" s="1369"/>
      <c r="X166" s="1369"/>
      <c r="Y166" s="1369"/>
      <c r="Z166" s="1369"/>
      <c r="AA166" s="1417"/>
      <c r="AB166" s="1418"/>
      <c r="AC166" s="1184"/>
      <c r="AD166" s="1445"/>
      <c r="AE166" s="1369"/>
      <c r="AF166" s="1369"/>
      <c r="AG166" s="1369"/>
      <c r="AH166" s="1369"/>
      <c r="AI166" s="1369"/>
      <c r="AJ166" s="1369"/>
      <c r="AK166" s="1369"/>
      <c r="AL166" s="1369"/>
      <c r="AM166" s="1369"/>
      <c r="AN166" s="1369"/>
      <c r="AO166" s="1369"/>
      <c r="AP166" s="1369"/>
      <c r="AQ166" s="1369"/>
      <c r="AR166" s="1369"/>
      <c r="AS166" s="1369"/>
      <c r="AT166" s="1369"/>
      <c r="AU166" s="1369"/>
      <c r="AV166" s="1369"/>
      <c r="AW166" s="1369"/>
      <c r="AX166" s="1458" t="s">
        <v>640</v>
      </c>
      <c r="AY166" s="1458"/>
      <c r="AZ166" s="1447">
        <f>ROUNDUP(SUBTOTAL(9,BJ11:BJ156),0)</f>
        <v>102844326</v>
      </c>
      <c r="BA166" s="1447"/>
      <c r="BB166" s="1421"/>
      <c r="BC166" s="1421"/>
      <c r="BD166" s="1421"/>
      <c r="BE166" s="1421"/>
      <c r="BF166" s="1421"/>
      <c r="BG166" s="1421"/>
      <c r="BH166" s="1421"/>
      <c r="BI166" s="1421"/>
      <c r="BJ166" s="1421"/>
      <c r="BK166" s="1421"/>
      <c r="BL166" s="1421"/>
      <c r="BM166" s="1421"/>
      <c r="BN166" s="1421"/>
      <c r="BO166" s="1421"/>
      <c r="BP166" s="1421"/>
      <c r="BQ166" s="1421"/>
      <c r="BR166" s="1421"/>
      <c r="BS166" s="1421"/>
      <c r="BT166" s="1421"/>
      <c r="BU166" s="1421"/>
      <c r="BV166" s="1374"/>
      <c r="BW166" s="1374" t="s">
        <v>641</v>
      </c>
      <c r="BX166" s="1449"/>
      <c r="BY166" s="1459" t="s">
        <v>140</v>
      </c>
      <c r="BZ166" s="1460" t="s">
        <v>141</v>
      </c>
      <c r="CA166" s="1461" t="s">
        <v>142</v>
      </c>
      <c r="CB166" s="1461" t="s">
        <v>143</v>
      </c>
      <c r="CC166" s="1460" t="s">
        <v>144</v>
      </c>
      <c r="CD166" s="1462" t="s">
        <v>145</v>
      </c>
      <c r="CE166" s="1462" t="s">
        <v>146</v>
      </c>
      <c r="CF166" s="1460" t="s">
        <v>147</v>
      </c>
      <c r="CG166" s="1460" t="s">
        <v>148</v>
      </c>
      <c r="CH166" s="1463" t="s">
        <v>142</v>
      </c>
      <c r="CI166" s="1463" t="s">
        <v>143</v>
      </c>
      <c r="CJ166" s="1463" t="s">
        <v>144</v>
      </c>
      <c r="CK166" s="1464" t="s">
        <v>145</v>
      </c>
      <c r="CL166" s="1464" t="s">
        <v>146</v>
      </c>
      <c r="CM166" s="1463" t="s">
        <v>149</v>
      </c>
      <c r="CN166" s="1463" t="s">
        <v>150</v>
      </c>
      <c r="CO166" s="1463" t="s">
        <v>151</v>
      </c>
      <c r="CP166" s="1463" t="s">
        <v>152</v>
      </c>
      <c r="CQ166" s="1465" t="s">
        <v>144</v>
      </c>
      <c r="CR166" s="1466" t="s">
        <v>145</v>
      </c>
      <c r="CS166" s="1467" t="s">
        <v>146</v>
      </c>
      <c r="CT166" s="1464" t="s">
        <v>149</v>
      </c>
      <c r="CU166" s="1463" t="s">
        <v>153</v>
      </c>
      <c r="CV166" s="1464" t="s">
        <v>151</v>
      </c>
      <c r="CW166" s="1463" t="s">
        <v>152</v>
      </c>
      <c r="CX166" s="1463" t="s">
        <v>144</v>
      </c>
      <c r="CY166" s="1464" t="s">
        <v>145</v>
      </c>
      <c r="CZ166" s="1464" t="s">
        <v>146</v>
      </c>
      <c r="DA166" s="1463" t="s">
        <v>149</v>
      </c>
      <c r="DB166" s="1463" t="s">
        <v>150</v>
      </c>
      <c r="DC166" s="1463" t="s">
        <v>151</v>
      </c>
      <c r="DD166" s="1463" t="s">
        <v>152</v>
      </c>
      <c r="DE166" s="1463" t="s">
        <v>144</v>
      </c>
      <c r="DF166" s="1468" t="s">
        <v>145</v>
      </c>
      <c r="DG166" s="1466" t="s">
        <v>146</v>
      </c>
      <c r="DH166" s="1469" t="s">
        <v>149</v>
      </c>
      <c r="DI166" s="1463" t="s">
        <v>150</v>
      </c>
      <c r="DJ166" s="1463" t="s">
        <v>151</v>
      </c>
      <c r="DK166" s="1470" t="s">
        <v>152</v>
      </c>
      <c r="DL166" s="1187"/>
      <c r="DM166" s="1187"/>
      <c r="DN166" s="1187"/>
      <c r="DO166" s="1187"/>
      <c r="DP166" s="1187"/>
      <c r="DQ166" s="1187"/>
      <c r="DR166" s="1187"/>
      <c r="DS166" s="1187"/>
      <c r="DT166" s="1187"/>
      <c r="DU166" s="1187"/>
      <c r="DV166" s="1187"/>
      <c r="DW166" s="1187"/>
      <c r="DX166" s="1187"/>
      <c r="DY166" s="1187"/>
      <c r="DZ166" s="1187"/>
      <c r="EA166" s="1187"/>
      <c r="EB166" s="1187"/>
      <c r="EC166" s="1187"/>
      <c r="ED166" s="1187"/>
      <c r="EE166" s="1187"/>
      <c r="EF166" s="1187"/>
      <c r="EG166" s="1187"/>
      <c r="EH166" s="1187"/>
      <c r="EI166" s="1187"/>
      <c r="EJ166" s="1187"/>
      <c r="EK166" s="1187"/>
      <c r="EL166" s="1187"/>
      <c r="EM166" s="1187"/>
      <c r="EN166" s="1187"/>
      <c r="EO166" s="1417"/>
      <c r="EP166" s="1418"/>
      <c r="EQ166" s="1184"/>
      <c r="ER166" s="1445"/>
      <c r="ES166" s="1445"/>
      <c r="ET166" s="1445"/>
      <c r="EU166" s="1445"/>
      <c r="EV166" s="1372"/>
      <c r="EW166" s="1185"/>
      <c r="EX166" s="1185"/>
      <c r="EY166" s="1372"/>
      <c r="EZ166" s="1185"/>
      <c r="FA166" s="1185"/>
      <c r="FB166" s="1372"/>
      <c r="FC166" s="1185"/>
      <c r="FD166" s="1185"/>
      <c r="FE166" s="1372"/>
      <c r="FF166" s="1185"/>
      <c r="FG166" s="1185"/>
      <c r="FH166" s="1372"/>
      <c r="FI166" s="1185"/>
      <c r="FJ166" s="1185"/>
      <c r="FK166" s="1374"/>
      <c r="FL166" s="1184"/>
      <c r="FM166" s="1369"/>
      <c r="FN166" s="1369"/>
      <c r="FO166" s="1369"/>
      <c r="FP166" s="1369"/>
      <c r="FQ166" s="1369"/>
      <c r="FR166" s="1369"/>
      <c r="FS166" s="1369"/>
      <c r="FT166" s="1369"/>
      <c r="FU166" s="1369"/>
      <c r="FV166" s="1369"/>
      <c r="FW166" s="1369"/>
      <c r="FX166" s="1369"/>
      <c r="FY166" s="1369"/>
      <c r="FZ166" s="1369"/>
      <c r="GA166" s="1458" t="s">
        <v>640</v>
      </c>
      <c r="GB166" s="1458"/>
      <c r="GC166" s="1447">
        <f>SUBTOTAL(9,GK11:GK156)</f>
        <v>71660120.400000021</v>
      </c>
      <c r="GD166" s="1447"/>
      <c r="GE166" s="1421"/>
      <c r="GF166" s="1421"/>
      <c r="GG166" s="1421"/>
      <c r="GH166" s="1421"/>
      <c r="GI166" s="1421"/>
      <c r="GJ166" s="1421"/>
      <c r="GK166" s="1421"/>
      <c r="GL166" s="1421"/>
      <c r="GM166" s="1421"/>
      <c r="GN166" s="1421"/>
      <c r="GO166" s="1421"/>
      <c r="GP166" s="1421"/>
      <c r="GQ166" s="1421"/>
      <c r="GR166" s="1421"/>
      <c r="GS166" s="1421"/>
      <c r="GT166" s="1421"/>
      <c r="GU166" s="1421"/>
      <c r="GV166" s="1421"/>
      <c r="GW166" s="1374"/>
      <c r="GX166" s="1374" t="s">
        <v>641</v>
      </c>
      <c r="GY166" s="1449"/>
      <c r="GZ166" s="1450"/>
      <c r="HA166" s="1450"/>
      <c r="HB166" s="1450"/>
      <c r="HC166" s="1450"/>
      <c r="HD166" s="1184"/>
      <c r="HE166" s="1183"/>
      <c r="HF166" s="1183"/>
      <c r="HG166" s="1184"/>
      <c r="HH166" s="1184"/>
      <c r="HI166" s="1184"/>
      <c r="HJ166" s="1184"/>
      <c r="HK166" s="1184"/>
      <c r="HL166" s="1183"/>
      <c r="HM166" s="1183"/>
      <c r="HN166" s="1184"/>
      <c r="HO166" s="1184"/>
      <c r="HP166" s="1184"/>
      <c r="HQ166" s="1184"/>
      <c r="HR166" s="1184"/>
      <c r="HS166" s="1183"/>
      <c r="HT166" s="1183"/>
      <c r="HU166" s="1183"/>
      <c r="HV166" s="1184"/>
      <c r="HW166" s="1183"/>
      <c r="HX166" s="1184"/>
      <c r="HY166" s="1184"/>
      <c r="HZ166" s="1183"/>
      <c r="IA166" s="1183"/>
      <c r="IB166" s="1184"/>
      <c r="IC166" s="1184"/>
      <c r="ID166" s="1184"/>
      <c r="IE166" s="1184"/>
      <c r="IF166" s="1184"/>
      <c r="IG166" s="1183"/>
      <c r="IH166" s="1183"/>
      <c r="II166" s="1184"/>
      <c r="IJ166" s="1184"/>
      <c r="IK166" s="1184"/>
      <c r="IL166" s="1456"/>
      <c r="IM166" s="1187"/>
      <c r="IN166" s="1187"/>
      <c r="IO166" s="1187"/>
      <c r="IP166" s="1187"/>
      <c r="IR166" s="1376"/>
      <c r="IS166" s="1377"/>
      <c r="IT166" s="1377"/>
      <c r="IU166" s="1377"/>
      <c r="IV166" s="1377"/>
      <c r="IW166" s="1377"/>
      <c r="IX166" s="1378"/>
      <c r="IY166" s="1378"/>
      <c r="JD166" s="1379"/>
      <c r="JE166" s="1379"/>
      <c r="JG166" s="1380"/>
      <c r="JH166" s="1381"/>
      <c r="JO166" s="1382"/>
      <c r="KW166" s="1383"/>
      <c r="KX166" s="1187"/>
      <c r="KY166" s="1187"/>
    </row>
    <row r="167" spans="2:311" s="1181" customFormat="1" ht="44.5" customHeight="1" thickTop="1">
      <c r="B167" s="1411"/>
      <c r="C167" s="1369"/>
      <c r="D167" s="1369"/>
      <c r="E167" s="1412"/>
      <c r="F167" s="1369"/>
      <c r="G167" s="1413"/>
      <c r="H167" s="1413"/>
      <c r="I167" s="1413"/>
      <c r="J167" s="1413"/>
      <c r="K167" s="1413"/>
      <c r="L167" s="1413"/>
      <c r="M167" s="1414"/>
      <c r="N167" s="1415"/>
      <c r="O167" s="1415"/>
      <c r="P167" s="1414"/>
      <c r="Q167" s="1415"/>
      <c r="R167" s="1415"/>
      <c r="S167" s="1415"/>
      <c r="T167" s="1415"/>
      <c r="U167" s="1416"/>
      <c r="V167" s="1369"/>
      <c r="W167" s="1369"/>
      <c r="X167" s="1369"/>
      <c r="Y167" s="1369"/>
      <c r="Z167" s="1369"/>
      <c r="AA167" s="1417"/>
      <c r="AB167" s="1418"/>
      <c r="AC167" s="1471"/>
      <c r="AD167" s="1471"/>
      <c r="AE167" s="1369"/>
      <c r="AF167" s="1369"/>
      <c r="AG167" s="1369"/>
      <c r="AH167" s="1369"/>
      <c r="AI167" s="1369"/>
      <c r="AJ167" s="1369"/>
      <c r="AK167" s="1369"/>
      <c r="AL167" s="1369"/>
      <c r="AM167" s="1369"/>
      <c r="AN167" s="1369"/>
      <c r="AO167" s="1369"/>
      <c r="AP167" s="1369"/>
      <c r="AQ167" s="1369"/>
      <c r="AR167" s="1369"/>
      <c r="AS167" s="1369"/>
      <c r="AT167" s="1369"/>
      <c r="AU167" s="1369"/>
      <c r="AV167" s="1369"/>
      <c r="AW167" s="1369"/>
      <c r="AX167" s="1472" t="s">
        <v>642</v>
      </c>
      <c r="AY167" s="1472"/>
      <c r="AZ167" s="1473">
        <f>SUM(AZ163:BA166)</f>
        <v>7282651747</v>
      </c>
      <c r="BA167" s="1473"/>
      <c r="BB167" s="1474"/>
      <c r="BC167" s="1474"/>
      <c r="BD167" s="1474"/>
      <c r="BE167" s="1474"/>
      <c r="BF167" s="1474"/>
      <c r="BG167" s="1474"/>
      <c r="BH167" s="1474"/>
      <c r="BI167" s="1474"/>
      <c r="BJ167" s="1474"/>
      <c r="BK167" s="1474"/>
      <c r="BL167" s="1474"/>
      <c r="BM167" s="1474"/>
      <c r="BN167" s="1474"/>
      <c r="BO167" s="1474"/>
      <c r="BP167" s="1474"/>
      <c r="BQ167" s="1474"/>
      <c r="BR167" s="1474"/>
      <c r="BS167" s="1474"/>
      <c r="BT167" s="1474"/>
      <c r="BU167" s="1474"/>
      <c r="BV167" s="1422">
        <f>ROUNDUP(AZ181-AZ167,0)</f>
        <v>-3381372590</v>
      </c>
      <c r="BW167" s="1422"/>
      <c r="BX167" s="1449"/>
      <c r="BY167" s="1450"/>
      <c r="BZ167" s="1450"/>
      <c r="CA167" s="1450"/>
      <c r="CB167" s="1450"/>
      <c r="CC167" s="1184"/>
      <c r="CD167" s="1183"/>
      <c r="CE167" s="1183"/>
      <c r="CF167" s="1184"/>
      <c r="CG167" s="1184"/>
      <c r="CH167" s="1184"/>
      <c r="CI167" s="1184"/>
      <c r="CJ167" s="1184"/>
      <c r="CK167" s="1183"/>
      <c r="CL167" s="1183"/>
      <c r="CM167" s="1184"/>
      <c r="CN167" s="1184"/>
      <c r="CO167" s="1184"/>
      <c r="CP167" s="1184"/>
      <c r="CQ167" s="1184"/>
      <c r="CR167" s="1183"/>
      <c r="CS167" s="1183"/>
      <c r="CT167" s="1183"/>
      <c r="CU167" s="1184"/>
      <c r="CV167" s="1183"/>
      <c r="CW167" s="1184"/>
      <c r="CX167" s="1184"/>
      <c r="CY167" s="1183"/>
      <c r="CZ167" s="1183"/>
      <c r="DA167" s="1184"/>
      <c r="DB167" s="1184"/>
      <c r="DC167" s="1184"/>
      <c r="DD167" s="1184"/>
      <c r="DE167" s="1184"/>
      <c r="DF167" s="1183"/>
      <c r="DG167" s="1183"/>
      <c r="DH167" s="1184"/>
      <c r="DI167" s="1184"/>
      <c r="DJ167" s="1184"/>
      <c r="DK167" s="1456"/>
      <c r="DL167" s="1475"/>
      <c r="DM167" s="1475"/>
      <c r="DN167" s="1475"/>
      <c r="DO167" s="1475"/>
      <c r="DP167" s="1475"/>
      <c r="DQ167" s="1475"/>
      <c r="DR167" s="1475"/>
      <c r="DS167" s="1475"/>
      <c r="DT167" s="1475"/>
      <c r="DU167" s="1475"/>
      <c r="DV167" s="1475"/>
      <c r="DW167" s="1475"/>
      <c r="DX167" s="1475"/>
      <c r="DY167" s="1475"/>
      <c r="DZ167" s="1475"/>
      <c r="EA167" s="1475"/>
      <c r="EB167" s="1475"/>
      <c r="EC167" s="1475"/>
      <c r="ED167" s="1475"/>
      <c r="EE167" s="1475"/>
      <c r="EF167" s="1475"/>
      <c r="EG167" s="1475"/>
      <c r="EH167" s="1475"/>
      <c r="EI167" s="1475"/>
      <c r="EJ167" s="1475"/>
      <c r="EK167" s="1475"/>
      <c r="EL167" s="1475"/>
      <c r="EM167" s="1475"/>
      <c r="EN167" s="1475"/>
      <c r="EO167" s="1417"/>
      <c r="EP167" s="1418"/>
      <c r="EQ167" s="1471"/>
      <c r="ER167" s="1471"/>
      <c r="ES167" s="1471"/>
      <c r="ET167" s="1471"/>
      <c r="EU167" s="1471"/>
      <c r="EV167" s="1372"/>
      <c r="EW167" s="1373"/>
      <c r="EX167" s="1373"/>
      <c r="EY167" s="1372"/>
      <c r="EZ167" s="1373"/>
      <c r="FA167" s="1373"/>
      <c r="FB167" s="1372"/>
      <c r="FC167" s="1373"/>
      <c r="FD167" s="1373"/>
      <c r="FE167" s="1372"/>
      <c r="FF167" s="1373"/>
      <c r="FG167" s="1373"/>
      <c r="FH167" s="1372"/>
      <c r="FI167" s="1373"/>
      <c r="FJ167" s="1373"/>
      <c r="FK167" s="1374"/>
      <c r="FL167" s="1374"/>
      <c r="FM167" s="1369" t="s">
        <v>643</v>
      </c>
      <c r="FN167" s="1369"/>
      <c r="FO167" s="1369"/>
      <c r="FP167" s="1369"/>
      <c r="FQ167" s="1369"/>
      <c r="FR167" s="1369"/>
      <c r="FS167" s="1369"/>
      <c r="FT167" s="1369"/>
      <c r="FU167" s="1369"/>
      <c r="FV167" s="1369"/>
      <c r="FW167" s="1369"/>
      <c r="FX167" s="1369"/>
      <c r="FY167" s="1369"/>
      <c r="FZ167" s="1369"/>
      <c r="GA167" s="1472" t="s">
        <v>642</v>
      </c>
      <c r="GB167" s="1472"/>
      <c r="GC167" s="1473">
        <f>SUM(GC163:GD166)</f>
        <v>5134443398.3349991</v>
      </c>
      <c r="GD167" s="1473"/>
      <c r="GE167" s="1474"/>
      <c r="GF167" s="1474"/>
      <c r="GG167" s="1474"/>
      <c r="GH167" s="1474"/>
      <c r="GI167" s="1474"/>
      <c r="GJ167" s="1474"/>
      <c r="GK167" s="1474"/>
      <c r="GL167" s="1474"/>
      <c r="GM167" s="1474"/>
      <c r="GN167" s="1474"/>
      <c r="GO167" s="1474"/>
      <c r="GP167" s="1474"/>
      <c r="GQ167" s="1474"/>
      <c r="GR167" s="1474"/>
      <c r="GS167" s="1474"/>
      <c r="GT167" s="1474"/>
      <c r="GU167" s="1474"/>
      <c r="GV167" s="1474"/>
      <c r="GW167" s="1422">
        <f>ROUNDUP(GC181-GC167,0)</f>
        <v>-1233164242</v>
      </c>
      <c r="GX167" s="1422"/>
      <c r="GY167" s="1449"/>
      <c r="GZ167" s="1450"/>
      <c r="HA167" s="1450"/>
      <c r="HB167" s="1450"/>
      <c r="HC167" s="1450"/>
      <c r="HD167" s="1184"/>
      <c r="HE167" s="1183"/>
      <c r="HF167" s="1183"/>
      <c r="HG167" s="1184"/>
      <c r="HH167" s="1184"/>
      <c r="HI167" s="1184"/>
      <c r="HJ167" s="1184"/>
      <c r="HK167" s="1184"/>
      <c r="HL167" s="1183"/>
      <c r="HM167" s="1183"/>
      <c r="HN167" s="1184"/>
      <c r="HO167" s="1184"/>
      <c r="HP167" s="1184"/>
      <c r="HQ167" s="1184"/>
      <c r="HR167" s="1184"/>
      <c r="HS167" s="1183"/>
      <c r="HT167" s="1183"/>
      <c r="HU167" s="1183"/>
      <c r="HV167" s="1184"/>
      <c r="HW167" s="1183"/>
      <c r="HX167" s="1184"/>
      <c r="HY167" s="1184"/>
      <c r="HZ167" s="1183"/>
      <c r="IA167" s="1183"/>
      <c r="IB167" s="1184"/>
      <c r="IC167" s="1184"/>
      <c r="ID167" s="1184"/>
      <c r="IE167" s="1184"/>
      <c r="IF167" s="1184"/>
      <c r="IG167" s="1183"/>
      <c r="IH167" s="1183"/>
      <c r="II167" s="1184"/>
      <c r="IJ167" s="1184"/>
      <c r="IK167" s="1184"/>
      <c r="IL167" s="1456"/>
      <c r="IM167" s="1475"/>
      <c r="IN167" s="1475"/>
      <c r="IO167" s="1187"/>
      <c r="IP167" s="1187"/>
      <c r="IQ167" s="79"/>
      <c r="IR167" s="1476"/>
      <c r="IS167" s="1477"/>
      <c r="IT167" s="1477"/>
      <c r="IU167" s="1477"/>
      <c r="IV167" s="1477"/>
      <c r="IW167" s="1477"/>
      <c r="IX167" s="1478"/>
      <c r="IY167" s="1478"/>
      <c r="IZ167" s="1477"/>
      <c r="JA167" s="1477"/>
      <c r="JB167" s="1477"/>
      <c r="JC167" s="1477"/>
      <c r="JD167" s="1479"/>
      <c r="JE167" s="1479"/>
      <c r="JF167" s="1477"/>
      <c r="JG167" s="1480"/>
      <c r="JH167" s="1481"/>
      <c r="JO167" s="1382"/>
      <c r="KW167" s="1383"/>
      <c r="KX167" s="1475"/>
      <c r="KY167" s="1475"/>
    </row>
    <row r="168" spans="2:311" s="1181" customFormat="1" ht="42" customHeight="1" thickBot="1">
      <c r="B168" s="1411"/>
      <c r="C168" s="1369"/>
      <c r="D168" s="1369"/>
      <c r="E168" s="1412"/>
      <c r="F168" s="1369"/>
      <c r="G168" s="1413"/>
      <c r="H168" s="1413"/>
      <c r="I168" s="1413"/>
      <c r="J168" s="1413"/>
      <c r="K168" s="1413"/>
      <c r="L168" s="1413"/>
      <c r="M168" s="1414"/>
      <c r="N168" s="1415"/>
      <c r="O168" s="1415"/>
      <c r="P168" s="1414"/>
      <c r="Q168" s="1415"/>
      <c r="R168" s="1415"/>
      <c r="S168" s="1415"/>
      <c r="T168" s="1415"/>
      <c r="U168" s="1416"/>
      <c r="V168" s="1369"/>
      <c r="W168" s="1369"/>
      <c r="X168" s="1369"/>
      <c r="Y168" s="1369"/>
      <c r="Z168" s="1369"/>
      <c r="AA168" s="1417"/>
      <c r="AB168" s="1418"/>
      <c r="AC168" s="1471"/>
      <c r="AD168" s="1445"/>
      <c r="AE168" s="1369"/>
      <c r="AF168" s="1369"/>
      <c r="AG168" s="1369"/>
      <c r="AH168" s="1369"/>
      <c r="AI168" s="1369"/>
      <c r="AJ168" s="1369"/>
      <c r="AK168" s="1369"/>
      <c r="AL168" s="1369"/>
      <c r="AM168" s="1369"/>
      <c r="AN168" s="1369"/>
      <c r="AO168" s="1369"/>
      <c r="AP168" s="1369"/>
      <c r="AQ168" s="1369"/>
      <c r="AR168" s="1369"/>
      <c r="AS168" s="1369"/>
      <c r="AT168" s="1369"/>
      <c r="AU168" s="1369"/>
      <c r="AV168" s="1369"/>
      <c r="AW168" s="1369"/>
      <c r="AX168" s="1457" t="s">
        <v>644</v>
      </c>
      <c r="AY168" s="1457"/>
      <c r="AZ168" s="1482">
        <f>ROUNDUP(SUBTOTAL(9,BO11:BO156),0)</f>
        <v>82225660</v>
      </c>
      <c r="BA168" s="1482"/>
      <c r="BB168" s="1369"/>
      <c r="BC168" s="1369"/>
      <c r="BD168" s="1369"/>
      <c r="BE168" s="1369"/>
      <c r="BF168" s="1369"/>
      <c r="BG168" s="1369"/>
      <c r="BH168" s="1369"/>
      <c r="BI168" s="1369"/>
      <c r="BJ168" s="1369"/>
      <c r="BK168" s="1369"/>
      <c r="BL168" s="1369"/>
      <c r="BM168" s="1369"/>
      <c r="BN168" s="1369"/>
      <c r="BO168" s="1369"/>
      <c r="BP168" s="1369"/>
      <c r="BQ168" s="1369"/>
      <c r="BR168" s="1369"/>
      <c r="BS168" s="1369"/>
      <c r="BT168" s="1369"/>
      <c r="BU168" s="1369"/>
      <c r="BV168" s="1450"/>
      <c r="BW168" s="1450"/>
      <c r="BX168" s="1450"/>
      <c r="BY168" s="1450"/>
      <c r="BZ168" s="1450"/>
      <c r="CA168" s="1450"/>
      <c r="CB168" s="1450"/>
      <c r="CC168" s="1184"/>
      <c r="CD168" s="1183"/>
      <c r="CE168" s="1183"/>
      <c r="CF168" s="1184"/>
      <c r="CG168" s="1184"/>
      <c r="CH168" s="1184"/>
      <c r="CI168" s="1184"/>
      <c r="CJ168" s="1184"/>
      <c r="CK168" s="1183"/>
      <c r="CL168" s="1183"/>
      <c r="CM168" s="1184"/>
      <c r="CN168" s="1184"/>
      <c r="CO168" s="1184"/>
      <c r="CP168" s="1184"/>
      <c r="CQ168" s="1184"/>
      <c r="CR168" s="1183"/>
      <c r="CS168" s="1183"/>
      <c r="CT168" s="1183"/>
      <c r="CU168" s="1184"/>
      <c r="CV168" s="1183"/>
      <c r="CW168" s="1184"/>
      <c r="CX168" s="1184"/>
      <c r="CY168" s="1183"/>
      <c r="CZ168" s="1183"/>
      <c r="DA168" s="1184"/>
      <c r="DB168" s="1184"/>
      <c r="DC168" s="1184"/>
      <c r="DD168" s="1184"/>
      <c r="DE168" s="1184"/>
      <c r="DF168" s="1183"/>
      <c r="DG168" s="1183"/>
      <c r="DH168" s="1184"/>
      <c r="DI168" s="1184"/>
      <c r="DJ168" s="1184"/>
      <c r="DK168" s="1456"/>
      <c r="DL168" s="1187"/>
      <c r="DM168" s="1187"/>
      <c r="DN168" s="1187"/>
      <c r="DO168" s="1187"/>
      <c r="DP168" s="1187"/>
      <c r="DQ168" s="1187"/>
      <c r="DR168" s="1187"/>
      <c r="DS168" s="1187"/>
      <c r="DT168" s="1187"/>
      <c r="DU168" s="1187"/>
      <c r="DV168" s="1187"/>
      <c r="DW168" s="1187"/>
      <c r="DX168" s="1187"/>
      <c r="DY168" s="1187"/>
      <c r="DZ168" s="1187"/>
      <c r="EA168" s="1187"/>
      <c r="EB168" s="1187"/>
      <c r="EC168" s="1187"/>
      <c r="ED168" s="1187"/>
      <c r="EE168" s="1187"/>
      <c r="EF168" s="1187"/>
      <c r="EG168" s="1187"/>
      <c r="EH168" s="1187"/>
      <c r="EI168" s="1187"/>
      <c r="EJ168" s="1187"/>
      <c r="EK168" s="1187"/>
      <c r="EL168" s="1187"/>
      <c r="EM168" s="1187"/>
      <c r="EN168" s="1187"/>
      <c r="EO168" s="1417"/>
      <c r="EP168" s="1418"/>
      <c r="EQ168" s="1471"/>
      <c r="ER168" s="1445"/>
      <c r="ES168" s="1445"/>
      <c r="ET168" s="1445"/>
      <c r="EU168" s="1445"/>
      <c r="EV168" s="1372"/>
      <c r="EW168" s="1373"/>
      <c r="EX168" s="1373"/>
      <c r="EY168" s="1372"/>
      <c r="EZ168" s="1373"/>
      <c r="FA168" s="1373"/>
      <c r="FB168" s="1372"/>
      <c r="FC168" s="1373"/>
      <c r="FD168" s="1373"/>
      <c r="FE168" s="1372"/>
      <c r="FF168" s="1373"/>
      <c r="FG168" s="1373"/>
      <c r="FH168" s="1372"/>
      <c r="FI168" s="1373"/>
      <c r="FJ168" s="1373"/>
      <c r="FK168" s="1374"/>
      <c r="FL168" s="1374"/>
      <c r="FM168" s="1369"/>
      <c r="FN168" s="1369"/>
      <c r="FO168" s="1369"/>
      <c r="FP168" s="1369"/>
      <c r="FQ168" s="1369"/>
      <c r="FR168" s="1369"/>
      <c r="FS168" s="1369"/>
      <c r="FT168" s="1369"/>
      <c r="FU168" s="1369"/>
      <c r="FV168" s="1369"/>
      <c r="FW168" s="1369"/>
      <c r="FX168" s="1369"/>
      <c r="FY168" s="1369"/>
      <c r="FZ168" s="1369"/>
      <c r="GA168" s="1369"/>
      <c r="GB168" s="1369"/>
      <c r="GC168" s="1369"/>
      <c r="GD168" s="1369"/>
      <c r="GE168" s="1369"/>
      <c r="GF168" s="1369"/>
      <c r="GG168" s="1369"/>
      <c r="GH168" s="1369"/>
      <c r="GI168" s="1369"/>
      <c r="GJ168" s="1369"/>
      <c r="GK168" s="1369"/>
      <c r="GL168" s="1369"/>
      <c r="GM168" s="1369"/>
      <c r="GN168" s="1369"/>
      <c r="GO168" s="1369"/>
      <c r="GP168" s="1369"/>
      <c r="GQ168" s="1369"/>
      <c r="GR168" s="1369"/>
      <c r="GS168" s="1369"/>
      <c r="GT168" s="1369"/>
      <c r="GU168" s="1369"/>
      <c r="GV168" s="1369"/>
      <c r="GW168" s="1450"/>
      <c r="GX168" s="1450"/>
      <c r="GY168" s="1450"/>
      <c r="GZ168" s="1450"/>
      <c r="HA168" s="1450"/>
      <c r="HB168" s="1450"/>
      <c r="HC168" s="1450"/>
      <c r="HD168" s="1184"/>
      <c r="HE168" s="1183"/>
      <c r="HF168" s="1183"/>
      <c r="HG168" s="1184"/>
      <c r="HH168" s="1184"/>
      <c r="HI168" s="1184"/>
      <c r="HJ168" s="1184"/>
      <c r="HK168" s="1184"/>
      <c r="HL168" s="1183"/>
      <c r="HM168" s="1183"/>
      <c r="HN168" s="1184"/>
      <c r="HO168" s="1184"/>
      <c r="HP168" s="1184"/>
      <c r="HQ168" s="1184"/>
      <c r="HR168" s="1184"/>
      <c r="HS168" s="1183"/>
      <c r="HT168" s="1183"/>
      <c r="HU168" s="1183"/>
      <c r="HV168" s="1184"/>
      <c r="HW168" s="1183"/>
      <c r="HX168" s="1184"/>
      <c r="HY168" s="1184"/>
      <c r="HZ168" s="1183"/>
      <c r="IA168" s="1183"/>
      <c r="IB168" s="1184"/>
      <c r="IC168" s="1184"/>
      <c r="ID168" s="1184"/>
      <c r="IE168" s="1184"/>
      <c r="IF168" s="1184"/>
      <c r="IG168" s="1183"/>
      <c r="IH168" s="1183"/>
      <c r="II168" s="1184"/>
      <c r="IJ168" s="1184"/>
      <c r="IK168" s="1184"/>
      <c r="IL168" s="1456"/>
      <c r="IM168" s="1187"/>
      <c r="IN168" s="1187"/>
      <c r="IO168" s="1187"/>
      <c r="IP168" s="1187"/>
      <c r="IQ168" s="79"/>
      <c r="IR168" s="1476"/>
      <c r="IS168" s="1477"/>
      <c r="IT168" s="1477"/>
      <c r="IU168" s="1477"/>
      <c r="IV168" s="1477"/>
      <c r="IW168" s="1477"/>
      <c r="IX168" s="1478"/>
      <c r="IY168" s="1478"/>
      <c r="IZ168" s="1477"/>
      <c r="JA168" s="1477"/>
      <c r="JB168" s="1477"/>
      <c r="JC168" s="1477"/>
      <c r="JD168" s="1479"/>
      <c r="JE168" s="1479"/>
      <c r="JF168" s="1477"/>
      <c r="JG168" s="1480"/>
      <c r="JH168" s="1481"/>
      <c r="JO168" s="1382"/>
      <c r="KW168" s="1383"/>
      <c r="KX168" s="1187"/>
      <c r="KY168" s="1187"/>
    </row>
    <row r="169" spans="2:311" s="1181" customFormat="1" ht="67" customHeight="1" thickTop="1">
      <c r="B169" s="1411"/>
      <c r="C169" s="1369"/>
      <c r="D169" s="1369"/>
      <c r="E169" s="1412"/>
      <c r="F169" s="1369"/>
      <c r="G169" s="1413"/>
      <c r="H169" s="1413"/>
      <c r="I169" s="1413"/>
      <c r="J169" s="1413"/>
      <c r="K169" s="1413"/>
      <c r="L169" s="1413"/>
      <c r="M169" s="1414"/>
      <c r="N169" s="1415"/>
      <c r="O169" s="1415"/>
      <c r="P169" s="1414"/>
      <c r="Q169" s="1415"/>
      <c r="R169" s="1415"/>
      <c r="S169" s="1415"/>
      <c r="T169" s="1415"/>
      <c r="U169" s="1416"/>
      <c r="V169" s="1369"/>
      <c r="W169" s="1369"/>
      <c r="X169" s="1369"/>
      <c r="Y169" s="1369"/>
      <c r="Z169" s="1369"/>
      <c r="AA169" s="1417"/>
      <c r="AB169" s="1418"/>
      <c r="AC169" s="1471"/>
      <c r="AD169" s="1445"/>
      <c r="AE169" s="1369"/>
      <c r="AF169" s="1369"/>
      <c r="AG169" s="1369"/>
      <c r="AH169" s="1369"/>
      <c r="AI169" s="1369"/>
      <c r="AJ169" s="1369"/>
      <c r="AK169" s="1369"/>
      <c r="AL169" s="1369"/>
      <c r="AM169" s="1369"/>
      <c r="AN169" s="1369"/>
      <c r="AO169" s="1369"/>
      <c r="AP169" s="1369"/>
      <c r="AQ169" s="1369"/>
      <c r="AR169" s="1369"/>
      <c r="AS169" s="1369"/>
      <c r="AT169" s="1369"/>
      <c r="AU169" s="1369"/>
      <c r="AV169" s="1369"/>
      <c r="AW169" s="1369"/>
      <c r="AX169" s="1483" t="s">
        <v>645</v>
      </c>
      <c r="AY169" s="1483"/>
      <c r="AZ169" s="1484">
        <f>SUM(AZ167:BA168)</f>
        <v>7364877407</v>
      </c>
      <c r="BA169" s="1485"/>
      <c r="BB169" s="1369"/>
      <c r="BC169" s="1369"/>
      <c r="BD169" s="1369"/>
      <c r="BE169" s="1369"/>
      <c r="BF169" s="1369"/>
      <c r="BG169" s="1369"/>
      <c r="BH169" s="1369"/>
      <c r="BI169" s="1486"/>
      <c r="BJ169" s="1369"/>
      <c r="BK169" s="1369"/>
      <c r="BL169" s="1369"/>
      <c r="BM169" s="1369"/>
      <c r="BN169" s="1369"/>
      <c r="BO169" s="1369"/>
      <c r="BP169" s="1369"/>
      <c r="BQ169" s="1369"/>
      <c r="BR169" s="1369"/>
      <c r="BS169" s="1369"/>
      <c r="BT169" s="1369"/>
      <c r="BU169" s="1369"/>
      <c r="BV169" s="1450"/>
      <c r="BW169" s="1450"/>
      <c r="BX169" s="1450"/>
      <c r="BY169" s="1450"/>
      <c r="BZ169" s="1450"/>
      <c r="CA169" s="1450"/>
      <c r="CB169" s="1450"/>
      <c r="CC169" s="1184"/>
      <c r="CD169" s="1183"/>
      <c r="CE169" s="1183"/>
      <c r="CF169" s="1184"/>
      <c r="CG169" s="1184"/>
      <c r="CH169" s="1184"/>
      <c r="CI169" s="1184"/>
      <c r="CJ169" s="1184"/>
      <c r="CK169" s="1183"/>
      <c r="CL169" s="1183"/>
      <c r="CM169" s="1184"/>
      <c r="CN169" s="1184"/>
      <c r="CO169" s="1184"/>
      <c r="CP169" s="1184"/>
      <c r="CQ169" s="1184"/>
      <c r="CR169" s="1183"/>
      <c r="CS169" s="1183"/>
      <c r="CT169" s="1183"/>
      <c r="CU169" s="1184"/>
      <c r="CV169" s="1183"/>
      <c r="CW169" s="1184"/>
      <c r="CX169" s="1184"/>
      <c r="CY169" s="1183"/>
      <c r="CZ169" s="1183"/>
      <c r="DA169" s="1184"/>
      <c r="DB169" s="1184"/>
      <c r="DC169" s="1184"/>
      <c r="DD169" s="1184"/>
      <c r="DE169" s="1184"/>
      <c r="DF169" s="1183"/>
      <c r="DG169" s="1183"/>
      <c r="DH169" s="1184"/>
      <c r="DI169" s="1184"/>
      <c r="DJ169" s="1184"/>
      <c r="DK169" s="1456"/>
      <c r="DL169" s="1187"/>
      <c r="DM169" s="1187"/>
      <c r="DN169" s="1187"/>
      <c r="DO169" s="1187"/>
      <c r="DP169" s="1187"/>
      <c r="DQ169" s="1187"/>
      <c r="DR169" s="1187"/>
      <c r="DS169" s="1187"/>
      <c r="DT169" s="1187"/>
      <c r="DU169" s="1187"/>
      <c r="DV169" s="1187"/>
      <c r="DW169" s="1187"/>
      <c r="DX169" s="1187"/>
      <c r="DY169" s="1187"/>
      <c r="DZ169" s="1187"/>
      <c r="EA169" s="1187"/>
      <c r="EB169" s="1187"/>
      <c r="EC169" s="1187"/>
      <c r="ED169" s="1187"/>
      <c r="EE169" s="1187"/>
      <c r="EF169" s="1187"/>
      <c r="EG169" s="1187"/>
      <c r="EH169" s="1187"/>
      <c r="EI169" s="1187"/>
      <c r="EJ169" s="1187"/>
      <c r="EK169" s="1187"/>
      <c r="EL169" s="1187"/>
      <c r="EM169" s="1187"/>
      <c r="EN169" s="1187"/>
      <c r="EO169" s="1417"/>
      <c r="EP169" s="1418"/>
      <c r="EQ169" s="1471"/>
      <c r="ER169" s="1445"/>
      <c r="ES169" s="1445"/>
      <c r="ET169" s="1445"/>
      <c r="EU169" s="1445"/>
      <c r="EV169" s="1372"/>
      <c r="EW169" s="1373"/>
      <c r="EX169" s="1373"/>
      <c r="EY169" s="1372"/>
      <c r="EZ169" s="1373"/>
      <c r="FA169" s="1373"/>
      <c r="FB169" s="1372"/>
      <c r="FC169" s="1373"/>
      <c r="FD169" s="1373"/>
      <c r="FE169" s="1372"/>
      <c r="FF169" s="1373"/>
      <c r="FG169" s="1373"/>
      <c r="FH169" s="1372"/>
      <c r="FI169" s="1373"/>
      <c r="FJ169" s="1373"/>
      <c r="FK169" s="1374"/>
      <c r="FL169" s="1374"/>
      <c r="FM169" s="1369"/>
      <c r="FN169" s="1369"/>
      <c r="FO169" s="1369"/>
      <c r="FP169" s="1369"/>
      <c r="FQ169" s="1369"/>
      <c r="FR169" s="1369"/>
      <c r="FS169" s="1369"/>
      <c r="FT169" s="1369"/>
      <c r="FU169" s="1369"/>
      <c r="FV169" s="1369"/>
      <c r="FW169" s="1369"/>
      <c r="FX169" s="1369"/>
      <c r="FY169" s="1369"/>
      <c r="FZ169" s="1369"/>
      <c r="GA169" s="1369"/>
      <c r="GB169" s="1369"/>
      <c r="GC169" s="1369"/>
      <c r="GD169" s="1369"/>
      <c r="GE169" s="1369"/>
      <c r="GF169" s="1369"/>
      <c r="GG169" s="1369"/>
      <c r="GH169" s="1369"/>
      <c r="GI169" s="1369"/>
      <c r="GJ169" s="1369"/>
      <c r="GK169" s="1369"/>
      <c r="GL169" s="1369"/>
      <c r="GM169" s="1369"/>
      <c r="GN169" s="1369"/>
      <c r="GO169" s="1369"/>
      <c r="GP169" s="1369"/>
      <c r="GQ169" s="1369"/>
      <c r="GR169" s="1369"/>
      <c r="GS169" s="1369"/>
      <c r="GT169" s="1369"/>
      <c r="GU169" s="1369"/>
      <c r="GV169" s="1369"/>
      <c r="GW169" s="1450"/>
      <c r="GX169" s="1450"/>
      <c r="GY169" s="1450"/>
      <c r="GZ169" s="1450"/>
      <c r="HA169" s="1450"/>
      <c r="HB169" s="1450"/>
      <c r="HC169" s="1450"/>
      <c r="HD169" s="1184"/>
      <c r="HE169" s="1183"/>
      <c r="HF169" s="1183"/>
      <c r="HG169" s="1184"/>
      <c r="HH169" s="1184"/>
      <c r="HI169" s="1184"/>
      <c r="HJ169" s="1184"/>
      <c r="HK169" s="1184"/>
      <c r="HL169" s="1183"/>
      <c r="HM169" s="1183"/>
      <c r="HN169" s="1184"/>
      <c r="HO169" s="1184"/>
      <c r="HP169" s="1184"/>
      <c r="HQ169" s="1184"/>
      <c r="HR169" s="1184"/>
      <c r="HS169" s="1183"/>
      <c r="HT169" s="1183"/>
      <c r="HU169" s="1183"/>
      <c r="HV169" s="1184"/>
      <c r="HW169" s="1183"/>
      <c r="HX169" s="1184"/>
      <c r="HY169" s="1184"/>
      <c r="HZ169" s="1183"/>
      <c r="IA169" s="1183"/>
      <c r="IB169" s="1184"/>
      <c r="IC169" s="1184"/>
      <c r="ID169" s="1184"/>
      <c r="IE169" s="1184"/>
      <c r="IF169" s="1184"/>
      <c r="IG169" s="1183"/>
      <c r="IH169" s="1183"/>
      <c r="II169" s="1184"/>
      <c r="IJ169" s="1184"/>
      <c r="IK169" s="1184"/>
      <c r="IL169" s="1456"/>
      <c r="IM169" s="1187"/>
      <c r="IN169" s="1187"/>
      <c r="IO169" s="1187"/>
      <c r="IP169" s="1187"/>
      <c r="IQ169" s="79"/>
      <c r="IR169" s="1476"/>
      <c r="IS169" s="1477"/>
      <c r="IT169" s="1477"/>
      <c r="IU169" s="1477"/>
      <c r="IV169" s="1477"/>
      <c r="IW169" s="1477"/>
      <c r="IX169" s="1478"/>
      <c r="IY169" s="1478"/>
      <c r="IZ169" s="1477"/>
      <c r="JA169" s="1477"/>
      <c r="JB169" s="1477"/>
      <c r="JC169" s="1477"/>
      <c r="JD169" s="1479"/>
      <c r="JE169" s="1479"/>
      <c r="JF169" s="1477"/>
      <c r="JG169" s="1480"/>
      <c r="JH169" s="1481"/>
      <c r="JO169" s="1382"/>
      <c r="KW169" s="1383"/>
      <c r="KX169" s="1187"/>
      <c r="KY169" s="1187"/>
    </row>
    <row r="170" spans="2:311" s="1181" customFormat="1" ht="42" customHeight="1">
      <c r="B170" s="1411"/>
      <c r="C170" s="1369"/>
      <c r="D170" s="1369"/>
      <c r="E170" s="243">
        <v>195</v>
      </c>
      <c r="F170" s="508" t="s">
        <v>646</v>
      </c>
      <c r="G170" s="1413"/>
      <c r="H170" s="1413"/>
      <c r="I170" s="1413"/>
      <c r="J170" s="1413"/>
      <c r="K170" s="1413"/>
      <c r="L170" s="1413"/>
      <c r="M170" s="1414"/>
      <c r="N170" s="1415"/>
      <c r="O170" s="1415"/>
      <c r="P170" s="1414"/>
      <c r="Q170" s="1415"/>
      <c r="R170" s="1415"/>
      <c r="S170" s="1415"/>
      <c r="T170" s="1415"/>
      <c r="U170" s="1416"/>
      <c r="V170" s="1369"/>
      <c r="W170" s="1369"/>
      <c r="X170" s="1369"/>
      <c r="Y170" s="1369"/>
      <c r="Z170" s="1369"/>
      <c r="AA170" s="1417"/>
      <c r="AB170" s="1418"/>
      <c r="AC170" s="1471"/>
      <c r="AD170" s="1445"/>
      <c r="AE170" s="1369"/>
      <c r="AF170" s="1369"/>
      <c r="AG170" s="1369"/>
      <c r="AH170" s="1369"/>
      <c r="AI170" s="1369"/>
      <c r="AJ170" s="1369"/>
      <c r="AK170" s="1369"/>
      <c r="AL170" s="1369"/>
      <c r="AM170" s="1369"/>
      <c r="AN170" s="1369"/>
      <c r="AO170" s="1369"/>
      <c r="AP170" s="1369"/>
      <c r="AQ170" s="1369"/>
      <c r="AR170" s="1369"/>
      <c r="AS170" s="1369"/>
      <c r="AT170" s="1369"/>
      <c r="AU170" s="1369"/>
      <c r="AV170" s="1369"/>
      <c r="AW170" s="1369"/>
      <c r="AX170" s="1369"/>
      <c r="AY170" s="1369"/>
      <c r="AZ170" s="1369"/>
      <c r="BA170" s="1369"/>
      <c r="BB170" s="1369"/>
      <c r="BC170" s="1369"/>
      <c r="BD170" s="1369"/>
      <c r="BE170" s="1369"/>
      <c r="BF170" s="1369"/>
      <c r="BG170" s="1369"/>
      <c r="BH170" s="1369"/>
      <c r="BI170" s="1369"/>
      <c r="BJ170" s="1369"/>
      <c r="BK170" s="1369"/>
      <c r="BL170" s="1369"/>
      <c r="BM170" s="1369"/>
      <c r="BN170" s="1369"/>
      <c r="BO170" s="1369"/>
      <c r="BP170" s="1369"/>
      <c r="BQ170" s="1369"/>
      <c r="BR170" s="1369"/>
      <c r="BS170" s="1369"/>
      <c r="BT170" s="1369"/>
      <c r="BU170" s="1369"/>
      <c r="BV170" s="268">
        <f t="shared" ref="BV170:BV176" si="28">IFERROR(INDEX($HD$9:$IL$9, MATCH("準備", CC170:DK170, 0)), "")</f>
        <v>46273</v>
      </c>
      <c r="BW170" s="269" cm="1">
        <f t="array" ref="BW170">IF(COUNTIF(CC170:DK170,"*撤去*")=0,"",INDEX(CC$9:DK$9,1,MAX(IF(CC170:DK170="撤去",COLUMN(CC170:DK170)-COLUMN(CC170)+1))))</f>
        <v>46292</v>
      </c>
      <c r="BX170" s="270">
        <f t="shared" ref="BX170:BX176" si="29">BW170-BV170</f>
        <v>19</v>
      </c>
      <c r="BY170" s="1066"/>
      <c r="BZ170" s="1066"/>
      <c r="CA170" s="1066"/>
      <c r="CB170" s="1066"/>
      <c r="CC170" s="1184"/>
      <c r="CD170" s="1183"/>
      <c r="CE170" s="1183"/>
      <c r="CF170" s="1184"/>
      <c r="CG170" s="400" t="s">
        <v>177</v>
      </c>
      <c r="CH170" s="400" t="s">
        <v>177</v>
      </c>
      <c r="CI170" s="1184">
        <v>58</v>
      </c>
      <c r="CJ170" s="1184">
        <v>116</v>
      </c>
      <c r="CK170" s="1183">
        <v>116</v>
      </c>
      <c r="CL170" s="1183">
        <v>116</v>
      </c>
      <c r="CM170" s="1184">
        <v>116</v>
      </c>
      <c r="CN170" s="1184">
        <v>116</v>
      </c>
      <c r="CO170" s="1184">
        <v>116</v>
      </c>
      <c r="CP170" s="1184">
        <v>116</v>
      </c>
      <c r="CQ170" s="1184">
        <v>116</v>
      </c>
      <c r="CR170" s="1183">
        <v>116</v>
      </c>
      <c r="CS170" s="1183">
        <v>116</v>
      </c>
      <c r="CT170" s="1183">
        <v>116</v>
      </c>
      <c r="CU170" s="1184">
        <v>116</v>
      </c>
      <c r="CV170" s="1183">
        <v>58</v>
      </c>
      <c r="CW170" s="1184">
        <v>58</v>
      </c>
      <c r="CX170" s="1184">
        <v>58</v>
      </c>
      <c r="CY170" s="1183">
        <v>58</v>
      </c>
      <c r="CZ170" s="406" t="s">
        <v>178</v>
      </c>
      <c r="DA170" s="1184"/>
      <c r="DB170" s="1184"/>
      <c r="DC170" s="1184"/>
      <c r="DD170" s="1184"/>
      <c r="DE170" s="1184"/>
      <c r="DF170" s="1183"/>
      <c r="DG170" s="1183"/>
      <c r="DH170" s="1184"/>
      <c r="DI170" s="1184"/>
      <c r="DJ170" s="1184"/>
      <c r="DK170" s="1456"/>
      <c r="DL170" s="1187"/>
      <c r="DM170" s="277" cm="1">
        <f t="array" ref="DM170">SUM(IF(ISNUMBER($HD170:$IL170),$HD170:$IL170, 0))</f>
        <v>1682</v>
      </c>
      <c r="DN170" s="277"/>
      <c r="DO170" s="277"/>
      <c r="DP170" s="277"/>
      <c r="DQ170" s="277"/>
      <c r="DR170" s="277"/>
      <c r="DS170" s="277"/>
      <c r="DT170" s="277"/>
      <c r="DU170" s="277"/>
      <c r="DV170" s="277"/>
      <c r="DW170" s="277"/>
      <c r="DX170" s="277"/>
      <c r="DY170" s="277"/>
      <c r="DZ170" s="277"/>
      <c r="EA170" s="277"/>
      <c r="EB170" s="277"/>
      <c r="EC170" s="277"/>
      <c r="ED170" s="277"/>
      <c r="EE170" s="277"/>
      <c r="EF170" s="277"/>
      <c r="EG170" s="277"/>
      <c r="EH170" s="277"/>
      <c r="EI170" s="277"/>
      <c r="EJ170" s="277"/>
      <c r="EK170" s="277"/>
      <c r="EL170" s="277"/>
      <c r="EM170" s="277"/>
      <c r="EN170" s="277"/>
      <c r="EO170" s="1417"/>
      <c r="EP170" s="1418"/>
      <c r="EQ170" s="1471"/>
      <c r="ER170" s="1445"/>
      <c r="ES170" s="1445"/>
      <c r="ET170" s="1445"/>
      <c r="EU170" s="1445"/>
      <c r="EV170" s="1372"/>
      <c r="EW170" s="1373"/>
      <c r="EX170" s="1373"/>
      <c r="EY170" s="1372"/>
      <c r="EZ170" s="1373"/>
      <c r="FA170" s="1373"/>
      <c r="FB170" s="1372"/>
      <c r="FC170" s="1373"/>
      <c r="FD170" s="1373"/>
      <c r="FE170" s="1372"/>
      <c r="FF170" s="1373"/>
      <c r="FG170" s="1373"/>
      <c r="FH170" s="1372"/>
      <c r="FI170" s="1373"/>
      <c r="FJ170" s="1373"/>
      <c r="FK170" s="1374"/>
      <c r="FL170" s="1374"/>
      <c r="FM170" s="1369"/>
      <c r="FN170" s="1369"/>
      <c r="FO170" s="1369"/>
      <c r="FP170" s="1369"/>
      <c r="FQ170" s="1369"/>
      <c r="FR170" s="1369"/>
      <c r="FS170" s="1369"/>
      <c r="FT170" s="1369"/>
      <c r="FU170" s="1369"/>
      <c r="FV170" s="1369"/>
      <c r="FW170" s="1369"/>
      <c r="FX170" s="1369"/>
      <c r="FY170" s="1369"/>
      <c r="FZ170" s="1369"/>
      <c r="GA170" s="1369"/>
      <c r="GB170" s="1369"/>
      <c r="GC170" s="1369"/>
      <c r="GD170" s="1369"/>
      <c r="GE170" s="1369"/>
      <c r="GF170" s="1369"/>
      <c r="GG170" s="1369"/>
      <c r="GH170" s="1369"/>
      <c r="GI170" s="1369"/>
      <c r="GJ170" s="1369"/>
      <c r="GK170" s="1369"/>
      <c r="GL170" s="1369"/>
      <c r="GM170" s="1369"/>
      <c r="GN170" s="1369"/>
      <c r="GO170" s="1369"/>
      <c r="GP170" s="1369"/>
      <c r="GQ170" s="1369"/>
      <c r="GR170" s="1369"/>
      <c r="GS170" s="1369"/>
      <c r="GT170" s="1369"/>
      <c r="GU170" s="1369"/>
      <c r="GV170" s="1369"/>
      <c r="GW170" s="268">
        <f t="shared" ref="GW170:GW176" si="30">IFERROR(INDEX($HD$9:$IL$9, MATCH("準備", HD170:IL170, 0)), "")</f>
        <v>46273</v>
      </c>
      <c r="GX170" s="269" cm="1">
        <f t="array" ref="GX170">IF(COUNTIF(HD170:IL170,"*撤去*")=0,"",INDEX(HD$9:IL$9,1,MAX(IF(HD170:IL170="撤去",COLUMN(HD170:IL170)-COLUMN(HD170)+1))))</f>
        <v>46292</v>
      </c>
      <c r="GY170" s="270">
        <f t="shared" ref="GY170:GY176" si="31">GX170-GW170</f>
        <v>19</v>
      </c>
      <c r="GZ170" s="1066"/>
      <c r="HA170" s="1066"/>
      <c r="HB170" s="1066"/>
      <c r="HC170" s="1066"/>
      <c r="HD170" s="1184"/>
      <c r="HE170" s="1183"/>
      <c r="HF170" s="1183"/>
      <c r="HG170" s="1184"/>
      <c r="HH170" s="400" t="s">
        <v>177</v>
      </c>
      <c r="HI170" s="400" t="s">
        <v>177</v>
      </c>
      <c r="HJ170" s="1184">
        <v>58</v>
      </c>
      <c r="HK170" s="1184">
        <v>116</v>
      </c>
      <c r="HL170" s="1183">
        <v>116</v>
      </c>
      <c r="HM170" s="1183">
        <v>116</v>
      </c>
      <c r="HN170" s="1184">
        <v>116</v>
      </c>
      <c r="HO170" s="1184">
        <v>116</v>
      </c>
      <c r="HP170" s="1184">
        <v>116</v>
      </c>
      <c r="HQ170" s="1184">
        <v>116</v>
      </c>
      <c r="HR170" s="1184">
        <v>116</v>
      </c>
      <c r="HS170" s="1183">
        <v>116</v>
      </c>
      <c r="HT170" s="1183">
        <v>116</v>
      </c>
      <c r="HU170" s="1183">
        <v>116</v>
      </c>
      <c r="HV170" s="1184">
        <v>116</v>
      </c>
      <c r="HW170" s="1183">
        <v>58</v>
      </c>
      <c r="HX170" s="1184">
        <v>58</v>
      </c>
      <c r="HY170" s="1184">
        <v>58</v>
      </c>
      <c r="HZ170" s="1183">
        <v>58</v>
      </c>
      <c r="IA170" s="406" t="s">
        <v>178</v>
      </c>
      <c r="IB170" s="1184"/>
      <c r="IC170" s="1184"/>
      <c r="ID170" s="1184"/>
      <c r="IE170" s="1184"/>
      <c r="IF170" s="1184"/>
      <c r="IG170" s="1183"/>
      <c r="IH170" s="1183"/>
      <c r="II170" s="1184"/>
      <c r="IJ170" s="1184"/>
      <c r="IK170" s="1184"/>
      <c r="IL170" s="1456"/>
      <c r="IM170" s="1187"/>
      <c r="IN170" s="277" cm="1">
        <f t="array" ref="IN170">SUM(IF(ISNUMBER($HD170:$IL170),$HD170:$IL170, 0))</f>
        <v>1682</v>
      </c>
      <c r="IO170" s="1187"/>
      <c r="IP170" s="1187"/>
      <c r="IQ170" s="79" t="s">
        <v>646</v>
      </c>
      <c r="IR170" s="569">
        <f>VLOOKUP($E170,[1]アジアResults1031!$A$1:$CH$259,23,FALSE)</f>
        <v>2232134</v>
      </c>
      <c r="IS170" s="570">
        <f>VLOOKUP($E170,[1]アジアResults1031!$A$1:$CH$259,32,FALSE)</f>
        <v>120</v>
      </c>
      <c r="IT170" s="570">
        <f t="shared" ref="IT170:IT176" si="32">KY170/(GY170-2)</f>
        <v>98.941176470588232</v>
      </c>
      <c r="IU170" s="570">
        <f t="shared" ref="IU170:IU171" si="33">IR170/IT170</f>
        <v>22560.212841854936</v>
      </c>
      <c r="IV170" s="570">
        <f>VLOOKUP(E170,[1]アジアResults1031!$A$1:$CH$264,26,FALSE)</f>
        <v>11412</v>
      </c>
      <c r="IW170" s="570">
        <f>VLOOKUP(E170,[1]アジアResults1031!$A$1:$CH$264,27,FALSE)</f>
        <v>29412</v>
      </c>
      <c r="IX170" s="571">
        <f>VLOOKUP($E170,[1]アジアResults1031!$A$1:$CH$259,18,FALSE)</f>
        <v>116471</v>
      </c>
      <c r="IY170" s="571">
        <f>VLOOKUP($E170,[1]アジアResults1031!$A$1:$CH$259,9,FALSE)</f>
        <v>1</v>
      </c>
      <c r="IZ170" s="570">
        <f t="shared" ref="IZ170:IZ171" si="34">IR170*JF170</f>
        <v>42410546</v>
      </c>
      <c r="JA170" s="570">
        <f>IX170*JF170</f>
        <v>2212949</v>
      </c>
      <c r="JB170" s="570"/>
      <c r="JC170" s="570"/>
      <c r="JD170" s="572">
        <f>IFERROR(INDEX($JO$9:$KW$9, MATCH("準備", JO170:KW170, 0)), "")</f>
        <v>46273</v>
      </c>
      <c r="JE170" s="572" cm="1">
        <f t="array" ref="JE170">IF(COUNTIF(JO170:KW170,"*撤去*")=0,"",INDEX(JO$9:KW$9,1,MAX(IF(JO170:KW170="撤去",COLUMN(JO170:KW170)-COLUMN(JO170)+1))))</f>
        <v>46292</v>
      </c>
      <c r="JF170" s="570">
        <f t="shared" ref="JF170:JF176" si="35">JE170-JD170</f>
        <v>19</v>
      </c>
      <c r="JG170" s="1480"/>
      <c r="JH170" s="1481"/>
      <c r="JO170" s="1182"/>
      <c r="JP170" s="1183"/>
      <c r="JQ170" s="1183"/>
      <c r="JR170" s="1184"/>
      <c r="JS170" s="400" t="s">
        <v>177</v>
      </c>
      <c r="JT170" s="400" t="s">
        <v>177</v>
      </c>
      <c r="JU170" s="1185">
        <v>58</v>
      </c>
      <c r="JV170" s="1185">
        <v>116</v>
      </c>
      <c r="JW170" s="1185">
        <v>116</v>
      </c>
      <c r="JX170" s="1185">
        <v>116</v>
      </c>
      <c r="JY170" s="1185">
        <v>116</v>
      </c>
      <c r="JZ170" s="1185">
        <v>116</v>
      </c>
      <c r="KA170" s="1185">
        <v>116</v>
      </c>
      <c r="KB170" s="1185">
        <v>116</v>
      </c>
      <c r="KC170" s="1185">
        <v>116</v>
      </c>
      <c r="KD170" s="1185">
        <v>116</v>
      </c>
      <c r="KE170" s="1185">
        <v>116</v>
      </c>
      <c r="KF170" s="1185">
        <v>116</v>
      </c>
      <c r="KG170" s="1185">
        <v>116</v>
      </c>
      <c r="KH170" s="1185">
        <v>58</v>
      </c>
      <c r="KI170" s="1185">
        <v>58</v>
      </c>
      <c r="KJ170" s="1185">
        <v>58</v>
      </c>
      <c r="KK170" s="1185">
        <v>58</v>
      </c>
      <c r="KL170" s="406" t="s">
        <v>178</v>
      </c>
      <c r="KM170" s="1185"/>
      <c r="KN170" s="1185"/>
      <c r="KO170" s="1185"/>
      <c r="KP170" s="1185"/>
      <c r="KQ170" s="1185"/>
      <c r="KR170" s="1185"/>
      <c r="KS170" s="1185"/>
      <c r="KT170" s="1184"/>
      <c r="KU170" s="1184"/>
      <c r="KV170" s="1184"/>
      <c r="KW170" s="1186"/>
      <c r="KX170" s="1187"/>
      <c r="KY170" s="277" cm="1">
        <f t="array" ref="KY170">SUM(IF(ISNUMBER($JO170:$KW170),$JO170:$KW170, 0))</f>
        <v>1682</v>
      </c>
    </row>
    <row r="171" spans="2:311" s="1181" customFormat="1" ht="42" customHeight="1" thickBot="1">
      <c r="B171" s="1411"/>
      <c r="C171" s="1369"/>
      <c r="D171" s="1369"/>
      <c r="E171" s="243">
        <v>222</v>
      </c>
      <c r="F171" s="508" t="s">
        <v>647</v>
      </c>
      <c r="G171" s="1413"/>
      <c r="H171" s="1413"/>
      <c r="I171" s="1413"/>
      <c r="J171" s="1413"/>
      <c r="K171" s="1413"/>
      <c r="L171" s="1413"/>
      <c r="M171" s="1414"/>
      <c r="N171" s="1415"/>
      <c r="O171" s="1415"/>
      <c r="P171" s="1414"/>
      <c r="Q171" s="1415"/>
      <c r="R171" s="1415"/>
      <c r="S171" s="1415"/>
      <c r="T171" s="1415"/>
      <c r="U171" s="1416"/>
      <c r="V171" s="1369"/>
      <c r="W171" s="1369"/>
      <c r="X171" s="1369"/>
      <c r="Y171" s="1369"/>
      <c r="Z171" s="1369"/>
      <c r="AA171" s="1417"/>
      <c r="AB171" s="1418"/>
      <c r="AC171" s="1471"/>
      <c r="AD171" s="1445"/>
      <c r="AE171" s="1369"/>
      <c r="AF171" s="1369"/>
      <c r="AG171" s="1369"/>
      <c r="AH171" s="1369"/>
      <c r="AI171" s="1369"/>
      <c r="AJ171" s="1369"/>
      <c r="AK171" s="1369"/>
      <c r="AL171" s="1369"/>
      <c r="AM171" s="1369"/>
      <c r="AN171" s="1369"/>
      <c r="AO171" s="1369"/>
      <c r="AP171" s="1369"/>
      <c r="AQ171" s="1369"/>
      <c r="AR171" s="1369"/>
      <c r="AS171" s="1369"/>
      <c r="AT171" s="1369"/>
      <c r="AU171" s="1369"/>
      <c r="AV171" s="1369"/>
      <c r="AW171" s="1369"/>
      <c r="AX171" s="1369"/>
      <c r="AY171" s="1369"/>
      <c r="AZ171" s="1369"/>
      <c r="BA171" s="1369"/>
      <c r="BB171" s="1369"/>
      <c r="BC171" s="1369"/>
      <c r="BD171" s="1369"/>
      <c r="BE171" s="1369"/>
      <c r="BF171" s="1369"/>
      <c r="BG171" s="1369"/>
      <c r="BH171" s="1369"/>
      <c r="BI171" s="1369"/>
      <c r="BJ171" s="1369"/>
      <c r="BK171" s="1369"/>
      <c r="BL171" s="1369"/>
      <c r="BM171" s="1369"/>
      <c r="BN171" s="1369"/>
      <c r="BO171" s="1369"/>
      <c r="BP171" s="1369"/>
      <c r="BQ171" s="1369"/>
      <c r="BR171" s="1369"/>
      <c r="BS171" s="1369"/>
      <c r="BT171" s="1369"/>
      <c r="BU171" s="1369"/>
      <c r="BV171" s="268">
        <f t="shared" si="28"/>
        <v>46279</v>
      </c>
      <c r="BW171" s="269" cm="1">
        <f t="array" ref="BW171">IF(COUNTIF(CC171:DK171,"*撤去*")=0,"",INDEX(CC$9:DK$9,1,MAX(IF(CC171:DK171="撤去",COLUMN(CC171:DK171)-COLUMN(CC171)+1))))</f>
        <v>46296</v>
      </c>
      <c r="BX171" s="270">
        <f t="shared" si="29"/>
        <v>17</v>
      </c>
      <c r="BY171" s="1066"/>
      <c r="BZ171" s="1066"/>
      <c r="CA171" s="1066"/>
      <c r="CB171" s="1066"/>
      <c r="CC171" s="1184"/>
      <c r="CD171" s="1183"/>
      <c r="CE171" s="1183"/>
      <c r="CF171" s="1184"/>
      <c r="CG171" s="1184"/>
      <c r="CH171" s="1184"/>
      <c r="CI171" s="1184"/>
      <c r="CJ171" s="1184"/>
      <c r="CK171" s="1183"/>
      <c r="CL171" s="1183"/>
      <c r="CM171" s="400" t="s">
        <v>177</v>
      </c>
      <c r="CN171" s="400" t="s">
        <v>177</v>
      </c>
      <c r="CO171" s="1184">
        <v>62</v>
      </c>
      <c r="CP171" s="1184">
        <v>62</v>
      </c>
      <c r="CQ171" s="1184">
        <v>62</v>
      </c>
      <c r="CR171" s="1183">
        <v>62</v>
      </c>
      <c r="CS171" s="1183">
        <v>62</v>
      </c>
      <c r="CT171" s="1183">
        <v>62</v>
      </c>
      <c r="CU171" s="1184">
        <v>62</v>
      </c>
      <c r="CV171" s="1183">
        <v>62</v>
      </c>
      <c r="CW171" s="1184">
        <v>62</v>
      </c>
      <c r="CX171" s="1184">
        <v>62</v>
      </c>
      <c r="CY171" s="1183">
        <v>62</v>
      </c>
      <c r="CZ171" s="1183">
        <v>62</v>
      </c>
      <c r="DA171" s="1184">
        <v>62</v>
      </c>
      <c r="DB171" s="1184">
        <v>62</v>
      </c>
      <c r="DC171" s="1184">
        <v>62</v>
      </c>
      <c r="DD171" s="406" t="s">
        <v>178</v>
      </c>
      <c r="DE171" s="1184"/>
      <c r="DF171" s="1183"/>
      <c r="DG171" s="1183"/>
      <c r="DH171" s="1184"/>
      <c r="DI171" s="1184"/>
      <c r="DJ171" s="1184"/>
      <c r="DK171" s="1456"/>
      <c r="DL171" s="1187"/>
      <c r="DM171" s="277" cm="1">
        <f t="array" ref="DM171">SUM(IF(ISNUMBER($HD171:$IL171),$HD171:$IL171, 0))</f>
        <v>930</v>
      </c>
      <c r="DN171" s="277"/>
      <c r="DO171" s="277"/>
      <c r="DP171" s="277"/>
      <c r="DQ171" s="277"/>
      <c r="DR171" s="277"/>
      <c r="DS171" s="277"/>
      <c r="DT171" s="277"/>
      <c r="DU171" s="277"/>
      <c r="DV171" s="277"/>
      <c r="DW171" s="277"/>
      <c r="DX171" s="277"/>
      <c r="DY171" s="277"/>
      <c r="DZ171" s="277"/>
      <c r="EA171" s="277"/>
      <c r="EB171" s="277"/>
      <c r="EC171" s="277"/>
      <c r="ED171" s="277"/>
      <c r="EE171" s="277"/>
      <c r="EF171" s="277"/>
      <c r="EG171" s="277"/>
      <c r="EH171" s="277"/>
      <c r="EI171" s="277"/>
      <c r="EJ171" s="277"/>
      <c r="EK171" s="277"/>
      <c r="EL171" s="277"/>
      <c r="EM171" s="277"/>
      <c r="EN171" s="277"/>
      <c r="EO171" s="1417"/>
      <c r="EP171" s="1418"/>
      <c r="EQ171" s="1471"/>
      <c r="ER171" s="1445"/>
      <c r="ES171" s="1445"/>
      <c r="ET171" s="1445"/>
      <c r="EU171" s="1445"/>
      <c r="EV171" s="1372"/>
      <c r="EW171" s="1373"/>
      <c r="EX171" s="1373"/>
      <c r="EY171" s="1372"/>
      <c r="EZ171" s="1373"/>
      <c r="FA171" s="1373"/>
      <c r="FB171" s="1372"/>
      <c r="FC171" s="1373"/>
      <c r="FD171" s="1373"/>
      <c r="FE171" s="1372"/>
      <c r="FF171" s="1373"/>
      <c r="FG171" s="1373"/>
      <c r="FH171" s="1372"/>
      <c r="FI171" s="1373"/>
      <c r="FJ171" s="1373"/>
      <c r="FK171" s="1374"/>
      <c r="FL171" s="1374"/>
      <c r="FM171" s="1369"/>
      <c r="FN171" s="1369"/>
      <c r="FO171" s="1369"/>
      <c r="FP171" s="1369"/>
      <c r="FQ171" s="1369"/>
      <c r="FR171" s="1369"/>
      <c r="FS171" s="1369"/>
      <c r="FT171" s="1369"/>
      <c r="FU171" s="1369"/>
      <c r="FV171" s="1369"/>
      <c r="FW171" s="1369"/>
      <c r="FX171" s="1369"/>
      <c r="FY171" s="1369"/>
      <c r="FZ171" s="1369"/>
      <c r="GA171" s="1369"/>
      <c r="GB171" s="1369"/>
      <c r="GC171" s="1369"/>
      <c r="GD171" s="1369"/>
      <c r="GE171" s="1369"/>
      <c r="GF171" s="1369"/>
      <c r="GG171" s="1369"/>
      <c r="GH171" s="1369"/>
      <c r="GI171" s="1369"/>
      <c r="GJ171" s="1369"/>
      <c r="GK171" s="1369"/>
      <c r="GL171" s="1369"/>
      <c r="GM171" s="1369"/>
      <c r="GN171" s="1369"/>
      <c r="GO171" s="1369"/>
      <c r="GP171" s="1369"/>
      <c r="GQ171" s="1369"/>
      <c r="GR171" s="1369"/>
      <c r="GS171" s="1369"/>
      <c r="GT171" s="1369"/>
      <c r="GU171" s="1369"/>
      <c r="GV171" s="1369"/>
      <c r="GW171" s="268">
        <f t="shared" si="30"/>
        <v>46279</v>
      </c>
      <c r="GX171" s="269" cm="1">
        <f t="array" ref="GX171">IF(COUNTIF(HD171:IL171,"*撤去*")=0,"",INDEX(HD$9:IL$9,1,MAX(IF(HD171:IL171="撤去",COLUMN(HD171:IL171)-COLUMN(HD171)+1))))</f>
        <v>46296</v>
      </c>
      <c r="GY171" s="270">
        <f t="shared" si="31"/>
        <v>17</v>
      </c>
      <c r="GZ171" s="1066"/>
      <c r="HA171" s="1066"/>
      <c r="HB171" s="1066"/>
      <c r="HC171" s="1066"/>
      <c r="HD171" s="1184"/>
      <c r="HE171" s="1183"/>
      <c r="HF171" s="1183"/>
      <c r="HG171" s="1184"/>
      <c r="HH171" s="1184"/>
      <c r="HI171" s="1184"/>
      <c r="HJ171" s="1184"/>
      <c r="HK171" s="1184"/>
      <c r="HL171" s="1183"/>
      <c r="HM171" s="1183"/>
      <c r="HN171" s="400" t="s">
        <v>177</v>
      </c>
      <c r="HO171" s="400" t="s">
        <v>177</v>
      </c>
      <c r="HP171" s="1184">
        <v>62</v>
      </c>
      <c r="HQ171" s="1184">
        <v>62</v>
      </c>
      <c r="HR171" s="1184">
        <v>62</v>
      </c>
      <c r="HS171" s="1183">
        <v>62</v>
      </c>
      <c r="HT171" s="1183">
        <v>62</v>
      </c>
      <c r="HU171" s="1183">
        <v>62</v>
      </c>
      <c r="HV171" s="1184">
        <v>62</v>
      </c>
      <c r="HW171" s="1183">
        <v>62</v>
      </c>
      <c r="HX171" s="1184">
        <v>62</v>
      </c>
      <c r="HY171" s="1184">
        <v>62</v>
      </c>
      <c r="HZ171" s="1183">
        <v>62</v>
      </c>
      <c r="IA171" s="1183">
        <v>62</v>
      </c>
      <c r="IB171" s="1184">
        <v>62</v>
      </c>
      <c r="IC171" s="1184">
        <v>62</v>
      </c>
      <c r="ID171" s="1184">
        <v>62</v>
      </c>
      <c r="IE171" s="406" t="s">
        <v>178</v>
      </c>
      <c r="IF171" s="1184"/>
      <c r="IG171" s="1183"/>
      <c r="IH171" s="1183"/>
      <c r="II171" s="1184"/>
      <c r="IJ171" s="1184"/>
      <c r="IK171" s="1184"/>
      <c r="IL171" s="1456"/>
      <c r="IM171" s="1187"/>
      <c r="IN171" s="277" cm="1">
        <f t="array" ref="IN171">SUM(IF(ISNUMBER($HD171:$IL171),$HD171:$IL171, 0))</f>
        <v>930</v>
      </c>
      <c r="IO171" s="1187"/>
      <c r="IP171" s="1187"/>
      <c r="IQ171" s="79" t="s">
        <v>647</v>
      </c>
      <c r="IR171" s="569">
        <f>VLOOKUP($E171,[1]アジアResults1031!$A$1:$CH$259,23,FALSE)</f>
        <v>1501244</v>
      </c>
      <c r="IS171" s="570">
        <f>VLOOKUP($E171,[1]アジアResults1031!$A$1:$CH$259,32,FALSE)</f>
        <v>72</v>
      </c>
      <c r="IT171" s="570">
        <f t="shared" si="32"/>
        <v>62</v>
      </c>
      <c r="IU171" s="570">
        <f t="shared" si="33"/>
        <v>24213.612903225807</v>
      </c>
      <c r="IV171" s="570">
        <f>VLOOKUP(E171,[1]アジアResults1031!$A$1:$CH$264,26,FALSE)</f>
        <v>17648</v>
      </c>
      <c r="IW171" s="570">
        <f>VLOOKUP(E171,[1]アジアResults1031!$A$1:$CH$264,27,FALSE)</f>
        <v>29412</v>
      </c>
      <c r="IX171" s="571">
        <f>VLOOKUP($E171,[1]アジアResults1031!$A$1:$CH$259,18,FALSE)</f>
        <v>0</v>
      </c>
      <c r="IY171" s="571">
        <f>VLOOKUP($E171,[1]アジアResults1031!$A$1:$CH$259,9,FALSE)</f>
        <v>0</v>
      </c>
      <c r="IZ171" s="570">
        <f t="shared" si="34"/>
        <v>25521148</v>
      </c>
      <c r="JA171" s="570">
        <f t="shared" ref="JA171" si="36">IX171*JF171</f>
        <v>0</v>
      </c>
      <c r="JB171" s="570"/>
      <c r="JC171" s="570"/>
      <c r="JD171" s="572">
        <f t="shared" ref="JD171" si="37">IFERROR(INDEX($JO$9:$KW$9, MATCH("準備", JO171:KW171, 0)), "")</f>
        <v>46279</v>
      </c>
      <c r="JE171" s="572" cm="1">
        <f t="array" ref="JE171">IF(COUNTIF(JO171:KW171,"*撤去*")=0,"",INDEX(JO$9:KW$9,1,MAX(IF(JO171:KW171="撤去",COLUMN(JO171:KW171)-COLUMN(JO171)+1))))</f>
        <v>46296</v>
      </c>
      <c r="JF171" s="570">
        <f t="shared" si="35"/>
        <v>17</v>
      </c>
      <c r="JG171" s="1480"/>
      <c r="JH171" s="1481"/>
      <c r="JO171" s="1182"/>
      <c r="JP171" s="1183"/>
      <c r="JQ171" s="1183"/>
      <c r="JR171" s="1184"/>
      <c r="JS171" s="1184"/>
      <c r="JT171" s="1185"/>
      <c r="JU171" s="1185"/>
      <c r="JV171" s="1185"/>
      <c r="JW171" s="1185"/>
      <c r="JX171" s="1185"/>
      <c r="JY171" s="400" t="s">
        <v>177</v>
      </c>
      <c r="JZ171" s="400" t="s">
        <v>177</v>
      </c>
      <c r="KA171" s="1185">
        <v>62</v>
      </c>
      <c r="KB171" s="1185">
        <v>62</v>
      </c>
      <c r="KC171" s="1185">
        <v>62</v>
      </c>
      <c r="KD171" s="1185">
        <v>62</v>
      </c>
      <c r="KE171" s="1185">
        <v>62</v>
      </c>
      <c r="KF171" s="1185">
        <v>62</v>
      </c>
      <c r="KG171" s="1185">
        <v>62</v>
      </c>
      <c r="KH171" s="1185">
        <v>62</v>
      </c>
      <c r="KI171" s="1185">
        <v>62</v>
      </c>
      <c r="KJ171" s="1185">
        <v>62</v>
      </c>
      <c r="KK171" s="1185">
        <v>62</v>
      </c>
      <c r="KL171" s="1185">
        <v>62</v>
      </c>
      <c r="KM171" s="1185">
        <v>62</v>
      </c>
      <c r="KN171" s="1185">
        <v>62</v>
      </c>
      <c r="KO171" s="1185">
        <v>62</v>
      </c>
      <c r="KP171" s="406" t="s">
        <v>178</v>
      </c>
      <c r="KQ171" s="1185"/>
      <c r="KR171" s="1185"/>
      <c r="KS171" s="1185"/>
      <c r="KT171" s="1184"/>
      <c r="KU171" s="1184"/>
      <c r="KV171" s="1184"/>
      <c r="KW171" s="1186"/>
      <c r="KX171" s="1187"/>
      <c r="KY171" s="277" cm="1">
        <f t="array" ref="KY171">SUM(IF(ISNUMBER($JO171:$KW171),$JO171:$KW171, 0))</f>
        <v>930</v>
      </c>
    </row>
    <row r="172" spans="2:311" ht="40" customHeight="1">
      <c r="B172" s="1226"/>
      <c r="C172" s="241"/>
      <c r="D172" s="671"/>
      <c r="E172" s="243">
        <v>256</v>
      </c>
      <c r="F172" s="1487" t="s">
        <v>648</v>
      </c>
      <c r="G172" s="1413"/>
      <c r="H172" s="1413"/>
      <c r="I172" s="1413"/>
      <c r="J172" s="1413"/>
      <c r="K172" s="1413"/>
      <c r="L172" s="1413"/>
      <c r="M172" s="1414"/>
      <c r="N172" s="1415"/>
      <c r="O172" s="1415"/>
      <c r="P172" s="1414"/>
      <c r="Q172" s="1415"/>
      <c r="R172" s="1415"/>
      <c r="S172" s="1415"/>
      <c r="T172" s="1415"/>
      <c r="U172" s="1416"/>
      <c r="V172" s="1369"/>
      <c r="W172" s="1369"/>
      <c r="X172" s="1369"/>
      <c r="Y172" s="1369"/>
      <c r="Z172" s="1369"/>
      <c r="AA172" s="1417"/>
      <c r="AB172" s="1418"/>
      <c r="AC172" s="1471"/>
      <c r="AD172" s="1445"/>
      <c r="AE172" s="1369"/>
      <c r="AF172" s="1369"/>
      <c r="AG172" s="1369"/>
      <c r="AH172" s="1369"/>
      <c r="AI172" s="1369"/>
      <c r="AJ172" s="1369"/>
      <c r="AK172" s="1369"/>
      <c r="AL172" s="1369"/>
      <c r="AM172" s="1369"/>
      <c r="AN172" s="1369"/>
      <c r="AO172" s="1369"/>
      <c r="AP172" s="1369"/>
      <c r="AQ172" s="1369"/>
      <c r="AR172" s="1369"/>
      <c r="AS172" s="1369"/>
      <c r="AT172" s="1369"/>
      <c r="AU172" s="1369"/>
      <c r="AV172" s="1369"/>
      <c r="AW172" s="1369"/>
      <c r="AX172" s="1369"/>
      <c r="AY172" s="1369"/>
      <c r="AZ172" s="1369"/>
      <c r="BA172" s="1369"/>
      <c r="BB172" s="1369"/>
      <c r="BC172" s="1369"/>
      <c r="BD172" s="1369"/>
      <c r="BE172" s="1369"/>
      <c r="BF172" s="1369"/>
      <c r="BG172" s="1369"/>
      <c r="BH172" s="1369"/>
      <c r="BI172" s="1369"/>
      <c r="BJ172" s="1369"/>
      <c r="BK172" s="1369"/>
      <c r="BL172" s="1369"/>
      <c r="BM172" s="1369"/>
      <c r="BN172" s="1369"/>
      <c r="BO172" s="1369"/>
      <c r="BP172" s="1369"/>
      <c r="BQ172" s="1369"/>
      <c r="BR172" s="1369"/>
      <c r="BS172" s="1369"/>
      <c r="BT172" s="1369"/>
      <c r="BU172" s="1369"/>
      <c r="BV172" s="1488">
        <f t="shared" si="28"/>
        <v>46279</v>
      </c>
      <c r="BW172" s="1489" cm="1">
        <f t="array" ref="BW172">IF(COUNTIF(CC172:DK172,"*撤去*")=0,"",INDEX(CC$9:DK$9,1,MAX(IF(CC172:DK172="撤去",COLUMN(CC172:DK172)-COLUMN(CC172)+1))))</f>
        <v>46299</v>
      </c>
      <c r="BX172" s="1490">
        <f t="shared" si="29"/>
        <v>20</v>
      </c>
      <c r="BY172" s="1066"/>
      <c r="BZ172" s="1066"/>
      <c r="CA172" s="1066"/>
      <c r="CB172" s="1066"/>
      <c r="CC172" s="1491">
        <v>0</v>
      </c>
      <c r="CD172" s="976">
        <v>0</v>
      </c>
      <c r="CE172" s="976">
        <v>0</v>
      </c>
      <c r="CF172" s="976">
        <v>0</v>
      </c>
      <c r="CG172" s="976">
        <v>0</v>
      </c>
      <c r="CH172" s="976">
        <v>0</v>
      </c>
      <c r="CI172" s="976">
        <v>0</v>
      </c>
      <c r="CJ172" s="976">
        <v>0</v>
      </c>
      <c r="CK172" s="976">
        <v>0</v>
      </c>
      <c r="CL172" s="976">
        <v>0</v>
      </c>
      <c r="CM172" s="1192" t="s">
        <v>177</v>
      </c>
      <c r="CN172" s="1192" t="s">
        <v>177</v>
      </c>
      <c r="CO172" s="976">
        <v>230</v>
      </c>
      <c r="CP172" s="976">
        <v>230</v>
      </c>
      <c r="CQ172" s="976">
        <v>230</v>
      </c>
      <c r="CR172" s="976">
        <v>230</v>
      </c>
      <c r="CS172" s="976">
        <v>230</v>
      </c>
      <c r="CT172" s="976">
        <v>230</v>
      </c>
      <c r="CU172" s="976">
        <v>230</v>
      </c>
      <c r="CV172" s="976">
        <v>230</v>
      </c>
      <c r="CW172" s="976">
        <v>230</v>
      </c>
      <c r="CX172" s="976">
        <v>230</v>
      </c>
      <c r="CY172" s="976">
        <v>230</v>
      </c>
      <c r="CZ172" s="976">
        <v>230</v>
      </c>
      <c r="DA172" s="976">
        <v>230</v>
      </c>
      <c r="DB172" s="976">
        <v>230</v>
      </c>
      <c r="DC172" s="976">
        <v>230</v>
      </c>
      <c r="DD172" s="976">
        <v>230</v>
      </c>
      <c r="DE172" s="976">
        <v>230</v>
      </c>
      <c r="DF172" s="976">
        <v>230</v>
      </c>
      <c r="DG172" s="1492" t="s">
        <v>178</v>
      </c>
      <c r="DH172" s="976">
        <v>0</v>
      </c>
      <c r="DI172" s="976">
        <v>0</v>
      </c>
      <c r="DJ172" s="976">
        <v>0</v>
      </c>
      <c r="DK172" s="976">
        <v>0</v>
      </c>
      <c r="DL172" s="1016"/>
      <c r="DM172" s="277" cm="1">
        <f t="array" ref="DM172">SUM(IF(ISNUMBER($HD172:$IL172),$HD172:$IL172, 0))</f>
        <v>4140</v>
      </c>
      <c r="DN172" s="277"/>
      <c r="DO172" s="277"/>
      <c r="DP172" s="277"/>
      <c r="DQ172" s="277"/>
      <c r="DR172" s="277"/>
      <c r="DS172" s="277"/>
      <c r="DT172" s="277"/>
      <c r="DU172" s="277"/>
      <c r="DV172" s="277"/>
      <c r="DW172" s="277"/>
      <c r="DX172" s="277"/>
      <c r="DY172" s="277"/>
      <c r="DZ172" s="277"/>
      <c r="EA172" s="277"/>
      <c r="EB172" s="277"/>
      <c r="EC172" s="277"/>
      <c r="ED172" s="277"/>
      <c r="EE172" s="277"/>
      <c r="EF172" s="277"/>
      <c r="EG172" s="277"/>
      <c r="EH172" s="277"/>
      <c r="EI172" s="277"/>
      <c r="EJ172" s="277"/>
      <c r="EK172" s="277"/>
      <c r="EL172" s="277"/>
      <c r="EM172" s="277"/>
      <c r="EN172" s="277"/>
      <c r="EO172" s="1417"/>
      <c r="EP172" s="1418"/>
      <c r="EQ172" s="1471"/>
      <c r="ER172" s="1445"/>
      <c r="ES172" s="1445"/>
      <c r="ET172" s="1445"/>
      <c r="EU172" s="1445"/>
      <c r="EV172" s="1372"/>
      <c r="EW172" s="1373"/>
      <c r="EX172" s="1373"/>
      <c r="EY172" s="1372"/>
      <c r="EZ172" s="1373"/>
      <c r="FA172" s="1373"/>
      <c r="FB172" s="1372"/>
      <c r="FC172" s="1373"/>
      <c r="FD172" s="1373"/>
      <c r="FE172" s="1372"/>
      <c r="FF172" s="1373"/>
      <c r="FG172" s="1373"/>
      <c r="FH172" s="1372"/>
      <c r="FI172" s="1373"/>
      <c r="FJ172" s="1373"/>
      <c r="FK172" s="1374"/>
      <c r="FL172" s="1374"/>
      <c r="FM172" s="1369"/>
      <c r="FN172" s="1369"/>
      <c r="FO172" s="1369"/>
      <c r="FP172" s="1369"/>
      <c r="FQ172" s="1369"/>
      <c r="FR172" s="1369"/>
      <c r="FS172" s="1369"/>
      <c r="FT172" s="1369"/>
      <c r="FU172" s="1369"/>
      <c r="FV172" s="1369"/>
      <c r="FW172" s="1369"/>
      <c r="FX172" s="1369"/>
      <c r="FY172" s="1369"/>
      <c r="FZ172" s="1369"/>
      <c r="GA172" s="1369"/>
      <c r="GB172" s="1369"/>
      <c r="GC172" s="1369"/>
      <c r="GD172" s="1369"/>
      <c r="GE172" s="1369"/>
      <c r="GF172" s="1369"/>
      <c r="GG172" s="1369"/>
      <c r="GH172" s="1369"/>
      <c r="GI172" s="1369"/>
      <c r="GJ172" s="1369"/>
      <c r="GK172" s="1369"/>
      <c r="GL172" s="1369"/>
      <c r="GM172" s="1369"/>
      <c r="GN172" s="1369"/>
      <c r="GO172" s="1369"/>
      <c r="GP172" s="1369"/>
      <c r="GQ172" s="1369"/>
      <c r="GR172" s="1369"/>
      <c r="GS172" s="1369"/>
      <c r="GT172" s="1369"/>
      <c r="GU172" s="1369"/>
      <c r="GV172" s="1369"/>
      <c r="GW172" s="1488">
        <f t="shared" si="30"/>
        <v>46279</v>
      </c>
      <c r="GX172" s="1489" cm="1">
        <f t="array" ref="GX172">IF(COUNTIF(HD172:IL172,"*撤去*")=0,"",INDEX(HD$9:IL$9,1,MAX(IF(HD172:IL172="撤去",COLUMN(HD172:IL172)-COLUMN(HD172)+1))))</f>
        <v>46299</v>
      </c>
      <c r="GY172" s="1490">
        <f t="shared" si="31"/>
        <v>20</v>
      </c>
      <c r="GZ172" s="1066"/>
      <c r="HA172" s="1066"/>
      <c r="HB172" s="1066"/>
      <c r="HC172" s="1066"/>
      <c r="HD172" s="1491">
        <v>0</v>
      </c>
      <c r="HE172" s="976">
        <v>0</v>
      </c>
      <c r="HF172" s="976">
        <v>0</v>
      </c>
      <c r="HG172" s="976">
        <v>0</v>
      </c>
      <c r="HH172" s="976">
        <v>0</v>
      </c>
      <c r="HI172" s="976">
        <v>0</v>
      </c>
      <c r="HJ172" s="976">
        <v>0</v>
      </c>
      <c r="HK172" s="976">
        <v>0</v>
      </c>
      <c r="HL172" s="976">
        <v>0</v>
      </c>
      <c r="HM172" s="976">
        <v>0</v>
      </c>
      <c r="HN172" s="1192" t="s">
        <v>177</v>
      </c>
      <c r="HO172" s="1192" t="s">
        <v>177</v>
      </c>
      <c r="HP172" s="976">
        <v>230</v>
      </c>
      <c r="HQ172" s="976">
        <v>230</v>
      </c>
      <c r="HR172" s="976">
        <v>230</v>
      </c>
      <c r="HS172" s="976">
        <v>230</v>
      </c>
      <c r="HT172" s="976">
        <v>230</v>
      </c>
      <c r="HU172" s="976">
        <v>230</v>
      </c>
      <c r="HV172" s="976">
        <v>230</v>
      </c>
      <c r="HW172" s="976">
        <v>230</v>
      </c>
      <c r="HX172" s="976">
        <v>230</v>
      </c>
      <c r="HY172" s="976">
        <v>230</v>
      </c>
      <c r="HZ172" s="976">
        <v>230</v>
      </c>
      <c r="IA172" s="976">
        <v>230</v>
      </c>
      <c r="IB172" s="976">
        <v>230</v>
      </c>
      <c r="IC172" s="976">
        <v>230</v>
      </c>
      <c r="ID172" s="976">
        <v>230</v>
      </c>
      <c r="IE172" s="976">
        <v>230</v>
      </c>
      <c r="IF172" s="976">
        <v>230</v>
      </c>
      <c r="IG172" s="976">
        <v>230</v>
      </c>
      <c r="IH172" s="1492" t="s">
        <v>178</v>
      </c>
      <c r="II172" s="976">
        <v>0</v>
      </c>
      <c r="IJ172" s="976">
        <v>0</v>
      </c>
      <c r="IK172" s="976">
        <v>0</v>
      </c>
      <c r="IL172" s="976">
        <v>0</v>
      </c>
      <c r="IM172" s="1016"/>
      <c r="IN172" s="277" cm="1">
        <f t="array" ref="IN172">SUM(IF(ISNUMBER($HD172:$IL172),$HD172:$IL172, 0))</f>
        <v>4140</v>
      </c>
      <c r="IO172" s="1047"/>
      <c r="IP172" s="1048"/>
      <c r="IQ172" s="541"/>
      <c r="IR172" s="1493">
        <f>VLOOKUP($E172,[1]アジアResults1031!$A$1:$CH$259,23,FALSE)</f>
        <v>1689116</v>
      </c>
      <c r="IS172" s="1494">
        <f>VLOOKUP($E172,[1]アジアResults1031!$A$1:$CH$259,32,FALSE)</f>
        <v>82</v>
      </c>
      <c r="IT172" s="1494">
        <f t="shared" si="32"/>
        <v>266</v>
      </c>
      <c r="IU172" s="1494">
        <f>IR172/IT172</f>
        <v>6350.0601503759399</v>
      </c>
      <c r="IV172" s="1494">
        <f>VLOOKUP(E172,[1]アジアResults1031!$A$1:$CH$264,26,FALSE)</f>
        <v>18118</v>
      </c>
      <c r="IW172" s="1494">
        <f>VLOOKUP(E172,[1]アジアResults1031!$A$1:$CH$264,27,FALSE)</f>
        <v>30589</v>
      </c>
      <c r="IX172" s="1495">
        <f>VLOOKUP($E172,[1]アジアResults1031!$A$1:$CH$259,18,FALSE)</f>
        <v>1734123</v>
      </c>
      <c r="IY172" s="1495">
        <f>VLOOKUP($E172,[1]アジアResults1031!$A$1:$CH$259,9,FALSE)</f>
        <v>10</v>
      </c>
      <c r="IZ172" s="1494">
        <f>IR172*JF172</f>
        <v>35471436</v>
      </c>
      <c r="JA172" s="1494">
        <f>IX172*JF172</f>
        <v>36416583</v>
      </c>
      <c r="JB172" s="1494"/>
      <c r="JC172" s="1494"/>
      <c r="JD172" s="1496">
        <f>IFERROR(INDEX($JO$9:$KW$9, MATCH("準備", JO172:KW172, 0)), "")</f>
        <v>46278</v>
      </c>
      <c r="JE172" s="1496" cm="1">
        <f t="array" ref="JE172">IF(COUNTIF(JO172:KW172,"*撤去*")=0,"",INDEX(JO$9:KW$9,1,MAX(IF(JO172:KW172="撤去",COLUMN(JO172:KW172)-COLUMN(JO172)+1))))</f>
        <v>46299</v>
      </c>
      <c r="JF172" s="1497">
        <f t="shared" si="35"/>
        <v>21</v>
      </c>
      <c r="JG172" s="935">
        <v>1689116</v>
      </c>
      <c r="JH172" s="936">
        <v>1734123</v>
      </c>
      <c r="JO172" s="507"/>
      <c r="JP172" s="508"/>
      <c r="JQ172" s="508"/>
      <c r="JR172" s="508"/>
      <c r="JS172" s="508"/>
      <c r="JT172" s="508"/>
      <c r="JU172" s="508"/>
      <c r="JV172" s="508"/>
      <c r="JW172" s="508"/>
      <c r="JX172" s="400" t="s">
        <v>177</v>
      </c>
      <c r="JY172" s="400" t="s">
        <v>177</v>
      </c>
      <c r="JZ172" s="508">
        <v>252</v>
      </c>
      <c r="KA172" s="508">
        <v>252</v>
      </c>
      <c r="KB172" s="508">
        <v>252</v>
      </c>
      <c r="KC172" s="508">
        <v>252</v>
      </c>
      <c r="KD172" s="508">
        <v>252</v>
      </c>
      <c r="KE172" s="508">
        <v>252</v>
      </c>
      <c r="KF172" s="508">
        <v>252</v>
      </c>
      <c r="KG172" s="508">
        <v>252</v>
      </c>
      <c r="KH172" s="508">
        <v>252</v>
      </c>
      <c r="KI172" s="508">
        <v>252</v>
      </c>
      <c r="KJ172" s="508">
        <v>252</v>
      </c>
      <c r="KK172" s="508">
        <v>252</v>
      </c>
      <c r="KL172" s="508">
        <v>252</v>
      </c>
      <c r="KM172" s="508">
        <v>252</v>
      </c>
      <c r="KN172" s="508">
        <v>252</v>
      </c>
      <c r="KO172" s="508">
        <v>252</v>
      </c>
      <c r="KP172" s="508">
        <v>252</v>
      </c>
      <c r="KQ172" s="508">
        <v>252</v>
      </c>
      <c r="KR172" s="508">
        <v>252</v>
      </c>
      <c r="KS172" s="406" t="s">
        <v>178</v>
      </c>
      <c r="KT172" s="508"/>
      <c r="KU172" s="508"/>
      <c r="KV172" s="508"/>
      <c r="KW172" s="509"/>
      <c r="KX172" s="1016"/>
      <c r="KY172" s="277" cm="1">
        <f t="array" ref="KY172">SUM(IF(ISNUMBER($JO172:$KW172),$JO172:$KW172, 0))</f>
        <v>4788</v>
      </c>
    </row>
    <row r="173" spans="2:311" s="1181" customFormat="1" ht="42" customHeight="1">
      <c r="B173" s="1411"/>
      <c r="C173" s="1369"/>
      <c r="D173" s="1369"/>
      <c r="E173" s="243">
        <v>301</v>
      </c>
      <c r="F173" s="508" t="s">
        <v>649</v>
      </c>
      <c r="G173" s="1413"/>
      <c r="H173" s="1413"/>
      <c r="I173" s="1413"/>
      <c r="J173" s="1413"/>
      <c r="K173" s="1413"/>
      <c r="L173" s="1413"/>
      <c r="M173" s="1414"/>
      <c r="N173" s="1415"/>
      <c r="O173" s="1415"/>
      <c r="P173" s="1414"/>
      <c r="Q173" s="1415"/>
      <c r="R173" s="1415"/>
      <c r="S173" s="1415"/>
      <c r="T173" s="1415"/>
      <c r="U173" s="1416"/>
      <c r="V173" s="1369"/>
      <c r="W173" s="1369"/>
      <c r="X173" s="1369"/>
      <c r="Y173" s="1369"/>
      <c r="Z173" s="1369"/>
      <c r="AA173" s="1417"/>
      <c r="AB173" s="1418"/>
      <c r="AC173" s="1471"/>
      <c r="AD173" s="1445"/>
      <c r="AE173" s="1369"/>
      <c r="AF173" s="1369"/>
      <c r="AG173" s="1369"/>
      <c r="AH173" s="1369"/>
      <c r="AI173" s="1369"/>
      <c r="AJ173" s="1369"/>
      <c r="AK173" s="1369"/>
      <c r="AL173" s="1369"/>
      <c r="AM173" s="1369"/>
      <c r="AN173" s="1369"/>
      <c r="AO173" s="1369"/>
      <c r="AP173" s="1369"/>
      <c r="AQ173" s="1369"/>
      <c r="AR173" s="1369"/>
      <c r="AS173" s="1369"/>
      <c r="AT173" s="1369"/>
      <c r="AU173" s="1369"/>
      <c r="AV173" s="1369"/>
      <c r="AW173" s="1369"/>
      <c r="AX173" s="1369"/>
      <c r="AY173" s="1369"/>
      <c r="AZ173" s="1369"/>
      <c r="BA173" s="1369"/>
      <c r="BB173" s="1369"/>
      <c r="BC173" s="1369"/>
      <c r="BD173" s="1369"/>
      <c r="BE173" s="1369"/>
      <c r="BF173" s="1369"/>
      <c r="BG173" s="1369"/>
      <c r="BH173" s="1369"/>
      <c r="BI173" s="1369"/>
      <c r="BJ173" s="1369"/>
      <c r="BK173" s="1369"/>
      <c r="BL173" s="1369"/>
      <c r="BM173" s="1369"/>
      <c r="BN173" s="1369"/>
      <c r="BO173" s="1369"/>
      <c r="BP173" s="1369"/>
      <c r="BQ173" s="1369"/>
      <c r="BR173" s="1369"/>
      <c r="BS173" s="1369"/>
      <c r="BT173" s="1369"/>
      <c r="BU173" s="1369"/>
      <c r="BV173" s="268">
        <f t="shared" si="28"/>
        <v>46276</v>
      </c>
      <c r="BW173" s="269" cm="1">
        <f t="array" ref="BW173">IF(COUNTIF(CC173:DK173,"*撤去*")=0,"",INDEX(CC$9:DK$9,1,MAX(IF(CC173:DK173="撤去",COLUMN(CC173:DK173)-COLUMN(CC173)+1))))</f>
        <v>46296</v>
      </c>
      <c r="BX173" s="270">
        <f t="shared" si="29"/>
        <v>20</v>
      </c>
      <c r="BY173" s="1066"/>
      <c r="BZ173" s="1066"/>
      <c r="CA173" s="1066"/>
      <c r="CB173" s="1066"/>
      <c r="CC173" s="1184"/>
      <c r="CD173" s="1183"/>
      <c r="CE173" s="1183"/>
      <c r="CF173" s="1184"/>
      <c r="CG173" s="1184"/>
      <c r="CH173" s="1184"/>
      <c r="CI173" s="1184"/>
      <c r="CJ173" s="400" t="s">
        <v>177</v>
      </c>
      <c r="CK173" s="400" t="s">
        <v>177</v>
      </c>
      <c r="CL173" s="1183">
        <v>36</v>
      </c>
      <c r="CM173" s="1184">
        <v>36</v>
      </c>
      <c r="CN173" s="1184">
        <v>36</v>
      </c>
      <c r="CO173" s="1184">
        <v>36</v>
      </c>
      <c r="CP173" s="1184">
        <v>36</v>
      </c>
      <c r="CQ173" s="1184">
        <v>36</v>
      </c>
      <c r="CR173" s="1183">
        <v>36</v>
      </c>
      <c r="CS173" s="1183">
        <v>213</v>
      </c>
      <c r="CT173" s="1183">
        <v>409</v>
      </c>
      <c r="CU173" s="1184">
        <v>373</v>
      </c>
      <c r="CV173" s="1183">
        <v>373</v>
      </c>
      <c r="CW173" s="1184">
        <v>373</v>
      </c>
      <c r="CX173" s="1184">
        <v>373</v>
      </c>
      <c r="CY173" s="1183">
        <v>373</v>
      </c>
      <c r="CZ173" s="1183">
        <v>373</v>
      </c>
      <c r="DA173" s="1184">
        <v>373</v>
      </c>
      <c r="DB173" s="1184">
        <v>177</v>
      </c>
      <c r="DC173" s="1184">
        <v>177</v>
      </c>
      <c r="DD173" s="406" t="s">
        <v>178</v>
      </c>
      <c r="DE173" s="1184"/>
      <c r="DF173" s="1183"/>
      <c r="DG173" s="1183"/>
      <c r="DH173" s="1184"/>
      <c r="DI173" s="1184"/>
      <c r="DJ173" s="1184"/>
      <c r="DK173" s="1456"/>
      <c r="DL173" s="1187"/>
      <c r="DM173" s="277" cm="1">
        <f t="array" ref="DM173">SUM(IF(ISNUMBER($HD173:$IL173),$HD173:$IL173, 0))</f>
        <v>3839</v>
      </c>
      <c r="DN173" s="277"/>
      <c r="DO173" s="277"/>
      <c r="DP173" s="277"/>
      <c r="DQ173" s="277"/>
      <c r="DR173" s="277"/>
      <c r="DS173" s="277"/>
      <c r="DT173" s="277"/>
      <c r="DU173" s="277"/>
      <c r="DV173" s="277"/>
      <c r="DW173" s="277"/>
      <c r="DX173" s="277"/>
      <c r="DY173" s="277"/>
      <c r="DZ173" s="277"/>
      <c r="EA173" s="277"/>
      <c r="EB173" s="277"/>
      <c r="EC173" s="277"/>
      <c r="ED173" s="277"/>
      <c r="EE173" s="277"/>
      <c r="EF173" s="277"/>
      <c r="EG173" s="277"/>
      <c r="EH173" s="277"/>
      <c r="EI173" s="277"/>
      <c r="EJ173" s="277"/>
      <c r="EK173" s="277"/>
      <c r="EL173" s="277"/>
      <c r="EM173" s="277"/>
      <c r="EN173" s="277"/>
      <c r="EO173" s="1417"/>
      <c r="EP173" s="1418"/>
      <c r="EQ173" s="1471"/>
      <c r="ER173" s="1445"/>
      <c r="ES173" s="1445"/>
      <c r="ET173" s="1445"/>
      <c r="EU173" s="1445"/>
      <c r="EV173" s="1372"/>
      <c r="EW173" s="1373"/>
      <c r="EX173" s="1373"/>
      <c r="EY173" s="1372"/>
      <c r="EZ173" s="1373"/>
      <c r="FA173" s="1373"/>
      <c r="FB173" s="1372"/>
      <c r="FC173" s="1373"/>
      <c r="FD173" s="1373"/>
      <c r="FE173" s="1372"/>
      <c r="FF173" s="1373"/>
      <c r="FG173" s="1373"/>
      <c r="FH173" s="1372"/>
      <c r="FI173" s="1373"/>
      <c r="FJ173" s="1373"/>
      <c r="FK173" s="1374"/>
      <c r="FL173" s="1374"/>
      <c r="FM173" s="1369"/>
      <c r="FN173" s="1369"/>
      <c r="FO173" s="1369"/>
      <c r="FP173" s="1369"/>
      <c r="FQ173" s="1369"/>
      <c r="FR173" s="1369"/>
      <c r="FS173" s="1369"/>
      <c r="FT173" s="1369"/>
      <c r="FU173" s="1369"/>
      <c r="FV173" s="1369"/>
      <c r="FW173" s="1369"/>
      <c r="FX173" s="1369"/>
      <c r="FY173" s="1369"/>
      <c r="FZ173" s="1369"/>
      <c r="GA173" s="1369"/>
      <c r="GB173" s="1369"/>
      <c r="GC173" s="1369"/>
      <c r="GD173" s="1369"/>
      <c r="GE173" s="1369"/>
      <c r="GF173" s="1369"/>
      <c r="GG173" s="1369"/>
      <c r="GH173" s="1369"/>
      <c r="GI173" s="1369"/>
      <c r="GJ173" s="1369"/>
      <c r="GK173" s="1369"/>
      <c r="GL173" s="1369"/>
      <c r="GM173" s="1369"/>
      <c r="GN173" s="1369"/>
      <c r="GO173" s="1369"/>
      <c r="GP173" s="1369"/>
      <c r="GQ173" s="1369"/>
      <c r="GR173" s="1369"/>
      <c r="GS173" s="1369"/>
      <c r="GT173" s="1369"/>
      <c r="GU173" s="1369"/>
      <c r="GV173" s="1369"/>
      <c r="GW173" s="268">
        <f t="shared" si="30"/>
        <v>46276</v>
      </c>
      <c r="GX173" s="269" cm="1">
        <f t="array" ref="GX173">IF(COUNTIF(HD173:IL173,"*撤去*")=0,"",INDEX(HD$9:IL$9,1,MAX(IF(HD173:IL173="撤去",COLUMN(HD173:IL173)-COLUMN(HD173)+1))))</f>
        <v>46296</v>
      </c>
      <c r="GY173" s="270">
        <f t="shared" si="31"/>
        <v>20</v>
      </c>
      <c r="GZ173" s="1066"/>
      <c r="HA173" s="1066"/>
      <c r="HB173" s="1066"/>
      <c r="HC173" s="1066"/>
      <c r="HD173" s="1184"/>
      <c r="HE173" s="1183"/>
      <c r="HF173" s="1183"/>
      <c r="HG173" s="1184"/>
      <c r="HH173" s="1184"/>
      <c r="HI173" s="1184"/>
      <c r="HJ173" s="1184"/>
      <c r="HK173" s="400" t="s">
        <v>177</v>
      </c>
      <c r="HL173" s="400" t="s">
        <v>177</v>
      </c>
      <c r="HM173" s="1183">
        <v>36</v>
      </c>
      <c r="HN173" s="1184">
        <v>36</v>
      </c>
      <c r="HO173" s="1184">
        <v>36</v>
      </c>
      <c r="HP173" s="1184">
        <v>36</v>
      </c>
      <c r="HQ173" s="1184">
        <v>36</v>
      </c>
      <c r="HR173" s="1184">
        <v>36</v>
      </c>
      <c r="HS173" s="1183">
        <v>36</v>
      </c>
      <c r="HT173" s="1183">
        <v>213</v>
      </c>
      <c r="HU173" s="1183">
        <v>409</v>
      </c>
      <c r="HV173" s="1184">
        <v>373</v>
      </c>
      <c r="HW173" s="1183">
        <v>373</v>
      </c>
      <c r="HX173" s="1184">
        <v>373</v>
      </c>
      <c r="HY173" s="1184">
        <v>373</v>
      </c>
      <c r="HZ173" s="1183">
        <v>373</v>
      </c>
      <c r="IA173" s="1183">
        <v>373</v>
      </c>
      <c r="IB173" s="1184">
        <v>373</v>
      </c>
      <c r="IC173" s="1184">
        <v>177</v>
      </c>
      <c r="ID173" s="1184">
        <v>177</v>
      </c>
      <c r="IE173" s="406" t="s">
        <v>178</v>
      </c>
      <c r="IF173" s="1184"/>
      <c r="IG173" s="1183"/>
      <c r="IH173" s="1183"/>
      <c r="II173" s="1184"/>
      <c r="IJ173" s="1184"/>
      <c r="IK173" s="1184"/>
      <c r="IL173" s="1456"/>
      <c r="IM173" s="1187"/>
      <c r="IN173" s="277" cm="1">
        <f t="array" ref="IN173">SUM(IF(ISNUMBER($HD173:$IL173),$HD173:$IL173, 0))</f>
        <v>3839</v>
      </c>
      <c r="IO173" s="1187"/>
      <c r="IP173" s="1187"/>
      <c r="IQ173" s="79" t="s">
        <v>649</v>
      </c>
      <c r="IR173" s="569">
        <f>VLOOKUP($E173,[1]アジアResults1031!$A$1:$CH$259,23,FALSE)</f>
        <v>8366836</v>
      </c>
      <c r="IS173" s="570">
        <f>VLOOKUP($E173,[1]アジアResults1031!$A$1:$CH$259,32,FALSE)</f>
        <v>241</v>
      </c>
      <c r="IT173" s="570">
        <f t="shared" si="32"/>
        <v>213.27777777777777</v>
      </c>
      <c r="IU173" s="570">
        <f t="shared" ref="IU173:IU176" si="38">IR173/IT173</f>
        <v>39229.759833289922</v>
      </c>
      <c r="IV173" s="570">
        <f>VLOOKUP(E173,[1]アジアResults1031!$A$1:$CH$264,26,FALSE)</f>
        <v>28236</v>
      </c>
      <c r="IW173" s="570">
        <f>VLOOKUP(E173,[1]アジアResults1031!$A$1:$CH$264,27,FALSE)</f>
        <v>59295</v>
      </c>
      <c r="IX173" s="571">
        <f>VLOOKUP($E173,[1]アジアResults1031!$A$1:$CH$259,18,FALSE)</f>
        <v>0</v>
      </c>
      <c r="IY173" s="571">
        <f>VLOOKUP($E173,[1]アジアResults1031!$A$1:$CH$259,9,FALSE)</f>
        <v>0</v>
      </c>
      <c r="IZ173" s="570">
        <f t="shared" ref="IZ173:IZ176" si="39">IR173*JF173</f>
        <v>167336720</v>
      </c>
      <c r="JA173" s="570">
        <f t="shared" ref="JA173:JA176" si="40">IX173*JF173</f>
        <v>0</v>
      </c>
      <c r="JB173" s="570"/>
      <c r="JC173" s="570"/>
      <c r="JD173" s="572">
        <f t="shared" ref="JD173:JD176" si="41">IFERROR(INDEX($JO$9:$KW$9, MATCH("準備", JO173:KW173, 0)), "")</f>
        <v>46276</v>
      </c>
      <c r="JE173" s="572" cm="1">
        <f t="array" ref="JE173">IF(COUNTIF(JO173:KW173,"*撤去*")=0,"",INDEX(JO$9:KW$9,1,MAX(IF(JO173:KW173="撤去",COLUMN(JO173:KW173)-COLUMN(JO173)+1))))</f>
        <v>46296</v>
      </c>
      <c r="JF173" s="570">
        <f t="shared" si="35"/>
        <v>20</v>
      </c>
      <c r="JG173" s="1480"/>
      <c r="JH173" s="1481"/>
      <c r="JO173" s="1182"/>
      <c r="JP173" s="1183"/>
      <c r="JQ173" s="1183"/>
      <c r="JR173" s="1184"/>
      <c r="JS173" s="1184"/>
      <c r="JT173" s="1185"/>
      <c r="JU173" s="1185"/>
      <c r="JV173" s="400" t="s">
        <v>177</v>
      </c>
      <c r="JW173" s="400" t="s">
        <v>177</v>
      </c>
      <c r="JX173" s="1185">
        <v>36</v>
      </c>
      <c r="JY173" s="1185">
        <v>36</v>
      </c>
      <c r="JZ173" s="1185">
        <v>36</v>
      </c>
      <c r="KA173" s="1185">
        <v>36</v>
      </c>
      <c r="KB173" s="1185">
        <v>36</v>
      </c>
      <c r="KC173" s="1185">
        <v>36</v>
      </c>
      <c r="KD173" s="1185">
        <v>36</v>
      </c>
      <c r="KE173" s="1185">
        <v>213</v>
      </c>
      <c r="KF173" s="1185">
        <v>409</v>
      </c>
      <c r="KG173" s="1185">
        <v>373</v>
      </c>
      <c r="KH173" s="1185">
        <v>373</v>
      </c>
      <c r="KI173" s="1185">
        <v>373</v>
      </c>
      <c r="KJ173" s="1185">
        <v>373</v>
      </c>
      <c r="KK173" s="1185">
        <v>373</v>
      </c>
      <c r="KL173" s="1185">
        <v>373</v>
      </c>
      <c r="KM173" s="1185">
        <v>373</v>
      </c>
      <c r="KN173" s="1185">
        <v>177</v>
      </c>
      <c r="KO173" s="1185">
        <v>177</v>
      </c>
      <c r="KP173" s="406" t="s">
        <v>178</v>
      </c>
      <c r="KQ173" s="1185"/>
      <c r="KR173" s="1185"/>
      <c r="KS173" s="1185"/>
      <c r="KT173" s="1184"/>
      <c r="KU173" s="1184"/>
      <c r="KV173" s="1184"/>
      <c r="KW173" s="1186"/>
      <c r="KX173" s="1187"/>
      <c r="KY173" s="277" cm="1">
        <f t="array" ref="KY173">SUM(IF(ISNUMBER($JO173:$KW173),$JO173:$KW173, 0))</f>
        <v>3839</v>
      </c>
    </row>
    <row r="174" spans="2:311" s="1181" customFormat="1" ht="42" customHeight="1">
      <c r="B174" s="1411"/>
      <c r="C174" s="1369"/>
      <c r="D174" s="1369"/>
      <c r="E174" s="243">
        <v>1030</v>
      </c>
      <c r="F174" s="508" t="s">
        <v>650</v>
      </c>
      <c r="G174" s="1413"/>
      <c r="H174" s="1413"/>
      <c r="I174" s="1413"/>
      <c r="J174" s="1413"/>
      <c r="K174" s="1413"/>
      <c r="L174" s="1413"/>
      <c r="M174" s="1414"/>
      <c r="N174" s="1415"/>
      <c r="O174" s="1415"/>
      <c r="P174" s="1414"/>
      <c r="Q174" s="1415"/>
      <c r="R174" s="1415"/>
      <c r="S174" s="1415"/>
      <c r="T174" s="1415"/>
      <c r="U174" s="1416"/>
      <c r="V174" s="1369"/>
      <c r="W174" s="1369"/>
      <c r="X174" s="1369"/>
      <c r="Y174" s="1369"/>
      <c r="Z174" s="1369"/>
      <c r="AA174" s="1417"/>
      <c r="AB174" s="1418"/>
      <c r="AC174" s="1471"/>
      <c r="AD174" s="1445"/>
      <c r="AE174" s="1369"/>
      <c r="AF174" s="1369"/>
      <c r="AG174" s="1369"/>
      <c r="AH174" s="1369"/>
      <c r="AI174" s="1369"/>
      <c r="AJ174" s="1369"/>
      <c r="AK174" s="1369"/>
      <c r="AL174" s="1369"/>
      <c r="AM174" s="1369"/>
      <c r="AN174" s="1369"/>
      <c r="AO174" s="1369"/>
      <c r="AP174" s="1369"/>
      <c r="AQ174" s="1369"/>
      <c r="AR174" s="1369"/>
      <c r="AS174" s="1369"/>
      <c r="AT174" s="1369"/>
      <c r="AU174" s="1369"/>
      <c r="AV174" s="1369"/>
      <c r="AW174" s="1369"/>
      <c r="AX174" s="1369"/>
      <c r="AY174" s="1369"/>
      <c r="AZ174" s="1369"/>
      <c r="BA174" s="1369"/>
      <c r="BB174" s="1369"/>
      <c r="BC174" s="1369"/>
      <c r="BD174" s="1369"/>
      <c r="BE174" s="1369"/>
      <c r="BF174" s="1369"/>
      <c r="BG174" s="1369"/>
      <c r="BH174" s="1369"/>
      <c r="BI174" s="1369"/>
      <c r="BJ174" s="1369"/>
      <c r="BK174" s="1369"/>
      <c r="BL174" s="1369"/>
      <c r="BM174" s="1369"/>
      <c r="BN174" s="1369"/>
      <c r="BO174" s="1369"/>
      <c r="BP174" s="1369"/>
      <c r="BQ174" s="1369"/>
      <c r="BR174" s="1369"/>
      <c r="BS174" s="1369"/>
      <c r="BT174" s="1369"/>
      <c r="BU174" s="1369"/>
      <c r="BV174" s="268">
        <f t="shared" si="28"/>
        <v>46285</v>
      </c>
      <c r="BW174" s="269" cm="1">
        <f t="array" ref="BW174">IF(COUNTIF(CC174:DK174,"*撤去*")=0,"",INDEX(CC$9:DK$9,1,MAX(IF(CC174:DK174="撤去",COLUMN(CC174:DK174)-COLUMN(CC174)+1))))</f>
        <v>46296</v>
      </c>
      <c r="BX174" s="270">
        <f t="shared" si="29"/>
        <v>11</v>
      </c>
      <c r="BY174" s="1066"/>
      <c r="BZ174" s="1066"/>
      <c r="CA174" s="1066"/>
      <c r="CB174" s="1066"/>
      <c r="CC174" s="1184"/>
      <c r="CD174" s="1183"/>
      <c r="CE174" s="1183"/>
      <c r="CF174" s="1184"/>
      <c r="CG174" s="1184"/>
      <c r="CH174" s="1184"/>
      <c r="CI174" s="1184"/>
      <c r="CJ174" s="1184"/>
      <c r="CK174" s="1183"/>
      <c r="CL174" s="1183"/>
      <c r="CM174" s="1184"/>
      <c r="CN174" s="1184"/>
      <c r="CO174" s="1184"/>
      <c r="CP174" s="1184"/>
      <c r="CQ174" s="1184"/>
      <c r="CR174" s="1183"/>
      <c r="CS174" s="400" t="s">
        <v>177</v>
      </c>
      <c r="CT174" s="400" t="s">
        <v>177</v>
      </c>
      <c r="CU174" s="1184">
        <v>62</v>
      </c>
      <c r="CV174" s="1183">
        <v>62</v>
      </c>
      <c r="CW174" s="1184">
        <v>62</v>
      </c>
      <c r="CX174" s="1184">
        <v>62</v>
      </c>
      <c r="CY174" s="1183">
        <v>62</v>
      </c>
      <c r="CZ174" s="1183">
        <v>62</v>
      </c>
      <c r="DA174" s="1184">
        <v>62</v>
      </c>
      <c r="DB174" s="1184">
        <v>62</v>
      </c>
      <c r="DC174" s="1184">
        <v>62</v>
      </c>
      <c r="DD174" s="406" t="s">
        <v>178</v>
      </c>
      <c r="DE174" s="1184"/>
      <c r="DF174" s="1183"/>
      <c r="DG174" s="1183"/>
      <c r="DH174" s="1184"/>
      <c r="DI174" s="1184"/>
      <c r="DJ174" s="1184"/>
      <c r="DK174" s="1456"/>
      <c r="DL174" s="1187"/>
      <c r="DM174" s="277" cm="1">
        <f t="array" ref="DM174">SUM(IF(ISNUMBER($HD174:$IL174),$HD174:$IL174, 0))</f>
        <v>558</v>
      </c>
      <c r="DN174" s="277"/>
      <c r="DO174" s="277"/>
      <c r="DP174" s="277"/>
      <c r="DQ174" s="277"/>
      <c r="DR174" s="277"/>
      <c r="DS174" s="277"/>
      <c r="DT174" s="277"/>
      <c r="DU174" s="277"/>
      <c r="DV174" s="277"/>
      <c r="DW174" s="277"/>
      <c r="DX174" s="277"/>
      <c r="DY174" s="277"/>
      <c r="DZ174" s="277"/>
      <c r="EA174" s="277"/>
      <c r="EB174" s="277"/>
      <c r="EC174" s="277"/>
      <c r="ED174" s="277"/>
      <c r="EE174" s="277"/>
      <c r="EF174" s="277"/>
      <c r="EG174" s="277"/>
      <c r="EH174" s="277"/>
      <c r="EI174" s="277"/>
      <c r="EJ174" s="277"/>
      <c r="EK174" s="277"/>
      <c r="EL174" s="277"/>
      <c r="EM174" s="277"/>
      <c r="EN174" s="277"/>
      <c r="EO174" s="1417"/>
      <c r="EP174" s="1418"/>
      <c r="EQ174" s="1471"/>
      <c r="ER174" s="1445"/>
      <c r="ES174" s="1445"/>
      <c r="ET174" s="1445"/>
      <c r="EU174" s="1445"/>
      <c r="EV174" s="1372"/>
      <c r="EW174" s="1373"/>
      <c r="EX174" s="1373"/>
      <c r="EY174" s="1372"/>
      <c r="EZ174" s="1373"/>
      <c r="FA174" s="1373"/>
      <c r="FB174" s="1372"/>
      <c r="FC174" s="1373"/>
      <c r="FD174" s="1373"/>
      <c r="FE174" s="1372"/>
      <c r="FF174" s="1373"/>
      <c r="FG174" s="1373"/>
      <c r="FH174" s="1372"/>
      <c r="FI174" s="1373"/>
      <c r="FJ174" s="1373"/>
      <c r="FK174" s="1374"/>
      <c r="FL174" s="1374"/>
      <c r="FM174" s="1369"/>
      <c r="FN174" s="1369"/>
      <c r="FO174" s="1369"/>
      <c r="FP174" s="1369"/>
      <c r="FQ174" s="1369"/>
      <c r="FR174" s="1369"/>
      <c r="FS174" s="1369"/>
      <c r="FT174" s="1369"/>
      <c r="FU174" s="1369"/>
      <c r="FV174" s="1369"/>
      <c r="FW174" s="1369"/>
      <c r="FX174" s="1369"/>
      <c r="FY174" s="1369"/>
      <c r="FZ174" s="1369"/>
      <c r="GA174" s="1369"/>
      <c r="GB174" s="1369"/>
      <c r="GC174" s="1369"/>
      <c r="GD174" s="1369"/>
      <c r="GE174" s="1369"/>
      <c r="GF174" s="1369"/>
      <c r="GG174" s="1369"/>
      <c r="GH174" s="1369"/>
      <c r="GI174" s="1369"/>
      <c r="GJ174" s="1369"/>
      <c r="GK174" s="1369"/>
      <c r="GL174" s="1369"/>
      <c r="GM174" s="1369"/>
      <c r="GN174" s="1369"/>
      <c r="GO174" s="1369"/>
      <c r="GP174" s="1369"/>
      <c r="GQ174" s="1369"/>
      <c r="GR174" s="1369"/>
      <c r="GS174" s="1369"/>
      <c r="GT174" s="1369"/>
      <c r="GU174" s="1369"/>
      <c r="GV174" s="1369"/>
      <c r="GW174" s="268">
        <f t="shared" si="30"/>
        <v>46285</v>
      </c>
      <c r="GX174" s="269" cm="1">
        <f t="array" ref="GX174">IF(COUNTIF(HD174:IL174,"*撤去*")=0,"",INDEX(HD$9:IL$9,1,MAX(IF(HD174:IL174="撤去",COLUMN(HD174:IL174)-COLUMN(HD174)+1))))</f>
        <v>46296</v>
      </c>
      <c r="GY174" s="270">
        <f t="shared" si="31"/>
        <v>11</v>
      </c>
      <c r="GZ174" s="1066"/>
      <c r="HA174" s="1066"/>
      <c r="HB174" s="1066"/>
      <c r="HC174" s="1066"/>
      <c r="HD174" s="1184"/>
      <c r="HE174" s="1183"/>
      <c r="HF174" s="1183"/>
      <c r="HG174" s="1184"/>
      <c r="HH174" s="1184"/>
      <c r="HI174" s="1184"/>
      <c r="HJ174" s="1184"/>
      <c r="HK174" s="1184"/>
      <c r="HL174" s="1183"/>
      <c r="HM174" s="1183"/>
      <c r="HN174" s="1184"/>
      <c r="HO174" s="1184"/>
      <c r="HP174" s="1184"/>
      <c r="HQ174" s="1184"/>
      <c r="HR174" s="1184"/>
      <c r="HS174" s="1183"/>
      <c r="HT174" s="400" t="s">
        <v>177</v>
      </c>
      <c r="HU174" s="400" t="s">
        <v>177</v>
      </c>
      <c r="HV174" s="1184">
        <v>62</v>
      </c>
      <c r="HW174" s="1183">
        <v>62</v>
      </c>
      <c r="HX174" s="1184">
        <v>62</v>
      </c>
      <c r="HY174" s="1184">
        <v>62</v>
      </c>
      <c r="HZ174" s="1183">
        <v>62</v>
      </c>
      <c r="IA174" s="1183">
        <v>62</v>
      </c>
      <c r="IB174" s="1184">
        <v>62</v>
      </c>
      <c r="IC174" s="1184">
        <v>62</v>
      </c>
      <c r="ID174" s="1184">
        <v>62</v>
      </c>
      <c r="IE174" s="406" t="s">
        <v>178</v>
      </c>
      <c r="IF174" s="1184"/>
      <c r="IG174" s="1183"/>
      <c r="IH174" s="1183"/>
      <c r="II174" s="1184"/>
      <c r="IJ174" s="1184"/>
      <c r="IK174" s="1184"/>
      <c r="IL174" s="1456"/>
      <c r="IM174" s="1187"/>
      <c r="IN174" s="277" cm="1">
        <f t="array" ref="IN174">SUM(IF(ISNUMBER($HD174:$IL174),$HD174:$IL174, 0))</f>
        <v>558</v>
      </c>
      <c r="IO174" s="1187"/>
      <c r="IP174" s="1187"/>
      <c r="IQ174" s="79" t="s">
        <v>650</v>
      </c>
      <c r="IR174" s="569">
        <f>VLOOKUP($E174,[1]アジアResults1031!$A$1:$CH$259,23,FALSE)</f>
        <v>1097448</v>
      </c>
      <c r="IS174" s="570">
        <f>VLOOKUP($E174,[1]アジアResults1031!$A$1:$CH$259,32,FALSE)</f>
        <v>40</v>
      </c>
      <c r="IT174" s="570">
        <f t="shared" si="32"/>
        <v>62</v>
      </c>
      <c r="IU174" s="570">
        <f t="shared" si="38"/>
        <v>17700.774193548386</v>
      </c>
      <c r="IV174" s="570">
        <f>VLOOKUP(E174,[1]アジアResults1031!$A$1:$CH$264,26,FALSE)</f>
        <v>24942</v>
      </c>
      <c r="IW174" s="570">
        <f>VLOOKUP(E174,[1]アジアResults1031!$A$1:$CH$264,27,FALSE)</f>
        <v>24942</v>
      </c>
      <c r="IX174" s="571">
        <f>VLOOKUP($E174,[1]アジアResults1031!$A$1:$CH$259,18,FALSE)</f>
        <v>568942</v>
      </c>
      <c r="IY174" s="571">
        <f>VLOOKUP($E174,[1]アジアResults1031!$A$1:$CH$259,9,FALSE)</f>
        <v>3</v>
      </c>
      <c r="IZ174" s="570">
        <f t="shared" si="39"/>
        <v>12071928</v>
      </c>
      <c r="JA174" s="570">
        <f t="shared" si="40"/>
        <v>6258362</v>
      </c>
      <c r="JB174" s="570"/>
      <c r="JC174" s="570"/>
      <c r="JD174" s="572">
        <f t="shared" si="41"/>
        <v>46285</v>
      </c>
      <c r="JE174" s="572" cm="1">
        <f t="array" ref="JE174">IF(COUNTIF(JO174:KW174,"*撤去*")=0,"",INDEX(JO$9:KW$9,1,MAX(IF(JO174:KW174="撤去",COLUMN(JO174:KW174)-COLUMN(JO174)+1))))</f>
        <v>46296</v>
      </c>
      <c r="JF174" s="570">
        <f t="shared" si="35"/>
        <v>11</v>
      </c>
      <c r="JG174" s="1480"/>
      <c r="JH174" s="1481"/>
      <c r="JO174" s="1182"/>
      <c r="JP174" s="1183"/>
      <c r="JQ174" s="1183"/>
      <c r="JR174" s="1184"/>
      <c r="JS174" s="1184"/>
      <c r="JT174" s="1185"/>
      <c r="JU174" s="1185"/>
      <c r="JV174" s="1185"/>
      <c r="JW174" s="1185"/>
      <c r="JX174" s="1185"/>
      <c r="JY174" s="1185"/>
      <c r="JZ174" s="1185"/>
      <c r="KA174" s="1185"/>
      <c r="KB174" s="1185"/>
      <c r="KC174" s="1185"/>
      <c r="KD174" s="1185"/>
      <c r="KE174" s="400" t="s">
        <v>177</v>
      </c>
      <c r="KF174" s="400" t="s">
        <v>177</v>
      </c>
      <c r="KG174" s="1185">
        <v>62</v>
      </c>
      <c r="KH174" s="1185">
        <v>62</v>
      </c>
      <c r="KI174" s="1185">
        <v>62</v>
      </c>
      <c r="KJ174" s="1185">
        <v>62</v>
      </c>
      <c r="KK174" s="1185">
        <v>62</v>
      </c>
      <c r="KL174" s="1185">
        <v>62</v>
      </c>
      <c r="KM174" s="1185">
        <v>62</v>
      </c>
      <c r="KN174" s="1185">
        <v>62</v>
      </c>
      <c r="KO174" s="1185">
        <v>62</v>
      </c>
      <c r="KP174" s="406" t="s">
        <v>178</v>
      </c>
      <c r="KQ174" s="1185"/>
      <c r="KR174" s="1185"/>
      <c r="KS174" s="1185"/>
      <c r="KT174" s="1184"/>
      <c r="KU174" s="1184"/>
      <c r="KV174" s="1184"/>
      <c r="KW174" s="1186"/>
      <c r="KX174" s="1187"/>
      <c r="KY174" s="277" cm="1">
        <f t="array" ref="KY174">SUM(IF(ISNUMBER($HD174:$IL174),$HD174:$IL174, 0))</f>
        <v>558</v>
      </c>
    </row>
    <row r="175" spans="2:311" s="1181" customFormat="1" ht="42" customHeight="1">
      <c r="B175" s="1411"/>
      <c r="C175" s="1369"/>
      <c r="D175" s="1369"/>
      <c r="E175" s="243">
        <v>2037</v>
      </c>
      <c r="F175" s="508" t="s">
        <v>651</v>
      </c>
      <c r="G175" s="1413"/>
      <c r="H175" s="1413"/>
      <c r="I175" s="1413"/>
      <c r="J175" s="1413"/>
      <c r="K175" s="1413"/>
      <c r="L175" s="1413"/>
      <c r="M175" s="1414"/>
      <c r="N175" s="1415"/>
      <c r="O175" s="1415"/>
      <c r="P175" s="1414"/>
      <c r="Q175" s="1415"/>
      <c r="R175" s="1415"/>
      <c r="S175" s="1415"/>
      <c r="T175" s="1415"/>
      <c r="U175" s="1416"/>
      <c r="V175" s="1369"/>
      <c r="W175" s="1369"/>
      <c r="X175" s="1369"/>
      <c r="Y175" s="1369"/>
      <c r="Z175" s="1369"/>
      <c r="AA175" s="1417"/>
      <c r="AB175" s="1418"/>
      <c r="AC175" s="1471"/>
      <c r="AD175" s="1445"/>
      <c r="AE175" s="1369"/>
      <c r="AF175" s="1369"/>
      <c r="AG175" s="1369"/>
      <c r="AH175" s="1369"/>
      <c r="AI175" s="1369"/>
      <c r="AJ175" s="1369"/>
      <c r="AK175" s="1369"/>
      <c r="AL175" s="1369"/>
      <c r="AM175" s="1369"/>
      <c r="AN175" s="1369"/>
      <c r="AO175" s="1369"/>
      <c r="AP175" s="1369"/>
      <c r="AQ175" s="1369"/>
      <c r="AR175" s="1369"/>
      <c r="AS175" s="1369"/>
      <c r="AT175" s="1369"/>
      <c r="AU175" s="1369"/>
      <c r="AV175" s="1369"/>
      <c r="AW175" s="1369"/>
      <c r="AX175" s="1369"/>
      <c r="AY175" s="1369"/>
      <c r="AZ175" s="1369"/>
      <c r="BA175" s="1369"/>
      <c r="BB175" s="1369"/>
      <c r="BC175" s="1369"/>
      <c r="BD175" s="1369"/>
      <c r="BE175" s="1369"/>
      <c r="BF175" s="1369"/>
      <c r="BG175" s="1369"/>
      <c r="BH175" s="1369"/>
      <c r="BI175" s="1369"/>
      <c r="BJ175" s="1369"/>
      <c r="BK175" s="1369"/>
      <c r="BL175" s="1369"/>
      <c r="BM175" s="1369"/>
      <c r="BN175" s="1369"/>
      <c r="BO175" s="1369"/>
      <c r="BP175" s="1369"/>
      <c r="BQ175" s="1369"/>
      <c r="BR175" s="1369"/>
      <c r="BS175" s="1369"/>
      <c r="BT175" s="1369"/>
      <c r="BU175" s="1369"/>
      <c r="BV175" s="268">
        <f t="shared" si="28"/>
        <v>46279</v>
      </c>
      <c r="BW175" s="269" cm="1">
        <f t="array" ref="BW175">IF(COUNTIF(CC175:DK175,"*撤去*")=0,"",INDEX(CC$9:DK$9,1,MAX(IF(CC175:DK175="撤去",COLUMN(CC175:DK175)-COLUMN(CC175)+1))))</f>
        <v>46292</v>
      </c>
      <c r="BX175" s="270">
        <f t="shared" si="29"/>
        <v>13</v>
      </c>
      <c r="BY175" s="1066"/>
      <c r="BZ175" s="1066"/>
      <c r="CA175" s="1066"/>
      <c r="CB175" s="1066"/>
      <c r="CC175" s="1184"/>
      <c r="CD175" s="1183"/>
      <c r="CE175" s="1183"/>
      <c r="CF175" s="1184"/>
      <c r="CG175" s="1184"/>
      <c r="CH175" s="1184"/>
      <c r="CI175" s="1184"/>
      <c r="CJ175" s="1184"/>
      <c r="CK175" s="1183"/>
      <c r="CL175" s="1183"/>
      <c r="CM175" s="400" t="s">
        <v>177</v>
      </c>
      <c r="CN175" s="400" t="s">
        <v>177</v>
      </c>
      <c r="CO175" s="1184">
        <v>91</v>
      </c>
      <c r="CP175" s="1184">
        <v>91</v>
      </c>
      <c r="CQ175" s="1184">
        <v>91</v>
      </c>
      <c r="CR175" s="1183">
        <v>91</v>
      </c>
      <c r="CS175" s="1183">
        <v>91</v>
      </c>
      <c r="CT175" s="1183">
        <v>91</v>
      </c>
      <c r="CU175" s="1184">
        <v>91</v>
      </c>
      <c r="CV175" s="1183">
        <v>91</v>
      </c>
      <c r="CW175" s="1184">
        <v>91</v>
      </c>
      <c r="CX175" s="1184">
        <v>91</v>
      </c>
      <c r="CY175" s="1183">
        <v>91</v>
      </c>
      <c r="CZ175" s="406" t="s">
        <v>178</v>
      </c>
      <c r="DA175" s="1184"/>
      <c r="DB175" s="1184"/>
      <c r="DC175" s="1184"/>
      <c r="DD175" s="1184"/>
      <c r="DE175" s="1184"/>
      <c r="DF175" s="1183"/>
      <c r="DG175" s="1183"/>
      <c r="DH175" s="1184"/>
      <c r="DI175" s="1184"/>
      <c r="DJ175" s="1184"/>
      <c r="DK175" s="1456"/>
      <c r="DL175" s="1187"/>
      <c r="DM175" s="277" cm="1">
        <f t="array" ref="DM175">SUM(IF(ISNUMBER($HD175:$IL175),$HD175:$IL175, 0))</f>
        <v>1001</v>
      </c>
      <c r="DN175" s="277"/>
      <c r="DO175" s="277"/>
      <c r="DP175" s="277"/>
      <c r="DQ175" s="277"/>
      <c r="DR175" s="277"/>
      <c r="DS175" s="277"/>
      <c r="DT175" s="277"/>
      <c r="DU175" s="277"/>
      <c r="DV175" s="277"/>
      <c r="DW175" s="277"/>
      <c r="DX175" s="277"/>
      <c r="DY175" s="277"/>
      <c r="DZ175" s="277"/>
      <c r="EA175" s="277"/>
      <c r="EB175" s="277"/>
      <c r="EC175" s="277"/>
      <c r="ED175" s="277"/>
      <c r="EE175" s="277"/>
      <c r="EF175" s="277"/>
      <c r="EG175" s="277"/>
      <c r="EH175" s="277"/>
      <c r="EI175" s="277"/>
      <c r="EJ175" s="277"/>
      <c r="EK175" s="277"/>
      <c r="EL175" s="277"/>
      <c r="EM175" s="277"/>
      <c r="EN175" s="277"/>
      <c r="EO175" s="1417"/>
      <c r="EP175" s="1418"/>
      <c r="EQ175" s="1471"/>
      <c r="ER175" s="1445"/>
      <c r="ES175" s="1445"/>
      <c r="ET175" s="1445"/>
      <c r="EU175" s="1445"/>
      <c r="EV175" s="1372"/>
      <c r="EW175" s="1373"/>
      <c r="EX175" s="1373"/>
      <c r="EY175" s="1372"/>
      <c r="EZ175" s="1373"/>
      <c r="FA175" s="1373"/>
      <c r="FB175" s="1372"/>
      <c r="FC175" s="1373"/>
      <c r="FD175" s="1373"/>
      <c r="FE175" s="1372"/>
      <c r="FF175" s="1373"/>
      <c r="FG175" s="1373"/>
      <c r="FH175" s="1372"/>
      <c r="FI175" s="1373"/>
      <c r="FJ175" s="1373"/>
      <c r="FK175" s="1374"/>
      <c r="FL175" s="1374"/>
      <c r="FM175" s="1369"/>
      <c r="FN175" s="1369"/>
      <c r="FO175" s="1369"/>
      <c r="FP175" s="1369"/>
      <c r="FQ175" s="1369"/>
      <c r="FR175" s="1369"/>
      <c r="FS175" s="1369"/>
      <c r="FT175" s="1369"/>
      <c r="FU175" s="1369"/>
      <c r="FV175" s="1369"/>
      <c r="FW175" s="1369"/>
      <c r="FX175" s="1369"/>
      <c r="FY175" s="1369"/>
      <c r="FZ175" s="1369"/>
      <c r="GA175" s="1369"/>
      <c r="GB175" s="1369"/>
      <c r="GC175" s="1369"/>
      <c r="GD175" s="1369"/>
      <c r="GE175" s="1369"/>
      <c r="GF175" s="1369"/>
      <c r="GG175" s="1369"/>
      <c r="GH175" s="1369"/>
      <c r="GI175" s="1369"/>
      <c r="GJ175" s="1369"/>
      <c r="GK175" s="1369"/>
      <c r="GL175" s="1369"/>
      <c r="GM175" s="1369"/>
      <c r="GN175" s="1369"/>
      <c r="GO175" s="1369"/>
      <c r="GP175" s="1369"/>
      <c r="GQ175" s="1369"/>
      <c r="GR175" s="1369"/>
      <c r="GS175" s="1369"/>
      <c r="GT175" s="1369"/>
      <c r="GU175" s="1369"/>
      <c r="GV175" s="1369"/>
      <c r="GW175" s="268">
        <f t="shared" si="30"/>
        <v>46279</v>
      </c>
      <c r="GX175" s="269" cm="1">
        <f t="array" ref="GX175">IF(COUNTIF(HD175:IL175,"*撤去*")=0,"",INDEX(HD$9:IL$9,1,MAX(IF(HD175:IL175="撤去",COLUMN(HD175:IL175)-COLUMN(HD175)+1))))</f>
        <v>46292</v>
      </c>
      <c r="GY175" s="270">
        <f t="shared" si="31"/>
        <v>13</v>
      </c>
      <c r="GZ175" s="1066"/>
      <c r="HA175" s="1066"/>
      <c r="HB175" s="1066"/>
      <c r="HC175" s="1066"/>
      <c r="HD175" s="1184"/>
      <c r="HE175" s="1183"/>
      <c r="HF175" s="1183"/>
      <c r="HG175" s="1184"/>
      <c r="HH175" s="1184"/>
      <c r="HI175" s="1184"/>
      <c r="HJ175" s="1184"/>
      <c r="HK175" s="1184"/>
      <c r="HL175" s="1183"/>
      <c r="HM175" s="1183"/>
      <c r="HN175" s="400" t="s">
        <v>177</v>
      </c>
      <c r="HO175" s="400" t="s">
        <v>177</v>
      </c>
      <c r="HP175" s="1184">
        <v>91</v>
      </c>
      <c r="HQ175" s="1184">
        <v>91</v>
      </c>
      <c r="HR175" s="1184">
        <v>91</v>
      </c>
      <c r="HS175" s="1183">
        <v>91</v>
      </c>
      <c r="HT175" s="1183">
        <v>91</v>
      </c>
      <c r="HU175" s="1183">
        <v>91</v>
      </c>
      <c r="HV175" s="1184">
        <v>91</v>
      </c>
      <c r="HW175" s="1183">
        <v>91</v>
      </c>
      <c r="HX175" s="1184">
        <v>91</v>
      </c>
      <c r="HY175" s="1184">
        <v>91</v>
      </c>
      <c r="HZ175" s="1183">
        <v>91</v>
      </c>
      <c r="IA175" s="406" t="s">
        <v>178</v>
      </c>
      <c r="IB175" s="1184"/>
      <c r="IC175" s="1184"/>
      <c r="ID175" s="1184"/>
      <c r="IE175" s="1184"/>
      <c r="IF175" s="1184"/>
      <c r="IG175" s="1183"/>
      <c r="IH175" s="1183"/>
      <c r="II175" s="1184"/>
      <c r="IJ175" s="1184"/>
      <c r="IK175" s="1184"/>
      <c r="IL175" s="1456"/>
      <c r="IM175" s="1187"/>
      <c r="IN175" s="277" cm="1">
        <f t="array" ref="IN175">SUM(IF(ISNUMBER($HD175:$IL175),$HD175:$IL175, 0))</f>
        <v>1001</v>
      </c>
      <c r="IO175" s="1187"/>
      <c r="IP175" s="1187"/>
      <c r="IQ175" s="79" t="s">
        <v>651</v>
      </c>
      <c r="IR175" s="569">
        <f>VLOOKUP($E175,[1]アジアResults1031!$A$1:$CH$259,23,FALSE)</f>
        <v>1493420</v>
      </c>
      <c r="IS175" s="570">
        <f>VLOOKUP($E175,[1]アジアResults1031!$A$1:$CH$259,32,FALSE)</f>
        <v>73</v>
      </c>
      <c r="IT175" s="570">
        <f t="shared" si="32"/>
        <v>91</v>
      </c>
      <c r="IU175" s="570">
        <f t="shared" si="38"/>
        <v>16411.208791208792</v>
      </c>
      <c r="IV175" s="570">
        <f>VLOOKUP(E175,[1]アジアResults1031!$A$1:$CH$264,26,FALSE)</f>
        <v>11177</v>
      </c>
      <c r="IW175" s="570">
        <f>VLOOKUP(E175,[1]アジアResults1031!$A$1:$CH$264,27,FALSE)</f>
        <v>22353</v>
      </c>
      <c r="IX175" s="571">
        <f>VLOOKUP($E175,[1]アジアResults1031!$A$1:$CH$259,18,FALSE)</f>
        <v>360002</v>
      </c>
      <c r="IY175" s="571">
        <f>VLOOKUP($E175,[1]アジアResults1031!$A$1:$CH$259,9,FALSE)</f>
        <v>6</v>
      </c>
      <c r="IZ175" s="570">
        <f t="shared" si="39"/>
        <v>19414460</v>
      </c>
      <c r="JA175" s="570">
        <f t="shared" si="40"/>
        <v>4680026</v>
      </c>
      <c r="JB175" s="570"/>
      <c r="JC175" s="570"/>
      <c r="JD175" s="572">
        <f t="shared" si="41"/>
        <v>46279</v>
      </c>
      <c r="JE175" s="572" cm="1">
        <f t="array" ref="JE175">IF(COUNTIF(JO175:KW175,"*撤去*")=0,"",INDEX(JO$9:KW$9,1,MAX(IF(JO175:KW175="撤去",COLUMN(JO175:KW175)-COLUMN(JO175)+1))))</f>
        <v>46292</v>
      </c>
      <c r="JF175" s="570">
        <f t="shared" si="35"/>
        <v>13</v>
      </c>
      <c r="JG175" s="1480"/>
      <c r="JH175" s="1481"/>
      <c r="JO175" s="1182"/>
      <c r="JP175" s="1183"/>
      <c r="JQ175" s="1183"/>
      <c r="JR175" s="1184"/>
      <c r="JS175" s="1184"/>
      <c r="JT175" s="1185"/>
      <c r="JU175" s="1185"/>
      <c r="JV175" s="1185"/>
      <c r="JW175" s="1185"/>
      <c r="JX175" s="1185"/>
      <c r="JY175" s="400" t="s">
        <v>177</v>
      </c>
      <c r="JZ175" s="400" t="s">
        <v>177</v>
      </c>
      <c r="KA175" s="1185">
        <v>91</v>
      </c>
      <c r="KB175" s="1185">
        <v>91</v>
      </c>
      <c r="KC175" s="1185">
        <v>91</v>
      </c>
      <c r="KD175" s="1185">
        <v>91</v>
      </c>
      <c r="KE175" s="1185">
        <v>91</v>
      </c>
      <c r="KF175" s="1185">
        <v>91</v>
      </c>
      <c r="KG175" s="1185">
        <v>91</v>
      </c>
      <c r="KH175" s="1185">
        <v>91</v>
      </c>
      <c r="KI175" s="1185">
        <v>91</v>
      </c>
      <c r="KJ175" s="1185">
        <v>91</v>
      </c>
      <c r="KK175" s="1185">
        <v>91</v>
      </c>
      <c r="KL175" s="406" t="s">
        <v>178</v>
      </c>
      <c r="KM175" s="1185"/>
      <c r="KN175" s="1185"/>
      <c r="KO175" s="1185"/>
      <c r="KP175" s="1185"/>
      <c r="KQ175" s="1185"/>
      <c r="KR175" s="1185"/>
      <c r="KS175" s="1185"/>
      <c r="KT175" s="1184"/>
      <c r="KU175" s="1184"/>
      <c r="KV175" s="1184"/>
      <c r="KW175" s="1186"/>
      <c r="KX175" s="1187"/>
      <c r="KY175" s="277" cm="1">
        <f t="array" ref="KY175">SUM(IF(ISNUMBER($HD175:$IL175),$HD175:$IL175, 0))</f>
        <v>1001</v>
      </c>
    </row>
    <row r="176" spans="2:311" s="1181" customFormat="1" ht="42" customHeight="1">
      <c r="B176" s="1411"/>
      <c r="C176" s="1369"/>
      <c r="D176" s="1369"/>
      <c r="E176" s="243">
        <v>2042</v>
      </c>
      <c r="F176" s="508" t="s">
        <v>652</v>
      </c>
      <c r="G176" s="1413"/>
      <c r="H176" s="1413"/>
      <c r="I176" s="1413"/>
      <c r="J176" s="1413"/>
      <c r="K176" s="1413"/>
      <c r="L176" s="1413"/>
      <c r="M176" s="1414"/>
      <c r="N176" s="1415"/>
      <c r="O176" s="1415"/>
      <c r="P176" s="1414"/>
      <c r="Q176" s="1415"/>
      <c r="R176" s="1415"/>
      <c r="S176" s="1415"/>
      <c r="T176" s="1415"/>
      <c r="U176" s="1416"/>
      <c r="V176" s="1369"/>
      <c r="W176" s="1369"/>
      <c r="X176" s="1369"/>
      <c r="Y176" s="1369"/>
      <c r="Z176" s="1369"/>
      <c r="AA176" s="1417"/>
      <c r="AB176" s="1418"/>
      <c r="AC176" s="1471"/>
      <c r="AD176" s="1445"/>
      <c r="AE176" s="1369"/>
      <c r="AF176" s="1369"/>
      <c r="AG176" s="1369"/>
      <c r="AH176" s="1369"/>
      <c r="AI176" s="1369"/>
      <c r="AJ176" s="1369"/>
      <c r="AK176" s="1369"/>
      <c r="AL176" s="1369"/>
      <c r="AM176" s="1369"/>
      <c r="AN176" s="1369"/>
      <c r="AO176" s="1369"/>
      <c r="AP176" s="1369"/>
      <c r="AQ176" s="1369"/>
      <c r="AR176" s="1369"/>
      <c r="AS176" s="1369"/>
      <c r="AT176" s="1369"/>
      <c r="AU176" s="1369"/>
      <c r="AV176" s="1369"/>
      <c r="AW176" s="1369"/>
      <c r="AX176" s="1369"/>
      <c r="AY176" s="1369"/>
      <c r="AZ176" s="1369"/>
      <c r="BA176" s="1369"/>
      <c r="BB176" s="1369"/>
      <c r="BC176" s="1369"/>
      <c r="BD176" s="1369"/>
      <c r="BE176" s="1369"/>
      <c r="BF176" s="1369"/>
      <c r="BG176" s="1369"/>
      <c r="BH176" s="1369"/>
      <c r="BI176" s="1369"/>
      <c r="BJ176" s="1369"/>
      <c r="BK176" s="1369"/>
      <c r="BL176" s="1369"/>
      <c r="BM176" s="1369"/>
      <c r="BN176" s="1369"/>
      <c r="BO176" s="1369"/>
      <c r="BP176" s="1369"/>
      <c r="BQ176" s="1369"/>
      <c r="BR176" s="1369"/>
      <c r="BS176" s="1369"/>
      <c r="BT176" s="1369"/>
      <c r="BU176" s="1369"/>
      <c r="BV176" s="268">
        <f t="shared" si="28"/>
        <v>46274</v>
      </c>
      <c r="BW176" s="269" cm="1">
        <f t="array" ref="BW176">IF(COUNTIF(CC176:DK176,"*撤去*")=0,"",INDEX(CC$9:DK$9,1,MAX(IF(CC176:DK176="撤去",COLUMN(CC176:DK176)-COLUMN(CC176)+1))))</f>
        <v>46289</v>
      </c>
      <c r="BX176" s="270">
        <f t="shared" si="29"/>
        <v>15</v>
      </c>
      <c r="BY176" s="1066"/>
      <c r="BZ176" s="1066"/>
      <c r="CA176" s="1066"/>
      <c r="CB176" s="1066"/>
      <c r="CC176" s="1184"/>
      <c r="CD176" s="1183"/>
      <c r="CE176" s="1183"/>
      <c r="CF176" s="1184"/>
      <c r="CG176" s="1184"/>
      <c r="CH176" s="400" t="s">
        <v>177</v>
      </c>
      <c r="CI176" s="400" t="s">
        <v>177</v>
      </c>
      <c r="CJ176" s="1184">
        <v>116</v>
      </c>
      <c r="CK176" s="1183">
        <v>116</v>
      </c>
      <c r="CL176" s="1183">
        <v>116</v>
      </c>
      <c r="CM176" s="1184">
        <v>116</v>
      </c>
      <c r="CN176" s="1184">
        <v>116</v>
      </c>
      <c r="CO176" s="1184">
        <v>116</v>
      </c>
      <c r="CP176" s="1184">
        <v>116</v>
      </c>
      <c r="CQ176" s="1184">
        <v>116</v>
      </c>
      <c r="CR176" s="1183">
        <v>116</v>
      </c>
      <c r="CS176" s="1183">
        <v>116</v>
      </c>
      <c r="CT176" s="1183">
        <v>116</v>
      </c>
      <c r="CU176" s="1184">
        <v>116</v>
      </c>
      <c r="CV176" s="1183">
        <v>116</v>
      </c>
      <c r="CW176" s="406" t="s">
        <v>178</v>
      </c>
      <c r="CX176" s="1184"/>
      <c r="CY176" s="1183"/>
      <c r="CZ176" s="1183"/>
      <c r="DA176" s="1184"/>
      <c r="DB176" s="1184"/>
      <c r="DC176" s="1184"/>
      <c r="DD176" s="1184"/>
      <c r="DE176" s="1184"/>
      <c r="DF176" s="1183"/>
      <c r="DG176" s="1183"/>
      <c r="DH176" s="1184"/>
      <c r="DI176" s="1184"/>
      <c r="DJ176" s="1184"/>
      <c r="DK176" s="1456"/>
      <c r="DL176" s="1187"/>
      <c r="DM176" s="277" cm="1">
        <f t="array" ref="DM176">SUM(IF(ISNUMBER($HD176:$IL176),$HD176:$IL176, 0))</f>
        <v>1508</v>
      </c>
      <c r="DN176" s="277"/>
      <c r="DO176" s="277"/>
      <c r="DP176" s="277"/>
      <c r="DQ176" s="277"/>
      <c r="DR176" s="277"/>
      <c r="DS176" s="277"/>
      <c r="DT176" s="277"/>
      <c r="DU176" s="277"/>
      <c r="DV176" s="277"/>
      <c r="DW176" s="277"/>
      <c r="DX176" s="277"/>
      <c r="DY176" s="277"/>
      <c r="DZ176" s="277"/>
      <c r="EA176" s="277"/>
      <c r="EB176" s="277"/>
      <c r="EC176" s="277"/>
      <c r="ED176" s="277"/>
      <c r="EE176" s="277"/>
      <c r="EF176" s="277"/>
      <c r="EG176" s="277"/>
      <c r="EH176" s="277"/>
      <c r="EI176" s="277"/>
      <c r="EJ176" s="277"/>
      <c r="EK176" s="277"/>
      <c r="EL176" s="277"/>
      <c r="EM176" s="277"/>
      <c r="EN176" s="277"/>
      <c r="EO176" s="1417"/>
      <c r="EP176" s="1418"/>
      <c r="EQ176" s="1471"/>
      <c r="ER176" s="1445"/>
      <c r="ES176" s="1445"/>
      <c r="ET176" s="1445"/>
      <c r="EU176" s="1445"/>
      <c r="EV176" s="1372"/>
      <c r="EW176" s="1373"/>
      <c r="EX176" s="1373"/>
      <c r="EY176" s="1372"/>
      <c r="EZ176" s="1373"/>
      <c r="FA176" s="1373"/>
      <c r="FB176" s="1372"/>
      <c r="FC176" s="1373"/>
      <c r="FD176" s="1373"/>
      <c r="FE176" s="1372"/>
      <c r="FF176" s="1373"/>
      <c r="FG176" s="1373"/>
      <c r="FH176" s="1372"/>
      <c r="FI176" s="1373"/>
      <c r="FJ176" s="1373"/>
      <c r="FK176" s="1374"/>
      <c r="FL176" s="1374"/>
      <c r="FM176" s="1369"/>
      <c r="FN176" s="1369"/>
      <c r="FO176" s="1369"/>
      <c r="FP176" s="1369"/>
      <c r="FQ176" s="1369"/>
      <c r="FR176" s="1369"/>
      <c r="FS176" s="1369"/>
      <c r="FT176" s="1369"/>
      <c r="FU176" s="1369"/>
      <c r="FV176" s="1369"/>
      <c r="FW176" s="1369"/>
      <c r="FX176" s="1369"/>
      <c r="FY176" s="1369"/>
      <c r="FZ176" s="1369"/>
      <c r="GA176" s="1369"/>
      <c r="GB176" s="1369"/>
      <c r="GC176" s="1369"/>
      <c r="GD176" s="1369"/>
      <c r="GE176" s="1369"/>
      <c r="GF176" s="1369"/>
      <c r="GG176" s="1369"/>
      <c r="GH176" s="1369"/>
      <c r="GI176" s="1369"/>
      <c r="GJ176" s="1369"/>
      <c r="GK176" s="1369"/>
      <c r="GL176" s="1369"/>
      <c r="GM176" s="1369"/>
      <c r="GN176" s="1369"/>
      <c r="GO176" s="1369"/>
      <c r="GP176" s="1369"/>
      <c r="GQ176" s="1369"/>
      <c r="GR176" s="1369"/>
      <c r="GS176" s="1369"/>
      <c r="GT176" s="1369"/>
      <c r="GU176" s="1369"/>
      <c r="GV176" s="1369"/>
      <c r="GW176" s="268">
        <f t="shared" si="30"/>
        <v>46274</v>
      </c>
      <c r="GX176" s="269" cm="1">
        <f t="array" ref="GX176">IF(COUNTIF(HD176:IL176,"*撤去*")=0,"",INDEX(HD$9:IL$9,1,MAX(IF(HD176:IL176="撤去",COLUMN(HD176:IL176)-COLUMN(HD176)+1))))</f>
        <v>46289</v>
      </c>
      <c r="GY176" s="270">
        <f t="shared" si="31"/>
        <v>15</v>
      </c>
      <c r="GZ176" s="1066"/>
      <c r="HA176" s="1066"/>
      <c r="HB176" s="1066"/>
      <c r="HC176" s="1066"/>
      <c r="HD176" s="1184"/>
      <c r="HE176" s="1183"/>
      <c r="HF176" s="1183"/>
      <c r="HG176" s="1184"/>
      <c r="HH176" s="1184"/>
      <c r="HI176" s="400" t="s">
        <v>177</v>
      </c>
      <c r="HJ176" s="400" t="s">
        <v>177</v>
      </c>
      <c r="HK176" s="1184">
        <v>116</v>
      </c>
      <c r="HL176" s="1183">
        <v>116</v>
      </c>
      <c r="HM176" s="1183">
        <v>116</v>
      </c>
      <c r="HN176" s="1184">
        <v>116</v>
      </c>
      <c r="HO176" s="1184">
        <v>116</v>
      </c>
      <c r="HP176" s="1184">
        <v>116</v>
      </c>
      <c r="HQ176" s="1184">
        <v>116</v>
      </c>
      <c r="HR176" s="1184">
        <v>116</v>
      </c>
      <c r="HS176" s="1183">
        <v>116</v>
      </c>
      <c r="HT176" s="1183">
        <v>116</v>
      </c>
      <c r="HU176" s="1183">
        <v>116</v>
      </c>
      <c r="HV176" s="1184">
        <v>116</v>
      </c>
      <c r="HW176" s="1183">
        <v>116</v>
      </c>
      <c r="HX176" s="406" t="s">
        <v>178</v>
      </c>
      <c r="HY176" s="1184"/>
      <c r="HZ176" s="1183"/>
      <c r="IA176" s="1183"/>
      <c r="IB176" s="1184"/>
      <c r="IC176" s="1184"/>
      <c r="ID176" s="1184"/>
      <c r="IE176" s="1184"/>
      <c r="IF176" s="1184"/>
      <c r="IG176" s="1183"/>
      <c r="IH176" s="1183"/>
      <c r="II176" s="1184"/>
      <c r="IJ176" s="1184"/>
      <c r="IK176" s="1184"/>
      <c r="IL176" s="1456"/>
      <c r="IM176" s="1187"/>
      <c r="IN176" s="277" cm="1">
        <f t="array" ref="IN176">SUM(IF(ISNUMBER($HD176:$IL176),$HD176:$IL176, 0))</f>
        <v>1508</v>
      </c>
      <c r="IO176" s="1187"/>
      <c r="IP176" s="1187"/>
      <c r="IQ176" s="79" t="s">
        <v>652</v>
      </c>
      <c r="IR176" s="569">
        <f>VLOOKUP($E176,[1]アジアResults1031!$A$1:$CH$259,23,FALSE)</f>
        <v>3587311</v>
      </c>
      <c r="IS176" s="570">
        <f>VLOOKUP($E176,[1]アジアResults1031!$A$1:$CH$259,32,FALSE)</f>
        <v>88</v>
      </c>
      <c r="IT176" s="570">
        <f t="shared" si="32"/>
        <v>116</v>
      </c>
      <c r="IU176" s="570">
        <f t="shared" si="38"/>
        <v>30925.094827586207</v>
      </c>
      <c r="IV176" s="570">
        <f>VLOOKUP(E176,[1]アジアResults1031!$A$1:$CH$264,26,FALSE)</f>
        <v>37059</v>
      </c>
      <c r="IW176" s="570">
        <f>VLOOKUP(E176,[1]アジアResults1031!$A$1:$CH$264,27,FALSE)</f>
        <v>37059</v>
      </c>
      <c r="IX176" s="571">
        <f>VLOOKUP($E176,[1]アジアResults1031!$A$1:$CH$259,18,FALSE)</f>
        <v>1589734</v>
      </c>
      <c r="IY176" s="571">
        <f>VLOOKUP($E176,[1]アジアResults1031!$A$1:$CH$259,9,FALSE)</f>
        <v>4</v>
      </c>
      <c r="IZ176" s="570">
        <f t="shared" si="39"/>
        <v>53809665</v>
      </c>
      <c r="JA176" s="570">
        <f t="shared" si="40"/>
        <v>23846010</v>
      </c>
      <c r="JB176" s="570"/>
      <c r="JC176" s="570"/>
      <c r="JD176" s="572">
        <f t="shared" si="41"/>
        <v>46274</v>
      </c>
      <c r="JE176" s="572" cm="1">
        <f t="array" ref="JE176">IF(COUNTIF(JO176:KW176,"*撤去*")=0,"",INDEX(JO$9:KW$9,1,MAX(IF(JO176:KW176="撤去",COLUMN(JO176:KW176)-COLUMN(JO176)+1))))</f>
        <v>46289</v>
      </c>
      <c r="JF176" s="570">
        <f t="shared" si="35"/>
        <v>15</v>
      </c>
      <c r="JG176" s="1480"/>
      <c r="JH176" s="1481"/>
      <c r="JO176" s="1182"/>
      <c r="JP176" s="1183"/>
      <c r="JQ176" s="1183"/>
      <c r="JR176" s="1184"/>
      <c r="JS176" s="1184"/>
      <c r="JT176" s="400" t="s">
        <v>177</v>
      </c>
      <c r="JU176" s="400" t="s">
        <v>177</v>
      </c>
      <c r="JV176" s="1185">
        <v>116</v>
      </c>
      <c r="JW176" s="1185">
        <v>116</v>
      </c>
      <c r="JX176" s="1185">
        <v>116</v>
      </c>
      <c r="JY176" s="1185">
        <v>116</v>
      </c>
      <c r="JZ176" s="1185">
        <v>116</v>
      </c>
      <c r="KA176" s="1185">
        <v>116</v>
      </c>
      <c r="KB176" s="1185">
        <v>116</v>
      </c>
      <c r="KC176" s="1185">
        <v>116</v>
      </c>
      <c r="KD176" s="1185">
        <v>116</v>
      </c>
      <c r="KE176" s="1185">
        <v>116</v>
      </c>
      <c r="KF176" s="1185">
        <v>116</v>
      </c>
      <c r="KG176" s="1185">
        <v>116</v>
      </c>
      <c r="KH176" s="1185">
        <v>116</v>
      </c>
      <c r="KI176" s="406" t="s">
        <v>178</v>
      </c>
      <c r="KJ176" s="1185"/>
      <c r="KK176" s="1185"/>
      <c r="KL176" s="1185"/>
      <c r="KM176" s="1185"/>
      <c r="KN176" s="1185"/>
      <c r="KO176" s="1185"/>
      <c r="KP176" s="1185"/>
      <c r="KQ176" s="1185"/>
      <c r="KR176" s="1185"/>
      <c r="KS176" s="1185"/>
      <c r="KT176" s="1184"/>
      <c r="KU176" s="1184"/>
      <c r="KV176" s="1184"/>
      <c r="KW176" s="1186"/>
      <c r="KX176" s="1187"/>
      <c r="KY176" s="277" cm="1">
        <f t="array" ref="KY176">SUM(IF(ISNUMBER($HD176:$IL176),$HD176:$IL176, 0))</f>
        <v>1508</v>
      </c>
    </row>
    <row r="177" spans="2:268" s="1181" customFormat="1" ht="42" customHeight="1">
      <c r="B177" s="1411"/>
      <c r="C177" s="1369"/>
      <c r="D177" s="1369"/>
      <c r="E177" s="1412"/>
      <c r="F177" s="1369"/>
      <c r="G177" s="1413"/>
      <c r="H177" s="1413"/>
      <c r="I177" s="1413"/>
      <c r="J177" s="1413"/>
      <c r="K177" s="1413"/>
      <c r="L177" s="1413"/>
      <c r="M177" s="1414"/>
      <c r="N177" s="1415"/>
      <c r="O177" s="1415"/>
      <c r="P177" s="1414"/>
      <c r="Q177" s="1415"/>
      <c r="R177" s="1415"/>
      <c r="S177" s="1415"/>
      <c r="T177" s="1415"/>
      <c r="U177" s="1416"/>
      <c r="V177" s="1369"/>
      <c r="W177" s="1369"/>
      <c r="X177" s="1369"/>
      <c r="Y177" s="1369"/>
      <c r="Z177" s="1369"/>
      <c r="AA177" s="1417"/>
      <c r="AB177" s="1418"/>
      <c r="AC177" s="1471"/>
      <c r="AD177" s="1445"/>
      <c r="AE177" s="1369"/>
      <c r="AF177" s="1369"/>
      <c r="AG177" s="1369"/>
      <c r="AH177" s="1369"/>
      <c r="AI177" s="1369"/>
      <c r="AJ177" s="1369"/>
      <c r="AK177" s="1369"/>
      <c r="AL177" s="1369"/>
      <c r="AM177" s="1369"/>
      <c r="AN177" s="1369"/>
      <c r="AO177" s="1369"/>
      <c r="AP177" s="1369"/>
      <c r="AQ177" s="1369"/>
      <c r="AR177" s="1369"/>
      <c r="AS177" s="1369"/>
      <c r="AT177" s="1369"/>
      <c r="AU177" s="1369"/>
      <c r="AV177" s="1369"/>
      <c r="AW177" s="1369"/>
      <c r="AX177" s="1369"/>
      <c r="AY177" s="1369"/>
      <c r="AZ177" s="1369"/>
      <c r="BA177" s="1369"/>
      <c r="BB177" s="1369"/>
      <c r="BC177" s="1369"/>
      <c r="BD177" s="1369"/>
      <c r="BE177" s="1369"/>
      <c r="BF177" s="1369"/>
      <c r="BG177" s="1369"/>
      <c r="BH177" s="1369"/>
      <c r="BI177" s="1369"/>
      <c r="BJ177" s="1369"/>
      <c r="BK177" s="1369"/>
      <c r="BL177" s="1369"/>
      <c r="BM177" s="1369"/>
      <c r="BN177" s="1369"/>
      <c r="BO177" s="1369"/>
      <c r="BP177" s="1369"/>
      <c r="BQ177" s="1369"/>
      <c r="BR177" s="1369"/>
      <c r="BS177" s="1369"/>
      <c r="BT177" s="1369"/>
      <c r="BU177" s="1369"/>
      <c r="BV177" s="1450"/>
      <c r="BW177" s="1450"/>
      <c r="BX177" s="1450"/>
      <c r="BY177" s="1450"/>
      <c r="BZ177" s="1450"/>
      <c r="CA177" s="1450"/>
      <c r="CB177" s="1450"/>
      <c r="CC177" s="1184"/>
      <c r="CD177" s="1183"/>
      <c r="CE177" s="1183"/>
      <c r="CF177" s="1184"/>
      <c r="CG177" s="1184"/>
      <c r="CH177" s="1184"/>
      <c r="CI177" s="1184"/>
      <c r="CJ177" s="1184"/>
      <c r="CK177" s="1183"/>
      <c r="CL177" s="1183"/>
      <c r="CM177" s="1184"/>
      <c r="CN177" s="1184"/>
      <c r="CO177" s="1184"/>
      <c r="CP177" s="1184"/>
      <c r="CQ177" s="1184"/>
      <c r="CR177" s="1183"/>
      <c r="CS177" s="1183"/>
      <c r="CT177" s="1183"/>
      <c r="CU177" s="1184"/>
      <c r="CV177" s="1183"/>
      <c r="CW177" s="1184"/>
      <c r="CX177" s="1184"/>
      <c r="CY177" s="1183"/>
      <c r="CZ177" s="1183"/>
      <c r="DA177" s="1184"/>
      <c r="DB177" s="1184"/>
      <c r="DC177" s="1184"/>
      <c r="DD177" s="1184"/>
      <c r="DE177" s="1184"/>
      <c r="DF177" s="1183"/>
      <c r="DG177" s="1183"/>
      <c r="DH177" s="1184"/>
      <c r="DI177" s="1184"/>
      <c r="DJ177" s="1184"/>
      <c r="DK177" s="1456"/>
      <c r="DL177" s="1187"/>
      <c r="DM177" s="1187"/>
      <c r="DN177" s="1187"/>
      <c r="DO177" s="1187"/>
      <c r="DP177" s="1187"/>
      <c r="DQ177" s="1187"/>
      <c r="DR177" s="1187"/>
      <c r="DS177" s="1187"/>
      <c r="DT177" s="1187"/>
      <c r="DU177" s="1187"/>
      <c r="DV177" s="1187"/>
      <c r="DW177" s="1187"/>
      <c r="DX177" s="1187"/>
      <c r="DY177" s="1187"/>
      <c r="DZ177" s="1187"/>
      <c r="EA177" s="1187"/>
      <c r="EB177" s="1187"/>
      <c r="EC177" s="1187"/>
      <c r="ED177" s="1187"/>
      <c r="EE177" s="1187"/>
      <c r="EF177" s="1187"/>
      <c r="EG177" s="1187"/>
      <c r="EH177" s="1187"/>
      <c r="EI177" s="1187"/>
      <c r="EJ177" s="1187"/>
      <c r="EK177" s="1187"/>
      <c r="EL177" s="1187"/>
      <c r="EM177" s="1187"/>
      <c r="EN177" s="1187"/>
      <c r="EO177" s="1417"/>
      <c r="EP177" s="1418"/>
      <c r="EQ177" s="1471"/>
      <c r="ER177" s="1445"/>
      <c r="ES177" s="1445"/>
      <c r="ET177" s="1445"/>
      <c r="EU177" s="1445"/>
      <c r="EV177" s="1372"/>
      <c r="EW177" s="1373"/>
      <c r="EX177" s="1373"/>
      <c r="EY177" s="1372"/>
      <c r="EZ177" s="1373"/>
      <c r="FA177" s="1373"/>
      <c r="FB177" s="1372"/>
      <c r="FC177" s="1373"/>
      <c r="FD177" s="1373"/>
      <c r="FE177" s="1372"/>
      <c r="FF177" s="1373"/>
      <c r="FG177" s="1373"/>
      <c r="FH177" s="1372"/>
      <c r="FI177" s="1373"/>
      <c r="FJ177" s="1373"/>
      <c r="FK177" s="1374"/>
      <c r="FL177" s="1374"/>
      <c r="FM177" s="1369"/>
      <c r="FN177" s="1369"/>
      <c r="FO177" s="1369"/>
      <c r="FP177" s="1369"/>
      <c r="FQ177" s="1369"/>
      <c r="FR177" s="1369"/>
      <c r="FS177" s="1369"/>
      <c r="FT177" s="1369"/>
      <c r="FU177" s="1369"/>
      <c r="FV177" s="1369"/>
      <c r="FW177" s="1369"/>
      <c r="FX177" s="1369"/>
      <c r="FY177" s="1369"/>
      <c r="FZ177" s="1369"/>
      <c r="GA177" s="1369"/>
      <c r="GB177" s="1369"/>
      <c r="GC177" s="1369"/>
      <c r="GD177" s="1369"/>
      <c r="GE177" s="1369"/>
      <c r="GF177" s="1369"/>
      <c r="GG177" s="1369"/>
      <c r="GH177" s="1369"/>
      <c r="GI177" s="1369"/>
      <c r="GJ177" s="1369"/>
      <c r="GK177" s="1369"/>
      <c r="GL177" s="1369"/>
      <c r="GM177" s="1369"/>
      <c r="GN177" s="1369"/>
      <c r="GO177" s="1369"/>
      <c r="GP177" s="1369"/>
      <c r="GQ177" s="1369"/>
      <c r="GR177" s="1369"/>
      <c r="GS177" s="1369"/>
      <c r="GT177" s="1369"/>
      <c r="GU177" s="1369"/>
      <c r="GV177" s="1369"/>
      <c r="GW177" s="1450"/>
      <c r="GX177" s="1450"/>
      <c r="GY177" s="1450"/>
      <c r="GZ177" s="1450"/>
      <c r="HA177" s="1450"/>
      <c r="HB177" s="1450"/>
      <c r="HC177" s="1450"/>
      <c r="HD177" s="1184"/>
      <c r="HE177" s="1183"/>
      <c r="HF177" s="1183"/>
      <c r="HG177" s="1184"/>
      <c r="HH177" s="1184"/>
      <c r="HI177" s="1184"/>
      <c r="HJ177" s="1184"/>
      <c r="HK177" s="1184"/>
      <c r="HL177" s="1183"/>
      <c r="HM177" s="1183"/>
      <c r="HN177" s="1184"/>
      <c r="HO177" s="1184"/>
      <c r="HP177" s="1184"/>
      <c r="HQ177" s="1184"/>
      <c r="HR177" s="1184"/>
      <c r="HS177" s="1183"/>
      <c r="HT177" s="1183"/>
      <c r="HU177" s="1183"/>
      <c r="HV177" s="1184"/>
      <c r="HW177" s="1183"/>
      <c r="HX177" s="1184"/>
      <c r="HY177" s="1184"/>
      <c r="HZ177" s="1183"/>
      <c r="IA177" s="1183"/>
      <c r="IB177" s="1184"/>
      <c r="IC177" s="1184"/>
      <c r="ID177" s="1184"/>
      <c r="IE177" s="1184"/>
      <c r="IF177" s="1184"/>
      <c r="IG177" s="1183"/>
      <c r="IH177" s="1183"/>
      <c r="II177" s="1184"/>
      <c r="IJ177" s="1184"/>
      <c r="IK177" s="1184"/>
      <c r="IL177" s="1456"/>
      <c r="IM177" s="1187"/>
      <c r="IN177" s="1187"/>
      <c r="IO177" s="1187"/>
      <c r="IP177" s="1187"/>
      <c r="IQ177" s="79"/>
      <c r="IR177" s="1477"/>
      <c r="IS177" s="1477"/>
      <c r="IT177" s="1477"/>
      <c r="IU177" s="1477"/>
      <c r="IV177" s="1477"/>
      <c r="IW177" s="1477"/>
      <c r="IX177" s="1477"/>
      <c r="IY177" s="1477"/>
      <c r="IZ177" s="1477"/>
      <c r="JA177" s="1477"/>
      <c r="JB177" s="1477"/>
      <c r="JC177" s="1477"/>
      <c r="JD177" s="1477"/>
      <c r="JE177" s="1477"/>
      <c r="JF177" s="1477"/>
      <c r="JG177" s="1498"/>
      <c r="JH177" s="1498"/>
    </row>
    <row r="178" spans="2:268" s="1181" customFormat="1" ht="29.15" customHeight="1">
      <c r="B178" s="1411"/>
      <c r="C178" s="2"/>
      <c r="D178" s="2"/>
      <c r="E178" s="1499"/>
      <c r="F178" s="2"/>
      <c r="G178" s="3"/>
      <c r="H178" s="3"/>
      <c r="I178" s="3"/>
      <c r="J178" s="3"/>
      <c r="K178" s="3"/>
      <c r="L178" s="3"/>
      <c r="M178" s="5"/>
      <c r="N178" s="4"/>
      <c r="O178" s="4"/>
      <c r="P178" s="5"/>
      <c r="Q178" s="4"/>
      <c r="R178" s="4"/>
      <c r="S178" s="4"/>
      <c r="T178" s="4"/>
      <c r="U178" s="1500"/>
      <c r="V178" s="2"/>
      <c r="W178" s="2"/>
      <c r="X178" s="2"/>
      <c r="Y178" s="2"/>
      <c r="Z178" s="2"/>
      <c r="AA178" s="6"/>
      <c r="AB178" s="1"/>
      <c r="AC178" s="7"/>
      <c r="AD178" s="1501"/>
      <c r="AE178" s="1502"/>
      <c r="AF178" s="1502"/>
      <c r="AG178" s="1502"/>
      <c r="AH178" s="1502"/>
      <c r="AI178" s="1502"/>
      <c r="AJ178" s="1502"/>
      <c r="AK178" s="1502"/>
      <c r="AL178" s="1502"/>
      <c r="AM178" s="1502"/>
      <c r="AN178" s="1502"/>
      <c r="AO178" s="1502"/>
      <c r="AP178" s="1502"/>
      <c r="AQ178" s="1502"/>
      <c r="AR178" s="1502"/>
      <c r="AS178" s="1502"/>
      <c r="AT178" s="1502"/>
      <c r="AU178" s="1502"/>
      <c r="AV178" s="1369"/>
      <c r="AW178" s="1369"/>
      <c r="AX178" s="1369"/>
      <c r="AY178" s="1369"/>
      <c r="AZ178" s="1369"/>
      <c r="BA178" s="1369"/>
      <c r="BB178" s="1369"/>
      <c r="BC178" s="1369"/>
      <c r="BD178" s="1369"/>
      <c r="BE178" s="1369"/>
      <c r="BF178" s="1369"/>
      <c r="BG178" s="1369"/>
      <c r="BH178" s="1369"/>
      <c r="BI178" s="1369"/>
      <c r="BJ178" s="1369"/>
      <c r="BK178" s="1369"/>
      <c r="BL178" s="1369"/>
      <c r="BM178" s="1369"/>
      <c r="BN178" s="1369"/>
      <c r="BO178" s="1369"/>
      <c r="BP178" s="1369"/>
      <c r="BQ178" s="1369"/>
      <c r="BR178" s="1369"/>
      <c r="BS178" s="1369"/>
      <c r="BT178" s="1369"/>
      <c r="BU178" s="1369"/>
      <c r="BV178" s="1450"/>
      <c r="BW178" s="1450"/>
      <c r="BX178" s="1450"/>
      <c r="BY178" s="1450"/>
      <c r="BZ178" s="1450"/>
      <c r="CA178" s="1450"/>
      <c r="CB178" s="1450"/>
      <c r="CC178" s="1184"/>
      <c r="CD178" s="1183"/>
      <c r="CE178" s="1183"/>
      <c r="CF178" s="1184"/>
      <c r="CG178" s="1184"/>
      <c r="CH178" s="1184"/>
      <c r="CI178" s="1184"/>
      <c r="CJ178" s="1184"/>
      <c r="CK178" s="1183"/>
      <c r="CL178" s="1183"/>
      <c r="CM178" s="1184"/>
      <c r="CN178" s="1184"/>
      <c r="CO178" s="1184"/>
      <c r="CP178" s="1184"/>
      <c r="CQ178" s="1184"/>
      <c r="CR178" s="1183"/>
      <c r="CS178" s="1183"/>
      <c r="CT178" s="1183"/>
      <c r="CU178" s="1184"/>
      <c r="CV178" s="1183"/>
      <c r="CW178" s="1184"/>
      <c r="CX178" s="1184"/>
      <c r="CY178" s="1183"/>
      <c r="CZ178" s="1183"/>
      <c r="DA178" s="1184"/>
      <c r="DB178" s="1184"/>
      <c r="DC178" s="1184"/>
      <c r="DD178" s="1184"/>
      <c r="DE178" s="1184"/>
      <c r="DF178" s="1183"/>
      <c r="DG178" s="1183"/>
      <c r="DH178" s="1184"/>
      <c r="DI178" s="1184"/>
      <c r="DJ178" s="1184"/>
      <c r="DK178" s="1184"/>
      <c r="DL178" s="1503"/>
      <c r="DM178" s="1503"/>
      <c r="DN178" s="1503"/>
      <c r="DO178" s="1503"/>
      <c r="DP178" s="1503"/>
      <c r="DQ178" s="1503"/>
      <c r="DR178" s="1503"/>
      <c r="DS178" s="1503"/>
      <c r="DT178" s="1503"/>
      <c r="DU178" s="1503"/>
      <c r="DV178" s="1503"/>
      <c r="DW178" s="1503"/>
      <c r="DX178" s="1503"/>
      <c r="DY178" s="1503"/>
      <c r="DZ178" s="1503"/>
      <c r="EA178" s="1503"/>
      <c r="EB178" s="1503"/>
      <c r="EC178" s="1503"/>
      <c r="ED178" s="1503"/>
      <c r="EE178" s="1503"/>
      <c r="EF178" s="1503"/>
      <c r="EG178" s="1503"/>
      <c r="EH178" s="1503"/>
      <c r="EI178" s="1503"/>
      <c r="EJ178" s="1503"/>
      <c r="EK178" s="1503"/>
      <c r="EL178" s="1503"/>
      <c r="EM178" s="1503"/>
      <c r="EN178" s="1503"/>
      <c r="EO178" s="6"/>
      <c r="EP178" s="1"/>
      <c r="EQ178" s="7"/>
      <c r="ER178" s="1501"/>
      <c r="ES178" s="1501"/>
      <c r="ET178" s="1501"/>
      <c r="EU178" s="1501"/>
      <c r="EV178" s="12"/>
      <c r="EW178" s="13"/>
      <c r="EX178" s="13"/>
      <c r="EY178" s="12"/>
      <c r="EZ178" s="13"/>
      <c r="FA178" s="13"/>
      <c r="FB178" s="12"/>
      <c r="FC178" s="13"/>
      <c r="FD178" s="13"/>
      <c r="FE178" s="12"/>
      <c r="FF178" s="13"/>
      <c r="FG178" s="13"/>
      <c r="FH178" s="12"/>
      <c r="FI178" s="13"/>
      <c r="FJ178" s="13"/>
      <c r="FK178" s="1504"/>
      <c r="FL178" s="1504"/>
      <c r="FM178" s="1502"/>
      <c r="FN178" s="1502"/>
      <c r="FO178" s="1502"/>
      <c r="FP178" s="1502"/>
      <c r="FQ178" s="1502"/>
      <c r="FR178" s="1502"/>
      <c r="FS178" s="1502"/>
      <c r="FT178" s="1502"/>
      <c r="FU178" s="1502"/>
      <c r="FV178" s="1502"/>
      <c r="FW178" s="1502"/>
      <c r="FX178" s="1502"/>
      <c r="FY178" s="1369"/>
      <c r="FZ178" s="1369"/>
      <c r="GA178" s="1369"/>
      <c r="GB178" s="1369"/>
      <c r="GC178" s="1369"/>
      <c r="GD178" s="1369"/>
      <c r="GE178" s="1369"/>
      <c r="GF178" s="1369"/>
      <c r="GG178" s="1369"/>
      <c r="GH178" s="1369"/>
      <c r="GI178" s="1369"/>
      <c r="GJ178" s="1369"/>
      <c r="GK178" s="1369"/>
      <c r="GL178" s="1369"/>
      <c r="GM178" s="1369"/>
      <c r="GN178" s="1369"/>
      <c r="GO178" s="1369"/>
      <c r="GP178" s="1369"/>
      <c r="GQ178" s="1369"/>
      <c r="GR178" s="1369"/>
      <c r="GS178" s="1369"/>
      <c r="GT178" s="1369"/>
      <c r="GU178" s="1369"/>
      <c r="GV178" s="1369"/>
      <c r="GW178" s="1450"/>
      <c r="GX178" s="1450"/>
      <c r="GY178" s="1450"/>
      <c r="GZ178" s="1450"/>
      <c r="HA178" s="1450"/>
      <c r="HB178" s="1450"/>
      <c r="HC178" s="1450"/>
      <c r="HD178" s="1184"/>
      <c r="HE178" s="1183"/>
      <c r="HF178" s="1183"/>
      <c r="HG178" s="1184"/>
      <c r="HH178" s="1184"/>
      <c r="HI178" s="1184"/>
      <c r="HJ178" s="1184"/>
      <c r="HK178" s="1184"/>
      <c r="HL178" s="1183"/>
      <c r="HM178" s="1183"/>
      <c r="HN178" s="1184"/>
      <c r="HO178" s="1184"/>
      <c r="HP178" s="1184"/>
      <c r="HQ178" s="1184"/>
      <c r="HR178" s="1184"/>
      <c r="HS178" s="1183"/>
      <c r="HT178" s="1183"/>
      <c r="HU178" s="1183"/>
      <c r="HV178" s="1184"/>
      <c r="HW178" s="1183"/>
      <c r="HX178" s="1184"/>
      <c r="HY178" s="1184"/>
      <c r="HZ178" s="1183"/>
      <c r="IA178" s="1183"/>
      <c r="IB178" s="1184"/>
      <c r="IC178" s="1184"/>
      <c r="ID178" s="1184"/>
      <c r="IE178" s="1184"/>
      <c r="IF178" s="1184"/>
      <c r="IG178" s="1183"/>
      <c r="IH178" s="1183"/>
      <c r="II178" s="1184"/>
      <c r="IJ178" s="1184"/>
      <c r="IK178" s="1184"/>
      <c r="IL178" s="1184"/>
      <c r="IM178" s="1503"/>
      <c r="IN178" s="1503"/>
      <c r="IO178" s="1503"/>
      <c r="IP178" s="1503"/>
      <c r="IR178" s="1377"/>
      <c r="IS178" s="1377"/>
      <c r="IT178" s="1377"/>
      <c r="IU178" s="1377"/>
      <c r="IV178" s="1377"/>
      <c r="IW178" s="1377"/>
      <c r="IZ178" s="1505" t="s">
        <v>653</v>
      </c>
      <c r="JA178" s="1505" t="s">
        <v>654</v>
      </c>
      <c r="JB178" s="1505"/>
      <c r="JC178" s="1505"/>
    </row>
    <row r="179" spans="2:268" s="1181" customFormat="1" ht="31.5" customHeight="1">
      <c r="B179" s="1411"/>
      <c r="C179" s="2"/>
      <c r="D179" s="2"/>
      <c r="E179" s="1506"/>
      <c r="F179" s="2"/>
      <c r="G179" s="3"/>
      <c r="H179" s="3"/>
      <c r="I179" s="3"/>
      <c r="J179" s="3"/>
      <c r="K179" s="3"/>
      <c r="L179" s="3"/>
      <c r="M179" s="5"/>
      <c r="N179" s="1507">
        <v>0</v>
      </c>
      <c r="O179" s="1507">
        <v>0</v>
      </c>
      <c r="P179" s="1508">
        <v>0</v>
      </c>
      <c r="Q179" s="4"/>
      <c r="R179" s="4"/>
      <c r="S179" s="1507"/>
      <c r="T179" s="4"/>
      <c r="U179" s="1502"/>
      <c r="V179" s="2"/>
      <c r="W179" s="2"/>
      <c r="X179" s="2"/>
      <c r="Y179" s="2"/>
      <c r="Z179" s="2"/>
      <c r="AA179" s="6"/>
      <c r="AB179" s="1"/>
      <c r="AC179" s="7"/>
      <c r="AD179" s="1501"/>
      <c r="AE179" s="1502"/>
      <c r="AF179" s="1502"/>
      <c r="AG179" s="1502"/>
      <c r="AH179" s="1502"/>
      <c r="AI179" s="1502"/>
      <c r="AJ179" s="1502"/>
      <c r="AK179" s="1502"/>
      <c r="AL179" s="1502"/>
      <c r="AM179" s="1502"/>
      <c r="AN179" s="1502"/>
      <c r="AO179" s="1502"/>
      <c r="AP179" s="1502"/>
      <c r="AQ179" s="1502"/>
      <c r="AR179" s="1509"/>
      <c r="AS179" s="1510"/>
      <c r="AT179" s="1510"/>
      <c r="AU179" s="1510"/>
      <c r="AV179" s="1511" t="s">
        <v>655</v>
      </c>
      <c r="AW179" s="1511"/>
      <c r="AX179" s="1512" t="s">
        <v>632</v>
      </c>
      <c r="AY179" s="1512"/>
      <c r="AZ179" s="1447">
        <f>SUM($IZ$50:$IZ$176)</f>
        <v>3042691395</v>
      </c>
      <c r="BA179" s="1447"/>
      <c r="BB179" s="1421"/>
      <c r="BC179" s="1421"/>
      <c r="BD179" s="1421"/>
      <c r="BE179" s="1421"/>
      <c r="BF179" s="1421"/>
      <c r="BG179" s="1421"/>
      <c r="BH179" s="1421"/>
      <c r="BI179" s="1421"/>
      <c r="BJ179" s="1421"/>
      <c r="BK179" s="1421"/>
      <c r="BL179" s="1421"/>
      <c r="BM179" s="1421"/>
      <c r="BN179" s="1421"/>
      <c r="BO179" s="1421"/>
      <c r="BP179" s="1421"/>
      <c r="BQ179" s="1421"/>
      <c r="BR179" s="1421"/>
      <c r="BS179" s="1421"/>
      <c r="BT179" s="1421"/>
      <c r="BU179" s="1421"/>
      <c r="BV179" s="1423" t="s">
        <v>656</v>
      </c>
      <c r="BW179" s="1449"/>
      <c r="BX179" s="1449"/>
      <c r="BY179" s="1450"/>
      <c r="BZ179" s="1450"/>
      <c r="CA179" s="1450"/>
      <c r="CB179" s="1450"/>
      <c r="CC179" s="1445"/>
      <c r="CD179" s="1513"/>
      <c r="CE179" s="1513"/>
      <c r="CF179" s="1445"/>
      <c r="CG179" s="1445"/>
      <c r="CH179" s="1445"/>
      <c r="CI179" s="1445"/>
      <c r="CJ179" s="1445"/>
      <c r="CK179" s="1513"/>
      <c r="CL179" s="1513"/>
      <c r="CM179" s="1445"/>
      <c r="CN179" s="1445"/>
      <c r="CO179" s="1445"/>
      <c r="CP179" s="1445"/>
      <c r="CQ179" s="1445"/>
      <c r="CR179" s="1513"/>
      <c r="CS179" s="1513"/>
      <c r="CT179" s="1513"/>
      <c r="CU179" s="1445"/>
      <c r="CV179" s="1513"/>
      <c r="CW179" s="1445"/>
      <c r="CX179" s="1445"/>
      <c r="CY179" s="1513"/>
      <c r="CZ179" s="1513"/>
      <c r="DA179" s="1445"/>
      <c r="DB179" s="1445"/>
      <c r="DC179" s="1445"/>
      <c r="DD179" s="1445"/>
      <c r="DE179" s="1445"/>
      <c r="DF179" s="1513"/>
      <c r="DG179" s="1513"/>
      <c r="DH179" s="1445"/>
      <c r="DI179" s="1445"/>
      <c r="DJ179" s="1445"/>
      <c r="DK179" s="1445"/>
      <c r="DL179" s="1503"/>
      <c r="DM179" s="1503"/>
      <c r="DN179" s="1503"/>
      <c r="DO179" s="1503"/>
      <c r="DP179" s="1503"/>
      <c r="DQ179" s="1503"/>
      <c r="DR179" s="1503"/>
      <c r="DS179" s="1503"/>
      <c r="DT179" s="1503"/>
      <c r="DU179" s="1503"/>
      <c r="DV179" s="1503"/>
      <c r="DW179" s="1503"/>
      <c r="DX179" s="1503"/>
      <c r="DY179" s="1503"/>
      <c r="DZ179" s="1503"/>
      <c r="EA179" s="1503"/>
      <c r="EB179" s="1503"/>
      <c r="EC179" s="1503"/>
      <c r="ED179" s="1503"/>
      <c r="EE179" s="1503"/>
      <c r="EF179" s="1503"/>
      <c r="EG179" s="1503"/>
      <c r="EH179" s="1503"/>
      <c r="EI179" s="1503"/>
      <c r="EJ179" s="1503"/>
      <c r="EK179" s="1503"/>
      <c r="EL179" s="1503"/>
      <c r="EM179" s="1503"/>
      <c r="EN179" s="1503"/>
      <c r="EO179" s="6"/>
      <c r="EP179" s="1"/>
      <c r="EQ179" s="7"/>
      <c r="ER179" s="1501"/>
      <c r="ES179" s="1501"/>
      <c r="ET179" s="1501"/>
      <c r="EU179" s="1501"/>
      <c r="EV179" s="12"/>
      <c r="EW179" s="13"/>
      <c r="EX179" s="13"/>
      <c r="EY179" s="12"/>
      <c r="EZ179" s="13"/>
      <c r="FA179" s="13"/>
      <c r="FB179" s="12"/>
      <c r="FC179" s="13"/>
      <c r="FD179" s="13"/>
      <c r="FE179" s="12"/>
      <c r="FF179" s="13"/>
      <c r="FG179" s="13"/>
      <c r="FH179" s="12"/>
      <c r="FI179" s="13"/>
      <c r="FJ179" s="13"/>
      <c r="FK179" s="1504"/>
      <c r="FL179" s="1504"/>
      <c r="FM179" s="1502"/>
      <c r="FN179" s="1502"/>
      <c r="FO179" s="1502"/>
      <c r="FP179" s="1502"/>
      <c r="FQ179" s="1502"/>
      <c r="FR179" s="1502"/>
      <c r="FS179" s="1502"/>
      <c r="FT179" s="1502"/>
      <c r="FU179" s="1509"/>
      <c r="FV179" s="1510"/>
      <c r="FW179" s="1510"/>
      <c r="FX179" s="1510"/>
      <c r="FY179" s="1511" t="s">
        <v>655</v>
      </c>
      <c r="FZ179" s="1511"/>
      <c r="GA179" s="1512" t="s">
        <v>632</v>
      </c>
      <c r="GB179" s="1512"/>
      <c r="GC179" s="1447">
        <f>SUM($IZ$50:$IZ$176)</f>
        <v>3042691395</v>
      </c>
      <c r="GD179" s="1447"/>
      <c r="GE179" s="1421"/>
      <c r="GF179" s="1421"/>
      <c r="GG179" s="1421"/>
      <c r="GH179" s="1421"/>
      <c r="GI179" s="1421"/>
      <c r="GJ179" s="1421"/>
      <c r="GK179" s="1421"/>
      <c r="GL179" s="1421"/>
      <c r="GM179" s="1421"/>
      <c r="GN179" s="1421"/>
      <c r="GO179" s="1421"/>
      <c r="GP179" s="1421"/>
      <c r="GQ179" s="1421"/>
      <c r="GR179" s="1421"/>
      <c r="GS179" s="1421"/>
      <c r="GT179" s="1421"/>
      <c r="GU179" s="1421"/>
      <c r="GV179" s="1421"/>
      <c r="GW179" s="1423" t="s">
        <v>656</v>
      </c>
      <c r="GX179" s="1449"/>
      <c r="GY179" s="1449"/>
      <c r="GZ179" s="1450"/>
      <c r="HA179" s="1450"/>
      <c r="HB179" s="1450"/>
      <c r="HC179" s="1450"/>
      <c r="HD179" s="1445"/>
      <c r="HE179" s="1513"/>
      <c r="HF179" s="1513"/>
      <c r="HG179" s="1445"/>
      <c r="HH179" s="1445"/>
      <c r="HI179" s="1445"/>
      <c r="HJ179" s="1445"/>
      <c r="HK179" s="1445"/>
      <c r="HL179" s="1513"/>
      <c r="HM179" s="1513"/>
      <c r="HN179" s="1445"/>
      <c r="HO179" s="1445"/>
      <c r="HP179" s="1445"/>
      <c r="HQ179" s="1445"/>
      <c r="HR179" s="1445"/>
      <c r="HS179" s="1513"/>
      <c r="HT179" s="1513"/>
      <c r="HU179" s="1513"/>
      <c r="HV179" s="1445"/>
      <c r="HW179" s="1513"/>
      <c r="HX179" s="1445"/>
      <c r="HY179" s="1445"/>
      <c r="HZ179" s="1513"/>
      <c r="IA179" s="1513"/>
      <c r="IB179" s="1445"/>
      <c r="IC179" s="1445"/>
      <c r="ID179" s="1445"/>
      <c r="IE179" s="1445"/>
      <c r="IF179" s="1445"/>
      <c r="IG179" s="1513"/>
      <c r="IH179" s="1513"/>
      <c r="II179" s="1445"/>
      <c r="IJ179" s="1445"/>
      <c r="IK179" s="1445"/>
      <c r="IL179" s="1445"/>
      <c r="IM179" s="1503"/>
      <c r="IN179" s="1503"/>
      <c r="IO179" s="1503"/>
      <c r="IP179" s="1503"/>
      <c r="IR179" s="1377"/>
      <c r="IS179" s="1377"/>
      <c r="IT179" s="1377"/>
      <c r="IU179" s="1377"/>
      <c r="IV179" s="1377"/>
      <c r="IW179" s="1377"/>
      <c r="IY179" s="1514" t="s">
        <v>657</v>
      </c>
      <c r="IZ179" s="1515">
        <f>SUM($IZ$50:$IZ$176)</f>
        <v>3042691395</v>
      </c>
      <c r="JA179" s="1515">
        <f>SUM($JA$50:$JA$176)</f>
        <v>858587762</v>
      </c>
      <c r="JB179" s="1515"/>
      <c r="JC179" s="1515"/>
      <c r="JD179" s="1516">
        <f>SUM(IZ179:JA179)</f>
        <v>3901279157</v>
      </c>
    </row>
    <row r="180" spans="2:268" s="1181" customFormat="1" ht="31.5" customHeight="1" thickBot="1">
      <c r="B180" s="1411"/>
      <c r="C180" s="2"/>
      <c r="D180" s="2"/>
      <c r="E180" s="1506"/>
      <c r="F180" s="2"/>
      <c r="G180" s="3"/>
      <c r="H180" s="3"/>
      <c r="I180" s="3"/>
      <c r="J180" s="3"/>
      <c r="K180" s="3"/>
      <c r="L180" s="3"/>
      <c r="M180" s="5"/>
      <c r="N180" s="1507">
        <v>0</v>
      </c>
      <c r="O180" s="1507">
        <v>0</v>
      </c>
      <c r="P180" s="1508">
        <v>0</v>
      </c>
      <c r="Q180" s="4"/>
      <c r="R180" s="4"/>
      <c r="S180" s="1507"/>
      <c r="T180" s="4"/>
      <c r="U180" s="1502"/>
      <c r="V180" s="2"/>
      <c r="W180" s="2"/>
      <c r="X180" s="2"/>
      <c r="Y180" s="2"/>
      <c r="Z180" s="2"/>
      <c r="AA180" s="6"/>
      <c r="AB180" s="1"/>
      <c r="AC180" s="7"/>
      <c r="AD180" s="1501"/>
      <c r="AE180" s="1502"/>
      <c r="AF180" s="1502"/>
      <c r="AG180" s="1502"/>
      <c r="AH180" s="1502"/>
      <c r="AI180" s="1502"/>
      <c r="AJ180" s="1502"/>
      <c r="AK180" s="1502"/>
      <c r="AL180" s="1502"/>
      <c r="AM180" s="1502"/>
      <c r="AN180" s="1502"/>
      <c r="AO180" s="1502"/>
      <c r="AP180" s="1502"/>
      <c r="AQ180" s="1502"/>
      <c r="AR180" s="1509"/>
      <c r="AS180" s="1509"/>
      <c r="AT180" s="1509"/>
      <c r="AU180" s="1509"/>
      <c r="AV180" s="1511"/>
      <c r="AW180" s="1511"/>
      <c r="AX180" s="1517" t="s">
        <v>634</v>
      </c>
      <c r="AY180" s="1517"/>
      <c r="AZ180" s="1447">
        <f>SUM($JA$50:$JA$176)</f>
        <v>858587762</v>
      </c>
      <c r="BA180" s="1447"/>
      <c r="BB180" s="1421"/>
      <c r="BC180" s="1421"/>
      <c r="BD180" s="1421"/>
      <c r="BE180" s="1421"/>
      <c r="BF180" s="1421"/>
      <c r="BG180" s="1421"/>
      <c r="BH180" s="1421"/>
      <c r="BI180" s="1421"/>
      <c r="BJ180" s="1421"/>
      <c r="BK180" s="1421"/>
      <c r="BL180" s="1421"/>
      <c r="BM180" s="1421"/>
      <c r="BN180" s="1421"/>
      <c r="BO180" s="1421"/>
      <c r="BP180" s="1421"/>
      <c r="BQ180" s="1421"/>
      <c r="BR180" s="1421"/>
      <c r="BS180" s="1421"/>
      <c r="BT180" s="1421"/>
      <c r="BU180" s="1421"/>
      <c r="BV180" s="1449"/>
      <c r="BW180" s="1449"/>
      <c r="BX180" s="1449"/>
      <c r="BY180" s="1450"/>
      <c r="BZ180" s="1450"/>
      <c r="CA180" s="1450"/>
      <c r="CB180" s="1450"/>
      <c r="CC180" s="1513"/>
      <c r="CD180" s="1513"/>
      <c r="CE180" s="1513"/>
      <c r="CF180" s="1513"/>
      <c r="CG180" s="1513"/>
      <c r="CH180" s="1513"/>
      <c r="CI180" s="1513"/>
      <c r="CJ180" s="1513"/>
      <c r="CK180" s="1513"/>
      <c r="CL180" s="1513"/>
      <c r="CM180" s="1513"/>
      <c r="CN180" s="1513"/>
      <c r="CO180" s="1513"/>
      <c r="CP180" s="1513"/>
      <c r="CQ180" s="1513"/>
      <c r="CR180" s="1513"/>
      <c r="CS180" s="1513"/>
      <c r="CT180" s="1513"/>
      <c r="CU180" s="1513"/>
      <c r="CV180" s="1513"/>
      <c r="CW180" s="1513"/>
      <c r="CX180" s="1513"/>
      <c r="CY180" s="1513"/>
      <c r="CZ180" s="1513"/>
      <c r="DA180" s="1513"/>
      <c r="DB180" s="1513"/>
      <c r="DC180" s="1513"/>
      <c r="DD180" s="1513"/>
      <c r="DE180" s="1513"/>
      <c r="DF180" s="1513"/>
      <c r="DG180" s="1513"/>
      <c r="DH180" s="1513"/>
      <c r="DI180" s="1513"/>
      <c r="DJ180" s="1513"/>
      <c r="DK180" s="1513"/>
      <c r="DL180" s="1503"/>
      <c r="DM180" s="1503"/>
      <c r="DN180" s="1503"/>
      <c r="DO180" s="1503"/>
      <c r="DP180" s="1503"/>
      <c r="DQ180" s="1503"/>
      <c r="DR180" s="1503"/>
      <c r="DS180" s="1503"/>
      <c r="DT180" s="1503"/>
      <c r="DU180" s="1503"/>
      <c r="DV180" s="1503"/>
      <c r="DW180" s="1503"/>
      <c r="DX180" s="1503"/>
      <c r="DY180" s="1503"/>
      <c r="DZ180" s="1503"/>
      <c r="EA180" s="1503"/>
      <c r="EB180" s="1503"/>
      <c r="EC180" s="1503"/>
      <c r="ED180" s="1503"/>
      <c r="EE180" s="1503"/>
      <c r="EF180" s="1503"/>
      <c r="EG180" s="1503"/>
      <c r="EH180" s="1503"/>
      <c r="EI180" s="1503"/>
      <c r="EJ180" s="1503"/>
      <c r="EK180" s="1503"/>
      <c r="EL180" s="1503"/>
      <c r="EM180" s="1503"/>
      <c r="EN180" s="1503"/>
      <c r="EO180" s="6"/>
      <c r="EP180" s="1"/>
      <c r="EQ180" s="7"/>
      <c r="ER180" s="1501"/>
      <c r="ES180" s="1501"/>
      <c r="ET180" s="1501"/>
      <c r="EU180" s="1501"/>
      <c r="EV180" s="12"/>
      <c r="EW180" s="13"/>
      <c r="EX180" s="13"/>
      <c r="EY180" s="12"/>
      <c r="EZ180" s="13"/>
      <c r="FA180" s="13"/>
      <c r="FB180" s="12"/>
      <c r="FC180" s="13"/>
      <c r="FD180" s="13"/>
      <c r="FE180" s="12"/>
      <c r="FF180" s="13"/>
      <c r="FG180" s="13"/>
      <c r="FH180" s="12"/>
      <c r="FI180" s="13"/>
      <c r="FJ180" s="13"/>
      <c r="FK180" s="1504"/>
      <c r="FL180" s="1504"/>
      <c r="FM180" s="1502"/>
      <c r="FN180" s="1502"/>
      <c r="FO180" s="1502"/>
      <c r="FP180" s="1502"/>
      <c r="FQ180" s="1502"/>
      <c r="FR180" s="1502"/>
      <c r="FS180" s="1502"/>
      <c r="FT180" s="1502"/>
      <c r="FU180" s="1509"/>
      <c r="FV180" s="1509"/>
      <c r="FW180" s="1509"/>
      <c r="FX180" s="1509"/>
      <c r="FY180" s="1511"/>
      <c r="FZ180" s="1511"/>
      <c r="GA180" s="1517" t="s">
        <v>634</v>
      </c>
      <c r="GB180" s="1517"/>
      <c r="GC180" s="1447">
        <f>SUM($JA$50:$JA$176)</f>
        <v>858587762</v>
      </c>
      <c r="GD180" s="1447"/>
      <c r="GE180" s="1421"/>
      <c r="GF180" s="1421"/>
      <c r="GG180" s="1421"/>
      <c r="GH180" s="1421"/>
      <c r="GI180" s="1421"/>
      <c r="GJ180" s="1421"/>
      <c r="GK180" s="1421"/>
      <c r="GL180" s="1421"/>
      <c r="GM180" s="1421"/>
      <c r="GN180" s="1421"/>
      <c r="GO180" s="1421"/>
      <c r="GP180" s="1421"/>
      <c r="GQ180" s="1421"/>
      <c r="GR180" s="1421"/>
      <c r="GS180" s="1421"/>
      <c r="GT180" s="1421"/>
      <c r="GU180" s="1421"/>
      <c r="GV180" s="1421"/>
      <c r="GW180" s="1449"/>
      <c r="GX180" s="1449"/>
      <c r="GY180" s="1449"/>
      <c r="GZ180" s="1450"/>
      <c r="HA180" s="1450"/>
      <c r="HB180" s="1450"/>
      <c r="HC180" s="1450"/>
      <c r="HD180" s="1513"/>
      <c r="HE180" s="1513"/>
      <c r="HF180" s="1513"/>
      <c r="HG180" s="1513"/>
      <c r="HH180" s="1513"/>
      <c r="HI180" s="1513"/>
      <c r="HJ180" s="1513"/>
      <c r="HK180" s="1513"/>
      <c r="HL180" s="1513"/>
      <c r="HM180" s="1513"/>
      <c r="HN180" s="1513"/>
      <c r="HO180" s="1513"/>
      <c r="HP180" s="1513"/>
      <c r="HQ180" s="1513"/>
      <c r="HR180" s="1513"/>
      <c r="HS180" s="1513"/>
      <c r="HT180" s="1513"/>
      <c r="HU180" s="1513"/>
      <c r="HV180" s="1513"/>
      <c r="HW180" s="1513"/>
      <c r="HX180" s="1513"/>
      <c r="HY180" s="1513"/>
      <c r="HZ180" s="1513"/>
      <c r="IA180" s="1513"/>
      <c r="IB180" s="1513"/>
      <c r="IC180" s="1513"/>
      <c r="ID180" s="1513"/>
      <c r="IE180" s="1513"/>
      <c r="IF180" s="1513"/>
      <c r="IG180" s="1513"/>
      <c r="IH180" s="1513"/>
      <c r="II180" s="1513"/>
      <c r="IJ180" s="1513"/>
      <c r="IK180" s="1513"/>
      <c r="IL180" s="1513"/>
      <c r="IM180" s="1503"/>
      <c r="IN180" s="1503"/>
      <c r="IO180" s="1503"/>
      <c r="IP180" s="1503"/>
      <c r="IR180" s="1377"/>
      <c r="IS180" s="1377"/>
      <c r="IT180" s="1377"/>
      <c r="IU180" s="1377"/>
      <c r="IV180" s="1377"/>
      <c r="IW180" s="1377"/>
    </row>
    <row r="181" spans="2:268" s="1181" customFormat="1" ht="31.5" customHeight="1" thickTop="1">
      <c r="B181" s="1411"/>
      <c r="C181" s="2"/>
      <c r="D181" s="2"/>
      <c r="E181" s="1502"/>
      <c r="F181" s="2"/>
      <c r="G181" s="3"/>
      <c r="H181" s="3"/>
      <c r="I181" s="3"/>
      <c r="J181" s="3"/>
      <c r="K181" s="3"/>
      <c r="L181" s="3"/>
      <c r="M181" s="5"/>
      <c r="N181" s="4"/>
      <c r="O181" s="4"/>
      <c r="P181" s="5"/>
      <c r="Q181" s="4"/>
      <c r="R181" s="4"/>
      <c r="S181" s="4"/>
      <c r="T181" s="4"/>
      <c r="U181" s="1502"/>
      <c r="V181" s="2" t="s">
        <v>658</v>
      </c>
      <c r="W181" s="2"/>
      <c r="X181" s="2"/>
      <c r="Y181" s="2"/>
      <c r="Z181" s="2"/>
      <c r="AA181" s="6"/>
      <c r="AB181" s="1"/>
      <c r="AC181" s="7"/>
      <c r="AD181" s="1501"/>
      <c r="AE181" s="1502"/>
      <c r="AF181" s="1502"/>
      <c r="AG181" s="1502"/>
      <c r="AH181" s="1502"/>
      <c r="AI181" s="1502"/>
      <c r="AJ181" s="1502"/>
      <c r="AK181" s="1502"/>
      <c r="AL181" s="1502"/>
      <c r="AM181" s="1502"/>
      <c r="AN181" s="1502"/>
      <c r="AO181" s="1502"/>
      <c r="AP181" s="1502"/>
      <c r="AQ181" s="1502"/>
      <c r="AR181" s="1509"/>
      <c r="AS181" s="1509"/>
      <c r="AT181" s="1509"/>
      <c r="AU181" s="1509"/>
      <c r="AV181" s="1511"/>
      <c r="AW181" s="1511"/>
      <c r="AX181" s="1518" t="s">
        <v>642</v>
      </c>
      <c r="AY181" s="1518"/>
      <c r="AZ181" s="1473">
        <f>SUM(AZ179,AZ180)</f>
        <v>3901279157</v>
      </c>
      <c r="BA181" s="1473"/>
      <c r="BB181" s="1474"/>
      <c r="BC181" s="1474"/>
      <c r="BD181" s="1474"/>
      <c r="BE181" s="1474"/>
      <c r="BF181" s="1474"/>
      <c r="BG181" s="1474"/>
      <c r="BH181" s="1474"/>
      <c r="BI181" s="1474"/>
      <c r="BJ181" s="1474"/>
      <c r="BK181" s="1474"/>
      <c r="BL181" s="1474"/>
      <c r="BM181" s="1474"/>
      <c r="BN181" s="1474"/>
      <c r="BO181" s="1474"/>
      <c r="BP181" s="1474"/>
      <c r="BQ181" s="1474"/>
      <c r="BR181" s="1474"/>
      <c r="BS181" s="1474"/>
      <c r="BT181" s="1474"/>
      <c r="BU181" s="1474"/>
      <c r="BV181" s="1449"/>
      <c r="BW181" s="1449"/>
      <c r="BX181" s="1449"/>
      <c r="BY181" s="1450"/>
      <c r="BZ181" s="1450"/>
      <c r="CA181" s="1450"/>
      <c r="CB181" s="1450"/>
      <c r="CC181" s="1184"/>
      <c r="CD181" s="1183"/>
      <c r="CE181" s="1183"/>
      <c r="CF181" s="1184"/>
      <c r="CG181" s="1184"/>
      <c r="CH181" s="1184"/>
      <c r="CI181" s="1184"/>
      <c r="CJ181" s="1184"/>
      <c r="CK181" s="1183"/>
      <c r="CL181" s="1183"/>
      <c r="CM181" s="1184"/>
      <c r="CN181" s="1184"/>
      <c r="CO181" s="1184"/>
      <c r="CP181" s="1184"/>
      <c r="CQ181" s="1184"/>
      <c r="CR181" s="1183"/>
      <c r="CS181" s="1183"/>
      <c r="CT181" s="1183"/>
      <c r="CU181" s="1184"/>
      <c r="CV181" s="1183"/>
      <c r="CW181" s="1184"/>
      <c r="CX181" s="1184"/>
      <c r="CY181" s="1183"/>
      <c r="CZ181" s="1183"/>
      <c r="DA181" s="1184"/>
      <c r="DB181" s="1184"/>
      <c r="DC181" s="1184"/>
      <c r="DD181" s="1184"/>
      <c r="DE181" s="1184"/>
      <c r="DF181" s="1183"/>
      <c r="DG181" s="1183"/>
      <c r="DH181" s="1184"/>
      <c r="DI181" s="1184"/>
      <c r="DJ181" s="1184"/>
      <c r="DK181" s="1184"/>
      <c r="DL181" s="1503"/>
      <c r="DM181" s="1503"/>
      <c r="DN181" s="1503"/>
      <c r="DO181" s="1503"/>
      <c r="DP181" s="1503"/>
      <c r="DQ181" s="1503"/>
      <c r="DR181" s="1503"/>
      <c r="DS181" s="1503"/>
      <c r="DT181" s="1503"/>
      <c r="DU181" s="1503"/>
      <c r="DV181" s="1503"/>
      <c r="DW181" s="1503"/>
      <c r="DX181" s="1503"/>
      <c r="DY181" s="1503"/>
      <c r="DZ181" s="1503"/>
      <c r="EA181" s="1503"/>
      <c r="EB181" s="1503"/>
      <c r="EC181" s="1503"/>
      <c r="ED181" s="1503"/>
      <c r="EE181" s="1503"/>
      <c r="EF181" s="1503"/>
      <c r="EG181" s="1503"/>
      <c r="EH181" s="1503"/>
      <c r="EI181" s="1503"/>
      <c r="EJ181" s="1503"/>
      <c r="EK181" s="1503"/>
      <c r="EL181" s="1503"/>
      <c r="EM181" s="1503"/>
      <c r="EN181" s="1503"/>
      <c r="EO181" s="6"/>
      <c r="EP181" s="1"/>
      <c r="EQ181" s="7"/>
      <c r="ER181" s="1501"/>
      <c r="ES181" s="1501"/>
      <c r="ET181" s="1501"/>
      <c r="EU181" s="1501"/>
      <c r="EV181" s="12"/>
      <c r="EW181" s="13"/>
      <c r="EX181" s="13"/>
      <c r="EY181" s="12"/>
      <c r="EZ181" s="13"/>
      <c r="FA181" s="13"/>
      <c r="FB181" s="12"/>
      <c r="FC181" s="13"/>
      <c r="FD181" s="13"/>
      <c r="FE181" s="12"/>
      <c r="FF181" s="13"/>
      <c r="FG181" s="13"/>
      <c r="FH181" s="12"/>
      <c r="FI181" s="13"/>
      <c r="FJ181" s="13"/>
      <c r="FK181" s="1504"/>
      <c r="FL181" s="1504"/>
      <c r="FM181" s="1502"/>
      <c r="FN181" s="1502"/>
      <c r="FO181" s="1502"/>
      <c r="FP181" s="1502"/>
      <c r="FQ181" s="1502"/>
      <c r="FR181" s="1502"/>
      <c r="FS181" s="1502"/>
      <c r="FT181" s="1502"/>
      <c r="FU181" s="1509"/>
      <c r="FV181" s="1509"/>
      <c r="FW181" s="1509"/>
      <c r="FX181" s="1509"/>
      <c r="FY181" s="1511"/>
      <c r="FZ181" s="1511"/>
      <c r="GA181" s="1518" t="s">
        <v>642</v>
      </c>
      <c r="GB181" s="1518"/>
      <c r="GC181" s="1473">
        <f>SUM(GC179,GC180)</f>
        <v>3901279157</v>
      </c>
      <c r="GD181" s="1473"/>
      <c r="GE181" s="1474"/>
      <c r="GF181" s="1474"/>
      <c r="GG181" s="1474"/>
      <c r="GH181" s="1474"/>
      <c r="GI181" s="1474"/>
      <c r="GJ181" s="1474"/>
      <c r="GK181" s="1474"/>
      <c r="GL181" s="1474"/>
      <c r="GM181" s="1474"/>
      <c r="GN181" s="1474"/>
      <c r="GO181" s="1474"/>
      <c r="GP181" s="1474"/>
      <c r="GQ181" s="1474"/>
      <c r="GR181" s="1474"/>
      <c r="GS181" s="1474"/>
      <c r="GT181" s="1474"/>
      <c r="GU181" s="1474"/>
      <c r="GV181" s="1474"/>
      <c r="GW181" s="1449"/>
      <c r="GX181" s="1449"/>
      <c r="GY181" s="1449"/>
      <c r="GZ181" s="1450"/>
      <c r="HA181" s="1450"/>
      <c r="HB181" s="1450"/>
      <c r="HC181" s="1450"/>
      <c r="HD181" s="1184"/>
      <c r="HE181" s="1183"/>
      <c r="HF181" s="1183"/>
      <c r="HG181" s="1184"/>
      <c r="HH181" s="1184"/>
      <c r="HI181" s="1184"/>
      <c r="HJ181" s="1184"/>
      <c r="HK181" s="1184"/>
      <c r="HL181" s="1183"/>
      <c r="HM181" s="1183"/>
      <c r="HN181" s="1184"/>
      <c r="HO181" s="1184"/>
      <c r="HP181" s="1184"/>
      <c r="HQ181" s="1184"/>
      <c r="HR181" s="1184"/>
      <c r="HS181" s="1183"/>
      <c r="HT181" s="1183"/>
      <c r="HU181" s="1183"/>
      <c r="HV181" s="1184"/>
      <c r="HW181" s="1183"/>
      <c r="HX181" s="1184"/>
      <c r="HY181" s="1184"/>
      <c r="HZ181" s="1183"/>
      <c r="IA181" s="1183"/>
      <c r="IB181" s="1184"/>
      <c r="IC181" s="1184"/>
      <c r="ID181" s="1184"/>
      <c r="IE181" s="1184"/>
      <c r="IF181" s="1184"/>
      <c r="IG181" s="1183"/>
      <c r="IH181" s="1183"/>
      <c r="II181" s="1184"/>
      <c r="IJ181" s="1184"/>
      <c r="IK181" s="1184"/>
      <c r="IL181" s="1184"/>
      <c r="IM181" s="1503"/>
      <c r="IN181" s="1503"/>
      <c r="IO181" s="1503"/>
      <c r="IP181" s="1503"/>
      <c r="IR181" s="1377"/>
      <c r="IS181" s="1377"/>
      <c r="IT181" s="1377"/>
      <c r="IU181" s="1377"/>
      <c r="IV181" s="1377"/>
      <c r="IW181" s="1377"/>
    </row>
    <row r="182" spans="2:268" ht="22">
      <c r="E182" s="2"/>
      <c r="G182" s="3"/>
      <c r="H182" s="3"/>
      <c r="I182" s="3"/>
      <c r="J182" s="3"/>
      <c r="K182" s="3"/>
      <c r="L182" s="3"/>
      <c r="V182" s="2"/>
      <c r="W182" s="2"/>
      <c r="X182" s="2"/>
      <c r="Y182" s="2"/>
      <c r="Z182" s="2"/>
      <c r="AD182" s="8"/>
      <c r="AE182" s="2"/>
      <c r="AF182" s="2"/>
      <c r="AG182" s="2"/>
      <c r="AH182" s="2"/>
      <c r="AI182" s="2"/>
      <c r="AJ182" s="2"/>
      <c r="AK182" s="2"/>
      <c r="AL182" s="2"/>
      <c r="AM182" s="2"/>
      <c r="AN182" s="2"/>
      <c r="AO182" s="2"/>
      <c r="AP182" s="2"/>
      <c r="AQ182" s="2"/>
      <c r="AR182" s="2"/>
      <c r="AS182" s="2"/>
      <c r="AT182" s="2"/>
      <c r="AU182" s="2"/>
      <c r="AV182" s="2"/>
      <c r="AW182" s="2"/>
      <c r="AX182" s="1369"/>
      <c r="AY182" s="1369"/>
      <c r="AZ182" s="1369"/>
      <c r="BA182" s="1369"/>
      <c r="BB182" s="1369"/>
      <c r="BC182" s="1369"/>
      <c r="BD182" s="1369"/>
      <c r="BE182" s="1369"/>
      <c r="BF182" s="1369"/>
      <c r="BG182" s="1369"/>
      <c r="BH182" s="1369"/>
      <c r="BI182" s="1369"/>
      <c r="BJ182" s="1369"/>
      <c r="BK182" s="1369"/>
      <c r="BL182" s="1369"/>
      <c r="BM182" s="1369"/>
      <c r="BN182" s="1369"/>
      <c r="BO182" s="1369"/>
      <c r="BP182" s="1369"/>
      <c r="BQ182" s="1369"/>
      <c r="BR182" s="1369"/>
      <c r="BS182" s="1369"/>
      <c r="BT182" s="1369"/>
      <c r="BU182" s="1369"/>
      <c r="BV182" s="1450"/>
      <c r="BW182" s="1450"/>
      <c r="BX182" s="1450"/>
      <c r="BY182" s="1450"/>
      <c r="BZ182" s="1450"/>
      <c r="CA182" s="1450"/>
      <c r="CB182" s="1450"/>
      <c r="CC182" s="1184"/>
      <c r="CD182" s="1183"/>
      <c r="CE182" s="1183"/>
      <c r="CF182" s="1184"/>
      <c r="CG182" s="1184"/>
      <c r="CH182" s="1184"/>
      <c r="CI182" s="1184"/>
      <c r="CJ182" s="1184"/>
      <c r="CK182" s="1183"/>
      <c r="CL182" s="1183"/>
      <c r="CM182" s="1184"/>
      <c r="CN182" s="1184"/>
      <c r="CO182" s="1184"/>
      <c r="CP182" s="1184"/>
      <c r="CQ182" s="1184"/>
      <c r="CR182" s="1183"/>
      <c r="CS182" s="1183"/>
      <c r="CT182" s="1183"/>
      <c r="CU182" s="1184"/>
      <c r="CV182" s="1183"/>
      <c r="CW182" s="1184"/>
      <c r="CX182" s="1184"/>
      <c r="CY182" s="1183"/>
      <c r="CZ182" s="1183"/>
      <c r="DA182" s="1184"/>
      <c r="DB182" s="1184"/>
      <c r="DC182" s="1184"/>
      <c r="DD182" s="1184"/>
      <c r="DE182" s="1184"/>
      <c r="DF182" s="1183"/>
      <c r="DG182" s="1183"/>
      <c r="DH182" s="1184"/>
      <c r="DI182" s="1184"/>
      <c r="DJ182" s="1184"/>
      <c r="DK182" s="1184"/>
      <c r="ER182" s="8"/>
      <c r="ES182" s="8"/>
      <c r="ET182" s="8"/>
      <c r="EU182" s="8"/>
      <c r="EV182" s="12"/>
      <c r="EY182" s="12"/>
      <c r="FB182" s="12"/>
      <c r="FE182" s="12"/>
      <c r="FH182" s="12"/>
      <c r="FK182" s="14"/>
      <c r="FL182" s="14"/>
      <c r="FM182" s="2"/>
      <c r="FN182" s="2"/>
      <c r="FO182" s="2"/>
      <c r="FP182" s="2"/>
      <c r="FQ182" s="2"/>
      <c r="FR182" s="2"/>
      <c r="FS182" s="2"/>
      <c r="FT182" s="2"/>
      <c r="FU182" s="2"/>
      <c r="FV182" s="2"/>
      <c r="FW182" s="2"/>
      <c r="FX182" s="2"/>
      <c r="FY182" s="2"/>
      <c r="FZ182" s="2"/>
      <c r="GA182" s="1369"/>
      <c r="GB182" s="1369"/>
      <c r="GC182" s="1369"/>
      <c r="GD182" s="1369"/>
      <c r="GE182" s="1369"/>
      <c r="GF182" s="1369"/>
      <c r="GG182" s="1369"/>
      <c r="GH182" s="1369"/>
      <c r="GI182" s="1369"/>
      <c r="GJ182" s="1369"/>
      <c r="GK182" s="1369"/>
      <c r="GL182" s="1369"/>
      <c r="GM182" s="1369"/>
      <c r="GN182" s="1369"/>
      <c r="GO182" s="1369"/>
      <c r="GP182" s="1369"/>
      <c r="GQ182" s="1369"/>
      <c r="GR182" s="1369"/>
      <c r="GS182" s="1369"/>
      <c r="GT182" s="1369"/>
      <c r="GU182" s="1369"/>
      <c r="GV182" s="1369"/>
      <c r="GW182" s="1450"/>
      <c r="GX182" s="1450"/>
      <c r="GY182" s="1450"/>
      <c r="GZ182" s="1450"/>
      <c r="HA182" s="1450"/>
      <c r="HB182" s="1450"/>
      <c r="HC182" s="1450"/>
      <c r="HD182" s="1184"/>
      <c r="HE182" s="1183"/>
      <c r="HF182" s="1183"/>
      <c r="HG182" s="1184"/>
      <c r="HH182" s="1184"/>
      <c r="HI182" s="1184"/>
      <c r="HJ182" s="1184"/>
      <c r="HK182" s="1184"/>
      <c r="HL182" s="1183"/>
      <c r="HM182" s="1183"/>
      <c r="HN182" s="1184"/>
      <c r="HO182" s="1184"/>
      <c r="HP182" s="1184"/>
      <c r="HQ182" s="1184"/>
      <c r="HR182" s="1184"/>
      <c r="HS182" s="1183"/>
      <c r="HT182" s="1183"/>
      <c r="HU182" s="1183"/>
      <c r="HV182" s="1184"/>
      <c r="HW182" s="1183"/>
      <c r="HX182" s="1184"/>
      <c r="HY182" s="1184"/>
      <c r="HZ182" s="1183"/>
      <c r="IA182" s="1183"/>
      <c r="IB182" s="1184"/>
      <c r="IC182" s="1184"/>
      <c r="ID182" s="1184"/>
      <c r="IE182" s="1184"/>
      <c r="IF182" s="1184"/>
      <c r="IG182" s="1183"/>
      <c r="IH182" s="1183"/>
      <c r="II182" s="1184"/>
      <c r="IJ182" s="1184"/>
      <c r="IK182" s="1184"/>
      <c r="IL182" s="1184"/>
      <c r="IO182" s="7"/>
      <c r="IP182" s="7"/>
    </row>
    <row r="183" spans="2:268" ht="22">
      <c r="E183" s="2"/>
      <c r="G183" s="3"/>
      <c r="H183" s="3"/>
      <c r="I183" s="3"/>
      <c r="J183" s="3"/>
      <c r="K183" s="3"/>
      <c r="L183" s="3"/>
      <c r="V183" s="2"/>
      <c r="W183" s="2"/>
      <c r="X183" s="2"/>
      <c r="Y183" s="2"/>
      <c r="Z183" s="2"/>
      <c r="AD183" s="8"/>
      <c r="AE183" s="2"/>
      <c r="AF183" s="2"/>
      <c r="AG183" s="2"/>
      <c r="AH183" s="2"/>
      <c r="AI183" s="2"/>
      <c r="AJ183" s="2"/>
      <c r="AK183" s="2"/>
      <c r="AL183" s="2"/>
      <c r="AM183" s="2"/>
      <c r="AN183" s="2"/>
      <c r="AO183" s="2"/>
      <c r="AP183" s="2"/>
      <c r="AQ183" s="2"/>
      <c r="AR183" s="2"/>
      <c r="AS183" s="2"/>
      <c r="AT183" s="2"/>
      <c r="AU183" s="2"/>
      <c r="AV183" s="2"/>
      <c r="AW183" s="2"/>
      <c r="AX183" s="1369"/>
      <c r="AY183" s="1369"/>
      <c r="AZ183" s="1369"/>
      <c r="BA183" s="1369"/>
      <c r="BB183" s="1369"/>
      <c r="BC183" s="1369"/>
      <c r="BD183" s="1369"/>
      <c r="BE183" s="1369"/>
      <c r="BF183" s="1369"/>
      <c r="BG183" s="1369"/>
      <c r="BH183" s="1369"/>
      <c r="BI183" s="1369"/>
      <c r="BJ183" s="1369"/>
      <c r="BK183" s="1369"/>
      <c r="BL183" s="1369"/>
      <c r="BM183" s="1369"/>
      <c r="BN183" s="1369"/>
      <c r="BO183" s="1369"/>
      <c r="BP183" s="1369"/>
      <c r="BQ183" s="1369"/>
      <c r="BR183" s="1369"/>
      <c r="BS183" s="1369"/>
      <c r="BT183" s="1369"/>
      <c r="BU183" s="1369"/>
      <c r="BV183" s="1450"/>
      <c r="BW183" s="1450"/>
      <c r="BX183" s="1450"/>
      <c r="BY183" s="1450"/>
      <c r="BZ183" s="1450"/>
      <c r="CA183" s="1450"/>
      <c r="CB183" s="1450"/>
      <c r="CC183" s="1184"/>
      <c r="CD183" s="1183"/>
      <c r="CE183" s="1183"/>
      <c r="CF183" s="1184"/>
      <c r="CG183" s="1184"/>
      <c r="CH183" s="1184"/>
      <c r="CI183" s="1184"/>
      <c r="CJ183" s="1184"/>
      <c r="CK183" s="1183"/>
      <c r="CL183" s="1183"/>
      <c r="CM183" s="1184"/>
      <c r="CN183" s="1184"/>
      <c r="CO183" s="1184"/>
      <c r="CP183" s="1184"/>
      <c r="CQ183" s="1184"/>
      <c r="CR183" s="1183"/>
      <c r="CS183" s="1183"/>
      <c r="CT183" s="1183"/>
      <c r="CU183" s="1184"/>
      <c r="CV183" s="1183"/>
      <c r="CW183" s="1184"/>
      <c r="CX183" s="1184"/>
      <c r="CY183" s="1183"/>
      <c r="CZ183" s="1183"/>
      <c r="DA183" s="1184"/>
      <c r="DB183" s="1184"/>
      <c r="DC183" s="1184"/>
      <c r="DD183" s="1184"/>
      <c r="DE183" s="1184"/>
      <c r="DF183" s="1183"/>
      <c r="DG183" s="1183"/>
      <c r="DH183" s="1184"/>
      <c r="DI183" s="1184"/>
      <c r="DJ183" s="1184"/>
      <c r="DK183" s="1184"/>
      <c r="ER183" s="8"/>
      <c r="ES183" s="8"/>
      <c r="ET183" s="8"/>
      <c r="EU183" s="8"/>
      <c r="EV183" s="12"/>
      <c r="EY183" s="12"/>
      <c r="FB183" s="12"/>
      <c r="FE183" s="12"/>
      <c r="FH183" s="12"/>
      <c r="FK183" s="14"/>
      <c r="FL183" s="14"/>
      <c r="FM183" s="2"/>
      <c r="FN183" s="2"/>
      <c r="FO183" s="2"/>
      <c r="FP183" s="2"/>
      <c r="FQ183" s="2"/>
      <c r="FR183" s="2"/>
      <c r="FS183" s="2"/>
      <c r="FT183" s="2"/>
      <c r="FU183" s="2"/>
      <c r="FV183" s="2"/>
      <c r="FW183" s="2"/>
      <c r="FX183" s="2"/>
      <c r="FY183" s="2"/>
      <c r="FZ183" s="2"/>
      <c r="GA183" s="1369"/>
      <c r="GB183" s="1369"/>
      <c r="GC183" s="1369"/>
      <c r="GD183" s="1369"/>
      <c r="GE183" s="1369"/>
      <c r="GF183" s="1369"/>
      <c r="GG183" s="1369"/>
      <c r="GH183" s="1369"/>
      <c r="GI183" s="1369"/>
      <c r="GJ183" s="1369"/>
      <c r="GK183" s="1369"/>
      <c r="GL183" s="1369"/>
      <c r="GM183" s="1369"/>
      <c r="GN183" s="1369"/>
      <c r="GO183" s="1369"/>
      <c r="GP183" s="1369"/>
      <c r="GQ183" s="1369"/>
      <c r="GR183" s="1369"/>
      <c r="GS183" s="1369"/>
      <c r="GT183" s="1369"/>
      <c r="GU183" s="1369"/>
      <c r="GV183" s="1369"/>
      <c r="GW183" s="1450"/>
      <c r="GX183" s="1450"/>
      <c r="GY183" s="1450"/>
      <c r="GZ183" s="1450"/>
      <c r="HA183" s="1450"/>
      <c r="HB183" s="1450"/>
      <c r="HC183" s="1450"/>
      <c r="HD183" s="1184"/>
      <c r="HE183" s="1183"/>
      <c r="HF183" s="1183"/>
      <c r="HG183" s="1184"/>
      <c r="HH183" s="1184"/>
      <c r="HI183" s="1184"/>
      <c r="HJ183" s="1184"/>
      <c r="HK183" s="1184"/>
      <c r="HL183" s="1183"/>
      <c r="HM183" s="1183"/>
      <c r="HN183" s="1184"/>
      <c r="HO183" s="1184"/>
      <c r="HP183" s="1184"/>
      <c r="HQ183" s="1184"/>
      <c r="HR183" s="1184"/>
      <c r="HS183" s="1183"/>
      <c r="HT183" s="1183"/>
      <c r="HU183" s="1183"/>
      <c r="HV183" s="1184"/>
      <c r="HW183" s="1183"/>
      <c r="HX183" s="1184"/>
      <c r="HY183" s="1184"/>
      <c r="HZ183" s="1183"/>
      <c r="IA183" s="1183"/>
      <c r="IB183" s="1184"/>
      <c r="IC183" s="1184"/>
      <c r="ID183" s="1184"/>
      <c r="IE183" s="1184"/>
      <c r="IF183" s="1184"/>
      <c r="IG183" s="1183"/>
      <c r="IH183" s="1183"/>
      <c r="II183" s="1184"/>
      <c r="IJ183" s="1184"/>
      <c r="IK183" s="1184"/>
      <c r="IL183" s="1184"/>
      <c r="IO183" s="7"/>
      <c r="IP183" s="7"/>
    </row>
    <row r="184" spans="2:268" ht="28.5" customHeight="1">
      <c r="E184" s="2"/>
      <c r="G184" s="3"/>
      <c r="H184" s="3"/>
      <c r="I184" s="3"/>
      <c r="J184" s="3"/>
      <c r="K184" s="3"/>
      <c r="L184" s="3"/>
      <c r="V184" s="2"/>
      <c r="W184" s="2"/>
      <c r="X184" s="2"/>
      <c r="Y184" s="2"/>
      <c r="Z184" s="2"/>
      <c r="AD184" s="8"/>
      <c r="AE184" s="2"/>
      <c r="AF184" s="2"/>
      <c r="AG184" s="2"/>
      <c r="AH184" s="2"/>
      <c r="AI184" s="2"/>
      <c r="AJ184" s="2"/>
      <c r="AK184" s="2"/>
      <c r="AL184" s="2"/>
      <c r="AM184" s="2"/>
      <c r="AN184" s="2"/>
      <c r="AO184" s="2"/>
      <c r="AP184" s="2"/>
      <c r="AQ184" s="2"/>
      <c r="AR184" s="2"/>
      <c r="AS184" s="2"/>
      <c r="AT184" s="2"/>
      <c r="AU184" s="2"/>
      <c r="AV184" s="2"/>
      <c r="AW184" s="2"/>
      <c r="AX184" s="1502"/>
      <c r="AY184" s="1502"/>
      <c r="AZ184" s="1502"/>
      <c r="BA184" s="1502"/>
      <c r="BB184" s="1519" t="s">
        <v>659</v>
      </c>
      <c r="BC184" s="1519" t="s">
        <v>659</v>
      </c>
      <c r="BD184" s="1369" t="s">
        <v>124</v>
      </c>
      <c r="BE184" s="1369"/>
      <c r="BF184" s="1369" t="s">
        <v>126</v>
      </c>
      <c r="BG184" s="1369"/>
      <c r="BH184" s="1369"/>
      <c r="BI184" s="1369"/>
      <c r="BJ184" s="1369"/>
      <c r="BK184" s="1502"/>
      <c r="BL184" s="1502"/>
      <c r="BM184" s="1502"/>
      <c r="BN184" s="1502"/>
      <c r="BO184" s="1502"/>
      <c r="BP184" s="1502"/>
      <c r="BQ184" s="1502"/>
      <c r="BR184" s="1502"/>
      <c r="BS184" s="1502"/>
      <c r="BT184" s="1502"/>
      <c r="BU184" s="1502"/>
      <c r="BV184" s="1500"/>
      <c r="BW184" s="1500"/>
      <c r="BX184" s="1500"/>
      <c r="BY184" s="1500"/>
      <c r="BZ184" s="1500"/>
      <c r="CA184" s="1500"/>
      <c r="CB184" s="1500"/>
      <c r="CC184" s="1501"/>
      <c r="CD184" s="11"/>
      <c r="CE184" s="11"/>
      <c r="CF184" s="1501"/>
      <c r="CG184" s="1501"/>
      <c r="CH184" s="1501"/>
      <c r="CI184" s="1501"/>
      <c r="CJ184" s="1501"/>
      <c r="CK184" s="11"/>
      <c r="CL184" s="11"/>
      <c r="CM184" s="1501"/>
      <c r="CN184" s="1501"/>
      <c r="CO184" s="1501"/>
      <c r="CP184" s="1501"/>
      <c r="CQ184" s="1501"/>
      <c r="CR184" s="11"/>
      <c r="CS184" s="11"/>
      <c r="CT184" s="11"/>
      <c r="CU184" s="1501"/>
      <c r="CV184" s="11"/>
      <c r="CW184" s="1501"/>
      <c r="CX184" s="1501"/>
      <c r="CY184" s="11"/>
      <c r="CZ184" s="11"/>
      <c r="DA184" s="1501"/>
      <c r="DB184" s="1501"/>
      <c r="DC184" s="1501"/>
      <c r="DD184" s="1501"/>
      <c r="DE184" s="1501"/>
      <c r="DF184" s="11"/>
      <c r="DG184" s="11"/>
      <c r="DH184" s="1501"/>
      <c r="DI184" s="1501"/>
      <c r="DJ184" s="1501"/>
      <c r="DK184" s="1501"/>
      <c r="ER184" s="8"/>
      <c r="ES184" s="8"/>
      <c r="ET184" s="8"/>
      <c r="EU184" s="8"/>
      <c r="EV184" s="12"/>
      <c r="EY184" s="12"/>
      <c r="FB184" s="12"/>
      <c r="FE184" s="12"/>
      <c r="FH184" s="12"/>
      <c r="FK184" s="14"/>
      <c r="FL184" s="14"/>
      <c r="FM184" s="2"/>
      <c r="FN184" s="2"/>
      <c r="FO184" s="2"/>
      <c r="FP184" s="2"/>
      <c r="FQ184" s="2"/>
      <c r="FR184" s="2"/>
      <c r="FS184" s="2"/>
      <c r="FT184" s="2"/>
      <c r="FU184" s="2"/>
      <c r="FV184" s="2"/>
      <c r="FW184" s="2"/>
      <c r="FX184" s="2"/>
      <c r="FY184" s="2"/>
      <c r="FZ184" s="2"/>
      <c r="GA184" s="1502"/>
      <c r="GB184" s="1502"/>
      <c r="GC184" s="1502"/>
      <c r="GD184" s="1502"/>
      <c r="GE184" s="1502"/>
      <c r="GF184" s="1502"/>
      <c r="GG184" s="1502"/>
      <c r="GH184" s="1502"/>
      <c r="GI184" s="1502"/>
      <c r="GJ184" s="1502"/>
      <c r="GK184" s="1502"/>
      <c r="GL184" s="1502"/>
      <c r="GM184" s="1502"/>
      <c r="GN184" s="1502"/>
      <c r="GO184" s="1502"/>
      <c r="GP184" s="1502"/>
      <c r="GQ184" s="1502"/>
      <c r="GR184" s="1502"/>
      <c r="GS184" s="1502"/>
      <c r="GT184" s="1502"/>
      <c r="GU184" s="1502"/>
      <c r="GV184" s="1502"/>
      <c r="GW184" s="1500"/>
      <c r="GX184" s="1500"/>
      <c r="GY184" s="1500"/>
      <c r="GZ184" s="1500"/>
      <c r="HA184" s="1500"/>
      <c r="HB184" s="1500"/>
      <c r="HC184" s="1500"/>
      <c r="HD184" s="1501"/>
      <c r="HE184" s="11"/>
      <c r="HF184" s="11"/>
      <c r="HG184" s="1501"/>
      <c r="HH184" s="1501"/>
      <c r="HI184" s="1501"/>
      <c r="HJ184" s="1501"/>
      <c r="HK184" s="1501"/>
      <c r="HL184" s="11"/>
      <c r="HM184" s="11"/>
      <c r="HN184" s="1501"/>
      <c r="HO184" s="1501"/>
      <c r="HP184" s="1501"/>
      <c r="HQ184" s="1501"/>
      <c r="HR184" s="1501"/>
      <c r="HS184" s="11"/>
      <c r="HT184" s="11"/>
      <c r="HU184" s="11"/>
      <c r="HV184" s="1501"/>
      <c r="HW184" s="11"/>
      <c r="HX184" s="1501"/>
      <c r="HY184" s="1501"/>
      <c r="HZ184" s="11"/>
      <c r="IA184" s="11"/>
      <c r="IB184" s="1501"/>
      <c r="IC184" s="1501"/>
      <c r="ID184" s="1501"/>
      <c r="IE184" s="1501"/>
      <c r="IF184" s="1501"/>
      <c r="IG184" s="11"/>
      <c r="IH184" s="11"/>
      <c r="II184" s="1501"/>
      <c r="IJ184" s="1501"/>
      <c r="IK184" s="1501"/>
      <c r="IL184" s="1501"/>
      <c r="IO184" s="7"/>
      <c r="IP184" s="7"/>
    </row>
    <row r="185" spans="2:268" ht="42.65" customHeight="1">
      <c r="E185" s="2"/>
      <c r="G185" s="3"/>
      <c r="H185" s="3"/>
      <c r="I185" s="3"/>
      <c r="J185" s="3"/>
      <c r="K185" s="3"/>
      <c r="L185" s="3"/>
      <c r="V185" s="2"/>
      <c r="W185" s="2"/>
      <c r="X185" s="2"/>
      <c r="Y185" s="2"/>
      <c r="Z185" s="2"/>
      <c r="AD185" s="8"/>
      <c r="AE185" s="2"/>
      <c r="AF185" s="2"/>
      <c r="AG185" s="2"/>
      <c r="AH185" s="2"/>
      <c r="AI185" s="2"/>
      <c r="AJ185" s="2"/>
      <c r="AK185" s="2"/>
      <c r="AL185" s="2"/>
      <c r="AM185" s="2"/>
      <c r="AN185" s="2"/>
      <c r="AO185" s="2"/>
      <c r="AP185" s="2"/>
      <c r="AQ185" s="2"/>
      <c r="AR185" s="2"/>
      <c r="AS185" s="2"/>
      <c r="AT185" s="2"/>
      <c r="AU185" s="2"/>
      <c r="AV185" s="2"/>
      <c r="AW185" s="2"/>
      <c r="AX185" s="1502"/>
      <c r="AY185" s="1502"/>
      <c r="AZ185" s="1502"/>
      <c r="BA185" s="1502"/>
      <c r="BB185" s="1520" t="s">
        <v>660</v>
      </c>
      <c r="BC185" s="1520" t="s">
        <v>660</v>
      </c>
      <c r="BD185" s="1521">
        <f>ROUNDUP(SUM(BD11:BD156),0)</f>
        <v>1617944377</v>
      </c>
      <c r="BE185" s="1521"/>
      <c r="BF185" s="1521">
        <f>ROUNDUP(SUM(BF11:BF156),0)</f>
        <v>1112271704</v>
      </c>
      <c r="BG185" s="1369"/>
      <c r="BH185" s="1369"/>
      <c r="BI185" s="1369"/>
      <c r="BJ185" s="1369"/>
      <c r="BK185" s="1502"/>
      <c r="BL185" s="1502"/>
      <c r="BM185" s="1502"/>
      <c r="BN185" s="1502"/>
      <c r="BO185" s="1502"/>
      <c r="BP185" s="1502"/>
      <c r="BQ185" s="1502"/>
      <c r="BR185" s="1502"/>
      <c r="BS185" s="1502"/>
      <c r="BT185" s="1502"/>
      <c r="BU185" s="1502"/>
      <c r="BV185" s="1500"/>
      <c r="BW185" s="1500"/>
      <c r="BX185" s="1500"/>
      <c r="BY185" s="1500"/>
      <c r="BZ185" s="1500"/>
      <c r="CA185" s="1500"/>
      <c r="CB185" s="1500"/>
      <c r="CC185" s="1501"/>
      <c r="CD185" s="11"/>
      <c r="CE185" s="11"/>
      <c r="CF185" s="1501"/>
      <c r="CG185" s="1501"/>
      <c r="CH185" s="1501"/>
      <c r="CI185" s="1501"/>
      <c r="CJ185" s="1501"/>
      <c r="CK185" s="11"/>
      <c r="CL185" s="11"/>
      <c r="CM185" s="1501"/>
      <c r="CN185" s="1501"/>
      <c r="CO185" s="1501"/>
      <c r="CP185" s="1501"/>
      <c r="CQ185" s="1501"/>
      <c r="CR185" s="11"/>
      <c r="CS185" s="11"/>
      <c r="CT185" s="11"/>
      <c r="CU185" s="1501"/>
      <c r="CV185" s="11"/>
      <c r="CW185" s="1501"/>
      <c r="CX185" s="1501"/>
      <c r="CY185" s="11"/>
      <c r="CZ185" s="11"/>
      <c r="DA185" s="1501"/>
      <c r="DB185" s="1501"/>
      <c r="DC185" s="1501"/>
      <c r="DD185" s="1501"/>
      <c r="DE185" s="1501"/>
      <c r="DF185" s="11"/>
      <c r="DG185" s="11"/>
      <c r="DH185" s="1501"/>
      <c r="DI185" s="1501"/>
      <c r="DJ185" s="1501"/>
      <c r="DK185" s="1501"/>
      <c r="ER185" s="8"/>
      <c r="ES185" s="8"/>
      <c r="ET185" s="8"/>
      <c r="EU185" s="8"/>
      <c r="EV185" s="12"/>
      <c r="EY185" s="12"/>
      <c r="FB185" s="12"/>
      <c r="FE185" s="12"/>
      <c r="FH185" s="12"/>
      <c r="FK185" s="14"/>
      <c r="FL185" s="14"/>
      <c r="FM185" s="2"/>
      <c r="FN185" s="2"/>
      <c r="FO185" s="2"/>
      <c r="FP185" s="2"/>
      <c r="FQ185" s="2"/>
      <c r="FR185" s="2"/>
      <c r="FS185" s="2"/>
      <c r="FT185" s="2"/>
      <c r="FU185" s="2"/>
      <c r="FV185" s="2"/>
      <c r="FW185" s="2"/>
      <c r="FX185" s="2"/>
      <c r="FY185" s="2"/>
      <c r="FZ185" s="2"/>
      <c r="GA185" s="1502"/>
      <c r="GB185" s="1502"/>
      <c r="GC185" s="1502"/>
      <c r="GD185" s="1502"/>
      <c r="GE185" s="1502"/>
      <c r="GF185" s="1502"/>
      <c r="GG185" s="1502"/>
      <c r="GH185" s="1502"/>
      <c r="GI185" s="1502"/>
      <c r="GJ185" s="1502"/>
      <c r="GK185" s="1502"/>
      <c r="GL185" s="1502"/>
      <c r="GM185" s="1502"/>
      <c r="GN185" s="1502"/>
      <c r="GO185" s="1502"/>
      <c r="GP185" s="1502"/>
      <c r="GQ185" s="1502"/>
      <c r="GR185" s="1502"/>
      <c r="GS185" s="1502"/>
      <c r="GT185" s="1502"/>
      <c r="GU185" s="1502"/>
      <c r="GV185" s="1502"/>
      <c r="GW185" s="1500"/>
      <c r="GX185" s="1500"/>
      <c r="GY185" s="1500"/>
      <c r="GZ185" s="1500"/>
      <c r="HA185" s="1500"/>
      <c r="HB185" s="1500"/>
      <c r="HC185" s="1500"/>
      <c r="HD185" s="1501"/>
      <c r="HE185" s="11"/>
      <c r="HF185" s="11"/>
      <c r="HG185" s="1501"/>
      <c r="HH185" s="1501"/>
      <c r="HI185" s="1501"/>
      <c r="HJ185" s="1501"/>
      <c r="HK185" s="1501"/>
      <c r="HL185" s="11"/>
      <c r="HM185" s="11"/>
      <c r="HN185" s="1501"/>
      <c r="HO185" s="1501"/>
      <c r="HP185" s="1501"/>
      <c r="HQ185" s="1501"/>
      <c r="HR185" s="1501"/>
      <c r="HS185" s="11"/>
      <c r="HT185" s="11"/>
      <c r="HU185" s="11"/>
      <c r="HV185" s="1501"/>
      <c r="HW185" s="11"/>
      <c r="HX185" s="1501"/>
      <c r="HY185" s="1501"/>
      <c r="HZ185" s="11"/>
      <c r="IA185" s="11"/>
      <c r="IB185" s="1501"/>
      <c r="IC185" s="1501"/>
      <c r="ID185" s="1501"/>
      <c r="IE185" s="1501"/>
      <c r="IF185" s="1501"/>
      <c r="IG185" s="11"/>
      <c r="IH185" s="11"/>
      <c r="II185" s="1501"/>
      <c r="IJ185" s="1501"/>
      <c r="IK185" s="1501"/>
      <c r="IL185" s="1501"/>
      <c r="IO185" s="7"/>
      <c r="IP185" s="7"/>
    </row>
    <row r="186" spans="2:268" ht="26.15" customHeight="1">
      <c r="E186" s="2"/>
      <c r="G186" s="3"/>
      <c r="H186" s="3"/>
      <c r="I186" s="3"/>
      <c r="J186" s="3"/>
      <c r="K186" s="3"/>
      <c r="L186" s="3"/>
      <c r="V186" s="2"/>
      <c r="W186" s="2"/>
      <c r="X186" s="2"/>
      <c r="Y186" s="2"/>
      <c r="Z186" s="2"/>
      <c r="AD186" s="8"/>
      <c r="AE186" s="2"/>
      <c r="AF186" s="2"/>
      <c r="AG186" s="2"/>
      <c r="AH186" s="2"/>
      <c r="AI186" s="2"/>
      <c r="AJ186" s="2"/>
      <c r="AK186" s="2"/>
      <c r="AL186" s="2"/>
      <c r="AM186" s="2"/>
      <c r="AN186" s="2"/>
      <c r="AO186" s="2"/>
      <c r="AP186" s="2"/>
      <c r="AQ186" s="2"/>
      <c r="AR186" s="2"/>
      <c r="AS186" s="2"/>
      <c r="AT186" s="2"/>
      <c r="AU186" s="2"/>
      <c r="AV186" s="2"/>
      <c r="AW186" s="2"/>
      <c r="AX186" s="1502"/>
      <c r="AY186" s="1502"/>
      <c r="AZ186" s="1502"/>
      <c r="BA186" s="1502"/>
      <c r="BB186" s="1520"/>
      <c r="BC186" s="1520"/>
      <c r="BD186" s="1521"/>
      <c r="BE186" s="1521"/>
      <c r="BF186" s="1521"/>
      <c r="BG186" s="1369"/>
      <c r="BH186" s="1369"/>
      <c r="BI186" s="1369"/>
      <c r="BJ186" s="1369"/>
      <c r="BK186" s="1502"/>
      <c r="BL186" s="1502"/>
      <c r="BM186" s="1502"/>
      <c r="BN186" s="1502"/>
      <c r="BO186" s="1502"/>
      <c r="BP186" s="1502"/>
      <c r="BQ186" s="1502"/>
      <c r="BR186" s="1502"/>
      <c r="BS186" s="1502"/>
      <c r="BT186" s="1502"/>
      <c r="BU186" s="1502"/>
      <c r="BV186" s="1500"/>
      <c r="BW186" s="1500"/>
      <c r="BX186" s="1500"/>
      <c r="BY186" s="1500"/>
      <c r="BZ186" s="1500"/>
      <c r="CA186" s="1500"/>
      <c r="CB186" s="1500"/>
      <c r="CC186" s="1501"/>
      <c r="CD186" s="11"/>
      <c r="CE186" s="11"/>
      <c r="CF186" s="1501"/>
      <c r="CG186" s="1501"/>
      <c r="CH186" s="1501"/>
      <c r="CI186" s="1501"/>
      <c r="CJ186" s="1501"/>
      <c r="CK186" s="11"/>
      <c r="CL186" s="11"/>
      <c r="CM186" s="1501"/>
      <c r="CN186" s="1501"/>
      <c r="CO186" s="1501"/>
      <c r="CP186" s="1501"/>
      <c r="CQ186" s="1501"/>
      <c r="CR186" s="11"/>
      <c r="CS186" s="11"/>
      <c r="CT186" s="11"/>
      <c r="CU186" s="1501"/>
      <c r="CV186" s="11"/>
      <c r="CW186" s="1501"/>
      <c r="CX186" s="1501"/>
      <c r="CY186" s="11"/>
      <c r="CZ186" s="11"/>
      <c r="DA186" s="1501"/>
      <c r="DB186" s="1501"/>
      <c r="DC186" s="1501"/>
      <c r="DD186" s="1501"/>
      <c r="DE186" s="1501"/>
      <c r="DF186" s="11"/>
      <c r="DG186" s="11"/>
      <c r="DH186" s="1501"/>
      <c r="DI186" s="1501"/>
      <c r="DJ186" s="1501"/>
      <c r="DK186" s="1501"/>
      <c r="ER186" s="8"/>
      <c r="ES186" s="8"/>
      <c r="ET186" s="8"/>
      <c r="EU186" s="8"/>
      <c r="EV186" s="12"/>
      <c r="EY186" s="12"/>
      <c r="FB186" s="12"/>
      <c r="FE186" s="12"/>
      <c r="FH186" s="12"/>
      <c r="FK186" s="14"/>
      <c r="FL186" s="14"/>
      <c r="FM186" s="2"/>
      <c r="FN186" s="2"/>
      <c r="FO186" s="2"/>
      <c r="FP186" s="2"/>
      <c r="FQ186" s="2"/>
      <c r="FR186" s="2"/>
      <c r="FS186" s="2"/>
      <c r="FT186" s="2"/>
      <c r="FU186" s="2"/>
      <c r="FV186" s="2"/>
      <c r="FW186" s="2"/>
      <c r="FX186" s="2"/>
      <c r="FY186" s="2"/>
      <c r="FZ186" s="2"/>
      <c r="GA186" s="1502"/>
      <c r="GB186" s="1502"/>
      <c r="GC186" s="1502"/>
      <c r="GD186" s="1502"/>
      <c r="GE186" s="1502"/>
      <c r="GF186" s="1502"/>
      <c r="GG186" s="1502"/>
      <c r="GH186" s="1502"/>
      <c r="GI186" s="1502"/>
      <c r="GJ186" s="1502"/>
      <c r="GK186" s="1502"/>
      <c r="GL186" s="1502"/>
      <c r="GM186" s="1502"/>
      <c r="GN186" s="1502"/>
      <c r="GO186" s="1502"/>
      <c r="GP186" s="1502"/>
      <c r="GQ186" s="1502"/>
      <c r="GR186" s="1502"/>
      <c r="GS186" s="1502"/>
      <c r="GT186" s="1502"/>
      <c r="GU186" s="1502"/>
      <c r="GV186" s="1502"/>
      <c r="GW186" s="1500"/>
      <c r="GX186" s="1500"/>
      <c r="GY186" s="1500"/>
      <c r="GZ186" s="1500"/>
      <c r="HA186" s="1500"/>
      <c r="HB186" s="1500"/>
      <c r="HC186" s="1500"/>
      <c r="HD186" s="1501"/>
      <c r="HE186" s="11"/>
      <c r="HF186" s="11"/>
      <c r="HG186" s="1501"/>
      <c r="HH186" s="1501"/>
      <c r="HI186" s="1501"/>
      <c r="HJ186" s="1501"/>
      <c r="HK186" s="1501"/>
      <c r="HL186" s="11"/>
      <c r="HM186" s="11"/>
      <c r="HN186" s="1501"/>
      <c r="HO186" s="1501"/>
      <c r="HP186" s="1501"/>
      <c r="HQ186" s="1501"/>
      <c r="HR186" s="1501"/>
      <c r="HS186" s="11"/>
      <c r="HT186" s="11"/>
      <c r="HU186" s="11"/>
      <c r="HV186" s="1501"/>
      <c r="HW186" s="11"/>
      <c r="HX186" s="1501"/>
      <c r="HY186" s="1501"/>
      <c r="HZ186" s="11"/>
      <c r="IA186" s="11"/>
      <c r="IB186" s="1501"/>
      <c r="IC186" s="1501"/>
      <c r="ID186" s="1501"/>
      <c r="IE186" s="1501"/>
      <c r="IF186" s="1501"/>
      <c r="IG186" s="11"/>
      <c r="IH186" s="11"/>
      <c r="II186" s="1501"/>
      <c r="IJ186" s="1501"/>
      <c r="IK186" s="1501"/>
      <c r="IL186" s="1501"/>
      <c r="IO186" s="7"/>
      <c r="IP186" s="7"/>
    </row>
    <row r="187" spans="2:268" ht="42.65" customHeight="1">
      <c r="E187" s="2"/>
      <c r="G187" s="3"/>
      <c r="H187" s="3"/>
      <c r="I187" s="3"/>
      <c r="J187" s="3"/>
      <c r="K187" s="3"/>
      <c r="L187" s="3"/>
      <c r="V187" s="2"/>
      <c r="W187" s="2"/>
      <c r="X187" s="2"/>
      <c r="Y187" s="2"/>
      <c r="Z187" s="2"/>
      <c r="AD187" s="8"/>
      <c r="AE187" s="2"/>
      <c r="AF187" s="2"/>
      <c r="AG187" s="2"/>
      <c r="AH187" s="2"/>
      <c r="AI187" s="2"/>
      <c r="AJ187" s="2"/>
      <c r="AK187" s="2"/>
      <c r="AL187" s="2"/>
      <c r="AM187" s="2"/>
      <c r="AN187" s="2"/>
      <c r="AO187" s="2"/>
      <c r="AP187" s="2"/>
      <c r="AQ187" s="2"/>
      <c r="AR187" s="2"/>
      <c r="AS187" s="2"/>
      <c r="AT187" s="2"/>
      <c r="AU187" s="2"/>
      <c r="AV187" s="2"/>
      <c r="AW187" s="2"/>
      <c r="AX187" s="1502"/>
      <c r="AY187" s="1502"/>
      <c r="AZ187" s="1502"/>
      <c r="BA187" s="1502"/>
      <c r="BB187" s="1520" t="s">
        <v>661</v>
      </c>
      <c r="BC187" s="1520" t="s">
        <v>661</v>
      </c>
      <c r="BD187" s="1521">
        <v>987821900</v>
      </c>
      <c r="BE187" s="1521"/>
      <c r="BF187" s="1521">
        <v>158916000</v>
      </c>
      <c r="BG187" s="1369"/>
      <c r="BH187" s="1369"/>
      <c r="BI187" s="1369"/>
      <c r="BJ187" s="1369"/>
      <c r="BK187" s="1502"/>
      <c r="BL187" s="1502"/>
      <c r="BM187" s="1502"/>
      <c r="BN187" s="1502"/>
      <c r="BO187" s="1502"/>
      <c r="BP187" s="1502"/>
      <c r="BQ187" s="1502"/>
      <c r="BR187" s="1502"/>
      <c r="BS187" s="1502"/>
      <c r="BT187" s="1502"/>
      <c r="BU187" s="1502"/>
      <c r="BV187" s="1500"/>
      <c r="BW187" s="1500"/>
      <c r="BX187" s="1500"/>
      <c r="BY187" s="1500"/>
      <c r="BZ187" s="1500"/>
      <c r="CA187" s="1500"/>
      <c r="CB187" s="1500"/>
      <c r="CC187" s="1501"/>
      <c r="CD187" s="11"/>
      <c r="CE187" s="11"/>
      <c r="CF187" s="1501"/>
      <c r="CG187" s="1501"/>
      <c r="CH187" s="1501"/>
      <c r="CI187" s="1501"/>
      <c r="CJ187" s="1501"/>
      <c r="CK187" s="11"/>
      <c r="CL187" s="11"/>
      <c r="CM187" s="1501"/>
      <c r="CN187" s="1501"/>
      <c r="CO187" s="1501"/>
      <c r="CP187" s="1501"/>
      <c r="CQ187" s="1501"/>
      <c r="CR187" s="11"/>
      <c r="CS187" s="11"/>
      <c r="CT187" s="11"/>
      <c r="CU187" s="1501"/>
      <c r="CV187" s="11"/>
      <c r="CW187" s="1501"/>
      <c r="CX187" s="1501"/>
      <c r="CY187" s="11"/>
      <c r="CZ187" s="11"/>
      <c r="DA187" s="1501"/>
      <c r="DB187" s="1501"/>
      <c r="DC187" s="1501"/>
      <c r="DD187" s="1501"/>
      <c r="DE187" s="1501"/>
      <c r="DF187" s="11"/>
      <c r="DG187" s="11"/>
      <c r="DH187" s="1501"/>
      <c r="DI187" s="1501"/>
      <c r="DJ187" s="1501"/>
      <c r="DK187" s="1501"/>
      <c r="ER187" s="8"/>
      <c r="ES187" s="8"/>
      <c r="ET187" s="8"/>
      <c r="EU187" s="8"/>
      <c r="EV187" s="12"/>
      <c r="EY187" s="12"/>
      <c r="FB187" s="12"/>
      <c r="FE187" s="12"/>
      <c r="FH187" s="12"/>
      <c r="FK187" s="14"/>
      <c r="FL187" s="14"/>
      <c r="FM187" s="2"/>
      <c r="FN187" s="2"/>
      <c r="FO187" s="2"/>
      <c r="FP187" s="2"/>
      <c r="FQ187" s="2"/>
      <c r="FR187" s="2"/>
      <c r="FS187" s="2"/>
      <c r="FT187" s="2"/>
      <c r="FU187" s="2"/>
      <c r="FV187" s="2"/>
      <c r="FW187" s="2"/>
      <c r="FX187" s="2"/>
      <c r="FY187" s="2"/>
      <c r="FZ187" s="2"/>
      <c r="GA187" s="1502"/>
      <c r="GB187" s="1502"/>
      <c r="GC187" s="1502"/>
      <c r="GD187" s="1502"/>
      <c r="GE187" s="1502"/>
      <c r="GF187" s="1502"/>
      <c r="GG187" s="1502"/>
      <c r="GH187" s="1502"/>
      <c r="GI187" s="1502"/>
      <c r="GJ187" s="1502"/>
      <c r="GK187" s="1502"/>
      <c r="GL187" s="1502"/>
      <c r="GM187" s="1502"/>
      <c r="GN187" s="1502"/>
      <c r="GO187" s="1502"/>
      <c r="GP187" s="1502"/>
      <c r="GQ187" s="1502"/>
      <c r="GR187" s="1502"/>
      <c r="GS187" s="1502"/>
      <c r="GT187" s="1502"/>
      <c r="GU187" s="1502"/>
      <c r="GV187" s="1502"/>
      <c r="GW187" s="1500"/>
      <c r="GX187" s="1500"/>
      <c r="GY187" s="1500"/>
      <c r="GZ187" s="1500"/>
      <c r="HA187" s="1500"/>
      <c r="HB187" s="1500"/>
      <c r="HC187" s="1500"/>
      <c r="HD187" s="1501"/>
      <c r="HE187" s="11"/>
      <c r="HF187" s="11"/>
      <c r="HG187" s="1501"/>
      <c r="HH187" s="1501"/>
      <c r="HI187" s="1501"/>
      <c r="HJ187" s="1501"/>
      <c r="HK187" s="1501"/>
      <c r="HL187" s="11"/>
      <c r="HM187" s="11"/>
      <c r="HN187" s="1501"/>
      <c r="HO187" s="1501"/>
      <c r="HP187" s="1501"/>
      <c r="HQ187" s="1501"/>
      <c r="HR187" s="1501"/>
      <c r="HS187" s="11"/>
      <c r="HT187" s="11"/>
      <c r="HU187" s="11"/>
      <c r="HV187" s="1501"/>
      <c r="HW187" s="11"/>
      <c r="HX187" s="1501"/>
      <c r="HY187" s="1501"/>
      <c r="HZ187" s="11"/>
      <c r="IA187" s="11"/>
      <c r="IB187" s="1501"/>
      <c r="IC187" s="1501"/>
      <c r="ID187" s="1501"/>
      <c r="IE187" s="1501"/>
      <c r="IF187" s="1501"/>
      <c r="IG187" s="11"/>
      <c r="IH187" s="11"/>
      <c r="II187" s="1501"/>
      <c r="IJ187" s="1501"/>
      <c r="IK187" s="1501"/>
      <c r="IL187" s="1501"/>
      <c r="IO187" s="7"/>
      <c r="IP187" s="7"/>
    </row>
    <row r="188" spans="2:268" ht="42.65" customHeight="1">
      <c r="E188" s="2"/>
      <c r="G188" s="3"/>
      <c r="H188" s="3"/>
      <c r="I188" s="3"/>
      <c r="J188" s="3"/>
      <c r="K188" s="3"/>
      <c r="L188" s="3"/>
      <c r="V188" s="2"/>
      <c r="W188" s="2"/>
      <c r="X188" s="2"/>
      <c r="Y188" s="2"/>
      <c r="Z188" s="2"/>
      <c r="AD188" s="8"/>
      <c r="AE188" s="2"/>
      <c r="AF188" s="2"/>
      <c r="AG188" s="2"/>
      <c r="AH188" s="2"/>
      <c r="AI188" s="2"/>
      <c r="AJ188" s="2"/>
      <c r="AK188" s="2"/>
      <c r="AL188" s="2"/>
      <c r="AM188" s="2"/>
      <c r="AN188" s="2"/>
      <c r="AO188" s="2"/>
      <c r="AP188" s="2"/>
      <c r="AQ188" s="2"/>
      <c r="AR188" s="2"/>
      <c r="AS188" s="2"/>
      <c r="AT188" s="2"/>
      <c r="AU188" s="2"/>
      <c r="AV188" s="2"/>
      <c r="AW188" s="2"/>
      <c r="AX188" s="1502"/>
      <c r="AY188" s="1502"/>
      <c r="AZ188" s="1502"/>
      <c r="BA188" s="1502"/>
      <c r="BB188" s="1369" t="s">
        <v>662</v>
      </c>
      <c r="BC188" s="1369" t="s">
        <v>662</v>
      </c>
      <c r="BD188" s="1521">
        <f>ROUNDDOWN(SUM(BC52,BC54,BC56,BC83,BC104,BC121,BC127,BC135,BC137,BC139,BC141,BC143,BC147)*0.6,0)</f>
        <v>52544004</v>
      </c>
      <c r="BE188" s="1521"/>
      <c r="BF188" s="1521">
        <f>ROUNDDOWN(SUM(BC52,BC54,BC56,BC83,BC104,BC121,BC127,BC135,BC137,BC139,BC141,BC143,BC147)*0.4,0)</f>
        <v>35029336</v>
      </c>
      <c r="BG188" s="1369"/>
      <c r="BH188" s="1369"/>
      <c r="BI188" s="1369"/>
      <c r="BJ188" s="1369"/>
      <c r="BK188" s="1502"/>
      <c r="BL188" s="1502"/>
      <c r="BM188" s="1502"/>
      <c r="BN188" s="1502"/>
      <c r="BO188" s="1502"/>
      <c r="BP188" s="1502"/>
      <c r="BQ188" s="1502"/>
      <c r="BR188" s="1502"/>
      <c r="BS188" s="1502"/>
      <c r="BT188" s="1502"/>
      <c r="BU188" s="1502"/>
      <c r="BV188" s="1500"/>
      <c r="BW188" s="1500"/>
      <c r="BX188" s="1500"/>
      <c r="BY188" s="1500"/>
      <c r="BZ188" s="1500"/>
      <c r="CA188" s="1500"/>
      <c r="CB188" s="1500"/>
      <c r="CC188" s="1501"/>
      <c r="CD188" s="11"/>
      <c r="CE188" s="11"/>
      <c r="CF188" s="1501"/>
      <c r="CG188" s="1501"/>
      <c r="CH188" s="1501"/>
      <c r="CI188" s="1501"/>
      <c r="CJ188" s="1501"/>
      <c r="CK188" s="11"/>
      <c r="CL188" s="11"/>
      <c r="CM188" s="1501"/>
      <c r="CN188" s="1501"/>
      <c r="CO188" s="1501"/>
      <c r="CP188" s="1501"/>
      <c r="CQ188" s="1501"/>
      <c r="CR188" s="11"/>
      <c r="CS188" s="11"/>
      <c r="CT188" s="11"/>
      <c r="CU188" s="1501"/>
      <c r="CV188" s="11"/>
      <c r="CW188" s="1501"/>
      <c r="CX188" s="1501"/>
      <c r="CY188" s="11"/>
      <c r="CZ188" s="11"/>
      <c r="DA188" s="1501"/>
      <c r="DB188" s="1501"/>
      <c r="DC188" s="1501"/>
      <c r="DD188" s="1501"/>
      <c r="DE188" s="1501"/>
      <c r="DF188" s="11"/>
      <c r="DG188" s="11"/>
      <c r="DH188" s="1501"/>
      <c r="DI188" s="1501"/>
      <c r="DJ188" s="1501"/>
      <c r="DK188" s="1501"/>
      <c r="ER188" s="8"/>
      <c r="ES188" s="8"/>
      <c r="ET188" s="8"/>
      <c r="EU188" s="8"/>
      <c r="EV188" s="12"/>
      <c r="EY188" s="12"/>
      <c r="FB188" s="12"/>
      <c r="FE188" s="12"/>
      <c r="FH188" s="12"/>
      <c r="FK188" s="14"/>
      <c r="FL188" s="14"/>
      <c r="FM188" s="2"/>
      <c r="FN188" s="2"/>
      <c r="FO188" s="2"/>
      <c r="FP188" s="2"/>
      <c r="FQ188" s="2"/>
      <c r="FR188" s="2"/>
      <c r="FS188" s="2"/>
      <c r="FT188" s="2"/>
      <c r="FU188" s="2"/>
      <c r="FV188" s="2"/>
      <c r="FW188" s="2"/>
      <c r="FX188" s="2"/>
      <c r="FY188" s="2"/>
      <c r="FZ188" s="2"/>
      <c r="GA188" s="1502"/>
      <c r="GB188" s="1502"/>
      <c r="GC188" s="1502"/>
      <c r="GD188" s="1502"/>
      <c r="GE188" s="1502"/>
      <c r="GF188" s="1502"/>
      <c r="GG188" s="1502"/>
      <c r="GH188" s="1502"/>
      <c r="GI188" s="1502"/>
      <c r="GJ188" s="1502"/>
      <c r="GK188" s="1502"/>
      <c r="GL188" s="1502"/>
      <c r="GM188" s="1502"/>
      <c r="GN188" s="1502"/>
      <c r="GO188" s="1502"/>
      <c r="GP188" s="1502"/>
      <c r="GQ188" s="1502"/>
      <c r="GR188" s="1502"/>
      <c r="GS188" s="1502"/>
      <c r="GT188" s="1502"/>
      <c r="GU188" s="1502"/>
      <c r="GV188" s="1502"/>
      <c r="GW188" s="1500"/>
      <c r="GX188" s="1500"/>
      <c r="GY188" s="1500"/>
      <c r="GZ188" s="1500"/>
      <c r="HA188" s="1500"/>
      <c r="HB188" s="1500"/>
      <c r="HC188" s="1500"/>
      <c r="HD188" s="1501"/>
      <c r="HE188" s="11"/>
      <c r="HF188" s="11"/>
      <c r="HG188" s="1501"/>
      <c r="HH188" s="1501"/>
      <c r="HI188" s="1501"/>
      <c r="HJ188" s="1501"/>
      <c r="HK188" s="1501"/>
      <c r="HL188" s="11"/>
      <c r="HM188" s="11"/>
      <c r="HN188" s="1501"/>
      <c r="HO188" s="1501"/>
      <c r="HP188" s="1501"/>
      <c r="HQ188" s="1501"/>
      <c r="HR188" s="1501"/>
      <c r="HS188" s="11"/>
      <c r="HT188" s="11"/>
      <c r="HU188" s="11"/>
      <c r="HV188" s="1501"/>
      <c r="HW188" s="11"/>
      <c r="HX188" s="1501"/>
      <c r="HY188" s="1501"/>
      <c r="HZ188" s="11"/>
      <c r="IA188" s="11"/>
      <c r="IB188" s="1501"/>
      <c r="IC188" s="1501"/>
      <c r="ID188" s="1501"/>
      <c r="IE188" s="1501"/>
      <c r="IF188" s="1501"/>
      <c r="IG188" s="11"/>
      <c r="IH188" s="11"/>
      <c r="II188" s="1501"/>
      <c r="IJ188" s="1501"/>
      <c r="IK188" s="1501"/>
      <c r="IL188" s="1501"/>
      <c r="IO188" s="7"/>
      <c r="IP188" s="7"/>
    </row>
    <row r="189" spans="2:268" ht="42.65" customHeight="1" thickBot="1">
      <c r="E189" s="2"/>
      <c r="G189" s="3"/>
      <c r="H189" s="3"/>
      <c r="I189" s="3"/>
      <c r="J189" s="3"/>
      <c r="K189" s="3"/>
      <c r="L189" s="3"/>
      <c r="V189" s="2"/>
      <c r="W189" s="2"/>
      <c r="X189" s="2"/>
      <c r="Y189" s="2"/>
      <c r="Z189" s="2"/>
      <c r="AD189" s="8"/>
      <c r="AE189" s="2"/>
      <c r="AF189" s="2"/>
      <c r="AG189" s="2"/>
      <c r="AH189" s="2"/>
      <c r="AI189" s="2"/>
      <c r="AJ189" s="2"/>
      <c r="AK189" s="2"/>
      <c r="AL189" s="2"/>
      <c r="AM189" s="2"/>
      <c r="AN189" s="2"/>
      <c r="AO189" s="2"/>
      <c r="AP189" s="2"/>
      <c r="AQ189" s="2"/>
      <c r="AR189" s="2"/>
      <c r="AS189" s="2"/>
      <c r="AT189" s="2"/>
      <c r="AU189" s="2"/>
      <c r="AV189" s="2"/>
      <c r="AW189" s="2"/>
      <c r="AX189" s="1502"/>
      <c r="AY189" s="1502"/>
      <c r="AZ189" s="1502"/>
      <c r="BA189" s="1502"/>
      <c r="BB189" s="1369" t="s">
        <v>663</v>
      </c>
      <c r="BC189" s="1369" t="s">
        <v>663</v>
      </c>
      <c r="BD189" s="1521">
        <f>ROUNDDOWN(AZ165*0.6,0)</f>
        <v>38352996</v>
      </c>
      <c r="BE189" s="1521"/>
      <c r="BF189" s="1521">
        <f>ROUNDDOWN(AZ165*0.4,0)</f>
        <v>25568664</v>
      </c>
      <c r="BG189" s="1369"/>
      <c r="BH189" s="1369"/>
      <c r="BI189" s="1369"/>
      <c r="BJ189" s="1369"/>
      <c r="BK189" s="1502"/>
      <c r="BL189" s="1502"/>
      <c r="BM189" s="1502"/>
      <c r="BN189" s="1502"/>
      <c r="BO189" s="1502"/>
      <c r="BP189" s="1502"/>
      <c r="BQ189" s="1502"/>
      <c r="BR189" s="1502"/>
      <c r="BS189" s="1502"/>
      <c r="BT189" s="1502"/>
      <c r="BU189" s="1502"/>
      <c r="BV189" s="1500"/>
      <c r="BW189" s="1500"/>
      <c r="BX189" s="1500"/>
      <c r="BY189" s="1500"/>
      <c r="BZ189" s="1500"/>
      <c r="CA189" s="1500"/>
      <c r="CB189" s="1500"/>
      <c r="CC189" s="1501"/>
      <c r="CD189" s="11"/>
      <c r="CE189" s="11"/>
      <c r="CF189" s="1501"/>
      <c r="CG189" s="1501"/>
      <c r="CH189" s="1501"/>
      <c r="CI189" s="1501"/>
      <c r="CJ189" s="1501"/>
      <c r="CK189" s="11"/>
      <c r="CL189" s="11"/>
      <c r="CM189" s="1501"/>
      <c r="CN189" s="1501"/>
      <c r="CO189" s="1501"/>
      <c r="CP189" s="1501"/>
      <c r="CQ189" s="1501"/>
      <c r="CR189" s="11"/>
      <c r="CS189" s="11"/>
      <c r="CT189" s="11"/>
      <c r="CU189" s="1501"/>
      <c r="CV189" s="11"/>
      <c r="CW189" s="1501"/>
      <c r="CX189" s="1501"/>
      <c r="CY189" s="11"/>
      <c r="CZ189" s="11"/>
      <c r="DA189" s="1501"/>
      <c r="DB189" s="1501"/>
      <c r="DC189" s="1501"/>
      <c r="DD189" s="1501"/>
      <c r="DE189" s="1501"/>
      <c r="DF189" s="11"/>
      <c r="DG189" s="11"/>
      <c r="DH189" s="1501"/>
      <c r="DI189" s="1501"/>
      <c r="DJ189" s="1501"/>
      <c r="DK189" s="1501"/>
      <c r="ER189" s="8"/>
      <c r="ES189" s="8"/>
      <c r="ET189" s="8"/>
      <c r="EU189" s="8"/>
      <c r="EV189" s="12"/>
      <c r="EY189" s="12"/>
      <c r="FB189" s="12"/>
      <c r="FE189" s="12"/>
      <c r="FH189" s="12"/>
      <c r="FK189" s="14"/>
      <c r="FL189" s="14"/>
      <c r="FM189" s="2"/>
      <c r="FN189" s="2"/>
      <c r="FO189" s="2"/>
      <c r="FP189" s="2"/>
      <c r="FQ189" s="2"/>
      <c r="FR189" s="2"/>
      <c r="FS189" s="2"/>
      <c r="FT189" s="2"/>
      <c r="FU189" s="2"/>
      <c r="FV189" s="2"/>
      <c r="FW189" s="2"/>
      <c r="FX189" s="2"/>
      <c r="FY189" s="2"/>
      <c r="FZ189" s="2"/>
      <c r="GA189" s="1502"/>
      <c r="GB189" s="1502"/>
      <c r="GC189" s="1502"/>
      <c r="GD189" s="1502"/>
      <c r="GE189" s="1502"/>
      <c r="GF189" s="1502"/>
      <c r="GG189" s="1502"/>
      <c r="GH189" s="1502"/>
      <c r="GI189" s="1502"/>
      <c r="GJ189" s="1502"/>
      <c r="GK189" s="1502"/>
      <c r="GL189" s="1502"/>
      <c r="GM189" s="1502"/>
      <c r="GN189" s="1502"/>
      <c r="GO189" s="1502"/>
      <c r="GP189" s="1502"/>
      <c r="GQ189" s="1502"/>
      <c r="GR189" s="1502"/>
      <c r="GS189" s="1502"/>
      <c r="GT189" s="1502"/>
      <c r="GU189" s="1502"/>
      <c r="GV189" s="1502"/>
      <c r="GW189" s="1500"/>
      <c r="GX189" s="1500"/>
      <c r="GY189" s="1500"/>
      <c r="GZ189" s="1500"/>
      <c r="HA189" s="1500"/>
      <c r="HB189" s="1500"/>
      <c r="HC189" s="1500"/>
      <c r="HD189" s="1501"/>
      <c r="HE189" s="11"/>
      <c r="HF189" s="11"/>
      <c r="HG189" s="1501"/>
      <c r="HH189" s="1501"/>
      <c r="HI189" s="1501"/>
      <c r="HJ189" s="1501"/>
      <c r="HK189" s="1501"/>
      <c r="HL189" s="11"/>
      <c r="HM189" s="11"/>
      <c r="HN189" s="1501"/>
      <c r="HO189" s="1501"/>
      <c r="HP189" s="1501"/>
      <c r="HQ189" s="1501"/>
      <c r="HR189" s="1501"/>
      <c r="HS189" s="11"/>
      <c r="HT189" s="11"/>
      <c r="HU189" s="11"/>
      <c r="HV189" s="1501"/>
      <c r="HW189" s="11"/>
      <c r="HX189" s="1501"/>
      <c r="HY189" s="1501"/>
      <c r="HZ189" s="11"/>
      <c r="IA189" s="11"/>
      <c r="IB189" s="1501"/>
      <c r="IC189" s="1501"/>
      <c r="ID189" s="1501"/>
      <c r="IE189" s="1501"/>
      <c r="IF189" s="1501"/>
      <c r="IG189" s="11"/>
      <c r="IH189" s="11"/>
      <c r="II189" s="1501"/>
      <c r="IJ189" s="1501"/>
      <c r="IK189" s="1501"/>
      <c r="IL189" s="1501"/>
      <c r="IO189" s="7"/>
      <c r="IP189" s="7"/>
    </row>
    <row r="190" spans="2:268" ht="42.65" customHeight="1">
      <c r="E190" s="2"/>
      <c r="G190" s="3"/>
      <c r="H190" s="3"/>
      <c r="I190" s="3"/>
      <c r="J190" s="3"/>
      <c r="K190" s="3"/>
      <c r="L190" s="3"/>
      <c r="V190" s="2"/>
      <c r="W190" s="2"/>
      <c r="X190" s="2"/>
      <c r="Y190" s="2"/>
      <c r="Z190" s="2"/>
      <c r="AD190" s="8"/>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1522"/>
      <c r="BC190" s="1522"/>
      <c r="BD190" s="1523">
        <f>SUM(BD187:BD189)</f>
        <v>1078718900</v>
      </c>
      <c r="BE190" s="1524"/>
      <c r="BF190" s="1523">
        <f>SUM(BF187:BF189)</f>
        <v>219514000</v>
      </c>
      <c r="BG190" s="1369"/>
      <c r="BH190" s="1369"/>
      <c r="BI190" s="1369"/>
      <c r="BJ190" s="1369"/>
      <c r="BK190" s="2"/>
      <c r="BL190" s="2"/>
      <c r="BM190" s="2"/>
      <c r="BN190" s="2"/>
      <c r="BO190" s="2"/>
      <c r="BP190" s="2"/>
      <c r="BQ190" s="2"/>
      <c r="BR190" s="2"/>
      <c r="BS190" s="2"/>
      <c r="BT190" s="2"/>
      <c r="BU190" s="2"/>
      <c r="BV190" s="10"/>
      <c r="BW190" s="10"/>
      <c r="BX190" s="10"/>
      <c r="BY190" s="10"/>
      <c r="BZ190" s="10"/>
      <c r="CA190" s="10"/>
      <c r="CB190" s="10"/>
      <c r="CC190" s="8"/>
      <c r="CD190" s="11"/>
      <c r="CE190" s="11"/>
      <c r="CF190" s="8"/>
      <c r="CG190" s="8"/>
      <c r="CH190" s="8"/>
      <c r="CI190" s="8"/>
      <c r="CJ190" s="8"/>
      <c r="CK190" s="11"/>
      <c r="CL190" s="11"/>
      <c r="CM190" s="8"/>
      <c r="CN190" s="8"/>
      <c r="CO190" s="8"/>
      <c r="CP190" s="8"/>
      <c r="CQ190" s="8"/>
      <c r="CR190" s="11"/>
      <c r="CS190" s="11"/>
      <c r="CT190" s="11"/>
      <c r="CU190" s="8"/>
      <c r="CV190" s="11"/>
      <c r="CW190" s="8"/>
      <c r="CX190" s="8"/>
      <c r="CY190" s="11"/>
      <c r="CZ190" s="11"/>
      <c r="DA190" s="8"/>
      <c r="DB190" s="8"/>
      <c r="DC190" s="8"/>
      <c r="DD190" s="8"/>
      <c r="DE190" s="8"/>
      <c r="DF190" s="11"/>
      <c r="DG190" s="11"/>
      <c r="DH190" s="8"/>
      <c r="DI190" s="8"/>
      <c r="DJ190" s="8"/>
      <c r="DK190" s="8"/>
      <c r="ER190" s="8"/>
      <c r="ES190" s="8"/>
      <c r="ET190" s="8"/>
      <c r="EU190" s="8"/>
      <c r="EV190" s="12"/>
      <c r="EY190" s="12"/>
      <c r="FB190" s="12"/>
      <c r="FE190" s="12"/>
      <c r="FH190" s="12"/>
      <c r="FK190" s="14"/>
      <c r="FL190" s="14"/>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M190" s="2"/>
      <c r="GN190" s="2"/>
      <c r="GO190" s="2"/>
      <c r="GP190" s="2"/>
      <c r="GQ190" s="2"/>
      <c r="GR190" s="2"/>
      <c r="GS190" s="2"/>
      <c r="GT190" s="2"/>
      <c r="GU190" s="2"/>
      <c r="GV190" s="2"/>
      <c r="GW190" s="10"/>
      <c r="GX190" s="10"/>
      <c r="GY190" s="10"/>
      <c r="GZ190" s="10"/>
      <c r="HA190" s="10"/>
      <c r="HB190" s="10"/>
      <c r="HC190" s="10"/>
      <c r="HD190" s="8"/>
      <c r="HE190" s="11"/>
      <c r="HF190" s="11"/>
      <c r="HG190" s="8"/>
      <c r="HH190" s="8"/>
      <c r="HI190" s="8"/>
      <c r="HJ190" s="8"/>
      <c r="HK190" s="8"/>
      <c r="HL190" s="11"/>
      <c r="HM190" s="11"/>
      <c r="HN190" s="8"/>
      <c r="HO190" s="8"/>
      <c r="HP190" s="8"/>
      <c r="HQ190" s="8"/>
      <c r="HR190" s="8"/>
      <c r="HS190" s="11"/>
      <c r="HT190" s="11"/>
      <c r="HU190" s="11"/>
      <c r="HV190" s="8"/>
      <c r="HW190" s="11"/>
      <c r="HX190" s="8"/>
      <c r="HY190" s="8"/>
      <c r="HZ190" s="11"/>
      <c r="IA190" s="11"/>
      <c r="IB190" s="8"/>
      <c r="IC190" s="8"/>
      <c r="ID190" s="8"/>
      <c r="IE190" s="8"/>
      <c r="IF190" s="8"/>
      <c r="IG190" s="11"/>
      <c r="IH190" s="11"/>
      <c r="II190" s="8"/>
      <c r="IJ190" s="8"/>
      <c r="IK190" s="8"/>
      <c r="IL190" s="8"/>
      <c r="IO190" s="7"/>
      <c r="IP190" s="7"/>
    </row>
    <row r="191" spans="2:268" ht="29.5" customHeight="1">
      <c r="E191" s="2"/>
      <c r="G191" s="3"/>
      <c r="H191" s="3"/>
      <c r="I191" s="3"/>
      <c r="J191" s="3"/>
      <c r="K191" s="3"/>
      <c r="L191" s="3"/>
      <c r="V191" s="2"/>
      <c r="W191" s="2"/>
      <c r="X191" s="2"/>
      <c r="Y191" s="2"/>
      <c r="Z191" s="2"/>
      <c r="AD191" s="8"/>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1369"/>
      <c r="BC191" s="1369"/>
      <c r="BD191" s="1369"/>
      <c r="BE191" s="1369"/>
      <c r="BF191" s="1369"/>
      <c r="BG191" s="1369"/>
      <c r="BH191" s="1369"/>
      <c r="BI191" s="1369"/>
      <c r="BJ191" s="1369"/>
      <c r="BK191" s="2"/>
      <c r="BL191" s="2"/>
      <c r="BM191" s="2"/>
      <c r="BN191" s="2"/>
      <c r="BO191" s="2"/>
      <c r="BP191" s="2"/>
      <c r="BQ191" s="2"/>
      <c r="BR191" s="2"/>
      <c r="BS191" s="2"/>
      <c r="BT191" s="2"/>
      <c r="BU191" s="2"/>
      <c r="BV191" s="10"/>
      <c r="BW191" s="10"/>
      <c r="BX191" s="10"/>
      <c r="BY191" s="10"/>
      <c r="BZ191" s="10"/>
      <c r="CA191" s="10"/>
      <c r="CB191" s="10"/>
      <c r="CC191" s="8"/>
      <c r="CD191" s="11"/>
      <c r="CE191" s="11"/>
      <c r="CF191" s="8"/>
      <c r="CG191" s="8"/>
      <c r="CH191" s="8"/>
      <c r="CI191" s="8"/>
      <c r="CJ191" s="8"/>
      <c r="CK191" s="11"/>
      <c r="CL191" s="11"/>
      <c r="CM191" s="8"/>
      <c r="CN191" s="8"/>
      <c r="CO191" s="8"/>
      <c r="CP191" s="8"/>
      <c r="CQ191" s="8"/>
      <c r="CR191" s="11"/>
      <c r="CS191" s="11"/>
      <c r="CT191" s="11"/>
      <c r="CU191" s="8"/>
      <c r="CV191" s="11"/>
      <c r="CW191" s="8"/>
      <c r="CX191" s="8"/>
      <c r="CY191" s="11"/>
      <c r="CZ191" s="11"/>
      <c r="DA191" s="8"/>
      <c r="DB191" s="8"/>
      <c r="DC191" s="8"/>
      <c r="DD191" s="8"/>
      <c r="DE191" s="8"/>
      <c r="DF191" s="11"/>
      <c r="DG191" s="11"/>
      <c r="DH191" s="8"/>
      <c r="DI191" s="8"/>
      <c r="DJ191" s="8"/>
      <c r="DK191" s="8"/>
      <c r="ER191" s="8"/>
      <c r="ES191" s="8"/>
      <c r="ET191" s="8"/>
      <c r="EU191" s="8"/>
      <c r="EV191" s="12"/>
      <c r="EY191" s="12"/>
      <c r="FB191" s="12"/>
      <c r="FE191" s="12"/>
      <c r="FH191" s="12"/>
      <c r="FK191" s="14"/>
      <c r="FL191" s="14"/>
      <c r="FM191" s="2"/>
      <c r="FN191" s="2"/>
      <c r="FO191" s="2"/>
      <c r="FP191" s="2"/>
      <c r="FQ191" s="2"/>
      <c r="FR191" s="2"/>
      <c r="FS191" s="2"/>
      <c r="FT191" s="2"/>
      <c r="FU191" s="2"/>
      <c r="FV191" s="2"/>
      <c r="FW191" s="2"/>
      <c r="FX191" s="2"/>
      <c r="FY191" s="2"/>
      <c r="FZ191" s="2"/>
      <c r="GA191" s="2"/>
      <c r="GB191" s="2"/>
      <c r="GC191" s="2"/>
      <c r="GD191" s="2"/>
      <c r="GE191" s="2"/>
      <c r="GF191" s="2"/>
      <c r="GG191" s="2"/>
      <c r="GH191" s="2"/>
      <c r="GI191" s="2"/>
      <c r="GJ191" s="2"/>
      <c r="GK191" s="2"/>
      <c r="GL191" s="2"/>
      <c r="GM191" s="2"/>
      <c r="GN191" s="2"/>
      <c r="GO191" s="2"/>
      <c r="GP191" s="2"/>
      <c r="GQ191" s="2"/>
      <c r="GR191" s="2"/>
      <c r="GS191" s="2"/>
      <c r="GT191" s="2"/>
      <c r="GU191" s="2"/>
      <c r="GV191" s="2"/>
      <c r="GW191" s="10"/>
      <c r="GX191" s="10"/>
      <c r="GY191" s="10"/>
      <c r="GZ191" s="10"/>
      <c r="HA191" s="10"/>
      <c r="HB191" s="10"/>
      <c r="HC191" s="10"/>
      <c r="HD191" s="8"/>
      <c r="HE191" s="11"/>
      <c r="HF191" s="11"/>
      <c r="HG191" s="8"/>
      <c r="HH191" s="8"/>
      <c r="HI191" s="8"/>
      <c r="HJ191" s="8"/>
      <c r="HK191" s="8"/>
      <c r="HL191" s="11"/>
      <c r="HM191" s="11"/>
      <c r="HN191" s="8"/>
      <c r="HO191" s="8"/>
      <c r="HP191" s="8"/>
      <c r="HQ191" s="8"/>
      <c r="HR191" s="8"/>
      <c r="HS191" s="11"/>
      <c r="HT191" s="11"/>
      <c r="HU191" s="11"/>
      <c r="HV191" s="8"/>
      <c r="HW191" s="11"/>
      <c r="HX191" s="8"/>
      <c r="HY191" s="8"/>
      <c r="HZ191" s="11"/>
      <c r="IA191" s="11"/>
      <c r="IB191" s="8"/>
      <c r="IC191" s="8"/>
      <c r="ID191" s="8"/>
      <c r="IE191" s="8"/>
      <c r="IF191" s="8"/>
      <c r="IG191" s="11"/>
      <c r="IH191" s="11"/>
      <c r="II191" s="8"/>
      <c r="IJ191" s="8"/>
      <c r="IK191" s="8"/>
      <c r="IL191" s="8"/>
      <c r="IO191" s="7"/>
      <c r="IP191" s="7"/>
    </row>
    <row r="192" spans="2:268" ht="42" customHeight="1">
      <c r="E192" s="2"/>
      <c r="G192" s="3"/>
      <c r="H192" s="3"/>
      <c r="I192" s="3"/>
      <c r="J192" s="3"/>
      <c r="K192" s="3"/>
      <c r="L192" s="3"/>
      <c r="V192" s="2"/>
      <c r="W192" s="2"/>
      <c r="X192" s="2"/>
      <c r="Y192" s="2"/>
      <c r="Z192" s="2"/>
      <c r="AD192" s="8"/>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1525" t="s">
        <v>664</v>
      </c>
      <c r="BC192" s="1525" t="s">
        <v>664</v>
      </c>
      <c r="BD192" s="1526">
        <f>BD185-BD190</f>
        <v>539225477</v>
      </c>
      <c r="BE192" s="1527"/>
      <c r="BF192" s="1526">
        <f>BF185-BF190</f>
        <v>892757704</v>
      </c>
      <c r="BG192" s="1369"/>
      <c r="BH192" s="1369"/>
      <c r="BI192" s="1369"/>
      <c r="BJ192" s="1369"/>
      <c r="BK192" s="2"/>
      <c r="BL192" s="2"/>
      <c r="BM192" s="2"/>
      <c r="BN192" s="2"/>
      <c r="BO192" s="2"/>
      <c r="BP192" s="2"/>
      <c r="BQ192" s="2"/>
      <c r="BR192" s="2"/>
      <c r="BS192" s="2"/>
      <c r="BT192" s="2"/>
      <c r="BU192" s="2"/>
      <c r="BV192" s="10"/>
      <c r="BW192" s="10"/>
      <c r="BX192" s="10"/>
      <c r="BY192" s="10"/>
      <c r="BZ192" s="10"/>
      <c r="CA192" s="10"/>
      <c r="CB192" s="10"/>
      <c r="CC192" s="8"/>
      <c r="CD192" s="11"/>
      <c r="CE192" s="11"/>
      <c r="CF192" s="8"/>
      <c r="CG192" s="8"/>
      <c r="CH192" s="8"/>
      <c r="CI192" s="8"/>
      <c r="CJ192" s="8"/>
      <c r="CK192" s="11"/>
      <c r="CL192" s="11"/>
      <c r="CM192" s="8"/>
      <c r="CN192" s="8"/>
      <c r="CO192" s="8"/>
      <c r="CP192" s="8"/>
      <c r="CQ192" s="8"/>
      <c r="CR192" s="11"/>
      <c r="CS192" s="11"/>
      <c r="CT192" s="11"/>
      <c r="CU192" s="8"/>
      <c r="CV192" s="11"/>
      <c r="CW192" s="8"/>
      <c r="CX192" s="8"/>
      <c r="CY192" s="11"/>
      <c r="CZ192" s="11"/>
      <c r="DA192" s="8"/>
      <c r="DB192" s="8"/>
      <c r="DC192" s="8"/>
      <c r="DD192" s="8"/>
      <c r="DE192" s="8"/>
      <c r="DF192" s="11"/>
      <c r="DG192" s="11"/>
      <c r="DH192" s="8"/>
      <c r="DI192" s="8"/>
      <c r="DJ192" s="8"/>
      <c r="DK192" s="8"/>
      <c r="ER192" s="8"/>
      <c r="ES192" s="8"/>
      <c r="ET192" s="8"/>
      <c r="EU192" s="8"/>
      <c r="EV192" s="12"/>
      <c r="EY192" s="12"/>
      <c r="FB192" s="12"/>
      <c r="FE192" s="12"/>
      <c r="FH192" s="12"/>
      <c r="FK192" s="14"/>
      <c r="FL192" s="14"/>
      <c r="FM192" s="2"/>
      <c r="FN192" s="2"/>
      <c r="FO192" s="2"/>
      <c r="FP192" s="2"/>
      <c r="FQ192" s="2"/>
      <c r="FR192" s="2"/>
      <c r="FS192" s="2"/>
      <c r="FT192" s="2"/>
      <c r="FU192" s="2"/>
      <c r="FV192" s="2"/>
      <c r="FW192" s="2"/>
      <c r="FX192" s="2"/>
      <c r="FY192" s="2"/>
      <c r="FZ192" s="2"/>
      <c r="GA192" s="2"/>
      <c r="GB192" s="2"/>
      <c r="GC192" s="2"/>
      <c r="GD192" s="2"/>
      <c r="GE192" s="2"/>
      <c r="GF192" s="2"/>
      <c r="GG192" s="2"/>
      <c r="GH192" s="2"/>
      <c r="GI192" s="2"/>
      <c r="GJ192" s="2"/>
      <c r="GK192" s="2"/>
      <c r="GL192" s="2"/>
      <c r="GM192" s="2"/>
      <c r="GN192" s="2"/>
      <c r="GO192" s="2"/>
      <c r="GP192" s="2"/>
      <c r="GQ192" s="2"/>
      <c r="GR192" s="2"/>
      <c r="GS192" s="2"/>
      <c r="GT192" s="2"/>
      <c r="GU192" s="2"/>
      <c r="GV192" s="2"/>
      <c r="GW192" s="10"/>
      <c r="GX192" s="10"/>
      <c r="GY192" s="10"/>
      <c r="GZ192" s="10"/>
      <c r="HA192" s="10"/>
      <c r="HB192" s="10"/>
      <c r="HC192" s="10"/>
      <c r="HD192" s="8"/>
      <c r="HE192" s="11"/>
      <c r="HF192" s="11"/>
      <c r="HG192" s="8"/>
      <c r="HH192" s="8"/>
      <c r="HI192" s="8"/>
      <c r="HJ192" s="8"/>
      <c r="HK192" s="8"/>
      <c r="HL192" s="11"/>
      <c r="HM192" s="11"/>
      <c r="HN192" s="8"/>
      <c r="HO192" s="8"/>
      <c r="HP192" s="8"/>
      <c r="HQ192" s="8"/>
      <c r="HR192" s="8"/>
      <c r="HS192" s="11"/>
      <c r="HT192" s="11"/>
      <c r="HU192" s="11"/>
      <c r="HV192" s="8"/>
      <c r="HW192" s="11"/>
      <c r="HX192" s="8"/>
      <c r="HY192" s="8"/>
      <c r="HZ192" s="11"/>
      <c r="IA192" s="11"/>
      <c r="IB192" s="8"/>
      <c r="IC192" s="8"/>
      <c r="ID192" s="8"/>
      <c r="IE192" s="8"/>
      <c r="IF192" s="8"/>
      <c r="IG192" s="11"/>
      <c r="IH192" s="11"/>
      <c r="II192" s="8"/>
      <c r="IJ192" s="8"/>
      <c r="IK192" s="8"/>
      <c r="IL192" s="8"/>
      <c r="IO192" s="7"/>
      <c r="IP192" s="7"/>
    </row>
    <row r="193" spans="2:398" ht="42" customHeight="1">
      <c r="E193" s="2"/>
      <c r="G193" s="3"/>
      <c r="H193" s="3"/>
      <c r="I193" s="3"/>
      <c r="J193" s="3"/>
      <c r="K193" s="3"/>
      <c r="L193" s="3"/>
      <c r="V193" s="2"/>
      <c r="W193" s="2"/>
      <c r="X193" s="2"/>
      <c r="Y193" s="2"/>
      <c r="Z193" s="2"/>
      <c r="AD193" s="8"/>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1369" t="s">
        <v>665</v>
      </c>
      <c r="BC193" s="1369" t="s">
        <v>665</v>
      </c>
      <c r="BD193" s="1421">
        <f>[1]【251001】パラ選手積算!DF51</f>
        <v>233901768</v>
      </c>
      <c r="BE193" s="1421"/>
      <c r="BF193" s="1421">
        <f>[1]【251001】パラ選手積算!DH51</f>
        <v>425521981</v>
      </c>
      <c r="BG193" s="1369"/>
      <c r="BH193" s="1369"/>
      <c r="BI193" s="1369"/>
      <c r="BJ193" s="1369"/>
      <c r="BK193" s="2"/>
      <c r="BL193" s="2"/>
      <c r="BM193" s="2"/>
      <c r="BN193" s="2"/>
      <c r="BO193" s="2"/>
      <c r="BP193" s="2"/>
      <c r="BQ193" s="2"/>
      <c r="BR193" s="2"/>
      <c r="BS193" s="2"/>
      <c r="BT193" s="2"/>
      <c r="BU193" s="2"/>
      <c r="BV193" s="10"/>
      <c r="BW193" s="10"/>
      <c r="BX193" s="10"/>
      <c r="BY193" s="10"/>
      <c r="BZ193" s="10"/>
      <c r="CA193" s="10"/>
      <c r="CB193" s="10"/>
      <c r="CC193" s="8"/>
      <c r="CD193" s="11"/>
      <c r="CE193" s="11"/>
      <c r="CF193" s="8"/>
      <c r="CG193" s="8"/>
      <c r="CH193" s="8"/>
      <c r="CI193" s="8"/>
      <c r="CJ193" s="8"/>
      <c r="CK193" s="11"/>
      <c r="CL193" s="11"/>
      <c r="CM193" s="8"/>
      <c r="CN193" s="8"/>
      <c r="CO193" s="8"/>
      <c r="CP193" s="8"/>
      <c r="CQ193" s="8"/>
      <c r="CR193" s="11"/>
      <c r="CS193" s="11"/>
      <c r="CT193" s="11"/>
      <c r="CU193" s="8"/>
      <c r="CV193" s="11"/>
      <c r="CW193" s="8"/>
      <c r="CX193" s="8"/>
      <c r="CY193" s="11"/>
      <c r="CZ193" s="11"/>
      <c r="DA193" s="8"/>
      <c r="DB193" s="8"/>
      <c r="DC193" s="8"/>
      <c r="DD193" s="8"/>
      <c r="DE193" s="8"/>
      <c r="DF193" s="11"/>
      <c r="DG193" s="11"/>
      <c r="DH193" s="8"/>
      <c r="DI193" s="8"/>
      <c r="DJ193" s="8"/>
      <c r="DK193" s="8"/>
      <c r="ER193" s="8"/>
      <c r="ES193" s="8"/>
      <c r="ET193" s="8"/>
      <c r="EU193" s="8"/>
      <c r="EV193" s="12"/>
      <c r="EY193" s="12"/>
      <c r="FB193" s="12"/>
      <c r="FE193" s="12"/>
      <c r="FH193" s="12"/>
      <c r="FK193" s="14"/>
      <c r="FL193" s="14"/>
      <c r="FM193" s="2"/>
      <c r="FN193" s="2"/>
      <c r="FO193" s="2"/>
      <c r="FP193" s="2"/>
      <c r="FQ193" s="2"/>
      <c r="FR193" s="2"/>
      <c r="FS193" s="2"/>
      <c r="FT193" s="2"/>
      <c r="FU193" s="2"/>
      <c r="FV193" s="2"/>
      <c r="FW193" s="2"/>
      <c r="FX193" s="2"/>
      <c r="FY193" s="2"/>
      <c r="FZ193" s="2"/>
      <c r="GA193" s="2"/>
      <c r="GB193" s="2"/>
      <c r="GC193" s="2"/>
      <c r="GD193" s="2"/>
      <c r="GE193" s="2"/>
      <c r="GF193" s="2"/>
      <c r="GG193" s="2"/>
      <c r="GH193" s="2"/>
      <c r="GI193" s="2"/>
      <c r="GJ193" s="2"/>
      <c r="GK193" s="2"/>
      <c r="GL193" s="2"/>
      <c r="GM193" s="2"/>
      <c r="GN193" s="2"/>
      <c r="GO193" s="2"/>
      <c r="GP193" s="2"/>
      <c r="GQ193" s="2"/>
      <c r="GR193" s="2"/>
      <c r="GS193" s="2"/>
      <c r="GT193" s="2"/>
      <c r="GU193" s="2"/>
      <c r="GV193" s="2"/>
      <c r="GW193" s="10"/>
      <c r="GX193" s="10"/>
      <c r="GY193" s="10"/>
      <c r="GZ193" s="10"/>
      <c r="HA193" s="10"/>
      <c r="HB193" s="10"/>
      <c r="HC193" s="10"/>
      <c r="HD193" s="8"/>
      <c r="HE193" s="11"/>
      <c r="HF193" s="11"/>
      <c r="HG193" s="8"/>
      <c r="HH193" s="8"/>
      <c r="HI193" s="8"/>
      <c r="HJ193" s="8"/>
      <c r="HK193" s="8"/>
      <c r="HL193" s="11"/>
      <c r="HM193" s="11"/>
      <c r="HN193" s="8"/>
      <c r="HO193" s="8"/>
      <c r="HP193" s="8"/>
      <c r="HQ193" s="8"/>
      <c r="HR193" s="8"/>
      <c r="HS193" s="11"/>
      <c r="HT193" s="11"/>
      <c r="HU193" s="11"/>
      <c r="HV193" s="8"/>
      <c r="HW193" s="11"/>
      <c r="HX193" s="8"/>
      <c r="HY193" s="8"/>
      <c r="HZ193" s="11"/>
      <c r="IA193" s="11"/>
      <c r="IB193" s="8"/>
      <c r="IC193" s="8"/>
      <c r="ID193" s="8"/>
      <c r="IE193" s="8"/>
      <c r="IF193" s="8"/>
      <c r="IG193" s="11"/>
      <c r="IH193" s="11"/>
      <c r="II193" s="8"/>
      <c r="IJ193" s="8"/>
      <c r="IK193" s="8"/>
      <c r="IL193" s="8"/>
      <c r="IO193" s="7"/>
      <c r="IP193" s="7"/>
    </row>
    <row r="194" spans="2:398" ht="22">
      <c r="E194" s="2"/>
      <c r="G194" s="3"/>
      <c r="H194" s="3"/>
      <c r="I194" s="3"/>
      <c r="J194" s="3"/>
      <c r="K194" s="3"/>
      <c r="L194" s="3"/>
      <c r="V194" s="2"/>
      <c r="W194" s="2"/>
      <c r="X194" s="2"/>
      <c r="Y194" s="2"/>
      <c r="Z194" s="2"/>
      <c r="AD194" s="8"/>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1369"/>
      <c r="BC194" s="1369"/>
      <c r="BD194" s="1369"/>
      <c r="BE194" s="1369"/>
      <c r="BF194" s="1369"/>
      <c r="BG194" s="1369"/>
      <c r="BH194" s="1369"/>
      <c r="BI194" s="1369"/>
      <c r="BJ194" s="1369"/>
      <c r="BK194" s="2"/>
      <c r="BL194" s="2"/>
      <c r="BM194" s="2"/>
      <c r="BN194" s="2"/>
      <c r="BO194" s="2"/>
      <c r="BP194" s="2"/>
      <c r="BQ194" s="2"/>
      <c r="BR194" s="2"/>
      <c r="BS194" s="2"/>
      <c r="BT194" s="2"/>
      <c r="BU194" s="2"/>
      <c r="BV194" s="10"/>
      <c r="BW194" s="10"/>
      <c r="BX194" s="10"/>
      <c r="BY194" s="10"/>
      <c r="BZ194" s="10"/>
      <c r="CA194" s="10"/>
      <c r="CB194" s="10"/>
      <c r="CC194" s="8"/>
      <c r="CD194" s="11"/>
      <c r="CE194" s="11"/>
      <c r="CF194" s="8"/>
      <c r="CG194" s="8"/>
      <c r="CH194" s="8"/>
      <c r="CI194" s="8"/>
      <c r="CJ194" s="8"/>
      <c r="CK194" s="11"/>
      <c r="CL194" s="11"/>
      <c r="CM194" s="8"/>
      <c r="CN194" s="8"/>
      <c r="CO194" s="8"/>
      <c r="CP194" s="8"/>
      <c r="CQ194" s="8"/>
      <c r="CR194" s="11"/>
      <c r="CS194" s="11"/>
      <c r="CT194" s="11"/>
      <c r="CU194" s="8"/>
      <c r="CV194" s="11"/>
      <c r="CW194" s="8"/>
      <c r="CX194" s="8"/>
      <c r="CY194" s="11"/>
      <c r="CZ194" s="11"/>
      <c r="DA194" s="8"/>
      <c r="DB194" s="8"/>
      <c r="DC194" s="8"/>
      <c r="DD194" s="8"/>
      <c r="DE194" s="8"/>
      <c r="DF194" s="11"/>
      <c r="DG194" s="11"/>
      <c r="DH194" s="8"/>
      <c r="DI194" s="8"/>
      <c r="DJ194" s="8"/>
      <c r="DK194" s="8"/>
      <c r="ER194" s="8"/>
      <c r="ES194" s="8"/>
      <c r="ET194" s="8"/>
      <c r="EU194" s="8"/>
      <c r="EV194" s="12"/>
      <c r="EY194" s="12"/>
      <c r="FB194" s="12"/>
      <c r="FE194" s="12"/>
      <c r="FH194" s="12"/>
      <c r="FK194" s="14"/>
      <c r="FL194" s="14"/>
      <c r="FM194" s="2"/>
      <c r="FN194" s="2"/>
      <c r="FO194" s="2"/>
      <c r="FP194" s="2"/>
      <c r="FQ194" s="2"/>
      <c r="FR194" s="2"/>
      <c r="FS194" s="2"/>
      <c r="FT194" s="2"/>
      <c r="FU194" s="2"/>
      <c r="FV194" s="2"/>
      <c r="FW194" s="2"/>
      <c r="FX194" s="2"/>
      <c r="FY194" s="2"/>
      <c r="FZ194" s="2"/>
      <c r="GA194" s="2"/>
      <c r="GB194" s="2"/>
      <c r="GC194" s="2"/>
      <c r="GD194" s="2"/>
      <c r="GE194" s="2"/>
      <c r="GF194" s="2"/>
      <c r="GG194" s="2"/>
      <c r="GH194" s="2"/>
      <c r="GI194" s="2"/>
      <c r="GJ194" s="2"/>
      <c r="GK194" s="2"/>
      <c r="GL194" s="2"/>
      <c r="GM194" s="2"/>
      <c r="GN194" s="2"/>
      <c r="GO194" s="2"/>
      <c r="GP194" s="2"/>
      <c r="GQ194" s="2"/>
      <c r="GR194" s="2"/>
      <c r="GS194" s="2"/>
      <c r="GT194" s="2"/>
      <c r="GU194" s="2"/>
      <c r="GV194" s="2"/>
      <c r="GW194" s="10"/>
      <c r="GX194" s="10"/>
      <c r="GY194" s="10"/>
      <c r="GZ194" s="10"/>
      <c r="HA194" s="10"/>
      <c r="HB194" s="10"/>
      <c r="HC194" s="10"/>
      <c r="HD194" s="8"/>
      <c r="HE194" s="11"/>
      <c r="HF194" s="11"/>
      <c r="HG194" s="8"/>
      <c r="HH194" s="8"/>
      <c r="HI194" s="8"/>
      <c r="HJ194" s="8"/>
      <c r="HK194" s="8"/>
      <c r="HL194" s="11"/>
      <c r="HM194" s="11"/>
      <c r="HN194" s="8"/>
      <c r="HO194" s="8"/>
      <c r="HP194" s="8"/>
      <c r="HQ194" s="8"/>
      <c r="HR194" s="8"/>
      <c r="HS194" s="11"/>
      <c r="HT194" s="11"/>
      <c r="HU194" s="11"/>
      <c r="HV194" s="8"/>
      <c r="HW194" s="11"/>
      <c r="HX194" s="8"/>
      <c r="HY194" s="8"/>
      <c r="HZ194" s="11"/>
      <c r="IA194" s="11"/>
      <c r="IB194" s="8"/>
      <c r="IC194" s="8"/>
      <c r="ID194" s="8"/>
      <c r="IE194" s="8"/>
      <c r="IF194" s="8"/>
      <c r="IG194" s="11"/>
      <c r="IH194" s="11"/>
      <c r="II194" s="8"/>
      <c r="IJ194" s="8"/>
      <c r="IK194" s="8"/>
      <c r="IL194" s="8"/>
      <c r="IO194" s="7"/>
      <c r="IP194" s="7"/>
    </row>
    <row r="195" spans="2:398" ht="22">
      <c r="E195" s="2"/>
      <c r="G195" s="3"/>
      <c r="H195" s="3"/>
      <c r="I195" s="3"/>
      <c r="J195" s="3"/>
      <c r="K195" s="3"/>
      <c r="L195" s="3"/>
      <c r="V195" s="2"/>
      <c r="W195" s="2"/>
      <c r="X195" s="2"/>
      <c r="Y195" s="2"/>
      <c r="Z195" s="2"/>
      <c r="AD195" s="8"/>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1369"/>
      <c r="BC195" s="1369"/>
      <c r="BD195" s="1369"/>
      <c r="BE195" s="1369"/>
      <c r="BF195" s="1369"/>
      <c r="BG195" s="1369"/>
      <c r="BH195" s="1369"/>
      <c r="BI195" s="1369"/>
      <c r="BJ195" s="1369"/>
      <c r="BK195" s="2"/>
      <c r="BL195" s="2"/>
      <c r="BM195" s="2"/>
      <c r="BN195" s="2"/>
      <c r="BO195" s="2"/>
      <c r="BP195" s="2"/>
      <c r="BQ195" s="2"/>
      <c r="BR195" s="2"/>
      <c r="BS195" s="2"/>
      <c r="BT195" s="2"/>
      <c r="BU195" s="2"/>
      <c r="BV195" s="10"/>
      <c r="BW195" s="10"/>
      <c r="BX195" s="10"/>
      <c r="BY195" s="10"/>
      <c r="BZ195" s="10"/>
      <c r="CA195" s="10"/>
      <c r="CB195" s="10"/>
      <c r="CC195" s="8"/>
      <c r="CD195" s="11"/>
      <c r="CE195" s="11"/>
      <c r="CF195" s="8"/>
      <c r="CG195" s="8"/>
      <c r="CH195" s="8"/>
      <c r="CI195" s="8"/>
      <c r="CJ195" s="8"/>
      <c r="CK195" s="11"/>
      <c r="CL195" s="11"/>
      <c r="CM195" s="8"/>
      <c r="CN195" s="8"/>
      <c r="CO195" s="8"/>
      <c r="CP195" s="8"/>
      <c r="CQ195" s="8"/>
      <c r="CR195" s="11"/>
      <c r="CS195" s="11"/>
      <c r="CT195" s="11"/>
      <c r="CU195" s="8"/>
      <c r="CV195" s="11"/>
      <c r="CW195" s="8"/>
      <c r="CX195" s="8"/>
      <c r="CY195" s="11"/>
      <c r="CZ195" s="11"/>
      <c r="DA195" s="8"/>
      <c r="DB195" s="8"/>
      <c r="DC195" s="8"/>
      <c r="DD195" s="8"/>
      <c r="DE195" s="8"/>
      <c r="DF195" s="11"/>
      <c r="DG195" s="11"/>
      <c r="DH195" s="8"/>
      <c r="DI195" s="8"/>
      <c r="DJ195" s="8"/>
      <c r="DK195" s="8"/>
      <c r="ER195" s="8"/>
      <c r="ES195" s="8"/>
      <c r="ET195" s="8"/>
      <c r="EU195" s="8"/>
      <c r="EV195" s="12"/>
      <c r="EY195" s="12"/>
      <c r="FB195" s="12"/>
      <c r="FE195" s="12"/>
      <c r="FH195" s="12"/>
      <c r="FK195" s="14"/>
      <c r="FL195" s="14"/>
      <c r="FM195" s="2"/>
      <c r="FN195" s="2"/>
      <c r="FO195" s="2"/>
      <c r="FP195" s="2"/>
      <c r="FQ195" s="2"/>
      <c r="FR195" s="2"/>
      <c r="FS195" s="2"/>
      <c r="FT195" s="2"/>
      <c r="FU195" s="2"/>
      <c r="FV195" s="2"/>
      <c r="FW195" s="2"/>
      <c r="FX195" s="2"/>
      <c r="FY195" s="2"/>
      <c r="FZ195" s="2"/>
      <c r="GA195" s="2"/>
      <c r="GB195" s="2"/>
      <c r="GC195" s="2"/>
      <c r="GD195" s="2"/>
      <c r="GE195" s="2"/>
      <c r="GF195" s="2"/>
      <c r="GG195" s="2"/>
      <c r="GH195" s="2"/>
      <c r="GI195" s="2"/>
      <c r="GJ195" s="2"/>
      <c r="GK195" s="2"/>
      <c r="GL195" s="2"/>
      <c r="GM195" s="2"/>
      <c r="GN195" s="2"/>
      <c r="GO195" s="2"/>
      <c r="GP195" s="2"/>
      <c r="GQ195" s="2"/>
      <c r="GR195" s="2"/>
      <c r="GS195" s="2"/>
      <c r="GT195" s="2"/>
      <c r="GU195" s="2"/>
      <c r="GV195" s="2"/>
      <c r="GW195" s="10"/>
      <c r="GX195" s="10"/>
      <c r="GY195" s="10"/>
      <c r="GZ195" s="10"/>
      <c r="HA195" s="10"/>
      <c r="HB195" s="10"/>
      <c r="HC195" s="10"/>
      <c r="HD195" s="8"/>
      <c r="HE195" s="11"/>
      <c r="HF195" s="11"/>
      <c r="HG195" s="8"/>
      <c r="HH195" s="8"/>
      <c r="HI195" s="8"/>
      <c r="HJ195" s="8"/>
      <c r="HK195" s="8"/>
      <c r="HL195" s="11"/>
      <c r="HM195" s="11"/>
      <c r="HN195" s="8"/>
      <c r="HO195" s="8"/>
      <c r="HP195" s="8"/>
      <c r="HQ195" s="8"/>
      <c r="HR195" s="8"/>
      <c r="HS195" s="11"/>
      <c r="HT195" s="11"/>
      <c r="HU195" s="11"/>
      <c r="HV195" s="8"/>
      <c r="HW195" s="11"/>
      <c r="HX195" s="8"/>
      <c r="HY195" s="8"/>
      <c r="HZ195" s="11"/>
      <c r="IA195" s="11"/>
      <c r="IB195" s="8"/>
      <c r="IC195" s="8"/>
      <c r="ID195" s="8"/>
      <c r="IE195" s="8"/>
      <c r="IF195" s="8"/>
      <c r="IG195" s="11"/>
      <c r="IH195" s="11"/>
      <c r="II195" s="8"/>
      <c r="IJ195" s="8"/>
      <c r="IK195" s="8"/>
      <c r="IL195" s="8"/>
      <c r="IO195" s="7"/>
      <c r="IP195" s="7"/>
    </row>
    <row r="196" spans="2:398" s="3" customFormat="1" ht="22">
      <c r="B196" s="2"/>
      <c r="C196" s="2"/>
      <c r="D196" s="2"/>
      <c r="E196" s="2"/>
      <c r="F196" s="1528"/>
      <c r="M196" s="5"/>
      <c r="N196" s="4"/>
      <c r="O196" s="4"/>
      <c r="P196" s="5"/>
      <c r="Q196" s="4"/>
      <c r="R196" s="4"/>
      <c r="S196" s="4"/>
      <c r="T196" s="4"/>
      <c r="U196" s="2"/>
      <c r="V196" s="2"/>
      <c r="W196" s="2"/>
      <c r="X196" s="2"/>
      <c r="Y196" s="2"/>
      <c r="Z196" s="2"/>
      <c r="AA196" s="6"/>
      <c r="AB196" s="1"/>
      <c r="AC196" s="7"/>
      <c r="AD196" s="8"/>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1369"/>
      <c r="BC196" s="1369"/>
      <c r="BD196" s="1369"/>
      <c r="BE196" s="1369"/>
      <c r="BF196" s="1369"/>
      <c r="BG196" s="1369"/>
      <c r="BH196" s="1369"/>
      <c r="BI196" s="1369"/>
      <c r="BJ196" s="1369"/>
      <c r="BK196" s="2"/>
      <c r="BL196" s="2"/>
      <c r="BM196" s="2"/>
      <c r="BN196" s="2"/>
      <c r="BO196" s="2"/>
      <c r="BP196" s="2"/>
      <c r="BQ196" s="2"/>
      <c r="BR196" s="2"/>
      <c r="BS196" s="2"/>
      <c r="BT196" s="2"/>
      <c r="BU196" s="2"/>
      <c r="BV196" s="10"/>
      <c r="BW196" s="10"/>
      <c r="BX196" s="10"/>
      <c r="BY196" s="10"/>
      <c r="BZ196" s="10"/>
      <c r="CA196" s="10"/>
      <c r="CB196" s="10"/>
      <c r="CC196" s="8"/>
      <c r="CD196" s="11"/>
      <c r="CE196" s="11"/>
      <c r="CF196" s="8"/>
      <c r="CG196" s="8"/>
      <c r="CH196" s="8"/>
      <c r="CI196" s="8"/>
      <c r="CJ196" s="8"/>
      <c r="CK196" s="11"/>
      <c r="CL196" s="11"/>
      <c r="CM196" s="8"/>
      <c r="CN196" s="8"/>
      <c r="CO196" s="8"/>
      <c r="CP196" s="8"/>
      <c r="CQ196" s="8"/>
      <c r="CR196" s="11"/>
      <c r="CS196" s="11"/>
      <c r="CT196" s="11"/>
      <c r="CU196" s="8"/>
      <c r="CV196" s="11"/>
      <c r="CW196" s="8"/>
      <c r="CX196" s="8"/>
      <c r="CY196" s="11"/>
      <c r="CZ196" s="11"/>
      <c r="DA196" s="8"/>
      <c r="DB196" s="8"/>
      <c r="DC196" s="8"/>
      <c r="DD196" s="8"/>
      <c r="DE196" s="8"/>
      <c r="DF196" s="11"/>
      <c r="DG196" s="11"/>
      <c r="DH196" s="8"/>
      <c r="DI196" s="8"/>
      <c r="DJ196" s="8"/>
      <c r="DK196" s="8"/>
      <c r="DL196" s="7"/>
      <c r="DM196" s="7"/>
      <c r="DN196" s="7"/>
      <c r="DO196" s="7"/>
      <c r="DP196" s="7"/>
      <c r="DQ196" s="7"/>
      <c r="DR196" s="7"/>
      <c r="DS196" s="7"/>
      <c r="DT196" s="7"/>
      <c r="DU196" s="7"/>
      <c r="DV196" s="7"/>
      <c r="DW196" s="7"/>
      <c r="DX196" s="7"/>
      <c r="DY196" s="7"/>
      <c r="DZ196" s="7"/>
      <c r="EA196" s="7"/>
      <c r="EB196" s="7"/>
      <c r="EC196" s="7"/>
      <c r="ED196" s="7"/>
      <c r="EE196" s="7"/>
      <c r="EF196" s="7"/>
      <c r="EG196" s="7"/>
      <c r="EH196" s="7"/>
      <c r="EI196" s="7"/>
      <c r="EJ196" s="7"/>
      <c r="EK196" s="7"/>
      <c r="EL196" s="7"/>
      <c r="EM196" s="7"/>
      <c r="EN196" s="7"/>
      <c r="EO196" s="6"/>
      <c r="EP196" s="1"/>
      <c r="EQ196" s="7"/>
      <c r="ER196" s="8"/>
      <c r="ES196" s="8"/>
      <c r="ET196" s="8"/>
      <c r="EU196" s="8"/>
      <c r="EV196" s="12"/>
      <c r="EW196" s="13"/>
      <c r="EX196" s="13"/>
      <c r="EY196" s="12"/>
      <c r="EZ196" s="13"/>
      <c r="FA196" s="13"/>
      <c r="FB196" s="12"/>
      <c r="FC196" s="13"/>
      <c r="FD196" s="13"/>
      <c r="FE196" s="12"/>
      <c r="FF196" s="13"/>
      <c r="FG196" s="13"/>
      <c r="FH196" s="12"/>
      <c r="FI196" s="13"/>
      <c r="FJ196" s="13"/>
      <c r="FK196" s="14"/>
      <c r="FL196" s="14"/>
      <c r="FM196" s="2"/>
      <c r="FN196" s="2"/>
      <c r="FO196" s="2"/>
      <c r="FP196" s="2"/>
      <c r="FQ196" s="2"/>
      <c r="FR196" s="2"/>
      <c r="FS196" s="2"/>
      <c r="FT196" s="2"/>
      <c r="FU196" s="2"/>
      <c r="FV196" s="2"/>
      <c r="FW196" s="2"/>
      <c r="FX196" s="2"/>
      <c r="FY196" s="2"/>
      <c r="FZ196" s="2"/>
      <c r="GA196" s="2"/>
      <c r="GB196" s="2"/>
      <c r="GC196" s="2"/>
      <c r="GD196" s="2"/>
      <c r="GE196" s="2"/>
      <c r="GF196" s="2"/>
      <c r="GG196" s="2"/>
      <c r="GH196" s="2"/>
      <c r="GI196" s="2"/>
      <c r="GJ196" s="2"/>
      <c r="GK196" s="2"/>
      <c r="GL196" s="2"/>
      <c r="GM196" s="2"/>
      <c r="GN196" s="2"/>
      <c r="GO196" s="2"/>
      <c r="GP196" s="2"/>
      <c r="GQ196" s="2"/>
      <c r="GR196" s="2"/>
      <c r="GS196" s="2"/>
      <c r="GT196" s="2"/>
      <c r="GU196" s="2"/>
      <c r="GV196" s="2"/>
      <c r="GW196" s="10"/>
      <c r="GX196" s="10"/>
      <c r="GY196" s="10"/>
      <c r="GZ196" s="10"/>
      <c r="HA196" s="10"/>
      <c r="HB196" s="10"/>
      <c r="HC196" s="10"/>
      <c r="HD196" s="8"/>
      <c r="HE196" s="11"/>
      <c r="HF196" s="11"/>
      <c r="HG196" s="8"/>
      <c r="HH196" s="8"/>
      <c r="HI196" s="8"/>
      <c r="HJ196" s="8"/>
      <c r="HK196" s="8"/>
      <c r="HL196" s="11"/>
      <c r="HM196" s="11"/>
      <c r="HN196" s="8"/>
      <c r="HO196" s="8"/>
      <c r="HP196" s="8"/>
      <c r="HQ196" s="8"/>
      <c r="HR196" s="8"/>
      <c r="HS196" s="11"/>
      <c r="HT196" s="11"/>
      <c r="HU196" s="11"/>
      <c r="HV196" s="8"/>
      <c r="HW196" s="11"/>
      <c r="HX196" s="8"/>
      <c r="HY196" s="8"/>
      <c r="HZ196" s="11"/>
      <c r="IA196" s="11"/>
      <c r="IB196" s="8"/>
      <c r="IC196" s="8"/>
      <c r="ID196" s="8"/>
      <c r="IE196" s="8"/>
      <c r="IF196" s="8"/>
      <c r="IG196" s="11"/>
      <c r="IH196" s="11"/>
      <c r="II196" s="8"/>
      <c r="IJ196" s="8"/>
      <c r="IK196" s="8"/>
      <c r="IL196" s="8"/>
      <c r="IM196" s="7"/>
      <c r="IN196" s="7"/>
      <c r="IO196" s="7"/>
      <c r="IP196" s="7"/>
      <c r="IR196" s="1529"/>
      <c r="IS196" s="1529"/>
      <c r="IT196" s="1529"/>
      <c r="IU196" s="1529"/>
      <c r="IV196" s="1529"/>
      <c r="IW196" s="1529"/>
      <c r="KZ196" s="1530"/>
      <c r="LA196" s="1530"/>
      <c r="LB196" s="1530"/>
      <c r="LC196" s="1530"/>
      <c r="LD196" s="1530"/>
      <c r="LE196" s="1530"/>
      <c r="LF196" s="1530"/>
      <c r="LG196" s="1530"/>
      <c r="LH196" s="1530"/>
      <c r="LI196" s="1530"/>
      <c r="LJ196" s="1530"/>
      <c r="LK196" s="1530"/>
      <c r="LL196" s="1530"/>
      <c r="LM196" s="1530"/>
      <c r="LN196" s="1530"/>
      <c r="LO196" s="1530"/>
      <c r="LP196" s="1530"/>
      <c r="LQ196" s="1530"/>
      <c r="LR196" s="1530"/>
      <c r="LS196" s="1530"/>
      <c r="LT196" s="1530"/>
      <c r="LU196" s="1530"/>
      <c r="LV196" s="1530"/>
      <c r="LW196" s="1530"/>
      <c r="LX196" s="1530"/>
      <c r="LY196" s="1530"/>
      <c r="LZ196" s="1530"/>
      <c r="MA196" s="1530"/>
      <c r="MB196" s="1530"/>
      <c r="MC196" s="1530"/>
      <c r="MD196" s="1530"/>
      <c r="ME196" s="1530"/>
      <c r="MF196" s="1530"/>
      <c r="MG196" s="1530"/>
      <c r="MH196" s="1530"/>
      <c r="MI196" s="1530"/>
      <c r="MJ196" s="1530"/>
      <c r="MK196" s="1530"/>
      <c r="ML196" s="1530"/>
      <c r="MM196" s="1530"/>
      <c r="MN196" s="1530"/>
      <c r="MO196" s="1530"/>
      <c r="MP196" s="1530"/>
      <c r="MQ196" s="1530"/>
      <c r="MR196" s="1530"/>
      <c r="MS196" s="1530"/>
      <c r="MT196" s="1530"/>
      <c r="MU196" s="1530"/>
      <c r="MV196" s="1530"/>
      <c r="MW196" s="1530"/>
      <c r="MX196" s="1530"/>
      <c r="MY196" s="1530"/>
      <c r="MZ196" s="1530"/>
      <c r="NA196" s="1530"/>
      <c r="NB196" s="1530"/>
      <c r="NC196" s="1530"/>
      <c r="ND196" s="1530"/>
      <c r="NE196" s="1530"/>
      <c r="NF196" s="1530"/>
      <c r="NG196" s="1530"/>
      <c r="NH196" s="1530"/>
      <c r="NI196" s="1530"/>
      <c r="NJ196" s="1530"/>
      <c r="NK196" s="1530"/>
      <c r="NL196" s="1530"/>
      <c r="NM196" s="1530"/>
      <c r="NN196" s="1530"/>
      <c r="NO196" s="1530"/>
      <c r="NP196" s="1530"/>
      <c r="NQ196" s="1530"/>
      <c r="NR196" s="1530"/>
      <c r="NS196" s="1530"/>
      <c r="NT196" s="1530"/>
      <c r="NU196" s="1530"/>
      <c r="NV196" s="1530"/>
      <c r="NW196" s="1530"/>
      <c r="NX196" s="1530"/>
      <c r="NY196" s="1530"/>
      <c r="NZ196" s="1530"/>
      <c r="OA196" s="1530"/>
      <c r="OB196" s="1530"/>
      <c r="OC196" s="1530"/>
      <c r="OD196" s="1530"/>
      <c r="OE196" s="1530"/>
      <c r="OF196" s="1530"/>
      <c r="OG196" s="1530"/>
      <c r="OH196" s="1530"/>
    </row>
    <row r="197" spans="2:398" ht="22">
      <c r="E197" s="2"/>
      <c r="G197" s="3"/>
      <c r="H197" s="3"/>
      <c r="I197" s="3"/>
      <c r="J197" s="3"/>
      <c r="K197" s="3"/>
      <c r="L197" s="3"/>
      <c r="V197" s="2"/>
      <c r="W197" s="2"/>
      <c r="X197" s="2"/>
      <c r="Y197" s="2"/>
      <c r="Z197" s="2"/>
      <c r="AD197" s="8"/>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1369"/>
      <c r="BC197" s="1369"/>
      <c r="BD197" s="1369"/>
      <c r="BE197" s="1369"/>
      <c r="BF197" s="1369"/>
      <c r="BG197" s="1369"/>
      <c r="BH197" s="1369"/>
      <c r="BI197" s="1369"/>
      <c r="BJ197" s="1369"/>
      <c r="BK197" s="2"/>
      <c r="BL197" s="2"/>
      <c r="BM197" s="2"/>
      <c r="BN197" s="2"/>
      <c r="BO197" s="2"/>
      <c r="BP197" s="2"/>
      <c r="BQ197" s="2"/>
      <c r="BR197" s="2"/>
      <c r="BS197" s="2"/>
      <c r="BT197" s="2"/>
      <c r="BU197" s="2"/>
      <c r="BV197" s="10"/>
      <c r="BW197" s="10"/>
      <c r="BX197" s="10"/>
      <c r="BY197" s="10"/>
      <c r="BZ197" s="10"/>
      <c r="CA197" s="10"/>
      <c r="CB197" s="10"/>
      <c r="CC197" s="8"/>
      <c r="CD197" s="11"/>
      <c r="CE197" s="11"/>
      <c r="CF197" s="8"/>
      <c r="CG197" s="8"/>
      <c r="CH197" s="8"/>
      <c r="CI197" s="8"/>
      <c r="CJ197" s="8"/>
      <c r="CK197" s="11"/>
      <c r="CL197" s="11"/>
      <c r="CM197" s="8"/>
      <c r="CN197" s="8"/>
      <c r="CO197" s="8"/>
      <c r="CP197" s="8"/>
      <c r="CQ197" s="8"/>
      <c r="CR197" s="11"/>
      <c r="CS197" s="11"/>
      <c r="CT197" s="11"/>
      <c r="CU197" s="8"/>
      <c r="CV197" s="11"/>
      <c r="CW197" s="8"/>
      <c r="CX197" s="8"/>
      <c r="CY197" s="11"/>
      <c r="CZ197" s="11"/>
      <c r="DA197" s="8"/>
      <c r="DB197" s="8"/>
      <c r="DC197" s="8"/>
      <c r="DD197" s="8"/>
      <c r="DE197" s="8"/>
      <c r="DF197" s="11"/>
      <c r="DG197" s="11"/>
      <c r="DH197" s="8"/>
      <c r="DI197" s="8"/>
      <c r="DJ197" s="8"/>
      <c r="DK197" s="8"/>
      <c r="ER197" s="8"/>
      <c r="ES197" s="8"/>
      <c r="ET197" s="8"/>
      <c r="EU197" s="8"/>
      <c r="EV197" s="12"/>
      <c r="EY197" s="12"/>
      <c r="FB197" s="12"/>
      <c r="FE197" s="12"/>
      <c r="FH197" s="12"/>
      <c r="FK197" s="14"/>
      <c r="FL197" s="14"/>
      <c r="FM197" s="2"/>
      <c r="FN197" s="2"/>
      <c r="FO197" s="2"/>
      <c r="FP197" s="2"/>
      <c r="FQ197" s="2"/>
      <c r="FR197" s="2"/>
      <c r="FS197" s="2"/>
      <c r="FT197" s="2"/>
      <c r="FU197" s="2"/>
      <c r="FV197" s="2"/>
      <c r="FW197" s="2"/>
      <c r="FX197" s="2"/>
      <c r="FY197" s="2"/>
      <c r="FZ197" s="2"/>
      <c r="GA197" s="2"/>
      <c r="GB197" s="2"/>
      <c r="GC197" s="2"/>
      <c r="GD197" s="2"/>
      <c r="GE197" s="2"/>
      <c r="GF197" s="2"/>
      <c r="GG197" s="2"/>
      <c r="GH197" s="2"/>
      <c r="GI197" s="2"/>
      <c r="GJ197" s="2"/>
      <c r="GK197" s="2"/>
      <c r="GL197" s="2"/>
      <c r="GM197" s="2"/>
      <c r="GN197" s="2"/>
      <c r="GO197" s="2"/>
      <c r="GP197" s="2"/>
      <c r="GQ197" s="2"/>
      <c r="GR197" s="2"/>
      <c r="GS197" s="2"/>
      <c r="GT197" s="2"/>
      <c r="GU197" s="2"/>
      <c r="GV197" s="2"/>
      <c r="GW197" s="10"/>
      <c r="GX197" s="10"/>
      <c r="GY197" s="10"/>
      <c r="GZ197" s="10"/>
      <c r="HA197" s="10"/>
      <c r="HB197" s="10"/>
      <c r="HC197" s="10"/>
      <c r="HD197" s="8"/>
      <c r="HE197" s="11"/>
      <c r="HF197" s="11"/>
      <c r="HG197" s="8"/>
      <c r="HH197" s="8"/>
      <c r="HI197" s="8"/>
      <c r="HJ197" s="8"/>
      <c r="HK197" s="8"/>
      <c r="HL197" s="11"/>
      <c r="HM197" s="11"/>
      <c r="HN197" s="8"/>
      <c r="HO197" s="8"/>
      <c r="HP197" s="8"/>
      <c r="HQ197" s="8"/>
      <c r="HR197" s="8"/>
      <c r="HS197" s="11"/>
      <c r="HT197" s="11"/>
      <c r="HU197" s="11"/>
      <c r="HV197" s="8"/>
      <c r="HW197" s="11"/>
      <c r="HX197" s="8"/>
      <c r="HY197" s="8"/>
      <c r="HZ197" s="11"/>
      <c r="IA197" s="11"/>
      <c r="IB197" s="8"/>
      <c r="IC197" s="8"/>
      <c r="ID197" s="8"/>
      <c r="IE197" s="8"/>
      <c r="IF197" s="8"/>
      <c r="IG197" s="11"/>
      <c r="IH197" s="11"/>
      <c r="II197" s="8"/>
      <c r="IJ197" s="8"/>
      <c r="IK197" s="8"/>
      <c r="IL197" s="8"/>
      <c r="IO197" s="7"/>
      <c r="IP197" s="7"/>
    </row>
    <row r="198" spans="2:398" ht="22">
      <c r="E198" s="2"/>
      <c r="G198" s="3"/>
      <c r="H198" s="3"/>
      <c r="I198" s="3"/>
      <c r="J198" s="3"/>
      <c r="K198" s="3"/>
      <c r="L198" s="3"/>
      <c r="V198" s="2"/>
      <c r="W198" s="2"/>
      <c r="X198" s="2"/>
      <c r="Y198" s="2"/>
      <c r="Z198" s="2"/>
      <c r="AD198" s="8"/>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1369"/>
      <c r="BC198" s="1369"/>
      <c r="BD198" s="1369"/>
      <c r="BE198" s="1369"/>
      <c r="BF198" s="1369"/>
      <c r="BG198" s="1369"/>
      <c r="BH198" s="1369"/>
      <c r="BI198" s="1369"/>
      <c r="BJ198" s="1369"/>
      <c r="BK198" s="2"/>
      <c r="BL198" s="2"/>
      <c r="BM198" s="2"/>
      <c r="BN198" s="2"/>
      <c r="BO198" s="2"/>
      <c r="BP198" s="2"/>
      <c r="BQ198" s="2"/>
      <c r="BR198" s="2"/>
      <c r="BS198" s="2"/>
      <c r="BT198" s="2"/>
      <c r="BU198" s="2"/>
      <c r="BV198" s="10"/>
      <c r="BW198" s="10"/>
      <c r="BX198" s="10"/>
      <c r="BY198" s="10"/>
      <c r="BZ198" s="10"/>
      <c r="CA198" s="10"/>
      <c r="CB198" s="10"/>
      <c r="CC198" s="8"/>
      <c r="CD198" s="11"/>
      <c r="CE198" s="11"/>
      <c r="CF198" s="8"/>
      <c r="CG198" s="8"/>
      <c r="CH198" s="8"/>
      <c r="CI198" s="8"/>
      <c r="CJ198" s="8"/>
      <c r="CK198" s="11"/>
      <c r="CL198" s="11"/>
      <c r="CM198" s="8"/>
      <c r="CN198" s="8"/>
      <c r="CO198" s="8"/>
      <c r="CP198" s="8"/>
      <c r="CQ198" s="8"/>
      <c r="CR198" s="11"/>
      <c r="CS198" s="11"/>
      <c r="CT198" s="11"/>
      <c r="CU198" s="8"/>
      <c r="CV198" s="11"/>
      <c r="CW198" s="8"/>
      <c r="CX198" s="8"/>
      <c r="CY198" s="11"/>
      <c r="CZ198" s="11"/>
      <c r="DA198" s="8"/>
      <c r="DB198" s="8"/>
      <c r="DC198" s="8"/>
      <c r="DD198" s="8"/>
      <c r="DE198" s="8"/>
      <c r="DF198" s="11"/>
      <c r="DG198" s="11"/>
      <c r="DH198" s="8"/>
      <c r="DI198" s="8"/>
      <c r="DJ198" s="8"/>
      <c r="DK198" s="8"/>
      <c r="ER198" s="8"/>
      <c r="ES198" s="8"/>
      <c r="ET198" s="8"/>
      <c r="EU198" s="8"/>
      <c r="EV198" s="12"/>
      <c r="EY198" s="12"/>
      <c r="FB198" s="12"/>
      <c r="FE198" s="12"/>
      <c r="FH198" s="12"/>
      <c r="FK198" s="14"/>
      <c r="FL198" s="14"/>
      <c r="FM198" s="2"/>
      <c r="FN198" s="2"/>
      <c r="FO198" s="2"/>
      <c r="FP198" s="2"/>
      <c r="FQ198" s="2"/>
      <c r="FR198" s="2"/>
      <c r="FS198" s="2"/>
      <c r="FT198" s="2"/>
      <c r="FU198" s="2"/>
      <c r="FV198" s="2"/>
      <c r="FW198" s="2"/>
      <c r="FX198" s="2"/>
      <c r="FY198" s="2"/>
      <c r="FZ198" s="2"/>
      <c r="GA198" s="2"/>
      <c r="GB198" s="2"/>
      <c r="GC198" s="2"/>
      <c r="GD198" s="2"/>
      <c r="GE198" s="2"/>
      <c r="GF198" s="2"/>
      <c r="GG198" s="2"/>
      <c r="GH198" s="2"/>
      <c r="GI198" s="2"/>
      <c r="GJ198" s="2"/>
      <c r="GK198" s="2"/>
      <c r="GL198" s="2"/>
      <c r="GM198" s="2"/>
      <c r="GN198" s="2"/>
      <c r="GO198" s="2"/>
      <c r="GP198" s="2"/>
      <c r="GQ198" s="2"/>
      <c r="GR198" s="2"/>
      <c r="GS198" s="2"/>
      <c r="GT198" s="2"/>
      <c r="GU198" s="2"/>
      <c r="GV198" s="2"/>
      <c r="GW198" s="10"/>
      <c r="GX198" s="10"/>
      <c r="GY198" s="10"/>
      <c r="GZ198" s="10"/>
      <c r="HA198" s="10"/>
      <c r="HB198" s="10"/>
      <c r="HC198" s="10"/>
      <c r="HD198" s="8"/>
      <c r="HE198" s="11"/>
      <c r="HF198" s="11"/>
      <c r="HG198" s="8"/>
      <c r="HH198" s="8"/>
      <c r="HI198" s="8"/>
      <c r="HJ198" s="8"/>
      <c r="HK198" s="8"/>
      <c r="HL198" s="11"/>
      <c r="HM198" s="11"/>
      <c r="HN198" s="8"/>
      <c r="HO198" s="8"/>
      <c r="HP198" s="8"/>
      <c r="HQ198" s="8"/>
      <c r="HR198" s="8"/>
      <c r="HS198" s="11"/>
      <c r="HT198" s="11"/>
      <c r="HU198" s="11"/>
      <c r="HV198" s="8"/>
      <c r="HW198" s="11"/>
      <c r="HX198" s="8"/>
      <c r="HY198" s="8"/>
      <c r="HZ198" s="11"/>
      <c r="IA198" s="11"/>
      <c r="IB198" s="8"/>
      <c r="IC198" s="8"/>
      <c r="ID198" s="8"/>
      <c r="IE198" s="8"/>
      <c r="IF198" s="8"/>
      <c r="IG198" s="11"/>
      <c r="IH198" s="11"/>
      <c r="II198" s="8"/>
      <c r="IJ198" s="8"/>
      <c r="IK198" s="8"/>
      <c r="IL198" s="8"/>
      <c r="IO198" s="7"/>
      <c r="IP198" s="7"/>
    </row>
    <row r="199" spans="2:398" ht="22">
      <c r="E199" s="2"/>
      <c r="G199" s="3"/>
      <c r="H199" s="3"/>
      <c r="I199" s="3"/>
      <c r="J199" s="3"/>
      <c r="K199" s="3"/>
      <c r="L199" s="3"/>
      <c r="V199" s="2"/>
      <c r="W199" s="2"/>
      <c r="X199" s="2"/>
      <c r="Y199" s="2"/>
      <c r="Z199" s="2"/>
      <c r="AD199" s="8"/>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1369"/>
      <c r="BC199" s="1369"/>
      <c r="BD199" s="1369"/>
      <c r="BE199" s="1369"/>
      <c r="BF199" s="1369"/>
      <c r="BG199" s="1369"/>
      <c r="BH199" s="1369"/>
      <c r="BI199" s="1369"/>
      <c r="BJ199" s="1369"/>
      <c r="BK199" s="2"/>
      <c r="BL199" s="2"/>
      <c r="BM199" s="2"/>
      <c r="BN199" s="2"/>
      <c r="BO199" s="2"/>
      <c r="BP199" s="2"/>
      <c r="BQ199" s="2"/>
      <c r="BR199" s="2"/>
      <c r="BS199" s="2"/>
      <c r="BT199" s="2"/>
      <c r="BU199" s="2"/>
      <c r="BV199" s="10"/>
      <c r="BW199" s="10"/>
      <c r="BX199" s="10"/>
      <c r="BY199" s="10"/>
      <c r="BZ199" s="10"/>
      <c r="CA199" s="10"/>
      <c r="CB199" s="10"/>
      <c r="CC199" s="8"/>
      <c r="CD199" s="11"/>
      <c r="CE199" s="11"/>
      <c r="CF199" s="8"/>
      <c r="CG199" s="8"/>
      <c r="CH199" s="8"/>
      <c r="CI199" s="8"/>
      <c r="CJ199" s="8"/>
      <c r="CK199" s="11"/>
      <c r="CL199" s="11"/>
      <c r="CM199" s="8"/>
      <c r="CN199" s="8"/>
      <c r="CO199" s="8"/>
      <c r="CP199" s="8"/>
      <c r="CQ199" s="8"/>
      <c r="CR199" s="11"/>
      <c r="CS199" s="11"/>
      <c r="CT199" s="11"/>
      <c r="CU199" s="8"/>
      <c r="CV199" s="11"/>
      <c r="CW199" s="8"/>
      <c r="CX199" s="8"/>
      <c r="CY199" s="11"/>
      <c r="CZ199" s="11"/>
      <c r="DA199" s="8"/>
      <c r="DB199" s="8"/>
      <c r="DC199" s="8"/>
      <c r="DD199" s="8"/>
      <c r="DE199" s="8"/>
      <c r="DF199" s="11"/>
      <c r="DG199" s="11"/>
      <c r="DH199" s="8"/>
      <c r="DI199" s="8"/>
      <c r="DJ199" s="8"/>
      <c r="DK199" s="8"/>
      <c r="ER199" s="8"/>
      <c r="ES199" s="8"/>
      <c r="ET199" s="8"/>
      <c r="EU199" s="8"/>
      <c r="EV199" s="12"/>
      <c r="EY199" s="12"/>
      <c r="FB199" s="12"/>
      <c r="FE199" s="12"/>
      <c r="FH199" s="12"/>
      <c r="FK199" s="14"/>
      <c r="FL199" s="14"/>
      <c r="FM199" s="2"/>
      <c r="FN199" s="2"/>
      <c r="FO199" s="2"/>
      <c r="FP199" s="2"/>
      <c r="FQ199" s="2"/>
      <c r="FR199" s="2"/>
      <c r="FS199" s="2"/>
      <c r="FT199" s="2"/>
      <c r="FU199" s="2"/>
      <c r="FV199" s="2"/>
      <c r="FW199" s="2"/>
      <c r="FX199" s="2"/>
      <c r="FY199" s="2"/>
      <c r="FZ199" s="2"/>
      <c r="GA199" s="2"/>
      <c r="GB199" s="2"/>
      <c r="GC199" s="2"/>
      <c r="GD199" s="2"/>
      <c r="GE199" s="2"/>
      <c r="GF199" s="2"/>
      <c r="GG199" s="2"/>
      <c r="GH199" s="2"/>
      <c r="GI199" s="2"/>
      <c r="GJ199" s="2"/>
      <c r="GK199" s="2"/>
      <c r="GL199" s="2"/>
      <c r="GM199" s="2"/>
      <c r="GN199" s="2"/>
      <c r="GO199" s="2"/>
      <c r="GP199" s="2"/>
      <c r="GQ199" s="2"/>
      <c r="GR199" s="2"/>
      <c r="GS199" s="2"/>
      <c r="GT199" s="2"/>
      <c r="GU199" s="2"/>
      <c r="GV199" s="2"/>
      <c r="GW199" s="10"/>
      <c r="GX199" s="10"/>
      <c r="GY199" s="10"/>
      <c r="GZ199" s="10"/>
      <c r="HA199" s="10"/>
      <c r="HB199" s="10"/>
      <c r="HC199" s="10"/>
      <c r="HD199" s="8"/>
      <c r="HE199" s="11"/>
      <c r="HF199" s="11"/>
      <c r="HG199" s="8"/>
      <c r="HH199" s="8"/>
      <c r="HI199" s="8"/>
      <c r="HJ199" s="8"/>
      <c r="HK199" s="8"/>
      <c r="HL199" s="11"/>
      <c r="HM199" s="11"/>
      <c r="HN199" s="8"/>
      <c r="HO199" s="8"/>
      <c r="HP199" s="8"/>
      <c r="HQ199" s="8"/>
      <c r="HR199" s="8"/>
      <c r="HS199" s="11"/>
      <c r="HT199" s="11"/>
      <c r="HU199" s="11"/>
      <c r="HV199" s="8"/>
      <c r="HW199" s="11"/>
      <c r="HX199" s="8"/>
      <c r="HY199" s="8"/>
      <c r="HZ199" s="11"/>
      <c r="IA199" s="11"/>
      <c r="IB199" s="8"/>
      <c r="IC199" s="8"/>
      <c r="ID199" s="8"/>
      <c r="IE199" s="8"/>
      <c r="IF199" s="8"/>
      <c r="IG199" s="11"/>
      <c r="IH199" s="11"/>
      <c r="II199" s="8"/>
      <c r="IJ199" s="8"/>
      <c r="IK199" s="8"/>
      <c r="IL199" s="8"/>
      <c r="IO199" s="7"/>
      <c r="IP199" s="7"/>
    </row>
    <row r="200" spans="2:398" s="3" customFormat="1">
      <c r="B200" s="2"/>
      <c r="C200" s="2"/>
      <c r="D200" s="2"/>
      <c r="E200" s="2"/>
      <c r="F200" s="1528"/>
      <c r="M200" s="5"/>
      <c r="N200" s="4"/>
      <c r="O200" s="4"/>
      <c r="P200" s="5"/>
      <c r="Q200" s="4"/>
      <c r="R200" s="4"/>
      <c r="S200" s="4"/>
      <c r="T200" s="4"/>
      <c r="U200" s="2"/>
      <c r="V200" s="2"/>
      <c r="W200" s="2"/>
      <c r="X200" s="2"/>
      <c r="Y200" s="2"/>
      <c r="Z200" s="2"/>
      <c r="AA200" s="6"/>
      <c r="AB200" s="1"/>
      <c r="AC200" s="7"/>
      <c r="AD200" s="8"/>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10"/>
      <c r="BW200" s="10"/>
      <c r="BX200" s="10"/>
      <c r="BY200" s="10"/>
      <c r="BZ200" s="10"/>
      <c r="CA200" s="10"/>
      <c r="CB200" s="10"/>
      <c r="CC200" s="8"/>
      <c r="CD200" s="11"/>
      <c r="CE200" s="11"/>
      <c r="CF200" s="8"/>
      <c r="CG200" s="8"/>
      <c r="CH200" s="8"/>
      <c r="CI200" s="8"/>
      <c r="CJ200" s="8"/>
      <c r="CK200" s="11"/>
      <c r="CL200" s="11"/>
      <c r="CM200" s="8"/>
      <c r="CN200" s="8"/>
      <c r="CO200" s="8"/>
      <c r="CP200" s="8"/>
      <c r="CQ200" s="8"/>
      <c r="CR200" s="11"/>
      <c r="CS200" s="11"/>
      <c r="CT200" s="11"/>
      <c r="CU200" s="8"/>
      <c r="CV200" s="11"/>
      <c r="CW200" s="8"/>
      <c r="CX200" s="8"/>
      <c r="CY200" s="11"/>
      <c r="CZ200" s="11"/>
      <c r="DA200" s="8"/>
      <c r="DB200" s="8"/>
      <c r="DC200" s="8"/>
      <c r="DD200" s="8"/>
      <c r="DE200" s="8"/>
      <c r="DF200" s="11"/>
      <c r="DG200" s="11"/>
      <c r="DH200" s="8"/>
      <c r="DI200" s="8"/>
      <c r="DJ200" s="8"/>
      <c r="DK200" s="8"/>
      <c r="DL200" s="7"/>
      <c r="DM200" s="7"/>
      <c r="DN200" s="7"/>
      <c r="DO200" s="7"/>
      <c r="DP200" s="7"/>
      <c r="DQ200" s="7"/>
      <c r="DR200" s="7"/>
      <c r="DS200" s="7"/>
      <c r="DT200" s="7"/>
      <c r="DU200" s="7"/>
      <c r="DV200" s="7"/>
      <c r="DW200" s="7"/>
      <c r="DX200" s="7"/>
      <c r="DY200" s="7"/>
      <c r="DZ200" s="7"/>
      <c r="EA200" s="7"/>
      <c r="EB200" s="7"/>
      <c r="EC200" s="7"/>
      <c r="ED200" s="7"/>
      <c r="EE200" s="7"/>
      <c r="EF200" s="7"/>
      <c r="EG200" s="7"/>
      <c r="EH200" s="7"/>
      <c r="EI200" s="7"/>
      <c r="EJ200" s="7"/>
      <c r="EK200" s="7"/>
      <c r="EL200" s="7"/>
      <c r="EM200" s="7"/>
      <c r="EN200" s="7"/>
      <c r="EO200" s="6"/>
      <c r="EP200" s="1"/>
      <c r="EQ200" s="7"/>
      <c r="ER200" s="8"/>
      <c r="ES200" s="8"/>
      <c r="ET200" s="8"/>
      <c r="EU200" s="8"/>
      <c r="EV200" s="12"/>
      <c r="EW200" s="13"/>
      <c r="EX200" s="13"/>
      <c r="EY200" s="12"/>
      <c r="EZ200" s="13"/>
      <c r="FA200" s="13"/>
      <c r="FB200" s="12"/>
      <c r="FC200" s="13"/>
      <c r="FD200" s="13"/>
      <c r="FE200" s="12"/>
      <c r="FF200" s="13"/>
      <c r="FG200" s="13"/>
      <c r="FH200" s="12"/>
      <c r="FI200" s="13"/>
      <c r="FJ200" s="13"/>
      <c r="FK200" s="14"/>
      <c r="FL200" s="14"/>
      <c r="FM200" s="2"/>
      <c r="FN200" s="2"/>
      <c r="FO200" s="2"/>
      <c r="FP200" s="2"/>
      <c r="FQ200" s="2"/>
      <c r="FR200" s="2"/>
      <c r="FS200" s="2"/>
      <c r="FT200" s="2"/>
      <c r="FU200" s="2"/>
      <c r="FV200" s="2"/>
      <c r="FW200" s="2"/>
      <c r="FX200" s="2"/>
      <c r="FY200" s="2"/>
      <c r="FZ200" s="2"/>
      <c r="GA200" s="2"/>
      <c r="GB200" s="2"/>
      <c r="GC200" s="2"/>
      <c r="GD200" s="2"/>
      <c r="GE200" s="2"/>
      <c r="GF200" s="2"/>
      <c r="GG200" s="2"/>
      <c r="GH200" s="2"/>
      <c r="GI200" s="2"/>
      <c r="GJ200" s="2"/>
      <c r="GK200" s="2"/>
      <c r="GL200" s="2"/>
      <c r="GM200" s="2"/>
      <c r="GN200" s="2"/>
      <c r="GO200" s="2"/>
      <c r="GP200" s="2"/>
      <c r="GQ200" s="2"/>
      <c r="GR200" s="2"/>
      <c r="GS200" s="2"/>
      <c r="GT200" s="2"/>
      <c r="GU200" s="2"/>
      <c r="GV200" s="2"/>
      <c r="GW200" s="10"/>
      <c r="GX200" s="10"/>
      <c r="GY200" s="10"/>
      <c r="GZ200" s="10"/>
      <c r="HA200" s="10"/>
      <c r="HB200" s="10"/>
      <c r="HC200" s="10"/>
      <c r="HD200" s="8"/>
      <c r="HE200" s="11"/>
      <c r="HF200" s="11"/>
      <c r="HG200" s="8"/>
      <c r="HH200" s="8"/>
      <c r="HI200" s="8"/>
      <c r="HJ200" s="8"/>
      <c r="HK200" s="8"/>
      <c r="HL200" s="11"/>
      <c r="HM200" s="11"/>
      <c r="HN200" s="8"/>
      <c r="HO200" s="8"/>
      <c r="HP200" s="8"/>
      <c r="HQ200" s="8"/>
      <c r="HR200" s="8"/>
      <c r="HS200" s="11"/>
      <c r="HT200" s="11"/>
      <c r="HU200" s="11"/>
      <c r="HV200" s="8"/>
      <c r="HW200" s="11"/>
      <c r="HX200" s="8"/>
      <c r="HY200" s="8"/>
      <c r="HZ200" s="11"/>
      <c r="IA200" s="11"/>
      <c r="IB200" s="8"/>
      <c r="IC200" s="8"/>
      <c r="ID200" s="8"/>
      <c r="IE200" s="8"/>
      <c r="IF200" s="8"/>
      <c r="IG200" s="11"/>
      <c r="IH200" s="11"/>
      <c r="II200" s="8"/>
      <c r="IJ200" s="8"/>
      <c r="IK200" s="8"/>
      <c r="IL200" s="8"/>
      <c r="IM200" s="7"/>
      <c r="IN200" s="7"/>
      <c r="IO200" s="7"/>
      <c r="IP200" s="7"/>
      <c r="IR200" s="1529"/>
      <c r="IS200" s="1529"/>
      <c r="IT200" s="1529"/>
      <c r="IU200" s="1529"/>
      <c r="IV200" s="1529"/>
      <c r="IW200" s="1529"/>
      <c r="KZ200" s="1530"/>
      <c r="LA200" s="1530"/>
      <c r="LB200" s="1530"/>
      <c r="LC200" s="1530"/>
      <c r="LD200" s="1530"/>
      <c r="LE200" s="1530"/>
      <c r="LF200" s="1530"/>
      <c r="LG200" s="1530"/>
      <c r="LH200" s="1530"/>
      <c r="LI200" s="1530"/>
      <c r="LJ200" s="1530"/>
      <c r="LK200" s="1530"/>
      <c r="LL200" s="1530"/>
      <c r="LM200" s="1530"/>
      <c r="LN200" s="1530"/>
      <c r="LO200" s="1530"/>
      <c r="LP200" s="1530"/>
      <c r="LQ200" s="1530"/>
      <c r="LR200" s="1530"/>
      <c r="LS200" s="1530"/>
      <c r="LT200" s="1530"/>
      <c r="LU200" s="1530"/>
      <c r="LV200" s="1530"/>
      <c r="LW200" s="1530"/>
      <c r="LX200" s="1530"/>
      <c r="LY200" s="1530"/>
      <c r="LZ200" s="1530"/>
      <c r="MA200" s="1530"/>
      <c r="MB200" s="1530"/>
      <c r="MC200" s="1530"/>
      <c r="MD200" s="1530"/>
      <c r="ME200" s="1530"/>
      <c r="MF200" s="1530"/>
      <c r="MG200" s="1530"/>
      <c r="MH200" s="1530"/>
      <c r="MI200" s="1530"/>
      <c r="MJ200" s="1530"/>
      <c r="MK200" s="1530"/>
      <c r="ML200" s="1530"/>
      <c r="MM200" s="1530"/>
      <c r="MN200" s="1530"/>
      <c r="MO200" s="1530"/>
      <c r="MP200" s="1530"/>
      <c r="MQ200" s="1530"/>
      <c r="MR200" s="1530"/>
      <c r="MS200" s="1530"/>
      <c r="MT200" s="1530"/>
      <c r="MU200" s="1530"/>
      <c r="MV200" s="1530"/>
      <c r="MW200" s="1530"/>
      <c r="MX200" s="1530"/>
      <c r="MY200" s="1530"/>
      <c r="MZ200" s="1530"/>
      <c r="NA200" s="1530"/>
      <c r="NB200" s="1530"/>
      <c r="NC200" s="1530"/>
      <c r="ND200" s="1530"/>
      <c r="NE200" s="1530"/>
      <c r="NF200" s="1530"/>
      <c r="NG200" s="1530"/>
      <c r="NH200" s="1530"/>
      <c r="NI200" s="1530"/>
      <c r="NJ200" s="1530"/>
      <c r="NK200" s="1530"/>
      <c r="NL200" s="1530"/>
      <c r="NM200" s="1530"/>
      <c r="NN200" s="1530"/>
      <c r="NO200" s="1530"/>
      <c r="NP200" s="1530"/>
      <c r="NQ200" s="1530"/>
      <c r="NR200" s="1530"/>
      <c r="NS200" s="1530"/>
      <c r="NT200" s="1530"/>
      <c r="NU200" s="1530"/>
      <c r="NV200" s="1530"/>
      <c r="NW200" s="1530"/>
      <c r="NX200" s="1530"/>
      <c r="NY200" s="1530"/>
      <c r="NZ200" s="1530"/>
      <c r="OA200" s="1530"/>
      <c r="OB200" s="1530"/>
      <c r="OC200" s="1530"/>
      <c r="OD200" s="1530"/>
      <c r="OE200" s="1530"/>
      <c r="OF200" s="1530"/>
      <c r="OG200" s="1530"/>
      <c r="OH200" s="1530"/>
    </row>
    <row r="201" spans="2:398">
      <c r="E201" s="2"/>
      <c r="G201" s="3"/>
      <c r="H201" s="3"/>
      <c r="I201" s="3"/>
      <c r="J201" s="3"/>
      <c r="K201" s="3"/>
      <c r="L201" s="3"/>
      <c r="V201" s="2"/>
      <c r="W201" s="2"/>
      <c r="X201" s="2"/>
      <c r="Y201" s="2"/>
      <c r="Z201" s="2"/>
      <c r="AD201" s="8"/>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10"/>
      <c r="BW201" s="10"/>
      <c r="BX201" s="10"/>
      <c r="BY201" s="10"/>
      <c r="BZ201" s="10"/>
      <c r="CA201" s="10"/>
      <c r="CB201" s="10"/>
      <c r="CC201" s="8"/>
      <c r="CD201" s="11"/>
      <c r="CE201" s="11"/>
      <c r="CF201" s="8"/>
      <c r="CG201" s="8"/>
      <c r="CH201" s="8"/>
      <c r="CI201" s="8"/>
      <c r="CJ201" s="8"/>
      <c r="CK201" s="11"/>
      <c r="CL201" s="11"/>
      <c r="CM201" s="8"/>
      <c r="CN201" s="8"/>
      <c r="CO201" s="8"/>
      <c r="CP201" s="8"/>
      <c r="CQ201" s="8"/>
      <c r="CR201" s="11"/>
      <c r="CS201" s="11"/>
      <c r="CT201" s="11"/>
      <c r="CU201" s="8"/>
      <c r="CV201" s="11"/>
      <c r="CW201" s="8"/>
      <c r="CX201" s="8"/>
      <c r="CY201" s="11"/>
      <c r="CZ201" s="11"/>
      <c r="DA201" s="8"/>
      <c r="DB201" s="8"/>
      <c r="DC201" s="8"/>
      <c r="DD201" s="8"/>
      <c r="DE201" s="8"/>
      <c r="DF201" s="11"/>
      <c r="DG201" s="11"/>
      <c r="DH201" s="8"/>
      <c r="DI201" s="8"/>
      <c r="DJ201" s="8"/>
      <c r="DK201" s="8"/>
      <c r="ER201" s="8"/>
      <c r="ES201" s="8"/>
      <c r="ET201" s="8"/>
      <c r="EU201" s="8"/>
      <c r="EV201" s="12"/>
      <c r="EY201" s="12"/>
      <c r="FB201" s="12"/>
      <c r="FE201" s="12"/>
      <c r="FH201" s="12"/>
      <c r="FK201" s="14"/>
      <c r="FL201" s="14"/>
      <c r="FM201" s="2"/>
      <c r="FN201" s="2"/>
      <c r="FO201" s="2"/>
      <c r="FP201" s="2"/>
      <c r="FQ201" s="2"/>
      <c r="FR201" s="2"/>
      <c r="FS201" s="2"/>
      <c r="FT201" s="2"/>
      <c r="FU201" s="2"/>
      <c r="FV201" s="2"/>
      <c r="FW201" s="2"/>
      <c r="FX201" s="2"/>
      <c r="FY201" s="2"/>
      <c r="FZ201" s="2"/>
      <c r="GA201" s="2"/>
      <c r="GB201" s="2"/>
      <c r="GC201" s="2"/>
      <c r="GD201" s="2"/>
      <c r="GE201" s="2"/>
      <c r="GF201" s="2"/>
      <c r="GG201" s="2"/>
      <c r="GH201" s="2"/>
      <c r="GI201" s="2"/>
      <c r="GJ201" s="2"/>
      <c r="GK201" s="2"/>
      <c r="GL201" s="2"/>
      <c r="GM201" s="2"/>
      <c r="GN201" s="2"/>
      <c r="GO201" s="2"/>
      <c r="GP201" s="2"/>
      <c r="GQ201" s="2"/>
      <c r="GR201" s="2"/>
      <c r="GS201" s="2"/>
      <c r="GT201" s="2"/>
      <c r="GU201" s="2"/>
      <c r="GV201" s="2"/>
      <c r="GW201" s="10"/>
      <c r="GX201" s="10"/>
      <c r="GY201" s="10"/>
      <c r="GZ201" s="10"/>
      <c r="HA201" s="10"/>
      <c r="HB201" s="10"/>
      <c r="HC201" s="10"/>
      <c r="HD201" s="8"/>
      <c r="HE201" s="11"/>
      <c r="HF201" s="11"/>
      <c r="HG201" s="8"/>
      <c r="HH201" s="8"/>
      <c r="HI201" s="8"/>
      <c r="HJ201" s="8"/>
      <c r="HK201" s="8"/>
      <c r="HL201" s="11"/>
      <c r="HM201" s="11"/>
      <c r="HN201" s="8"/>
      <c r="HO201" s="8"/>
      <c r="HP201" s="8"/>
      <c r="HQ201" s="8"/>
      <c r="HR201" s="8"/>
      <c r="HS201" s="11"/>
      <c r="HT201" s="11"/>
      <c r="HU201" s="11"/>
      <c r="HV201" s="8"/>
      <c r="HW201" s="11"/>
      <c r="HX201" s="8"/>
      <c r="HY201" s="8"/>
      <c r="HZ201" s="11"/>
      <c r="IA201" s="11"/>
      <c r="IB201" s="8"/>
      <c r="IC201" s="8"/>
      <c r="ID201" s="8"/>
      <c r="IE201" s="8"/>
      <c r="IF201" s="8"/>
      <c r="IG201" s="11"/>
      <c r="IH201" s="11"/>
      <c r="II201" s="8"/>
      <c r="IJ201" s="8"/>
      <c r="IK201" s="8"/>
      <c r="IL201" s="8"/>
      <c r="IO201" s="7"/>
      <c r="IP201" s="7"/>
    </row>
    <row r="202" spans="2:398">
      <c r="E202" s="2"/>
      <c r="G202" s="3"/>
      <c r="H202" s="3"/>
      <c r="I202" s="3"/>
      <c r="J202" s="3"/>
      <c r="K202" s="3"/>
      <c r="L202" s="3"/>
      <c r="V202" s="2"/>
      <c r="W202" s="2"/>
      <c r="X202" s="2"/>
      <c r="Y202" s="2"/>
      <c r="Z202" s="2"/>
      <c r="AD202" s="8"/>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10"/>
      <c r="BW202" s="10"/>
      <c r="BX202" s="10"/>
      <c r="BY202" s="10"/>
      <c r="BZ202" s="10"/>
      <c r="CA202" s="10"/>
      <c r="CB202" s="10"/>
      <c r="CC202" s="8"/>
      <c r="CD202" s="11"/>
      <c r="CE202" s="11"/>
      <c r="CF202" s="8"/>
      <c r="CG202" s="8"/>
      <c r="CH202" s="8"/>
      <c r="CI202" s="8"/>
      <c r="CJ202" s="8"/>
      <c r="CK202" s="11"/>
      <c r="CL202" s="11"/>
      <c r="CM202" s="8"/>
      <c r="CN202" s="8"/>
      <c r="CO202" s="8"/>
      <c r="CP202" s="8"/>
      <c r="CQ202" s="8"/>
      <c r="CR202" s="11"/>
      <c r="CS202" s="11"/>
      <c r="CT202" s="11"/>
      <c r="CU202" s="8"/>
      <c r="CV202" s="11"/>
      <c r="CW202" s="8"/>
      <c r="CX202" s="8"/>
      <c r="CY202" s="11"/>
      <c r="CZ202" s="11"/>
      <c r="DA202" s="8"/>
      <c r="DB202" s="8"/>
      <c r="DC202" s="8"/>
      <c r="DD202" s="8"/>
      <c r="DE202" s="8"/>
      <c r="DF202" s="11"/>
      <c r="DG202" s="11"/>
      <c r="DH202" s="8"/>
      <c r="DI202" s="8"/>
      <c r="DJ202" s="8"/>
      <c r="DK202" s="8"/>
      <c r="ER202" s="8"/>
      <c r="ES202" s="8"/>
      <c r="ET202" s="8"/>
      <c r="EU202" s="8"/>
      <c r="EV202" s="12"/>
      <c r="EY202" s="12"/>
      <c r="FB202" s="12"/>
      <c r="FE202" s="12"/>
      <c r="FH202" s="12"/>
      <c r="FK202" s="14"/>
      <c r="FL202" s="14"/>
      <c r="FM202" s="2"/>
      <c r="FN202" s="2"/>
      <c r="FO202" s="2"/>
      <c r="FP202" s="2"/>
      <c r="FQ202" s="2"/>
      <c r="FR202" s="2"/>
      <c r="FS202" s="2"/>
      <c r="FT202" s="2"/>
      <c r="FU202" s="2"/>
      <c r="FV202" s="2"/>
      <c r="FW202" s="2"/>
      <c r="FX202" s="2"/>
      <c r="FY202" s="2"/>
      <c r="FZ202" s="2"/>
      <c r="GA202" s="2"/>
      <c r="GB202" s="2"/>
      <c r="GC202" s="2"/>
      <c r="GD202" s="2"/>
      <c r="GE202" s="2"/>
      <c r="GF202" s="2"/>
      <c r="GG202" s="2"/>
      <c r="GH202" s="2"/>
      <c r="GI202" s="2"/>
      <c r="GJ202" s="2"/>
      <c r="GK202" s="2"/>
      <c r="GL202" s="2"/>
      <c r="GM202" s="2"/>
      <c r="GN202" s="2"/>
      <c r="GO202" s="2"/>
      <c r="GP202" s="2"/>
      <c r="GQ202" s="2"/>
      <c r="GR202" s="2"/>
      <c r="GS202" s="2"/>
      <c r="GT202" s="2"/>
      <c r="GU202" s="2"/>
      <c r="GV202" s="2"/>
      <c r="GW202" s="10"/>
      <c r="GX202" s="10"/>
      <c r="GY202" s="10"/>
      <c r="GZ202" s="10"/>
      <c r="HA202" s="10"/>
      <c r="HB202" s="10"/>
      <c r="HC202" s="10"/>
      <c r="HD202" s="8"/>
      <c r="HE202" s="11"/>
      <c r="HF202" s="11"/>
      <c r="HG202" s="8"/>
      <c r="HH202" s="8"/>
      <c r="HI202" s="8"/>
      <c r="HJ202" s="8"/>
      <c r="HK202" s="8"/>
      <c r="HL202" s="11"/>
      <c r="HM202" s="11"/>
      <c r="HN202" s="8"/>
      <c r="HO202" s="8"/>
      <c r="HP202" s="8"/>
      <c r="HQ202" s="8"/>
      <c r="HR202" s="8"/>
      <c r="HS202" s="11"/>
      <c r="HT202" s="11"/>
      <c r="HU202" s="11"/>
      <c r="HV202" s="8"/>
      <c r="HW202" s="11"/>
      <c r="HX202" s="8"/>
      <c r="HY202" s="8"/>
      <c r="HZ202" s="11"/>
      <c r="IA202" s="11"/>
      <c r="IB202" s="8"/>
      <c r="IC202" s="8"/>
      <c r="ID202" s="8"/>
      <c r="IE202" s="8"/>
      <c r="IF202" s="8"/>
      <c r="IG202" s="11"/>
      <c r="IH202" s="11"/>
      <c r="II202" s="8"/>
      <c r="IJ202" s="8"/>
      <c r="IK202" s="8"/>
      <c r="IL202" s="8"/>
      <c r="IO202" s="7"/>
      <c r="IP202" s="7"/>
    </row>
    <row r="203" spans="2:398">
      <c r="E203" s="2"/>
      <c r="G203" s="3"/>
      <c r="H203" s="3"/>
      <c r="I203" s="3"/>
      <c r="J203" s="3"/>
      <c r="K203" s="3"/>
      <c r="L203" s="3"/>
      <c r="V203" s="2"/>
      <c r="W203" s="2"/>
      <c r="X203" s="2"/>
      <c r="Y203" s="2"/>
      <c r="Z203" s="2"/>
      <c r="AD203" s="8"/>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10"/>
      <c r="BW203" s="10"/>
      <c r="BX203" s="10"/>
      <c r="BY203" s="10"/>
      <c r="BZ203" s="10"/>
      <c r="CA203" s="10"/>
      <c r="CB203" s="10"/>
      <c r="CC203" s="8"/>
      <c r="CD203" s="11"/>
      <c r="CE203" s="11"/>
      <c r="CF203" s="8"/>
      <c r="CG203" s="8"/>
      <c r="CH203" s="8"/>
      <c r="CI203" s="8"/>
      <c r="CJ203" s="8"/>
      <c r="CK203" s="11"/>
      <c r="CL203" s="11"/>
      <c r="CM203" s="8"/>
      <c r="CN203" s="8"/>
      <c r="CO203" s="8"/>
      <c r="CP203" s="8"/>
      <c r="CQ203" s="8"/>
      <c r="CR203" s="11"/>
      <c r="CS203" s="11"/>
      <c r="CT203" s="11"/>
      <c r="CU203" s="8"/>
      <c r="CV203" s="11"/>
      <c r="CW203" s="8"/>
      <c r="CX203" s="8"/>
      <c r="CY203" s="11"/>
      <c r="CZ203" s="11"/>
      <c r="DA203" s="8"/>
      <c r="DB203" s="8"/>
      <c r="DC203" s="8"/>
      <c r="DD203" s="8"/>
      <c r="DE203" s="8"/>
      <c r="DF203" s="11"/>
      <c r="DG203" s="11"/>
      <c r="DH203" s="8"/>
      <c r="DI203" s="8"/>
      <c r="DJ203" s="8"/>
      <c r="DK203" s="8"/>
      <c r="ER203" s="8"/>
      <c r="ES203" s="8"/>
      <c r="ET203" s="8"/>
      <c r="EU203" s="8"/>
      <c r="EV203" s="12"/>
      <c r="EY203" s="12"/>
      <c r="FB203" s="12"/>
      <c r="FE203" s="12"/>
      <c r="FH203" s="12"/>
      <c r="FK203" s="14"/>
      <c r="FL203" s="14"/>
      <c r="FM203" s="2"/>
      <c r="FN203" s="2"/>
      <c r="FO203" s="2"/>
      <c r="FP203" s="2"/>
      <c r="FQ203" s="2"/>
      <c r="FR203" s="2"/>
      <c r="FS203" s="2"/>
      <c r="FT203" s="2"/>
      <c r="FU203" s="2"/>
      <c r="FV203" s="2"/>
      <c r="FW203" s="2"/>
      <c r="FX203" s="2"/>
      <c r="FY203" s="2"/>
      <c r="FZ203" s="2"/>
      <c r="GA203" s="2"/>
      <c r="GB203" s="2"/>
      <c r="GC203" s="2"/>
      <c r="GD203" s="2"/>
      <c r="GE203" s="2"/>
      <c r="GF203" s="2"/>
      <c r="GG203" s="2"/>
      <c r="GH203" s="2"/>
      <c r="GI203" s="2"/>
      <c r="GJ203" s="2"/>
      <c r="GK203" s="2"/>
      <c r="GL203" s="2"/>
      <c r="GM203" s="2"/>
      <c r="GN203" s="2"/>
      <c r="GO203" s="2"/>
      <c r="GP203" s="2"/>
      <c r="GQ203" s="2"/>
      <c r="GR203" s="2"/>
      <c r="GS203" s="2"/>
      <c r="GT203" s="2"/>
      <c r="GU203" s="2"/>
      <c r="GV203" s="2"/>
      <c r="GW203" s="10"/>
      <c r="GX203" s="10"/>
      <c r="GY203" s="10"/>
      <c r="GZ203" s="10"/>
      <c r="HA203" s="10"/>
      <c r="HB203" s="10"/>
      <c r="HC203" s="10"/>
      <c r="HD203" s="8"/>
      <c r="HE203" s="11"/>
      <c r="HF203" s="11"/>
      <c r="HG203" s="8"/>
      <c r="HH203" s="8"/>
      <c r="HI203" s="8"/>
      <c r="HJ203" s="8"/>
      <c r="HK203" s="8"/>
      <c r="HL203" s="11"/>
      <c r="HM203" s="11"/>
      <c r="HN203" s="8"/>
      <c r="HO203" s="8"/>
      <c r="HP203" s="8"/>
      <c r="HQ203" s="8"/>
      <c r="HR203" s="8"/>
      <c r="HS203" s="11"/>
      <c r="HT203" s="11"/>
      <c r="HU203" s="11"/>
      <c r="HV203" s="8"/>
      <c r="HW203" s="11"/>
      <c r="HX203" s="8"/>
      <c r="HY203" s="8"/>
      <c r="HZ203" s="11"/>
      <c r="IA203" s="11"/>
      <c r="IB203" s="8"/>
      <c r="IC203" s="8"/>
      <c r="ID203" s="8"/>
      <c r="IE203" s="8"/>
      <c r="IF203" s="8"/>
      <c r="IG203" s="11"/>
      <c r="IH203" s="11"/>
      <c r="II203" s="8"/>
      <c r="IJ203" s="8"/>
      <c r="IK203" s="8"/>
      <c r="IL203" s="8"/>
      <c r="IO203" s="7"/>
      <c r="IP203" s="7"/>
    </row>
    <row r="204" spans="2:398">
      <c r="E204" s="2"/>
      <c r="G204" s="3"/>
      <c r="H204" s="3"/>
      <c r="I204" s="3"/>
      <c r="J204" s="3"/>
      <c r="K204" s="3"/>
      <c r="L204" s="3"/>
      <c r="V204" s="2"/>
      <c r="W204" s="2"/>
      <c r="X204" s="2"/>
      <c r="Y204" s="2"/>
      <c r="Z204" s="2"/>
      <c r="AD204" s="8"/>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10"/>
      <c r="BW204" s="10"/>
      <c r="BX204" s="10"/>
      <c r="BY204" s="10"/>
      <c r="BZ204" s="10"/>
      <c r="CA204" s="10"/>
      <c r="CB204" s="10"/>
      <c r="CC204" s="8"/>
      <c r="CD204" s="11"/>
      <c r="CE204" s="11"/>
      <c r="CF204" s="8"/>
      <c r="CG204" s="8"/>
      <c r="CH204" s="8"/>
      <c r="CI204" s="8"/>
      <c r="CJ204" s="8"/>
      <c r="CK204" s="11"/>
      <c r="CL204" s="11"/>
      <c r="CM204" s="8"/>
      <c r="CN204" s="8"/>
      <c r="CO204" s="8"/>
      <c r="CP204" s="8"/>
      <c r="CQ204" s="8"/>
      <c r="CR204" s="11"/>
      <c r="CS204" s="11"/>
      <c r="CT204" s="11"/>
      <c r="CU204" s="8"/>
      <c r="CV204" s="11"/>
      <c r="CW204" s="8"/>
      <c r="CX204" s="8"/>
      <c r="CY204" s="11"/>
      <c r="CZ204" s="11"/>
      <c r="DA204" s="8"/>
      <c r="DB204" s="8"/>
      <c r="DC204" s="8"/>
      <c r="DD204" s="8"/>
      <c r="DE204" s="8"/>
      <c r="DF204" s="11"/>
      <c r="DG204" s="11"/>
      <c r="DH204" s="8"/>
      <c r="DI204" s="8"/>
      <c r="DJ204" s="8"/>
      <c r="DK204" s="8"/>
      <c r="ER204" s="8"/>
      <c r="ES204" s="8"/>
      <c r="ET204" s="8"/>
      <c r="EU204" s="8"/>
      <c r="EV204" s="12"/>
      <c r="EY204" s="12"/>
      <c r="FB204" s="12"/>
      <c r="FE204" s="12"/>
      <c r="FH204" s="12"/>
      <c r="FK204" s="14"/>
      <c r="FL204" s="14"/>
      <c r="FM204" s="2"/>
      <c r="FN204" s="2"/>
      <c r="FO204" s="2"/>
      <c r="FP204" s="2"/>
      <c r="FQ204" s="2"/>
      <c r="FR204" s="2"/>
      <c r="FS204" s="2"/>
      <c r="FT204" s="2"/>
      <c r="FU204" s="2"/>
      <c r="FV204" s="2"/>
      <c r="FW204" s="2"/>
      <c r="FX204" s="2"/>
      <c r="FY204" s="2"/>
      <c r="FZ204" s="2"/>
      <c r="GA204" s="2"/>
      <c r="GB204" s="2"/>
      <c r="GC204" s="2"/>
      <c r="GD204" s="2"/>
      <c r="GE204" s="2"/>
      <c r="GF204" s="2"/>
      <c r="GG204" s="2"/>
      <c r="GH204" s="2"/>
      <c r="GI204" s="2"/>
      <c r="GJ204" s="2"/>
      <c r="GK204" s="2"/>
      <c r="GL204" s="2"/>
      <c r="GM204" s="2"/>
      <c r="GN204" s="2"/>
      <c r="GO204" s="2"/>
      <c r="GP204" s="2"/>
      <c r="GQ204" s="2"/>
      <c r="GR204" s="2"/>
      <c r="GS204" s="2"/>
      <c r="GT204" s="2"/>
      <c r="GU204" s="2"/>
      <c r="GV204" s="2"/>
      <c r="GW204" s="10"/>
      <c r="GX204" s="10"/>
      <c r="GY204" s="10"/>
      <c r="GZ204" s="10"/>
      <c r="HA204" s="10"/>
      <c r="HB204" s="10"/>
      <c r="HC204" s="10"/>
      <c r="HD204" s="8"/>
      <c r="HE204" s="11"/>
      <c r="HF204" s="11"/>
      <c r="HG204" s="8"/>
      <c r="HH204" s="8"/>
      <c r="HI204" s="8"/>
      <c r="HJ204" s="8"/>
      <c r="HK204" s="8"/>
      <c r="HL204" s="11"/>
      <c r="HM204" s="11"/>
      <c r="HN204" s="8"/>
      <c r="HO204" s="8"/>
      <c r="HP204" s="8"/>
      <c r="HQ204" s="8"/>
      <c r="HR204" s="8"/>
      <c r="HS204" s="11"/>
      <c r="HT204" s="11"/>
      <c r="HU204" s="11"/>
      <c r="HV204" s="8"/>
      <c r="HW204" s="11"/>
      <c r="HX204" s="8"/>
      <c r="HY204" s="8"/>
      <c r="HZ204" s="11"/>
      <c r="IA204" s="11"/>
      <c r="IB204" s="8"/>
      <c r="IC204" s="8"/>
      <c r="ID204" s="8"/>
      <c r="IE204" s="8"/>
      <c r="IF204" s="8"/>
      <c r="IG204" s="11"/>
      <c r="IH204" s="11"/>
      <c r="II204" s="8"/>
      <c r="IJ204" s="8"/>
      <c r="IK204" s="8"/>
      <c r="IL204" s="8"/>
      <c r="IO204" s="7"/>
      <c r="IP204" s="7"/>
    </row>
    <row r="205" spans="2:398">
      <c r="E205" s="2"/>
      <c r="G205" s="3"/>
      <c r="H205" s="3"/>
      <c r="I205" s="3"/>
      <c r="J205" s="3"/>
      <c r="K205" s="3"/>
      <c r="L205" s="3"/>
      <c r="V205" s="2"/>
      <c r="W205" s="2"/>
      <c r="X205" s="2"/>
      <c r="Y205" s="2"/>
      <c r="Z205" s="2"/>
      <c r="AD205" s="8"/>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10"/>
      <c r="BW205" s="10"/>
      <c r="BX205" s="10"/>
      <c r="BY205" s="10"/>
      <c r="BZ205" s="10"/>
      <c r="CA205" s="10"/>
      <c r="CB205" s="10"/>
      <c r="CC205" s="8"/>
      <c r="CD205" s="11"/>
      <c r="CE205" s="11"/>
      <c r="CF205" s="8"/>
      <c r="CG205" s="8"/>
      <c r="CH205" s="8"/>
      <c r="CI205" s="8"/>
      <c r="CJ205" s="8"/>
      <c r="CK205" s="11"/>
      <c r="CL205" s="11"/>
      <c r="CM205" s="8"/>
      <c r="CN205" s="8"/>
      <c r="CO205" s="8"/>
      <c r="CP205" s="8"/>
      <c r="CQ205" s="8"/>
      <c r="CR205" s="11"/>
      <c r="CS205" s="11"/>
      <c r="CT205" s="11"/>
      <c r="CU205" s="8"/>
      <c r="CV205" s="11"/>
      <c r="CW205" s="8"/>
      <c r="CX205" s="8"/>
      <c r="CY205" s="11"/>
      <c r="CZ205" s="11"/>
      <c r="DA205" s="8"/>
      <c r="DB205" s="8"/>
      <c r="DC205" s="8"/>
      <c r="DD205" s="8"/>
      <c r="DE205" s="8"/>
      <c r="DF205" s="11"/>
      <c r="DG205" s="11"/>
      <c r="DH205" s="8"/>
      <c r="DI205" s="8"/>
      <c r="DJ205" s="8"/>
      <c r="DK205" s="8"/>
      <c r="ER205" s="8"/>
      <c r="ES205" s="8"/>
      <c r="ET205" s="8"/>
      <c r="EU205" s="8"/>
      <c r="EV205" s="12"/>
      <c r="EY205" s="12"/>
      <c r="FB205" s="12"/>
      <c r="FE205" s="12"/>
      <c r="FH205" s="12"/>
      <c r="FK205" s="14"/>
      <c r="FL205" s="14"/>
      <c r="FM205" s="2"/>
      <c r="FN205" s="2"/>
      <c r="FO205" s="2"/>
      <c r="FP205" s="2"/>
      <c r="FQ205" s="2"/>
      <c r="FR205" s="2"/>
      <c r="FS205" s="2"/>
      <c r="FT205" s="2"/>
      <c r="FU205" s="2"/>
      <c r="FV205" s="2"/>
      <c r="FW205" s="2"/>
      <c r="FX205" s="2"/>
      <c r="FY205" s="2"/>
      <c r="FZ205" s="2"/>
      <c r="GA205" s="2"/>
      <c r="GB205" s="2"/>
      <c r="GC205" s="2"/>
      <c r="GD205" s="2"/>
      <c r="GE205" s="2"/>
      <c r="GF205" s="2"/>
      <c r="GG205" s="2"/>
      <c r="GH205" s="2"/>
      <c r="GI205" s="2"/>
      <c r="GJ205" s="2"/>
      <c r="GK205" s="2"/>
      <c r="GL205" s="2"/>
      <c r="GM205" s="2"/>
      <c r="GN205" s="2"/>
      <c r="GO205" s="2"/>
      <c r="GP205" s="2"/>
      <c r="GQ205" s="2"/>
      <c r="GR205" s="2"/>
      <c r="GS205" s="2"/>
      <c r="GT205" s="2"/>
      <c r="GU205" s="2"/>
      <c r="GV205" s="2"/>
      <c r="GW205" s="10"/>
      <c r="GX205" s="10"/>
      <c r="GY205" s="10"/>
      <c r="GZ205" s="10"/>
      <c r="HA205" s="10"/>
      <c r="HB205" s="10"/>
      <c r="HC205" s="10"/>
      <c r="HD205" s="8"/>
      <c r="HE205" s="11"/>
      <c r="HF205" s="11"/>
      <c r="HG205" s="8"/>
      <c r="HH205" s="8"/>
      <c r="HI205" s="8"/>
      <c r="HJ205" s="8"/>
      <c r="HK205" s="8"/>
      <c r="HL205" s="11"/>
      <c r="HM205" s="11"/>
      <c r="HN205" s="8"/>
      <c r="HO205" s="8"/>
      <c r="HP205" s="8"/>
      <c r="HQ205" s="8"/>
      <c r="HR205" s="8"/>
      <c r="HS205" s="11"/>
      <c r="HT205" s="11"/>
      <c r="HU205" s="11"/>
      <c r="HV205" s="8"/>
      <c r="HW205" s="11"/>
      <c r="HX205" s="8"/>
      <c r="HY205" s="8"/>
      <c r="HZ205" s="11"/>
      <c r="IA205" s="11"/>
      <c r="IB205" s="8"/>
      <c r="IC205" s="8"/>
      <c r="ID205" s="8"/>
      <c r="IE205" s="8"/>
      <c r="IF205" s="8"/>
      <c r="IG205" s="11"/>
      <c r="IH205" s="11"/>
      <c r="II205" s="8"/>
      <c r="IJ205" s="8"/>
      <c r="IK205" s="8"/>
      <c r="IL205" s="8"/>
      <c r="IO205" s="7"/>
      <c r="IP205" s="7"/>
    </row>
    <row r="206" spans="2:398">
      <c r="E206" s="2"/>
      <c r="G206" s="3"/>
      <c r="H206" s="3"/>
      <c r="I206" s="3"/>
      <c r="J206" s="3"/>
      <c r="K206" s="3"/>
      <c r="L206" s="3"/>
      <c r="V206" s="2"/>
      <c r="W206" s="2"/>
      <c r="X206" s="2"/>
      <c r="Y206" s="2"/>
      <c r="Z206" s="2"/>
      <c r="AD206" s="8"/>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10"/>
      <c r="BW206" s="10"/>
      <c r="BX206" s="10"/>
      <c r="BY206" s="10"/>
      <c r="BZ206" s="10"/>
      <c r="CA206" s="10"/>
      <c r="CB206" s="10"/>
      <c r="CC206" s="8"/>
      <c r="CD206" s="11"/>
      <c r="CE206" s="11"/>
      <c r="CF206" s="8"/>
      <c r="CG206" s="8"/>
      <c r="CH206" s="8"/>
      <c r="CI206" s="8"/>
      <c r="CJ206" s="8"/>
      <c r="CK206" s="11"/>
      <c r="CL206" s="11"/>
      <c r="CM206" s="8"/>
      <c r="CN206" s="8"/>
      <c r="CO206" s="8"/>
      <c r="CP206" s="8"/>
      <c r="CQ206" s="8"/>
      <c r="CR206" s="11"/>
      <c r="CS206" s="11"/>
      <c r="CT206" s="11"/>
      <c r="CU206" s="8"/>
      <c r="CV206" s="11"/>
      <c r="CW206" s="8"/>
      <c r="CX206" s="8"/>
      <c r="CY206" s="11"/>
      <c r="CZ206" s="11"/>
      <c r="DA206" s="8"/>
      <c r="DB206" s="8"/>
      <c r="DC206" s="8"/>
      <c r="DD206" s="8"/>
      <c r="DE206" s="8"/>
      <c r="DF206" s="11"/>
      <c r="DG206" s="11"/>
      <c r="DH206" s="8"/>
      <c r="DI206" s="8"/>
      <c r="DJ206" s="8"/>
      <c r="DK206" s="8"/>
      <c r="ER206" s="8"/>
      <c r="ES206" s="8"/>
      <c r="ET206" s="8"/>
      <c r="EU206" s="8"/>
      <c r="EV206" s="12"/>
      <c r="EY206" s="12"/>
      <c r="FB206" s="12"/>
      <c r="FE206" s="12"/>
      <c r="FH206" s="12"/>
      <c r="FK206" s="14"/>
      <c r="FL206" s="14"/>
      <c r="FM206" s="2"/>
      <c r="FN206" s="2"/>
      <c r="FO206" s="2"/>
      <c r="FP206" s="2"/>
      <c r="FQ206" s="2"/>
      <c r="FR206" s="2"/>
      <c r="FS206" s="2"/>
      <c r="FT206" s="2"/>
      <c r="FU206" s="2"/>
      <c r="FV206" s="2"/>
      <c r="FW206" s="2"/>
      <c r="FX206" s="2"/>
      <c r="FY206" s="2"/>
      <c r="FZ206" s="2"/>
      <c r="GA206" s="2"/>
      <c r="GB206" s="2"/>
      <c r="GC206" s="2"/>
      <c r="GD206" s="2"/>
      <c r="GE206" s="2"/>
      <c r="GF206" s="2"/>
      <c r="GG206" s="2"/>
      <c r="GH206" s="2"/>
      <c r="GI206" s="2"/>
      <c r="GJ206" s="2"/>
      <c r="GK206" s="2"/>
      <c r="GL206" s="2"/>
      <c r="GM206" s="2"/>
      <c r="GN206" s="2"/>
      <c r="GO206" s="2"/>
      <c r="GP206" s="2"/>
      <c r="GQ206" s="2"/>
      <c r="GR206" s="2"/>
      <c r="GS206" s="2"/>
      <c r="GT206" s="2"/>
      <c r="GU206" s="2"/>
      <c r="GV206" s="2"/>
      <c r="GW206" s="10"/>
      <c r="GX206" s="10"/>
      <c r="GY206" s="10"/>
      <c r="GZ206" s="10"/>
      <c r="HA206" s="10"/>
      <c r="HB206" s="10"/>
      <c r="HC206" s="10"/>
      <c r="HD206" s="8"/>
      <c r="HE206" s="11"/>
      <c r="HF206" s="11"/>
      <c r="HG206" s="8"/>
      <c r="HH206" s="8"/>
      <c r="HI206" s="8"/>
      <c r="HJ206" s="8"/>
      <c r="HK206" s="8"/>
      <c r="HL206" s="11"/>
      <c r="HM206" s="11"/>
      <c r="HN206" s="8"/>
      <c r="HO206" s="8"/>
      <c r="HP206" s="8"/>
      <c r="HQ206" s="8"/>
      <c r="HR206" s="8"/>
      <c r="HS206" s="11"/>
      <c r="HT206" s="11"/>
      <c r="HU206" s="11"/>
      <c r="HV206" s="8"/>
      <c r="HW206" s="11"/>
      <c r="HX206" s="8"/>
      <c r="HY206" s="8"/>
      <c r="HZ206" s="11"/>
      <c r="IA206" s="11"/>
      <c r="IB206" s="8"/>
      <c r="IC206" s="8"/>
      <c r="ID206" s="8"/>
      <c r="IE206" s="8"/>
      <c r="IF206" s="8"/>
      <c r="IG206" s="11"/>
      <c r="IH206" s="11"/>
      <c r="II206" s="8"/>
      <c r="IJ206" s="8"/>
      <c r="IK206" s="8"/>
      <c r="IL206" s="8"/>
      <c r="IO206" s="7"/>
      <c r="IP206" s="7"/>
    </row>
    <row r="207" spans="2:398">
      <c r="E207" s="2"/>
      <c r="G207" s="3"/>
      <c r="H207" s="3"/>
      <c r="I207" s="3"/>
      <c r="J207" s="3"/>
      <c r="K207" s="3"/>
      <c r="L207" s="3"/>
      <c r="V207" s="2"/>
      <c r="W207" s="2"/>
      <c r="X207" s="2"/>
      <c r="Y207" s="2"/>
      <c r="Z207" s="2"/>
      <c r="AD207" s="8"/>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10"/>
      <c r="BW207" s="10"/>
      <c r="BX207" s="10"/>
      <c r="BY207" s="10"/>
      <c r="BZ207" s="10"/>
      <c r="CA207" s="10"/>
      <c r="CB207" s="10"/>
      <c r="CC207" s="8"/>
      <c r="CD207" s="11"/>
      <c r="CE207" s="11"/>
      <c r="CF207" s="8"/>
      <c r="CG207" s="8"/>
      <c r="CH207" s="8"/>
      <c r="CI207" s="8"/>
      <c r="CJ207" s="8"/>
      <c r="CK207" s="11"/>
      <c r="CL207" s="11"/>
      <c r="CM207" s="8"/>
      <c r="CN207" s="8"/>
      <c r="CO207" s="8"/>
      <c r="CP207" s="8"/>
      <c r="CQ207" s="8"/>
      <c r="CR207" s="11"/>
      <c r="CS207" s="11"/>
      <c r="CT207" s="11"/>
      <c r="CU207" s="8"/>
      <c r="CV207" s="11"/>
      <c r="CW207" s="8"/>
      <c r="CX207" s="8"/>
      <c r="CY207" s="11"/>
      <c r="CZ207" s="11"/>
      <c r="DA207" s="8"/>
      <c r="DB207" s="8"/>
      <c r="DC207" s="8"/>
      <c r="DD207" s="8"/>
      <c r="DE207" s="8"/>
      <c r="DF207" s="11"/>
      <c r="DG207" s="11"/>
      <c r="DH207" s="8"/>
      <c r="DI207" s="8"/>
      <c r="DJ207" s="8"/>
      <c r="DK207" s="8"/>
      <c r="ER207" s="8"/>
      <c r="ES207" s="8"/>
      <c r="ET207" s="8"/>
      <c r="EU207" s="8"/>
      <c r="EV207" s="12"/>
      <c r="EY207" s="12"/>
      <c r="FB207" s="12"/>
      <c r="FE207" s="12"/>
      <c r="FH207" s="12"/>
      <c r="FK207" s="14"/>
      <c r="FL207" s="14"/>
      <c r="FM207" s="2"/>
      <c r="FN207" s="2"/>
      <c r="FO207" s="2"/>
      <c r="FP207" s="2"/>
      <c r="FQ207" s="2"/>
      <c r="FR207" s="2"/>
      <c r="FS207" s="2"/>
      <c r="FT207" s="2"/>
      <c r="FU207" s="2"/>
      <c r="FV207" s="2"/>
      <c r="FW207" s="2"/>
      <c r="FX207" s="2"/>
      <c r="FY207" s="2"/>
      <c r="FZ207" s="2"/>
      <c r="GA207" s="2"/>
      <c r="GB207" s="2"/>
      <c r="GC207" s="2"/>
      <c r="GD207" s="2"/>
      <c r="GE207" s="2"/>
      <c r="GF207" s="2"/>
      <c r="GG207" s="2"/>
      <c r="GH207" s="2"/>
      <c r="GI207" s="2"/>
      <c r="GJ207" s="2"/>
      <c r="GK207" s="2"/>
      <c r="GL207" s="2"/>
      <c r="GM207" s="2"/>
      <c r="GN207" s="2"/>
      <c r="GO207" s="2"/>
      <c r="GP207" s="2"/>
      <c r="GQ207" s="2"/>
      <c r="GR207" s="2"/>
      <c r="GS207" s="2"/>
      <c r="GT207" s="2"/>
      <c r="GU207" s="2"/>
      <c r="GV207" s="2"/>
      <c r="GW207" s="10"/>
      <c r="GX207" s="10"/>
      <c r="GY207" s="10"/>
      <c r="GZ207" s="10"/>
      <c r="HA207" s="10"/>
      <c r="HB207" s="10"/>
      <c r="HC207" s="10"/>
      <c r="HD207" s="8"/>
      <c r="HE207" s="11"/>
      <c r="HF207" s="11"/>
      <c r="HG207" s="8"/>
      <c r="HH207" s="8"/>
      <c r="HI207" s="8"/>
      <c r="HJ207" s="8"/>
      <c r="HK207" s="8"/>
      <c r="HL207" s="11"/>
      <c r="HM207" s="11"/>
      <c r="HN207" s="8"/>
      <c r="HO207" s="8"/>
      <c r="HP207" s="8"/>
      <c r="HQ207" s="8"/>
      <c r="HR207" s="8"/>
      <c r="HS207" s="11"/>
      <c r="HT207" s="11"/>
      <c r="HU207" s="11"/>
      <c r="HV207" s="8"/>
      <c r="HW207" s="11"/>
      <c r="HX207" s="8"/>
      <c r="HY207" s="8"/>
      <c r="HZ207" s="11"/>
      <c r="IA207" s="11"/>
      <c r="IB207" s="8"/>
      <c r="IC207" s="8"/>
      <c r="ID207" s="8"/>
      <c r="IE207" s="8"/>
      <c r="IF207" s="8"/>
      <c r="IG207" s="11"/>
      <c r="IH207" s="11"/>
      <c r="II207" s="8"/>
      <c r="IJ207" s="8"/>
      <c r="IK207" s="8"/>
      <c r="IL207" s="8"/>
      <c r="IO207" s="7"/>
      <c r="IP207" s="7"/>
    </row>
    <row r="208" spans="2:398">
      <c r="E208" s="2"/>
      <c r="G208" s="3"/>
      <c r="H208" s="3"/>
      <c r="I208" s="3"/>
      <c r="J208" s="3"/>
      <c r="K208" s="3"/>
      <c r="L208" s="3"/>
      <c r="V208" s="2"/>
      <c r="W208" s="2"/>
      <c r="X208" s="2"/>
      <c r="Y208" s="2"/>
      <c r="Z208" s="2"/>
      <c r="AD208" s="8"/>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10"/>
      <c r="BW208" s="10"/>
      <c r="BX208" s="10"/>
      <c r="BY208" s="10"/>
      <c r="BZ208" s="10"/>
      <c r="CA208" s="10"/>
      <c r="CB208" s="10"/>
      <c r="CC208" s="8"/>
      <c r="CD208" s="11"/>
      <c r="CE208" s="11"/>
      <c r="CF208" s="8"/>
      <c r="CG208" s="8"/>
      <c r="CH208" s="8"/>
      <c r="CI208" s="8"/>
      <c r="CJ208" s="8"/>
      <c r="CK208" s="11"/>
      <c r="CL208" s="11"/>
      <c r="CM208" s="8"/>
      <c r="CN208" s="8"/>
      <c r="CO208" s="8"/>
      <c r="CP208" s="8"/>
      <c r="CQ208" s="8"/>
      <c r="CR208" s="11"/>
      <c r="CS208" s="11"/>
      <c r="CT208" s="11"/>
      <c r="CU208" s="8"/>
      <c r="CV208" s="11"/>
      <c r="CW208" s="8"/>
      <c r="CX208" s="8"/>
      <c r="CY208" s="11"/>
      <c r="CZ208" s="11"/>
      <c r="DA208" s="8"/>
      <c r="DB208" s="8"/>
      <c r="DC208" s="8"/>
      <c r="DD208" s="8"/>
      <c r="DE208" s="8"/>
      <c r="DF208" s="11"/>
      <c r="DG208" s="11"/>
      <c r="DH208" s="8"/>
      <c r="DI208" s="8"/>
      <c r="DJ208" s="8"/>
      <c r="DK208" s="8"/>
      <c r="ER208" s="8"/>
      <c r="ES208" s="8"/>
      <c r="ET208" s="8"/>
      <c r="EU208" s="8"/>
      <c r="EV208" s="12"/>
      <c r="EY208" s="12"/>
      <c r="FB208" s="12"/>
      <c r="FE208" s="12"/>
      <c r="FH208" s="12"/>
      <c r="FK208" s="14"/>
      <c r="FL208" s="14"/>
      <c r="FM208" s="2"/>
      <c r="FN208" s="2"/>
      <c r="FO208" s="2"/>
      <c r="FP208" s="2"/>
      <c r="FQ208" s="2"/>
      <c r="FR208" s="2"/>
      <c r="FS208" s="2"/>
      <c r="FT208" s="2"/>
      <c r="FU208" s="2"/>
      <c r="FV208" s="2"/>
      <c r="FW208" s="2"/>
      <c r="FX208" s="2"/>
      <c r="FY208" s="2"/>
      <c r="FZ208" s="2"/>
      <c r="GA208" s="2"/>
      <c r="GB208" s="2"/>
      <c r="GC208" s="2"/>
      <c r="GD208" s="2"/>
      <c r="GE208" s="2"/>
      <c r="GF208" s="2"/>
      <c r="GG208" s="2"/>
      <c r="GH208" s="2"/>
      <c r="GI208" s="2"/>
      <c r="GJ208" s="2"/>
      <c r="GK208" s="2"/>
      <c r="GL208" s="2"/>
      <c r="GM208" s="2"/>
      <c r="GN208" s="2"/>
      <c r="GO208" s="2"/>
      <c r="GP208" s="2"/>
      <c r="GQ208" s="2"/>
      <c r="GR208" s="2"/>
      <c r="GS208" s="2"/>
      <c r="GT208" s="2"/>
      <c r="GU208" s="2"/>
      <c r="GV208" s="2"/>
      <c r="GW208" s="10"/>
      <c r="GX208" s="10"/>
      <c r="GY208" s="10"/>
      <c r="GZ208" s="10"/>
      <c r="HA208" s="10"/>
      <c r="HB208" s="10"/>
      <c r="HC208" s="10"/>
      <c r="HD208" s="8"/>
      <c r="HE208" s="11"/>
      <c r="HF208" s="11"/>
      <c r="HG208" s="8"/>
      <c r="HH208" s="8"/>
      <c r="HI208" s="8"/>
      <c r="HJ208" s="8"/>
      <c r="HK208" s="8"/>
      <c r="HL208" s="11"/>
      <c r="HM208" s="11"/>
      <c r="HN208" s="8"/>
      <c r="HO208" s="8"/>
      <c r="HP208" s="8"/>
      <c r="HQ208" s="8"/>
      <c r="HR208" s="8"/>
      <c r="HS208" s="11"/>
      <c r="HT208" s="11"/>
      <c r="HU208" s="11"/>
      <c r="HV208" s="8"/>
      <c r="HW208" s="11"/>
      <c r="HX208" s="8"/>
      <c r="HY208" s="8"/>
      <c r="HZ208" s="11"/>
      <c r="IA208" s="11"/>
      <c r="IB208" s="8"/>
      <c r="IC208" s="8"/>
      <c r="ID208" s="8"/>
      <c r="IE208" s="8"/>
      <c r="IF208" s="8"/>
      <c r="IG208" s="11"/>
      <c r="IH208" s="11"/>
      <c r="II208" s="8"/>
      <c r="IJ208" s="8"/>
      <c r="IK208" s="8"/>
      <c r="IL208" s="8"/>
      <c r="IO208" s="7"/>
      <c r="IP208" s="7"/>
    </row>
    <row r="209" spans="2:398">
      <c r="E209" s="2"/>
      <c r="G209" s="3"/>
      <c r="H209" s="3"/>
      <c r="I209" s="3"/>
      <c r="J209" s="3"/>
      <c r="K209" s="3"/>
      <c r="L209" s="3"/>
      <c r="V209" s="2"/>
      <c r="W209" s="2"/>
      <c r="X209" s="2"/>
      <c r="Y209" s="2"/>
      <c r="Z209" s="2"/>
      <c r="AD209" s="8"/>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10"/>
      <c r="BW209" s="10"/>
      <c r="BX209" s="10"/>
      <c r="BY209" s="10"/>
      <c r="BZ209" s="10"/>
      <c r="CA209" s="10"/>
      <c r="CB209" s="10"/>
      <c r="CC209" s="8"/>
      <c r="CD209" s="11"/>
      <c r="CE209" s="11"/>
      <c r="CF209" s="8"/>
      <c r="CG209" s="8"/>
      <c r="CH209" s="8"/>
      <c r="CI209" s="8"/>
      <c r="CJ209" s="8"/>
      <c r="CK209" s="11"/>
      <c r="CL209" s="11"/>
      <c r="CM209" s="8"/>
      <c r="CN209" s="8"/>
      <c r="CO209" s="8"/>
      <c r="CP209" s="8"/>
      <c r="CQ209" s="8"/>
      <c r="CR209" s="11"/>
      <c r="CS209" s="11"/>
      <c r="CT209" s="11"/>
      <c r="CU209" s="8"/>
      <c r="CV209" s="11"/>
      <c r="CW209" s="8"/>
      <c r="CX209" s="8"/>
      <c r="CY209" s="11"/>
      <c r="CZ209" s="11"/>
      <c r="DA209" s="8"/>
      <c r="DB209" s="8"/>
      <c r="DC209" s="8"/>
      <c r="DD209" s="8"/>
      <c r="DE209" s="8"/>
      <c r="DF209" s="11"/>
      <c r="DG209" s="11"/>
      <c r="DH209" s="8"/>
      <c r="DI209" s="8"/>
      <c r="DJ209" s="8"/>
      <c r="DK209" s="8"/>
      <c r="ER209" s="8"/>
      <c r="ES209" s="8"/>
      <c r="ET209" s="8"/>
      <c r="EU209" s="8"/>
      <c r="EV209" s="12"/>
      <c r="EY209" s="12"/>
      <c r="FB209" s="12"/>
      <c r="FE209" s="12"/>
      <c r="FH209" s="12"/>
      <c r="FK209" s="14"/>
      <c r="FL209" s="14"/>
      <c r="FM209" s="2"/>
      <c r="FN209" s="2"/>
      <c r="FO209" s="2"/>
      <c r="FP209" s="2"/>
      <c r="FQ209" s="2"/>
      <c r="FR209" s="2"/>
      <c r="FS209" s="2"/>
      <c r="FT209" s="2"/>
      <c r="FU209" s="2"/>
      <c r="FV209" s="2"/>
      <c r="FW209" s="2"/>
      <c r="FX209" s="2"/>
      <c r="FY209" s="2"/>
      <c r="FZ209" s="2"/>
      <c r="GA209" s="2"/>
      <c r="GB209" s="2"/>
      <c r="GC209" s="2"/>
      <c r="GD209" s="2"/>
      <c r="GE209" s="2"/>
      <c r="GF209" s="2"/>
      <c r="GG209" s="2"/>
      <c r="GH209" s="2"/>
      <c r="GI209" s="2"/>
      <c r="GJ209" s="2"/>
      <c r="GK209" s="2"/>
      <c r="GL209" s="2"/>
      <c r="GM209" s="2"/>
      <c r="GN209" s="2"/>
      <c r="GO209" s="2"/>
      <c r="GP209" s="2"/>
      <c r="GQ209" s="2"/>
      <c r="GR209" s="2"/>
      <c r="GS209" s="2"/>
      <c r="GT209" s="2"/>
      <c r="GU209" s="2"/>
      <c r="GV209" s="2"/>
      <c r="GW209" s="10"/>
      <c r="GX209" s="10"/>
      <c r="GY209" s="10"/>
      <c r="GZ209" s="10"/>
      <c r="HA209" s="10"/>
      <c r="HB209" s="10"/>
      <c r="HC209" s="10"/>
      <c r="HD209" s="8"/>
      <c r="HE209" s="11"/>
      <c r="HF209" s="11"/>
      <c r="HG209" s="8"/>
      <c r="HH209" s="8"/>
      <c r="HI209" s="8"/>
      <c r="HJ209" s="8"/>
      <c r="HK209" s="8"/>
      <c r="HL209" s="11"/>
      <c r="HM209" s="11"/>
      <c r="HN209" s="8"/>
      <c r="HO209" s="8"/>
      <c r="HP209" s="8"/>
      <c r="HQ209" s="8"/>
      <c r="HR209" s="8"/>
      <c r="HS209" s="11"/>
      <c r="HT209" s="11"/>
      <c r="HU209" s="11"/>
      <c r="HV209" s="8"/>
      <c r="HW209" s="11"/>
      <c r="HX209" s="8"/>
      <c r="HY209" s="8"/>
      <c r="HZ209" s="11"/>
      <c r="IA209" s="11"/>
      <c r="IB209" s="8"/>
      <c r="IC209" s="8"/>
      <c r="ID209" s="8"/>
      <c r="IE209" s="8"/>
      <c r="IF209" s="8"/>
      <c r="IG209" s="11"/>
      <c r="IH209" s="11"/>
      <c r="II209" s="8"/>
      <c r="IJ209" s="8"/>
      <c r="IK209" s="8"/>
      <c r="IL209" s="8"/>
      <c r="IO209" s="7"/>
      <c r="IP209" s="7"/>
    </row>
    <row r="210" spans="2:398" s="3" customFormat="1">
      <c r="B210" s="2"/>
      <c r="C210" s="2"/>
      <c r="D210" s="2"/>
      <c r="E210" s="2"/>
      <c r="F210" s="1528"/>
      <c r="M210" s="5"/>
      <c r="N210" s="4"/>
      <c r="O210" s="4"/>
      <c r="P210" s="5"/>
      <c r="Q210" s="4"/>
      <c r="R210" s="4"/>
      <c r="S210" s="4"/>
      <c r="T210" s="4"/>
      <c r="U210" s="2"/>
      <c r="V210" s="2"/>
      <c r="W210" s="2"/>
      <c r="X210" s="2"/>
      <c r="Y210" s="2"/>
      <c r="Z210" s="2"/>
      <c r="AA210" s="6"/>
      <c r="AB210" s="1"/>
      <c r="AC210" s="7"/>
      <c r="AD210" s="8"/>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10"/>
      <c r="BW210" s="10"/>
      <c r="BX210" s="10"/>
      <c r="BY210" s="10"/>
      <c r="BZ210" s="10"/>
      <c r="CA210" s="10"/>
      <c r="CB210" s="10"/>
      <c r="CC210" s="8"/>
      <c r="CD210" s="11"/>
      <c r="CE210" s="11"/>
      <c r="CF210" s="8"/>
      <c r="CG210" s="8"/>
      <c r="CH210" s="8"/>
      <c r="CI210" s="8"/>
      <c r="CJ210" s="8"/>
      <c r="CK210" s="11"/>
      <c r="CL210" s="11"/>
      <c r="CM210" s="8"/>
      <c r="CN210" s="8"/>
      <c r="CO210" s="8"/>
      <c r="CP210" s="8"/>
      <c r="CQ210" s="8"/>
      <c r="CR210" s="11"/>
      <c r="CS210" s="11"/>
      <c r="CT210" s="11"/>
      <c r="CU210" s="8"/>
      <c r="CV210" s="11"/>
      <c r="CW210" s="8"/>
      <c r="CX210" s="8"/>
      <c r="CY210" s="11"/>
      <c r="CZ210" s="11"/>
      <c r="DA210" s="8"/>
      <c r="DB210" s="8"/>
      <c r="DC210" s="8"/>
      <c r="DD210" s="8"/>
      <c r="DE210" s="8"/>
      <c r="DF210" s="11"/>
      <c r="DG210" s="11"/>
      <c r="DH210" s="8"/>
      <c r="DI210" s="8"/>
      <c r="DJ210" s="8"/>
      <c r="DK210" s="8"/>
      <c r="DL210" s="7"/>
      <c r="DM210" s="7"/>
      <c r="DN210" s="7"/>
      <c r="DO210" s="7"/>
      <c r="DP210" s="7"/>
      <c r="DQ210" s="7"/>
      <c r="DR210" s="7"/>
      <c r="DS210" s="7"/>
      <c r="DT210" s="7"/>
      <c r="DU210" s="7"/>
      <c r="DV210" s="7"/>
      <c r="DW210" s="7"/>
      <c r="DX210" s="7"/>
      <c r="DY210" s="7"/>
      <c r="DZ210" s="7"/>
      <c r="EA210" s="7"/>
      <c r="EB210" s="7"/>
      <c r="EC210" s="7"/>
      <c r="ED210" s="7"/>
      <c r="EE210" s="7"/>
      <c r="EF210" s="7"/>
      <c r="EG210" s="7"/>
      <c r="EH210" s="7"/>
      <c r="EI210" s="7"/>
      <c r="EJ210" s="7"/>
      <c r="EK210" s="7"/>
      <c r="EL210" s="7"/>
      <c r="EM210" s="7"/>
      <c r="EN210" s="7"/>
      <c r="EO210" s="6"/>
      <c r="EP210" s="1"/>
      <c r="EQ210" s="7"/>
      <c r="ER210" s="8"/>
      <c r="ES210" s="8"/>
      <c r="ET210" s="8"/>
      <c r="EU210" s="8"/>
      <c r="EV210" s="12"/>
      <c r="EW210" s="13"/>
      <c r="EX210" s="13"/>
      <c r="EY210" s="12"/>
      <c r="EZ210" s="13"/>
      <c r="FA210" s="13"/>
      <c r="FB210" s="12"/>
      <c r="FC210" s="13"/>
      <c r="FD210" s="13"/>
      <c r="FE210" s="12"/>
      <c r="FF210" s="13"/>
      <c r="FG210" s="13"/>
      <c r="FH210" s="12"/>
      <c r="FI210" s="13"/>
      <c r="FJ210" s="13"/>
      <c r="FK210" s="14"/>
      <c r="FL210" s="14"/>
      <c r="FM210" s="2"/>
      <c r="FN210" s="2"/>
      <c r="FO210" s="2"/>
      <c r="FP210" s="2"/>
      <c r="FQ210" s="2"/>
      <c r="FR210" s="2"/>
      <c r="FS210" s="2"/>
      <c r="FT210" s="2"/>
      <c r="FU210" s="2"/>
      <c r="FV210" s="2"/>
      <c r="FW210" s="2"/>
      <c r="FX210" s="2"/>
      <c r="FY210" s="2"/>
      <c r="FZ210" s="2"/>
      <c r="GA210" s="2"/>
      <c r="GB210" s="2"/>
      <c r="GC210" s="2"/>
      <c r="GD210" s="2"/>
      <c r="GE210" s="2"/>
      <c r="GF210" s="2"/>
      <c r="GG210" s="2"/>
      <c r="GH210" s="2"/>
      <c r="GI210" s="2"/>
      <c r="GJ210" s="2"/>
      <c r="GK210" s="2"/>
      <c r="GL210" s="2"/>
      <c r="GM210" s="2"/>
      <c r="GN210" s="2"/>
      <c r="GO210" s="2"/>
      <c r="GP210" s="2"/>
      <c r="GQ210" s="2"/>
      <c r="GR210" s="2"/>
      <c r="GS210" s="2"/>
      <c r="GT210" s="2"/>
      <c r="GU210" s="2"/>
      <c r="GV210" s="2"/>
      <c r="GW210" s="10"/>
      <c r="GX210" s="10"/>
      <c r="GY210" s="10"/>
      <c r="GZ210" s="10"/>
      <c r="HA210" s="10"/>
      <c r="HB210" s="10"/>
      <c r="HC210" s="10"/>
      <c r="HD210" s="8"/>
      <c r="HE210" s="11"/>
      <c r="HF210" s="11"/>
      <c r="HG210" s="8"/>
      <c r="HH210" s="8"/>
      <c r="HI210" s="8"/>
      <c r="HJ210" s="8"/>
      <c r="HK210" s="8"/>
      <c r="HL210" s="11"/>
      <c r="HM210" s="11"/>
      <c r="HN210" s="8"/>
      <c r="HO210" s="8"/>
      <c r="HP210" s="8"/>
      <c r="HQ210" s="8"/>
      <c r="HR210" s="8"/>
      <c r="HS210" s="11"/>
      <c r="HT210" s="11"/>
      <c r="HU210" s="11"/>
      <c r="HV210" s="8"/>
      <c r="HW210" s="11"/>
      <c r="HX210" s="8"/>
      <c r="HY210" s="8"/>
      <c r="HZ210" s="11"/>
      <c r="IA210" s="11"/>
      <c r="IB210" s="8"/>
      <c r="IC210" s="8"/>
      <c r="ID210" s="8"/>
      <c r="IE210" s="8"/>
      <c r="IF210" s="8"/>
      <c r="IG210" s="11"/>
      <c r="IH210" s="11"/>
      <c r="II210" s="8"/>
      <c r="IJ210" s="8"/>
      <c r="IK210" s="8"/>
      <c r="IL210" s="8"/>
      <c r="IM210" s="7"/>
      <c r="IN210" s="7"/>
      <c r="IO210" s="7"/>
      <c r="IP210" s="7"/>
      <c r="IR210" s="1529"/>
      <c r="IS210" s="1529"/>
      <c r="IT210" s="1529"/>
      <c r="IU210" s="1529"/>
      <c r="IV210" s="1529"/>
      <c r="IW210" s="1529"/>
      <c r="KZ210" s="1530"/>
      <c r="LA210" s="1530"/>
      <c r="LB210" s="1530"/>
      <c r="LC210" s="1530"/>
      <c r="LD210" s="1530"/>
      <c r="LE210" s="1530"/>
      <c r="LF210" s="1530"/>
      <c r="LG210" s="1530"/>
      <c r="LH210" s="1530"/>
      <c r="LI210" s="1530"/>
      <c r="LJ210" s="1530"/>
      <c r="LK210" s="1530"/>
      <c r="LL210" s="1530"/>
      <c r="LM210" s="1530"/>
      <c r="LN210" s="1530"/>
      <c r="LO210" s="1530"/>
      <c r="LP210" s="1530"/>
      <c r="LQ210" s="1530"/>
      <c r="LR210" s="1530"/>
      <c r="LS210" s="1530"/>
      <c r="LT210" s="1530"/>
      <c r="LU210" s="1530"/>
      <c r="LV210" s="1530"/>
      <c r="LW210" s="1530"/>
      <c r="LX210" s="1530"/>
      <c r="LY210" s="1530"/>
      <c r="LZ210" s="1530"/>
      <c r="MA210" s="1530"/>
      <c r="MB210" s="1530"/>
      <c r="MC210" s="1530"/>
      <c r="MD210" s="1530"/>
      <c r="ME210" s="1530"/>
      <c r="MF210" s="1530"/>
      <c r="MG210" s="1530"/>
      <c r="MH210" s="1530"/>
      <c r="MI210" s="1530"/>
      <c r="MJ210" s="1530"/>
      <c r="MK210" s="1530"/>
      <c r="ML210" s="1530"/>
      <c r="MM210" s="1530"/>
      <c r="MN210" s="1530"/>
      <c r="MO210" s="1530"/>
      <c r="MP210" s="1530"/>
      <c r="MQ210" s="1530"/>
      <c r="MR210" s="1530"/>
      <c r="MS210" s="1530"/>
      <c r="MT210" s="1530"/>
      <c r="MU210" s="1530"/>
      <c r="MV210" s="1530"/>
      <c r="MW210" s="1530"/>
      <c r="MX210" s="1530"/>
      <c r="MY210" s="1530"/>
      <c r="MZ210" s="1530"/>
      <c r="NA210" s="1530"/>
      <c r="NB210" s="1530"/>
      <c r="NC210" s="1530"/>
      <c r="ND210" s="1530"/>
      <c r="NE210" s="1530"/>
      <c r="NF210" s="1530"/>
      <c r="NG210" s="1530"/>
      <c r="NH210" s="1530"/>
      <c r="NI210" s="1530"/>
      <c r="NJ210" s="1530"/>
      <c r="NK210" s="1530"/>
      <c r="NL210" s="1530"/>
      <c r="NM210" s="1530"/>
      <c r="NN210" s="1530"/>
      <c r="NO210" s="1530"/>
      <c r="NP210" s="1530"/>
      <c r="NQ210" s="1530"/>
      <c r="NR210" s="1530"/>
      <c r="NS210" s="1530"/>
      <c r="NT210" s="1530"/>
      <c r="NU210" s="1530"/>
      <c r="NV210" s="1530"/>
      <c r="NW210" s="1530"/>
      <c r="NX210" s="1530"/>
      <c r="NY210" s="1530"/>
      <c r="NZ210" s="1530"/>
      <c r="OA210" s="1530"/>
      <c r="OB210" s="1530"/>
      <c r="OC210" s="1530"/>
      <c r="OD210" s="1530"/>
      <c r="OE210" s="1530"/>
      <c r="OF210" s="1530"/>
      <c r="OG210" s="1530"/>
      <c r="OH210" s="1530"/>
    </row>
    <row r="211" spans="2:398">
      <c r="E211" s="2"/>
      <c r="G211" s="3"/>
      <c r="H211" s="3"/>
      <c r="I211" s="3"/>
      <c r="J211" s="3"/>
      <c r="K211" s="3"/>
      <c r="L211" s="3"/>
      <c r="V211" s="2"/>
      <c r="W211" s="2"/>
      <c r="X211" s="2"/>
      <c r="Y211" s="2"/>
      <c r="Z211" s="2"/>
      <c r="AD211" s="8"/>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10"/>
      <c r="BW211" s="10"/>
      <c r="BX211" s="10"/>
      <c r="BY211" s="10"/>
      <c r="BZ211" s="10"/>
      <c r="CA211" s="10"/>
      <c r="CB211" s="10"/>
      <c r="CC211" s="8"/>
      <c r="CD211" s="11"/>
      <c r="CE211" s="11"/>
      <c r="CF211" s="8"/>
      <c r="CG211" s="8"/>
      <c r="CH211" s="8"/>
      <c r="CI211" s="8"/>
      <c r="CJ211" s="8"/>
      <c r="CK211" s="11"/>
      <c r="CL211" s="11"/>
      <c r="CM211" s="8"/>
      <c r="CN211" s="8"/>
      <c r="CO211" s="8"/>
      <c r="CP211" s="8"/>
      <c r="CQ211" s="8"/>
      <c r="CR211" s="11"/>
      <c r="CS211" s="11"/>
      <c r="CT211" s="11"/>
      <c r="CU211" s="8"/>
      <c r="CV211" s="11"/>
      <c r="CW211" s="8"/>
      <c r="CX211" s="8"/>
      <c r="CY211" s="11"/>
      <c r="CZ211" s="11"/>
      <c r="DA211" s="8"/>
      <c r="DB211" s="8"/>
      <c r="DC211" s="8"/>
      <c r="DD211" s="8"/>
      <c r="DE211" s="8"/>
      <c r="DF211" s="11"/>
      <c r="DG211" s="11"/>
      <c r="DH211" s="8"/>
      <c r="DI211" s="8"/>
      <c r="DJ211" s="8"/>
      <c r="DK211" s="8"/>
      <c r="ER211" s="8"/>
      <c r="ES211" s="8"/>
      <c r="ET211" s="8"/>
      <c r="EU211" s="8"/>
      <c r="EV211" s="12"/>
      <c r="EY211" s="12"/>
      <c r="FB211" s="12"/>
      <c r="FE211" s="12"/>
      <c r="FH211" s="12"/>
      <c r="FK211" s="14"/>
      <c r="FL211" s="14"/>
      <c r="FM211" s="2"/>
      <c r="FN211" s="2"/>
      <c r="FO211" s="2"/>
      <c r="FP211" s="2"/>
      <c r="FQ211" s="2"/>
      <c r="FR211" s="2"/>
      <c r="FS211" s="2"/>
      <c r="FT211" s="2"/>
      <c r="FU211" s="2"/>
      <c r="FV211" s="2"/>
      <c r="FW211" s="2"/>
      <c r="FX211" s="2"/>
      <c r="FY211" s="2"/>
      <c r="FZ211" s="2"/>
      <c r="GA211" s="2"/>
      <c r="GB211" s="2"/>
      <c r="GC211" s="2"/>
      <c r="GD211" s="2"/>
      <c r="GE211" s="2"/>
      <c r="GF211" s="2"/>
      <c r="GG211" s="2"/>
      <c r="GH211" s="2"/>
      <c r="GI211" s="2"/>
      <c r="GJ211" s="2"/>
      <c r="GK211" s="2"/>
      <c r="GL211" s="2"/>
      <c r="GM211" s="2"/>
      <c r="GN211" s="2"/>
      <c r="GO211" s="2"/>
      <c r="GP211" s="2"/>
      <c r="GQ211" s="2"/>
      <c r="GR211" s="2"/>
      <c r="GS211" s="2"/>
      <c r="GT211" s="2"/>
      <c r="GU211" s="2"/>
      <c r="GV211" s="2"/>
      <c r="GW211" s="10"/>
      <c r="GX211" s="10"/>
      <c r="GY211" s="10"/>
      <c r="GZ211" s="10"/>
      <c r="HA211" s="10"/>
      <c r="HB211" s="10"/>
      <c r="HC211" s="10"/>
      <c r="HD211" s="8"/>
      <c r="HE211" s="11"/>
      <c r="HF211" s="11"/>
      <c r="HG211" s="8"/>
      <c r="HH211" s="8"/>
      <c r="HI211" s="8"/>
      <c r="HJ211" s="8"/>
      <c r="HK211" s="8"/>
      <c r="HL211" s="11"/>
      <c r="HM211" s="11"/>
      <c r="HN211" s="8"/>
      <c r="HO211" s="8"/>
      <c r="HP211" s="8"/>
      <c r="HQ211" s="8"/>
      <c r="HR211" s="8"/>
      <c r="HS211" s="11"/>
      <c r="HT211" s="11"/>
      <c r="HU211" s="11"/>
      <c r="HV211" s="8"/>
      <c r="HW211" s="11"/>
      <c r="HX211" s="8"/>
      <c r="HY211" s="8"/>
      <c r="HZ211" s="11"/>
      <c r="IA211" s="11"/>
      <c r="IB211" s="8"/>
      <c r="IC211" s="8"/>
      <c r="ID211" s="8"/>
      <c r="IE211" s="8"/>
      <c r="IF211" s="8"/>
      <c r="IG211" s="11"/>
      <c r="IH211" s="11"/>
      <c r="II211" s="8"/>
      <c r="IJ211" s="8"/>
      <c r="IK211" s="8"/>
      <c r="IL211" s="8"/>
      <c r="IO211" s="7"/>
      <c r="IP211" s="7"/>
    </row>
    <row r="212" spans="2:398">
      <c r="E212" s="2"/>
      <c r="G212" s="3"/>
      <c r="H212" s="3"/>
      <c r="I212" s="3"/>
      <c r="J212" s="3"/>
      <c r="K212" s="3"/>
      <c r="L212" s="3"/>
      <c r="V212" s="2"/>
      <c r="W212" s="2"/>
      <c r="X212" s="2"/>
      <c r="Y212" s="2"/>
      <c r="Z212" s="2"/>
      <c r="AD212" s="8"/>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10"/>
      <c r="BW212" s="10"/>
      <c r="BX212" s="10"/>
      <c r="BY212" s="10"/>
      <c r="BZ212" s="10"/>
      <c r="CA212" s="10"/>
      <c r="CB212" s="10"/>
      <c r="CC212" s="8"/>
      <c r="CD212" s="11"/>
      <c r="CE212" s="11"/>
      <c r="CF212" s="8"/>
      <c r="CG212" s="8"/>
      <c r="CH212" s="8"/>
      <c r="CI212" s="8"/>
      <c r="CJ212" s="8"/>
      <c r="CK212" s="11"/>
      <c r="CL212" s="11"/>
      <c r="CM212" s="8"/>
      <c r="CN212" s="8"/>
      <c r="CO212" s="8"/>
      <c r="CP212" s="8"/>
      <c r="CQ212" s="8"/>
      <c r="CR212" s="11"/>
      <c r="CS212" s="11"/>
      <c r="CT212" s="11"/>
      <c r="CU212" s="8"/>
      <c r="CV212" s="11"/>
      <c r="CW212" s="8"/>
      <c r="CX212" s="8"/>
      <c r="CY212" s="11"/>
      <c r="CZ212" s="11"/>
      <c r="DA212" s="8"/>
      <c r="DB212" s="8"/>
      <c r="DC212" s="8"/>
      <c r="DD212" s="8"/>
      <c r="DE212" s="8"/>
      <c r="DF212" s="11"/>
      <c r="DG212" s="11"/>
      <c r="DH212" s="8"/>
      <c r="DI212" s="8"/>
      <c r="DJ212" s="8"/>
      <c r="DK212" s="8"/>
      <c r="ER212" s="8"/>
      <c r="ES212" s="8"/>
      <c r="ET212" s="8"/>
      <c r="EU212" s="8"/>
      <c r="EV212" s="12"/>
      <c r="EY212" s="12"/>
      <c r="FB212" s="12"/>
      <c r="FE212" s="12"/>
      <c r="FH212" s="12"/>
      <c r="FK212" s="14"/>
      <c r="FL212" s="14"/>
      <c r="FM212" s="2"/>
      <c r="FN212" s="2"/>
      <c r="FO212" s="2"/>
      <c r="FP212" s="2"/>
      <c r="FQ212" s="2"/>
      <c r="FR212" s="2"/>
      <c r="FS212" s="2"/>
      <c r="FT212" s="2"/>
      <c r="FU212" s="2"/>
      <c r="FV212" s="2"/>
      <c r="FW212" s="2"/>
      <c r="FX212" s="2"/>
      <c r="FY212" s="2"/>
      <c r="FZ212" s="2"/>
      <c r="GA212" s="2"/>
      <c r="GB212" s="2"/>
      <c r="GC212" s="2"/>
      <c r="GD212" s="2"/>
      <c r="GE212" s="2"/>
      <c r="GF212" s="2"/>
      <c r="GG212" s="2"/>
      <c r="GH212" s="2"/>
      <c r="GI212" s="2"/>
      <c r="GJ212" s="2"/>
      <c r="GK212" s="2"/>
      <c r="GL212" s="2"/>
      <c r="GM212" s="2"/>
      <c r="GN212" s="2"/>
      <c r="GO212" s="2"/>
      <c r="GP212" s="2"/>
      <c r="GQ212" s="2"/>
      <c r="GR212" s="2"/>
      <c r="GS212" s="2"/>
      <c r="GT212" s="2"/>
      <c r="GU212" s="2"/>
      <c r="GV212" s="2"/>
      <c r="GW212" s="10"/>
      <c r="GX212" s="10"/>
      <c r="GY212" s="10"/>
      <c r="GZ212" s="10"/>
      <c r="HA212" s="10"/>
      <c r="HB212" s="10"/>
      <c r="HC212" s="10"/>
      <c r="HD212" s="8"/>
      <c r="HE212" s="11"/>
      <c r="HF212" s="11"/>
      <c r="HG212" s="8"/>
      <c r="HH212" s="8"/>
      <c r="HI212" s="8"/>
      <c r="HJ212" s="8"/>
      <c r="HK212" s="8"/>
      <c r="HL212" s="11"/>
      <c r="HM212" s="11"/>
      <c r="HN212" s="8"/>
      <c r="HO212" s="8"/>
      <c r="HP212" s="8"/>
      <c r="HQ212" s="8"/>
      <c r="HR212" s="8"/>
      <c r="HS212" s="11"/>
      <c r="HT212" s="11"/>
      <c r="HU212" s="11"/>
      <c r="HV212" s="8"/>
      <c r="HW212" s="11"/>
      <c r="HX212" s="8"/>
      <c r="HY212" s="8"/>
      <c r="HZ212" s="11"/>
      <c r="IA212" s="11"/>
      <c r="IB212" s="8"/>
      <c r="IC212" s="8"/>
      <c r="ID212" s="8"/>
      <c r="IE212" s="8"/>
      <c r="IF212" s="8"/>
      <c r="IG212" s="11"/>
      <c r="IH212" s="11"/>
      <c r="II212" s="8"/>
      <c r="IJ212" s="8"/>
      <c r="IK212" s="8"/>
      <c r="IL212" s="8"/>
      <c r="IO212" s="7"/>
      <c r="IP212" s="7"/>
    </row>
    <row r="213" spans="2:398">
      <c r="E213" s="2"/>
      <c r="G213" s="3"/>
      <c r="H213" s="3"/>
      <c r="I213" s="3"/>
      <c r="J213" s="3"/>
      <c r="K213" s="3"/>
      <c r="L213" s="3"/>
      <c r="V213" s="2"/>
      <c r="W213" s="2"/>
      <c r="X213" s="2"/>
      <c r="Y213" s="2"/>
      <c r="Z213" s="2"/>
      <c r="AD213" s="8"/>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10"/>
      <c r="BW213" s="10"/>
      <c r="BX213" s="10"/>
      <c r="BY213" s="10"/>
      <c r="BZ213" s="10"/>
      <c r="CA213" s="10"/>
      <c r="CB213" s="10"/>
      <c r="CC213" s="8"/>
      <c r="CD213" s="11"/>
      <c r="CE213" s="11"/>
      <c r="CF213" s="8"/>
      <c r="CG213" s="8"/>
      <c r="CH213" s="8"/>
      <c r="CI213" s="8"/>
      <c r="CJ213" s="8"/>
      <c r="CK213" s="11"/>
      <c r="CL213" s="11"/>
      <c r="CM213" s="8"/>
      <c r="CN213" s="8"/>
      <c r="CO213" s="8"/>
      <c r="CP213" s="8"/>
      <c r="CQ213" s="8"/>
      <c r="CR213" s="11"/>
      <c r="CS213" s="11"/>
      <c r="CT213" s="11"/>
      <c r="CU213" s="8"/>
      <c r="CV213" s="11"/>
      <c r="CW213" s="8"/>
      <c r="CX213" s="8"/>
      <c r="CY213" s="11"/>
      <c r="CZ213" s="11"/>
      <c r="DA213" s="8"/>
      <c r="DB213" s="8"/>
      <c r="DC213" s="8"/>
      <c r="DD213" s="8"/>
      <c r="DE213" s="8"/>
      <c r="DF213" s="11"/>
      <c r="DG213" s="11"/>
      <c r="DH213" s="8"/>
      <c r="DI213" s="8"/>
      <c r="DJ213" s="8"/>
      <c r="DK213" s="8"/>
      <c r="ER213" s="8"/>
      <c r="ES213" s="8"/>
      <c r="ET213" s="8"/>
      <c r="EU213" s="8"/>
      <c r="EV213" s="12"/>
      <c r="EY213" s="12"/>
      <c r="FB213" s="12"/>
      <c r="FE213" s="12"/>
      <c r="FH213" s="12"/>
      <c r="FK213" s="14"/>
      <c r="FL213" s="14"/>
      <c r="FM213" s="2"/>
      <c r="FN213" s="2"/>
      <c r="FO213" s="2"/>
      <c r="FP213" s="2"/>
      <c r="FQ213" s="2"/>
      <c r="FR213" s="2"/>
      <c r="FS213" s="2"/>
      <c r="FT213" s="2"/>
      <c r="FU213" s="2"/>
      <c r="FV213" s="2"/>
      <c r="FW213" s="2"/>
      <c r="FX213" s="2"/>
      <c r="FY213" s="2"/>
      <c r="FZ213" s="2"/>
      <c r="GA213" s="2"/>
      <c r="GB213" s="2"/>
      <c r="GC213" s="2"/>
      <c r="GD213" s="2"/>
      <c r="GE213" s="2"/>
      <c r="GF213" s="2"/>
      <c r="GG213" s="2"/>
      <c r="GH213" s="2"/>
      <c r="GI213" s="2"/>
      <c r="GJ213" s="2"/>
      <c r="GK213" s="2"/>
      <c r="GL213" s="2"/>
      <c r="GM213" s="2"/>
      <c r="GN213" s="2"/>
      <c r="GO213" s="2"/>
      <c r="GP213" s="2"/>
      <c r="GQ213" s="2"/>
      <c r="GR213" s="2"/>
      <c r="GS213" s="2"/>
      <c r="GT213" s="2"/>
      <c r="GU213" s="2"/>
      <c r="GV213" s="2"/>
      <c r="GW213" s="10"/>
      <c r="GX213" s="10"/>
      <c r="GY213" s="10"/>
      <c r="GZ213" s="10"/>
      <c r="HA213" s="10"/>
      <c r="HB213" s="10"/>
      <c r="HC213" s="10"/>
      <c r="HD213" s="8"/>
      <c r="HE213" s="11"/>
      <c r="HF213" s="11"/>
      <c r="HG213" s="8"/>
      <c r="HH213" s="8"/>
      <c r="HI213" s="8"/>
      <c r="HJ213" s="8"/>
      <c r="HK213" s="8"/>
      <c r="HL213" s="11"/>
      <c r="HM213" s="11"/>
      <c r="HN213" s="8"/>
      <c r="HO213" s="8"/>
      <c r="HP213" s="8"/>
      <c r="HQ213" s="8"/>
      <c r="HR213" s="8"/>
      <c r="HS213" s="11"/>
      <c r="HT213" s="11"/>
      <c r="HU213" s="11"/>
      <c r="HV213" s="8"/>
      <c r="HW213" s="11"/>
      <c r="HX213" s="8"/>
      <c r="HY213" s="8"/>
      <c r="HZ213" s="11"/>
      <c r="IA213" s="11"/>
      <c r="IB213" s="8"/>
      <c r="IC213" s="8"/>
      <c r="ID213" s="8"/>
      <c r="IE213" s="8"/>
      <c r="IF213" s="8"/>
      <c r="IG213" s="11"/>
      <c r="IH213" s="11"/>
      <c r="II213" s="8"/>
      <c r="IJ213" s="8"/>
      <c r="IK213" s="8"/>
      <c r="IL213" s="8"/>
      <c r="IO213" s="7"/>
      <c r="IP213" s="7"/>
    </row>
    <row r="214" spans="2:398" s="3" customFormat="1">
      <c r="B214" s="2"/>
      <c r="C214" s="2"/>
      <c r="D214" s="2"/>
      <c r="E214" s="2"/>
      <c r="F214" s="1528"/>
      <c r="M214" s="5"/>
      <c r="N214" s="4"/>
      <c r="O214" s="4"/>
      <c r="P214" s="5"/>
      <c r="Q214" s="4"/>
      <c r="R214" s="4"/>
      <c r="S214" s="4"/>
      <c r="T214" s="4"/>
      <c r="U214" s="2"/>
      <c r="V214" s="2"/>
      <c r="W214" s="2"/>
      <c r="X214" s="2"/>
      <c r="Y214" s="2"/>
      <c r="Z214" s="2"/>
      <c r="AA214" s="6"/>
      <c r="AB214" s="1"/>
      <c r="AC214" s="7"/>
      <c r="AD214" s="8"/>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10"/>
      <c r="BW214" s="10"/>
      <c r="BX214" s="10"/>
      <c r="BY214" s="10"/>
      <c r="BZ214" s="10"/>
      <c r="CA214" s="10"/>
      <c r="CB214" s="10"/>
      <c r="CC214" s="8"/>
      <c r="CD214" s="11"/>
      <c r="CE214" s="11"/>
      <c r="CF214" s="8"/>
      <c r="CG214" s="8"/>
      <c r="CH214" s="8"/>
      <c r="CI214" s="8"/>
      <c r="CJ214" s="8"/>
      <c r="CK214" s="11"/>
      <c r="CL214" s="11"/>
      <c r="CM214" s="8"/>
      <c r="CN214" s="8"/>
      <c r="CO214" s="8"/>
      <c r="CP214" s="8"/>
      <c r="CQ214" s="8"/>
      <c r="CR214" s="11"/>
      <c r="CS214" s="11"/>
      <c r="CT214" s="11"/>
      <c r="CU214" s="8"/>
      <c r="CV214" s="11"/>
      <c r="CW214" s="8"/>
      <c r="CX214" s="8"/>
      <c r="CY214" s="11"/>
      <c r="CZ214" s="11"/>
      <c r="DA214" s="8"/>
      <c r="DB214" s="8"/>
      <c r="DC214" s="8"/>
      <c r="DD214" s="8"/>
      <c r="DE214" s="8"/>
      <c r="DF214" s="11"/>
      <c r="DG214" s="11"/>
      <c r="DH214" s="8"/>
      <c r="DI214" s="8"/>
      <c r="DJ214" s="8"/>
      <c r="DK214" s="8"/>
      <c r="DL214" s="7"/>
      <c r="DM214" s="7"/>
      <c r="DN214" s="7"/>
      <c r="DO214" s="7"/>
      <c r="DP214" s="7"/>
      <c r="DQ214" s="7"/>
      <c r="DR214" s="7"/>
      <c r="DS214" s="7"/>
      <c r="DT214" s="7"/>
      <c r="DU214" s="7"/>
      <c r="DV214" s="7"/>
      <c r="DW214" s="7"/>
      <c r="DX214" s="7"/>
      <c r="DY214" s="7"/>
      <c r="DZ214" s="7"/>
      <c r="EA214" s="7"/>
      <c r="EB214" s="7"/>
      <c r="EC214" s="7"/>
      <c r="ED214" s="7"/>
      <c r="EE214" s="7"/>
      <c r="EF214" s="7"/>
      <c r="EG214" s="7"/>
      <c r="EH214" s="7"/>
      <c r="EI214" s="7"/>
      <c r="EJ214" s="7"/>
      <c r="EK214" s="7"/>
      <c r="EL214" s="7"/>
      <c r="EM214" s="7"/>
      <c r="EN214" s="7"/>
      <c r="EO214" s="6"/>
      <c r="EP214" s="1"/>
      <c r="EQ214" s="7"/>
      <c r="ER214" s="8"/>
      <c r="ES214" s="8"/>
      <c r="ET214" s="8"/>
      <c r="EU214" s="8"/>
      <c r="EV214" s="12"/>
      <c r="EW214" s="13"/>
      <c r="EX214" s="13"/>
      <c r="EY214" s="12"/>
      <c r="EZ214" s="13"/>
      <c r="FA214" s="13"/>
      <c r="FB214" s="12"/>
      <c r="FC214" s="13"/>
      <c r="FD214" s="13"/>
      <c r="FE214" s="12"/>
      <c r="FF214" s="13"/>
      <c r="FG214" s="13"/>
      <c r="FH214" s="12"/>
      <c r="FI214" s="13"/>
      <c r="FJ214" s="13"/>
      <c r="FK214" s="14"/>
      <c r="FL214" s="14"/>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M214" s="2"/>
      <c r="GN214" s="2"/>
      <c r="GO214" s="2"/>
      <c r="GP214" s="2"/>
      <c r="GQ214" s="2"/>
      <c r="GR214" s="2"/>
      <c r="GS214" s="2"/>
      <c r="GT214" s="2"/>
      <c r="GU214" s="2"/>
      <c r="GV214" s="2"/>
      <c r="GW214" s="10"/>
      <c r="GX214" s="10"/>
      <c r="GY214" s="10"/>
      <c r="GZ214" s="10"/>
      <c r="HA214" s="10"/>
      <c r="HB214" s="10"/>
      <c r="HC214" s="10"/>
      <c r="HD214" s="8"/>
      <c r="HE214" s="11"/>
      <c r="HF214" s="11"/>
      <c r="HG214" s="8"/>
      <c r="HH214" s="8"/>
      <c r="HI214" s="8"/>
      <c r="HJ214" s="8"/>
      <c r="HK214" s="8"/>
      <c r="HL214" s="11"/>
      <c r="HM214" s="11"/>
      <c r="HN214" s="8"/>
      <c r="HO214" s="8"/>
      <c r="HP214" s="8"/>
      <c r="HQ214" s="8"/>
      <c r="HR214" s="8"/>
      <c r="HS214" s="11"/>
      <c r="HT214" s="11"/>
      <c r="HU214" s="11"/>
      <c r="HV214" s="8"/>
      <c r="HW214" s="11"/>
      <c r="HX214" s="8"/>
      <c r="HY214" s="8"/>
      <c r="HZ214" s="11"/>
      <c r="IA214" s="11"/>
      <c r="IB214" s="8"/>
      <c r="IC214" s="8"/>
      <c r="ID214" s="8"/>
      <c r="IE214" s="8"/>
      <c r="IF214" s="8"/>
      <c r="IG214" s="11"/>
      <c r="IH214" s="11"/>
      <c r="II214" s="8"/>
      <c r="IJ214" s="8"/>
      <c r="IK214" s="8"/>
      <c r="IL214" s="8"/>
      <c r="IM214" s="7"/>
      <c r="IN214" s="7"/>
      <c r="IO214" s="7"/>
      <c r="IP214" s="7"/>
      <c r="IR214" s="1529"/>
      <c r="IS214" s="1529"/>
      <c r="IT214" s="1529"/>
      <c r="IU214" s="1529"/>
      <c r="IV214" s="1529"/>
      <c r="IW214" s="1529"/>
      <c r="KZ214" s="1530"/>
      <c r="LA214" s="1530"/>
      <c r="LB214" s="1530"/>
      <c r="LC214" s="1530"/>
      <c r="LD214" s="1530"/>
      <c r="LE214" s="1530"/>
      <c r="LF214" s="1530"/>
      <c r="LG214" s="1530"/>
      <c r="LH214" s="1530"/>
      <c r="LI214" s="1530"/>
      <c r="LJ214" s="1530"/>
      <c r="LK214" s="1530"/>
      <c r="LL214" s="1530"/>
      <c r="LM214" s="1530"/>
      <c r="LN214" s="1530"/>
      <c r="LO214" s="1530"/>
      <c r="LP214" s="1530"/>
      <c r="LQ214" s="1530"/>
      <c r="LR214" s="1530"/>
      <c r="LS214" s="1530"/>
      <c r="LT214" s="1530"/>
      <c r="LU214" s="1530"/>
      <c r="LV214" s="1530"/>
      <c r="LW214" s="1530"/>
      <c r="LX214" s="1530"/>
      <c r="LY214" s="1530"/>
      <c r="LZ214" s="1530"/>
      <c r="MA214" s="1530"/>
      <c r="MB214" s="1530"/>
      <c r="MC214" s="1530"/>
      <c r="MD214" s="1530"/>
      <c r="ME214" s="1530"/>
      <c r="MF214" s="1530"/>
      <c r="MG214" s="1530"/>
      <c r="MH214" s="1530"/>
      <c r="MI214" s="1530"/>
      <c r="MJ214" s="1530"/>
      <c r="MK214" s="1530"/>
      <c r="ML214" s="1530"/>
      <c r="MM214" s="1530"/>
      <c r="MN214" s="1530"/>
      <c r="MO214" s="1530"/>
      <c r="MP214" s="1530"/>
      <c r="MQ214" s="1530"/>
      <c r="MR214" s="1530"/>
      <c r="MS214" s="1530"/>
      <c r="MT214" s="1530"/>
      <c r="MU214" s="1530"/>
      <c r="MV214" s="1530"/>
      <c r="MW214" s="1530"/>
      <c r="MX214" s="1530"/>
      <c r="MY214" s="1530"/>
      <c r="MZ214" s="1530"/>
      <c r="NA214" s="1530"/>
      <c r="NB214" s="1530"/>
      <c r="NC214" s="1530"/>
      <c r="ND214" s="1530"/>
      <c r="NE214" s="1530"/>
      <c r="NF214" s="1530"/>
      <c r="NG214" s="1530"/>
      <c r="NH214" s="1530"/>
      <c r="NI214" s="1530"/>
      <c r="NJ214" s="1530"/>
      <c r="NK214" s="1530"/>
      <c r="NL214" s="1530"/>
      <c r="NM214" s="1530"/>
      <c r="NN214" s="1530"/>
      <c r="NO214" s="1530"/>
      <c r="NP214" s="1530"/>
      <c r="NQ214" s="1530"/>
      <c r="NR214" s="1530"/>
      <c r="NS214" s="1530"/>
      <c r="NT214" s="1530"/>
      <c r="NU214" s="1530"/>
      <c r="NV214" s="1530"/>
      <c r="NW214" s="1530"/>
      <c r="NX214" s="1530"/>
      <c r="NY214" s="1530"/>
      <c r="NZ214" s="1530"/>
      <c r="OA214" s="1530"/>
      <c r="OB214" s="1530"/>
      <c r="OC214" s="1530"/>
      <c r="OD214" s="1530"/>
      <c r="OE214" s="1530"/>
      <c r="OF214" s="1530"/>
      <c r="OG214" s="1530"/>
      <c r="OH214" s="1530"/>
    </row>
    <row r="215" spans="2:398">
      <c r="E215" s="2"/>
      <c r="G215" s="3"/>
      <c r="H215" s="3"/>
      <c r="I215" s="3"/>
      <c r="J215" s="3"/>
      <c r="K215" s="3"/>
      <c r="L215" s="3"/>
      <c r="V215" s="2"/>
      <c r="W215" s="2"/>
      <c r="X215" s="2"/>
      <c r="Y215" s="2"/>
      <c r="Z215" s="2"/>
      <c r="AD215" s="8"/>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10"/>
      <c r="BW215" s="10"/>
      <c r="BX215" s="10"/>
      <c r="BY215" s="10"/>
      <c r="BZ215" s="10"/>
      <c r="CA215" s="10"/>
      <c r="CB215" s="10"/>
      <c r="CC215" s="8"/>
      <c r="CD215" s="11"/>
      <c r="CE215" s="11"/>
      <c r="CF215" s="8"/>
      <c r="CG215" s="8"/>
      <c r="CH215" s="8"/>
      <c r="CI215" s="8"/>
      <c r="CJ215" s="8"/>
      <c r="CK215" s="11"/>
      <c r="CL215" s="11"/>
      <c r="CM215" s="8"/>
      <c r="CN215" s="8"/>
      <c r="CO215" s="8"/>
      <c r="CP215" s="8"/>
      <c r="CQ215" s="8"/>
      <c r="CR215" s="11"/>
      <c r="CS215" s="11"/>
      <c r="CT215" s="11"/>
      <c r="CU215" s="8"/>
      <c r="CV215" s="11"/>
      <c r="CW215" s="8"/>
      <c r="CX215" s="8"/>
      <c r="CY215" s="11"/>
      <c r="CZ215" s="11"/>
      <c r="DA215" s="8"/>
      <c r="DB215" s="8"/>
      <c r="DC215" s="8"/>
      <c r="DD215" s="8"/>
      <c r="DE215" s="8"/>
      <c r="DF215" s="11"/>
      <c r="DG215" s="11"/>
      <c r="DH215" s="8"/>
      <c r="DI215" s="8"/>
      <c r="DJ215" s="8"/>
      <c r="DK215" s="8"/>
      <c r="ER215" s="8"/>
      <c r="ES215" s="8"/>
      <c r="ET215" s="8"/>
      <c r="EU215" s="8"/>
      <c r="EV215" s="12"/>
      <c r="EY215" s="12"/>
      <c r="FB215" s="12"/>
      <c r="FE215" s="12"/>
      <c r="FH215" s="12"/>
      <c r="FK215" s="14"/>
      <c r="FL215" s="14"/>
      <c r="FM215" s="2"/>
      <c r="FN215" s="2"/>
      <c r="FO215" s="2"/>
      <c r="FP215" s="2"/>
      <c r="FQ215" s="2"/>
      <c r="FR215" s="2"/>
      <c r="FS215" s="2"/>
      <c r="FT215" s="2"/>
      <c r="FU215" s="2"/>
      <c r="FV215" s="2"/>
      <c r="FW215" s="2"/>
      <c r="FX215" s="2"/>
      <c r="FY215" s="2"/>
      <c r="FZ215" s="2"/>
      <c r="GA215" s="2"/>
      <c r="GB215" s="2"/>
      <c r="GC215" s="2"/>
      <c r="GD215" s="2"/>
      <c r="GE215" s="2"/>
      <c r="GF215" s="2"/>
      <c r="GG215" s="2"/>
      <c r="GH215" s="2"/>
      <c r="GI215" s="2"/>
      <c r="GJ215" s="2"/>
      <c r="GK215" s="2"/>
      <c r="GL215" s="2"/>
      <c r="GM215" s="2"/>
      <c r="GN215" s="2"/>
      <c r="GO215" s="2"/>
      <c r="GP215" s="2"/>
      <c r="GQ215" s="2"/>
      <c r="GR215" s="2"/>
      <c r="GS215" s="2"/>
      <c r="GT215" s="2"/>
      <c r="GU215" s="2"/>
      <c r="GV215" s="2"/>
      <c r="GW215" s="10"/>
      <c r="GX215" s="10"/>
      <c r="GY215" s="10"/>
      <c r="GZ215" s="10"/>
      <c r="HA215" s="10"/>
      <c r="HB215" s="10"/>
      <c r="HC215" s="10"/>
      <c r="HD215" s="8"/>
      <c r="HE215" s="11"/>
      <c r="HF215" s="11"/>
      <c r="HG215" s="8"/>
      <c r="HH215" s="8"/>
      <c r="HI215" s="8"/>
      <c r="HJ215" s="8"/>
      <c r="HK215" s="8"/>
      <c r="HL215" s="11"/>
      <c r="HM215" s="11"/>
      <c r="HN215" s="8"/>
      <c r="HO215" s="8"/>
      <c r="HP215" s="8"/>
      <c r="HQ215" s="8"/>
      <c r="HR215" s="8"/>
      <c r="HS215" s="11"/>
      <c r="HT215" s="11"/>
      <c r="HU215" s="11"/>
      <c r="HV215" s="8"/>
      <c r="HW215" s="11"/>
      <c r="HX215" s="8"/>
      <c r="HY215" s="8"/>
      <c r="HZ215" s="11"/>
      <c r="IA215" s="11"/>
      <c r="IB215" s="8"/>
      <c r="IC215" s="8"/>
      <c r="ID215" s="8"/>
      <c r="IE215" s="8"/>
      <c r="IF215" s="8"/>
      <c r="IG215" s="11"/>
      <c r="IH215" s="11"/>
      <c r="II215" s="8"/>
      <c r="IJ215" s="8"/>
      <c r="IK215" s="8"/>
      <c r="IL215" s="8"/>
      <c r="IO215" s="7"/>
      <c r="IP215" s="7"/>
    </row>
    <row r="216" spans="2:398">
      <c r="AD216" s="8"/>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10"/>
      <c r="BW216" s="10"/>
      <c r="BX216" s="10"/>
      <c r="BY216" s="10"/>
      <c r="BZ216" s="10"/>
      <c r="CA216" s="10"/>
      <c r="CB216" s="10"/>
      <c r="CC216" s="8"/>
      <c r="CD216" s="11"/>
      <c r="CE216" s="11"/>
      <c r="CF216" s="8"/>
      <c r="CG216" s="8"/>
      <c r="CH216" s="8"/>
      <c r="CI216" s="8"/>
      <c r="CJ216" s="8"/>
      <c r="CK216" s="11"/>
      <c r="CL216" s="11"/>
      <c r="CM216" s="8"/>
      <c r="CN216" s="8"/>
      <c r="CO216" s="8"/>
      <c r="CP216" s="8"/>
      <c r="CQ216" s="8"/>
      <c r="CR216" s="11"/>
      <c r="CS216" s="11"/>
      <c r="CT216" s="11"/>
      <c r="CU216" s="8"/>
      <c r="CV216" s="11"/>
      <c r="CW216" s="8"/>
      <c r="CX216" s="8"/>
      <c r="CY216" s="11"/>
      <c r="CZ216" s="11"/>
      <c r="DA216" s="8"/>
      <c r="DB216" s="8"/>
      <c r="DC216" s="8"/>
      <c r="DD216" s="8"/>
      <c r="DE216" s="8"/>
      <c r="DF216" s="11"/>
      <c r="DG216" s="11"/>
      <c r="DH216" s="8"/>
      <c r="DI216" s="8"/>
      <c r="DJ216" s="8"/>
      <c r="DK216" s="8"/>
      <c r="ER216" s="8"/>
      <c r="ES216" s="8"/>
      <c r="ET216" s="8"/>
      <c r="EU216" s="8"/>
      <c r="EV216" s="12"/>
      <c r="EY216" s="12"/>
      <c r="FB216" s="12"/>
      <c r="FE216" s="12"/>
      <c r="FH216" s="12"/>
      <c r="FK216" s="14"/>
      <c r="FL216" s="14"/>
      <c r="FM216" s="2"/>
      <c r="FN216" s="2"/>
      <c r="FO216" s="2"/>
      <c r="FP216" s="2"/>
      <c r="FQ216" s="2"/>
      <c r="FR216" s="2"/>
      <c r="FS216" s="2"/>
      <c r="FT216" s="2"/>
      <c r="FU216" s="2"/>
      <c r="FV216" s="2"/>
      <c r="FW216" s="2"/>
      <c r="FX216" s="2"/>
      <c r="FY216" s="2"/>
      <c r="FZ216" s="2"/>
      <c r="GA216" s="2"/>
      <c r="GB216" s="2"/>
      <c r="GC216" s="2"/>
      <c r="GD216" s="2"/>
      <c r="GE216" s="2"/>
      <c r="GF216" s="2"/>
      <c r="GG216" s="2"/>
      <c r="GH216" s="2"/>
      <c r="GI216" s="2"/>
      <c r="GJ216" s="2"/>
      <c r="GK216" s="2"/>
      <c r="GL216" s="2"/>
      <c r="GM216" s="2"/>
      <c r="GN216" s="2"/>
      <c r="GO216" s="2"/>
      <c r="GP216" s="2"/>
      <c r="GQ216" s="2"/>
      <c r="GR216" s="2"/>
      <c r="GS216" s="2"/>
      <c r="GT216" s="2"/>
      <c r="GU216" s="2"/>
      <c r="GV216" s="2"/>
      <c r="GW216" s="10"/>
      <c r="GX216" s="10"/>
      <c r="GY216" s="10"/>
      <c r="GZ216" s="10"/>
      <c r="HA216" s="10"/>
      <c r="HB216" s="10"/>
      <c r="HC216" s="10"/>
      <c r="HD216" s="8"/>
      <c r="HE216" s="11"/>
      <c r="HF216" s="11"/>
      <c r="HG216" s="8"/>
      <c r="HH216" s="8"/>
      <c r="HI216" s="8"/>
      <c r="HJ216" s="8"/>
      <c r="HK216" s="8"/>
      <c r="HL216" s="11"/>
      <c r="HM216" s="11"/>
      <c r="HN216" s="8"/>
      <c r="HO216" s="8"/>
      <c r="HP216" s="8"/>
      <c r="HQ216" s="8"/>
      <c r="HR216" s="8"/>
      <c r="HS216" s="11"/>
      <c r="HT216" s="11"/>
      <c r="HU216" s="11"/>
      <c r="HV216" s="8"/>
      <c r="HW216" s="11"/>
      <c r="HX216" s="8"/>
      <c r="HY216" s="8"/>
      <c r="HZ216" s="11"/>
      <c r="IA216" s="11"/>
      <c r="IB216" s="8"/>
      <c r="IC216" s="8"/>
      <c r="ID216" s="8"/>
      <c r="IE216" s="8"/>
      <c r="IF216" s="8"/>
      <c r="IG216" s="11"/>
      <c r="IH216" s="11"/>
      <c r="II216" s="8"/>
      <c r="IJ216" s="8"/>
      <c r="IK216" s="8"/>
      <c r="IL216" s="8"/>
    </row>
    <row r="217" spans="2:398">
      <c r="AD217" s="8"/>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10"/>
      <c r="BW217" s="10"/>
      <c r="BX217" s="10"/>
      <c r="BY217" s="10"/>
      <c r="BZ217" s="10"/>
      <c r="CA217" s="10"/>
      <c r="CB217" s="10"/>
      <c r="CC217" s="8"/>
      <c r="CD217" s="11"/>
      <c r="CE217" s="11"/>
      <c r="CF217" s="8"/>
      <c r="CG217" s="8"/>
      <c r="CH217" s="8"/>
      <c r="CI217" s="8"/>
      <c r="CJ217" s="8"/>
      <c r="CK217" s="11"/>
      <c r="CL217" s="11"/>
      <c r="CM217" s="8"/>
      <c r="CN217" s="8"/>
      <c r="CO217" s="8"/>
      <c r="CP217" s="8"/>
      <c r="CQ217" s="8"/>
      <c r="CR217" s="11"/>
      <c r="CS217" s="11"/>
      <c r="CT217" s="11"/>
      <c r="CU217" s="8"/>
      <c r="CV217" s="11"/>
      <c r="CW217" s="8"/>
      <c r="CX217" s="8"/>
      <c r="CY217" s="11"/>
      <c r="CZ217" s="11"/>
      <c r="DA217" s="8"/>
      <c r="DB217" s="8"/>
      <c r="DC217" s="8"/>
      <c r="DD217" s="8"/>
      <c r="DE217" s="8"/>
      <c r="DF217" s="11"/>
      <c r="DG217" s="11"/>
      <c r="DH217" s="8"/>
      <c r="DI217" s="8"/>
      <c r="DJ217" s="8"/>
      <c r="DK217" s="8"/>
      <c r="ER217" s="8"/>
      <c r="ES217" s="8"/>
      <c r="ET217" s="8"/>
      <c r="EU217" s="8"/>
      <c r="EV217" s="12"/>
      <c r="EY217" s="12"/>
      <c r="FB217" s="12"/>
      <c r="FE217" s="12"/>
      <c r="FH217" s="12"/>
      <c r="FK217" s="14"/>
      <c r="FL217" s="14"/>
      <c r="FM217" s="2"/>
      <c r="FN217" s="2"/>
      <c r="FO217" s="2"/>
      <c r="FP217" s="2"/>
      <c r="FQ217" s="2"/>
      <c r="FR217" s="2"/>
      <c r="FS217" s="2"/>
      <c r="FT217" s="2"/>
      <c r="FU217" s="2"/>
      <c r="FV217" s="2"/>
      <c r="FW217" s="2"/>
      <c r="FX217" s="2"/>
      <c r="FY217" s="2"/>
      <c r="FZ217" s="2"/>
      <c r="GA217" s="2"/>
      <c r="GB217" s="2"/>
      <c r="GC217" s="2"/>
      <c r="GD217" s="2"/>
      <c r="GE217" s="2"/>
      <c r="GF217" s="2"/>
      <c r="GG217" s="2"/>
      <c r="GH217" s="2"/>
      <c r="GI217" s="2"/>
      <c r="GJ217" s="2"/>
      <c r="GK217" s="2"/>
      <c r="GL217" s="2"/>
      <c r="GM217" s="2"/>
      <c r="GN217" s="2"/>
      <c r="GO217" s="2"/>
      <c r="GP217" s="2"/>
      <c r="GQ217" s="2"/>
      <c r="GR217" s="2"/>
      <c r="GS217" s="2"/>
      <c r="GT217" s="2"/>
      <c r="GU217" s="2"/>
      <c r="GV217" s="2"/>
      <c r="GW217" s="10"/>
      <c r="GX217" s="10"/>
      <c r="GY217" s="10"/>
      <c r="GZ217" s="10"/>
      <c r="HA217" s="10"/>
      <c r="HB217" s="10"/>
      <c r="HC217" s="10"/>
      <c r="HD217" s="8"/>
      <c r="HE217" s="11"/>
      <c r="HF217" s="11"/>
      <c r="HG217" s="8"/>
      <c r="HH217" s="8"/>
      <c r="HI217" s="8"/>
      <c r="HJ217" s="8"/>
      <c r="HK217" s="8"/>
      <c r="HL217" s="11"/>
      <c r="HM217" s="11"/>
      <c r="HN217" s="8"/>
      <c r="HO217" s="8"/>
      <c r="HP217" s="8"/>
      <c r="HQ217" s="8"/>
      <c r="HR217" s="8"/>
      <c r="HS217" s="11"/>
      <c r="HT217" s="11"/>
      <c r="HU217" s="11"/>
      <c r="HV217" s="8"/>
      <c r="HW217" s="11"/>
      <c r="HX217" s="8"/>
      <c r="HY217" s="8"/>
      <c r="HZ217" s="11"/>
      <c r="IA217" s="11"/>
      <c r="IB217" s="8"/>
      <c r="IC217" s="8"/>
      <c r="ID217" s="8"/>
      <c r="IE217" s="8"/>
      <c r="IF217" s="8"/>
      <c r="IG217" s="11"/>
      <c r="IH217" s="11"/>
      <c r="II217" s="8"/>
      <c r="IJ217" s="8"/>
      <c r="IK217" s="8"/>
      <c r="IL217" s="8"/>
    </row>
    <row r="218" spans="2:398">
      <c r="AD218" s="8"/>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10"/>
      <c r="BW218" s="10"/>
      <c r="BX218" s="10"/>
      <c r="BY218" s="10"/>
      <c r="BZ218" s="10"/>
      <c r="CA218" s="10"/>
      <c r="CB218" s="10"/>
      <c r="CC218" s="8"/>
      <c r="CD218" s="11"/>
      <c r="CE218" s="11"/>
      <c r="CF218" s="8"/>
      <c r="CG218" s="8"/>
      <c r="CH218" s="8"/>
      <c r="CI218" s="8"/>
      <c r="CJ218" s="8"/>
      <c r="CK218" s="11"/>
      <c r="CL218" s="11"/>
      <c r="CM218" s="8"/>
      <c r="CN218" s="8"/>
      <c r="CO218" s="8"/>
      <c r="CP218" s="8"/>
      <c r="CQ218" s="8"/>
      <c r="CR218" s="11"/>
      <c r="CS218" s="11"/>
      <c r="CT218" s="11"/>
      <c r="CU218" s="8"/>
      <c r="CV218" s="11"/>
      <c r="CW218" s="8"/>
      <c r="CX218" s="8"/>
      <c r="CY218" s="11"/>
      <c r="CZ218" s="11"/>
      <c r="DA218" s="8"/>
      <c r="DB218" s="8"/>
      <c r="DC218" s="8"/>
      <c r="DD218" s="8"/>
      <c r="DE218" s="8"/>
      <c r="DF218" s="11"/>
      <c r="DG218" s="11"/>
      <c r="DH218" s="8"/>
      <c r="DI218" s="8"/>
      <c r="DJ218" s="8"/>
      <c r="DK218" s="8"/>
      <c r="ER218" s="8"/>
      <c r="ES218" s="8"/>
      <c r="ET218" s="8"/>
      <c r="EU218" s="8"/>
      <c r="EV218" s="12"/>
      <c r="EY218" s="12"/>
      <c r="FB218" s="12"/>
      <c r="FE218" s="12"/>
      <c r="FH218" s="12"/>
      <c r="FK218" s="14"/>
      <c r="FL218" s="14"/>
      <c r="FM218" s="2"/>
      <c r="FN218" s="2"/>
      <c r="FO218" s="2"/>
      <c r="FP218" s="2"/>
      <c r="FQ218" s="2"/>
      <c r="FR218" s="2"/>
      <c r="FS218" s="2"/>
      <c r="FT218" s="2"/>
      <c r="FU218" s="2"/>
      <c r="FV218" s="2"/>
      <c r="FW218" s="2"/>
      <c r="FX218" s="2"/>
      <c r="FY218" s="2"/>
      <c r="FZ218" s="2"/>
      <c r="GA218" s="2"/>
      <c r="GB218" s="2"/>
      <c r="GC218" s="2"/>
      <c r="GD218" s="2"/>
      <c r="GE218" s="2"/>
      <c r="GF218" s="2"/>
      <c r="GG218" s="2"/>
      <c r="GH218" s="2"/>
      <c r="GI218" s="2"/>
      <c r="GJ218" s="2"/>
      <c r="GK218" s="2"/>
      <c r="GL218" s="2"/>
      <c r="GM218" s="2"/>
      <c r="GN218" s="2"/>
      <c r="GO218" s="2"/>
      <c r="GP218" s="2"/>
      <c r="GQ218" s="2"/>
      <c r="GR218" s="2"/>
      <c r="GS218" s="2"/>
      <c r="GT218" s="2"/>
      <c r="GU218" s="2"/>
      <c r="GV218" s="2"/>
      <c r="GW218" s="10"/>
      <c r="GX218" s="10"/>
      <c r="GY218" s="10"/>
      <c r="GZ218" s="10"/>
      <c r="HA218" s="10"/>
      <c r="HB218" s="10"/>
      <c r="HC218" s="10"/>
      <c r="HD218" s="8"/>
      <c r="HE218" s="11"/>
      <c r="HF218" s="11"/>
      <c r="HG218" s="8"/>
      <c r="HH218" s="8"/>
      <c r="HI218" s="8"/>
      <c r="HJ218" s="8"/>
      <c r="HK218" s="8"/>
      <c r="HL218" s="11"/>
      <c r="HM218" s="11"/>
      <c r="HN218" s="8"/>
      <c r="HO218" s="8"/>
      <c r="HP218" s="8"/>
      <c r="HQ218" s="8"/>
      <c r="HR218" s="8"/>
      <c r="HS218" s="11"/>
      <c r="HT218" s="11"/>
      <c r="HU218" s="11"/>
      <c r="HV218" s="8"/>
      <c r="HW218" s="11"/>
      <c r="HX218" s="8"/>
      <c r="HY218" s="8"/>
      <c r="HZ218" s="11"/>
      <c r="IA218" s="11"/>
      <c r="IB218" s="8"/>
      <c r="IC218" s="8"/>
      <c r="ID218" s="8"/>
      <c r="IE218" s="8"/>
      <c r="IF218" s="8"/>
      <c r="IG218" s="11"/>
      <c r="IH218" s="11"/>
      <c r="II218" s="8"/>
      <c r="IJ218" s="8"/>
      <c r="IK218" s="8"/>
      <c r="IL218" s="8"/>
    </row>
    <row r="219" spans="2:398">
      <c r="AD219" s="8"/>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10"/>
      <c r="BW219" s="10"/>
      <c r="BX219" s="10"/>
      <c r="BY219" s="10"/>
      <c r="BZ219" s="10"/>
      <c r="CA219" s="10"/>
      <c r="CB219" s="10"/>
      <c r="CC219" s="8"/>
      <c r="CD219" s="11"/>
      <c r="CE219" s="11"/>
      <c r="CF219" s="8"/>
      <c r="CG219" s="8"/>
      <c r="CH219" s="8"/>
      <c r="CI219" s="8"/>
      <c r="CJ219" s="8"/>
      <c r="CK219" s="11"/>
      <c r="CL219" s="11"/>
      <c r="CM219" s="8"/>
      <c r="CN219" s="8"/>
      <c r="CO219" s="8"/>
      <c r="CP219" s="8"/>
      <c r="CQ219" s="8"/>
      <c r="CR219" s="11"/>
      <c r="CS219" s="11"/>
      <c r="CT219" s="11"/>
      <c r="CU219" s="8"/>
      <c r="CV219" s="11"/>
      <c r="CW219" s="8"/>
      <c r="CX219" s="8"/>
      <c r="CY219" s="11"/>
      <c r="CZ219" s="11"/>
      <c r="DA219" s="8"/>
      <c r="DB219" s="8"/>
      <c r="DC219" s="8"/>
      <c r="DD219" s="8"/>
      <c r="DE219" s="8"/>
      <c r="DF219" s="11"/>
      <c r="DG219" s="11"/>
      <c r="DH219" s="8"/>
      <c r="DI219" s="8"/>
      <c r="DJ219" s="8"/>
      <c r="DK219" s="8"/>
      <c r="ER219" s="8"/>
      <c r="ES219" s="8"/>
      <c r="ET219" s="8"/>
      <c r="EU219" s="8"/>
      <c r="EV219" s="12"/>
      <c r="EY219" s="12"/>
      <c r="FB219" s="12"/>
      <c r="FE219" s="12"/>
      <c r="FH219" s="12"/>
      <c r="FK219" s="14"/>
      <c r="FL219" s="14"/>
      <c r="FM219" s="2"/>
      <c r="FN219" s="2"/>
      <c r="FO219" s="2"/>
      <c r="FP219" s="2"/>
      <c r="FQ219" s="2"/>
      <c r="FR219" s="2"/>
      <c r="FS219" s="2"/>
      <c r="FT219" s="2"/>
      <c r="FU219" s="2"/>
      <c r="FV219" s="2"/>
      <c r="FW219" s="2"/>
      <c r="FX219" s="2"/>
      <c r="FY219" s="2"/>
      <c r="FZ219" s="2"/>
      <c r="GA219" s="2"/>
      <c r="GB219" s="2"/>
      <c r="GC219" s="2"/>
      <c r="GD219" s="2"/>
      <c r="GE219" s="2"/>
      <c r="GF219" s="2"/>
      <c r="GG219" s="2"/>
      <c r="GH219" s="2"/>
      <c r="GI219" s="2"/>
      <c r="GJ219" s="2"/>
      <c r="GK219" s="2"/>
      <c r="GL219" s="2"/>
      <c r="GM219" s="2"/>
      <c r="GN219" s="2"/>
      <c r="GO219" s="2"/>
      <c r="GP219" s="2"/>
      <c r="GQ219" s="2"/>
      <c r="GR219" s="2"/>
      <c r="GS219" s="2"/>
      <c r="GT219" s="2"/>
      <c r="GU219" s="2"/>
      <c r="GV219" s="2"/>
      <c r="GW219" s="10"/>
      <c r="GX219" s="10"/>
      <c r="GY219" s="10"/>
      <c r="GZ219" s="10"/>
      <c r="HA219" s="10"/>
      <c r="HB219" s="10"/>
      <c r="HC219" s="10"/>
      <c r="HD219" s="8"/>
      <c r="HE219" s="11"/>
      <c r="HF219" s="11"/>
      <c r="HG219" s="8"/>
      <c r="HH219" s="8"/>
      <c r="HI219" s="8"/>
      <c r="HJ219" s="8"/>
      <c r="HK219" s="8"/>
      <c r="HL219" s="11"/>
      <c r="HM219" s="11"/>
      <c r="HN219" s="8"/>
      <c r="HO219" s="8"/>
      <c r="HP219" s="8"/>
      <c r="HQ219" s="8"/>
      <c r="HR219" s="8"/>
      <c r="HS219" s="11"/>
      <c r="HT219" s="11"/>
      <c r="HU219" s="11"/>
      <c r="HV219" s="8"/>
      <c r="HW219" s="11"/>
      <c r="HX219" s="8"/>
      <c r="HY219" s="8"/>
      <c r="HZ219" s="11"/>
      <c r="IA219" s="11"/>
      <c r="IB219" s="8"/>
      <c r="IC219" s="8"/>
      <c r="ID219" s="8"/>
      <c r="IE219" s="8"/>
      <c r="IF219" s="8"/>
      <c r="IG219" s="11"/>
      <c r="IH219" s="11"/>
      <c r="II219" s="8"/>
      <c r="IJ219" s="8"/>
      <c r="IK219" s="8"/>
      <c r="IL219" s="8"/>
    </row>
    <row r="220" spans="2:398">
      <c r="AD220" s="8"/>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10"/>
      <c r="BW220" s="10"/>
      <c r="BX220" s="10"/>
      <c r="BY220" s="10"/>
      <c r="BZ220" s="10"/>
      <c r="CA220" s="10"/>
      <c r="CB220" s="10"/>
      <c r="CC220" s="8"/>
      <c r="CD220" s="11"/>
      <c r="CE220" s="11"/>
      <c r="CF220" s="8"/>
      <c r="CG220" s="8"/>
      <c r="CH220" s="8"/>
      <c r="CI220" s="8"/>
      <c r="CJ220" s="8"/>
      <c r="CK220" s="11"/>
      <c r="CL220" s="11"/>
      <c r="CM220" s="8"/>
      <c r="CN220" s="8"/>
      <c r="CO220" s="8"/>
      <c r="CP220" s="8"/>
      <c r="CQ220" s="8"/>
      <c r="CR220" s="11"/>
      <c r="CS220" s="11"/>
      <c r="CT220" s="11"/>
      <c r="CU220" s="8"/>
      <c r="CV220" s="11"/>
      <c r="CW220" s="8"/>
      <c r="CX220" s="8"/>
      <c r="CY220" s="11"/>
      <c r="CZ220" s="11"/>
      <c r="DA220" s="8"/>
      <c r="DB220" s="8"/>
      <c r="DC220" s="8"/>
      <c r="DD220" s="8"/>
      <c r="DE220" s="8"/>
      <c r="DF220" s="11"/>
      <c r="DG220" s="11"/>
      <c r="DH220" s="8"/>
      <c r="DI220" s="8"/>
      <c r="DJ220" s="8"/>
      <c r="DK220" s="8"/>
      <c r="ER220" s="8"/>
      <c r="ES220" s="8"/>
      <c r="ET220" s="8"/>
      <c r="EU220" s="8"/>
      <c r="EV220" s="12"/>
      <c r="EY220" s="12"/>
      <c r="FB220" s="12"/>
      <c r="FE220" s="12"/>
      <c r="FH220" s="12"/>
      <c r="FK220" s="14"/>
      <c r="FL220" s="14"/>
      <c r="FM220" s="2"/>
      <c r="FN220" s="2"/>
      <c r="FO220" s="2"/>
      <c r="FP220" s="2"/>
      <c r="FQ220" s="2"/>
      <c r="FR220" s="2"/>
      <c r="FS220" s="2"/>
      <c r="FT220" s="2"/>
      <c r="FU220" s="2"/>
      <c r="FV220" s="2"/>
      <c r="FW220" s="2"/>
      <c r="FX220" s="2"/>
      <c r="FY220" s="2"/>
      <c r="FZ220" s="2"/>
      <c r="GA220" s="2"/>
      <c r="GB220" s="2"/>
      <c r="GC220" s="2"/>
      <c r="GD220" s="2"/>
      <c r="GE220" s="2"/>
      <c r="GF220" s="2"/>
      <c r="GG220" s="2"/>
      <c r="GH220" s="2"/>
      <c r="GI220" s="2"/>
      <c r="GJ220" s="2"/>
      <c r="GK220" s="2"/>
      <c r="GL220" s="2"/>
      <c r="GM220" s="2"/>
      <c r="GN220" s="2"/>
      <c r="GO220" s="2"/>
      <c r="GP220" s="2"/>
      <c r="GQ220" s="2"/>
      <c r="GR220" s="2"/>
      <c r="GS220" s="2"/>
      <c r="GT220" s="2"/>
      <c r="GU220" s="2"/>
      <c r="GV220" s="2"/>
      <c r="GW220" s="10"/>
      <c r="GX220" s="10"/>
      <c r="GY220" s="10"/>
      <c r="GZ220" s="10"/>
      <c r="HA220" s="10"/>
      <c r="HB220" s="10"/>
      <c r="HC220" s="10"/>
      <c r="HD220" s="8"/>
      <c r="HE220" s="11"/>
      <c r="HF220" s="11"/>
      <c r="HG220" s="8"/>
      <c r="HH220" s="8"/>
      <c r="HI220" s="8"/>
      <c r="HJ220" s="8"/>
      <c r="HK220" s="8"/>
      <c r="HL220" s="11"/>
      <c r="HM220" s="11"/>
      <c r="HN220" s="8"/>
      <c r="HO220" s="8"/>
      <c r="HP220" s="8"/>
      <c r="HQ220" s="8"/>
      <c r="HR220" s="8"/>
      <c r="HS220" s="11"/>
      <c r="HT220" s="11"/>
      <c r="HU220" s="11"/>
      <c r="HV220" s="8"/>
      <c r="HW220" s="11"/>
      <c r="HX220" s="8"/>
      <c r="HY220" s="8"/>
      <c r="HZ220" s="11"/>
      <c r="IA220" s="11"/>
      <c r="IB220" s="8"/>
      <c r="IC220" s="8"/>
      <c r="ID220" s="8"/>
      <c r="IE220" s="8"/>
      <c r="IF220" s="8"/>
      <c r="IG220" s="11"/>
      <c r="IH220" s="11"/>
      <c r="II220" s="8"/>
      <c r="IJ220" s="8"/>
      <c r="IK220" s="8"/>
      <c r="IL220" s="8"/>
    </row>
    <row r="221" spans="2:398">
      <c r="AD221" s="8"/>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10"/>
      <c r="BW221" s="10"/>
      <c r="BX221" s="10"/>
      <c r="BY221" s="10"/>
      <c r="BZ221" s="10"/>
      <c r="CA221" s="10"/>
      <c r="CB221" s="10"/>
      <c r="CC221" s="8"/>
      <c r="CD221" s="11"/>
      <c r="CE221" s="11"/>
      <c r="CF221" s="8"/>
      <c r="CG221" s="8"/>
      <c r="CH221" s="8"/>
      <c r="CI221" s="8"/>
      <c r="CJ221" s="8"/>
      <c r="CK221" s="11"/>
      <c r="CL221" s="11"/>
      <c r="CM221" s="8"/>
      <c r="CN221" s="8"/>
      <c r="CO221" s="8"/>
      <c r="CP221" s="8"/>
      <c r="CQ221" s="8"/>
      <c r="CR221" s="11"/>
      <c r="CS221" s="11"/>
      <c r="CT221" s="11"/>
      <c r="CU221" s="8"/>
      <c r="CV221" s="11"/>
      <c r="CW221" s="8"/>
      <c r="CX221" s="8"/>
      <c r="CY221" s="11"/>
      <c r="CZ221" s="11"/>
      <c r="DA221" s="8"/>
      <c r="DB221" s="8"/>
      <c r="DC221" s="8"/>
      <c r="DD221" s="8"/>
      <c r="DE221" s="8"/>
      <c r="DF221" s="11"/>
      <c r="DG221" s="11"/>
      <c r="DH221" s="8"/>
      <c r="DI221" s="8"/>
      <c r="DJ221" s="8"/>
      <c r="DK221" s="8"/>
      <c r="ER221" s="8"/>
      <c r="ES221" s="8"/>
      <c r="ET221" s="8"/>
      <c r="EU221" s="8"/>
      <c r="EV221" s="12"/>
      <c r="EY221" s="12"/>
      <c r="FB221" s="12"/>
      <c r="FE221" s="12"/>
      <c r="FH221" s="12"/>
      <c r="FK221" s="14"/>
      <c r="FL221" s="14"/>
      <c r="FM221" s="2"/>
      <c r="FN221" s="2"/>
      <c r="FO221" s="2"/>
      <c r="FP221" s="2"/>
      <c r="FQ221" s="2"/>
      <c r="FR221" s="2"/>
      <c r="FS221" s="2"/>
      <c r="FT221" s="2"/>
      <c r="FU221" s="2"/>
      <c r="FV221" s="2"/>
      <c r="FW221" s="2"/>
      <c r="FX221" s="2"/>
      <c r="FY221" s="2"/>
      <c r="FZ221" s="2"/>
      <c r="GA221" s="2"/>
      <c r="GB221" s="2"/>
      <c r="GC221" s="2"/>
      <c r="GD221" s="2"/>
      <c r="GE221" s="2"/>
      <c r="GF221" s="2"/>
      <c r="GG221" s="2"/>
      <c r="GH221" s="2"/>
      <c r="GI221" s="2"/>
      <c r="GJ221" s="2"/>
      <c r="GK221" s="2"/>
      <c r="GL221" s="2"/>
      <c r="GM221" s="2"/>
      <c r="GN221" s="2"/>
      <c r="GO221" s="2"/>
      <c r="GP221" s="2"/>
      <c r="GQ221" s="2"/>
      <c r="GR221" s="2"/>
      <c r="GS221" s="2"/>
      <c r="GT221" s="2"/>
      <c r="GU221" s="2"/>
      <c r="GV221" s="2"/>
      <c r="GW221" s="10"/>
      <c r="GX221" s="10"/>
      <c r="GY221" s="10"/>
      <c r="GZ221" s="10"/>
      <c r="HA221" s="10"/>
      <c r="HB221" s="10"/>
      <c r="HC221" s="10"/>
      <c r="HD221" s="8"/>
      <c r="HE221" s="11"/>
      <c r="HF221" s="11"/>
      <c r="HG221" s="8"/>
      <c r="HH221" s="8"/>
      <c r="HI221" s="8"/>
      <c r="HJ221" s="8"/>
      <c r="HK221" s="8"/>
      <c r="HL221" s="11"/>
      <c r="HM221" s="11"/>
      <c r="HN221" s="8"/>
      <c r="HO221" s="8"/>
      <c r="HP221" s="8"/>
      <c r="HQ221" s="8"/>
      <c r="HR221" s="8"/>
      <c r="HS221" s="11"/>
      <c r="HT221" s="11"/>
      <c r="HU221" s="11"/>
      <c r="HV221" s="8"/>
      <c r="HW221" s="11"/>
      <c r="HX221" s="8"/>
      <c r="HY221" s="8"/>
      <c r="HZ221" s="11"/>
      <c r="IA221" s="11"/>
      <c r="IB221" s="8"/>
      <c r="IC221" s="8"/>
      <c r="ID221" s="8"/>
      <c r="IE221" s="8"/>
      <c r="IF221" s="8"/>
      <c r="IG221" s="11"/>
      <c r="IH221" s="11"/>
      <c r="II221" s="8"/>
      <c r="IJ221" s="8"/>
      <c r="IK221" s="8"/>
      <c r="IL221" s="8"/>
    </row>
  </sheetData>
  <sheetProtection formatColumns="0"/>
  <autoFilter ref="B10:JR167" xr:uid="{223C1CEB-D187-4E85-8C98-D8F3D9116563}"/>
  <mergeCells count="161">
    <mergeCell ref="GA181:GB181"/>
    <mergeCell ref="GC181:GD181"/>
    <mergeCell ref="BV179:BX181"/>
    <mergeCell ref="FY179:FZ181"/>
    <mergeCell ref="GA179:GB179"/>
    <mergeCell ref="GC179:GD179"/>
    <mergeCell ref="GW179:GY181"/>
    <mergeCell ref="AX180:AY180"/>
    <mergeCell ref="AZ180:BA180"/>
    <mergeCell ref="GA180:GB180"/>
    <mergeCell ref="GC180:GD180"/>
    <mergeCell ref="AX181:AY181"/>
    <mergeCell ref="AX168:AY168"/>
    <mergeCell ref="AZ168:BA168"/>
    <mergeCell ref="AX169:AY169"/>
    <mergeCell ref="AZ169:BA169"/>
    <mergeCell ref="AV179:AW181"/>
    <mergeCell ref="AX179:AY179"/>
    <mergeCell ref="AZ179:BA179"/>
    <mergeCell ref="AZ181:BA181"/>
    <mergeCell ref="AX167:AY167"/>
    <mergeCell ref="AZ167:BA167"/>
    <mergeCell ref="BV167:BW167"/>
    <mergeCell ref="GA167:GB167"/>
    <mergeCell ref="GC167:GD167"/>
    <mergeCell ref="GW167:GX167"/>
    <mergeCell ref="AX165:AY165"/>
    <mergeCell ref="AZ165:BA165"/>
    <mergeCell ref="GA165:GB165"/>
    <mergeCell ref="GC165:GD165"/>
    <mergeCell ref="AX166:AY166"/>
    <mergeCell ref="AZ166:BA166"/>
    <mergeCell ref="GA166:GB166"/>
    <mergeCell ref="GC166:GD166"/>
    <mergeCell ref="AX164:AY164"/>
    <mergeCell ref="AZ164:BA164"/>
    <mergeCell ref="BV164:BW164"/>
    <mergeCell ref="GA164:GB164"/>
    <mergeCell ref="GC164:GD164"/>
    <mergeCell ref="GW164:GX164"/>
    <mergeCell ref="BV163:BW163"/>
    <mergeCell ref="BX163:BX167"/>
    <mergeCell ref="GA163:GB163"/>
    <mergeCell ref="GC163:GD163"/>
    <mergeCell ref="GW163:GX163"/>
    <mergeCell ref="GY163:GY167"/>
    <mergeCell ref="Q159:T159"/>
    <mergeCell ref="Q160:T160"/>
    <mergeCell ref="Q161:T161"/>
    <mergeCell ref="Q162:T162"/>
    <mergeCell ref="AX163:AY163"/>
    <mergeCell ref="AZ163:BA163"/>
    <mergeCell ref="JD9:JD10"/>
    <mergeCell ref="JE9:JE10"/>
    <mergeCell ref="JF9:JF10"/>
    <mergeCell ref="JG9:JH9"/>
    <mergeCell ref="Q157:T157"/>
    <mergeCell ref="Q158:T158"/>
    <mergeCell ref="IV9:IV10"/>
    <mergeCell ref="IW9:IW10"/>
    <mergeCell ref="IX9:IX10"/>
    <mergeCell ref="IY9:IY10"/>
    <mergeCell ref="IZ9:IZ10"/>
    <mergeCell ref="JA9:JA10"/>
    <mergeCell ref="IO9:IO10"/>
    <mergeCell ref="IP9:IP10"/>
    <mergeCell ref="IR9:IR10"/>
    <mergeCell ref="IS9:IS10"/>
    <mergeCell ref="IT9:IT10"/>
    <mergeCell ref="IU9:IU10"/>
    <mergeCell ref="GI9:GI10"/>
    <mergeCell ref="GJ9:GJ10"/>
    <mergeCell ref="GQ9:GQ10"/>
    <mergeCell ref="GW9:GW10"/>
    <mergeCell ref="GX9:GX10"/>
    <mergeCell ref="GY9:GY10"/>
    <mergeCell ref="GA9:GA10"/>
    <mergeCell ref="GB9:GB10"/>
    <mergeCell ref="GC9:GC10"/>
    <mergeCell ref="GD9:GD10"/>
    <mergeCell ref="GE9:GE10"/>
    <mergeCell ref="GF9:GF10"/>
    <mergeCell ref="FU9:FU10"/>
    <mergeCell ref="FV9:FV10"/>
    <mergeCell ref="FW9:FW10"/>
    <mergeCell ref="FX9:FX10"/>
    <mergeCell ref="FY9:FY10"/>
    <mergeCell ref="FZ9:FZ10"/>
    <mergeCell ref="FN9:FN10"/>
    <mergeCell ref="FO9:FO10"/>
    <mergeCell ref="FP9:FP10"/>
    <mergeCell ref="FQ9:FQ10"/>
    <mergeCell ref="FS9:FS10"/>
    <mergeCell ref="FT9:FT10"/>
    <mergeCell ref="FB9:FD9"/>
    <mergeCell ref="FE9:FG9"/>
    <mergeCell ref="FH9:FJ9"/>
    <mergeCell ref="FK9:FK10"/>
    <mergeCell ref="FL9:FL10"/>
    <mergeCell ref="FM9:FM10"/>
    <mergeCell ref="EK9:EK10"/>
    <mergeCell ref="EL9:EL10"/>
    <mergeCell ref="EM9:EM10"/>
    <mergeCell ref="EO9:ER9"/>
    <mergeCell ref="EW9:EX9"/>
    <mergeCell ref="EY9:FA9"/>
    <mergeCell ref="DQ9:DT9"/>
    <mergeCell ref="DU9:DU10"/>
    <mergeCell ref="DV9:DV10"/>
    <mergeCell ref="DW9:DW10"/>
    <mergeCell ref="DX9:DX10"/>
    <mergeCell ref="EC9:EC10"/>
    <mergeCell ref="BC9:BC10"/>
    <mergeCell ref="BI9:BI10"/>
    <mergeCell ref="BN9:BN10"/>
    <mergeCell ref="BV9:BV10"/>
    <mergeCell ref="BW9:BW10"/>
    <mergeCell ref="BX9:BX10"/>
    <mergeCell ref="AV9:AV10"/>
    <mergeCell ref="AW9:AW10"/>
    <mergeCell ref="AX9:AX10"/>
    <mergeCell ref="AY9:AY10"/>
    <mergeCell ref="AZ9:AZ10"/>
    <mergeCell ref="BA9:BA10"/>
    <mergeCell ref="AP9:AP10"/>
    <mergeCell ref="AQ9:AQ10"/>
    <mergeCell ref="AR9:AR10"/>
    <mergeCell ref="AS9:AS10"/>
    <mergeCell ref="AT9:AT10"/>
    <mergeCell ref="AU9:AU10"/>
    <mergeCell ref="X9:Z9"/>
    <mergeCell ref="AA9:AD9"/>
    <mergeCell ref="AE9:AE10"/>
    <mergeCell ref="AF9:AF10"/>
    <mergeCell ref="AG9:AG10"/>
    <mergeCell ref="AH9:AH10"/>
    <mergeCell ref="M9:M10"/>
    <mergeCell ref="N9:N10"/>
    <mergeCell ref="O9:O10"/>
    <mergeCell ref="P9:P10"/>
    <mergeCell ref="Q9:S9"/>
    <mergeCell ref="V9:V10"/>
    <mergeCell ref="IR7:JF7"/>
    <mergeCell ref="G8:H8"/>
    <mergeCell ref="I8:J8"/>
    <mergeCell ref="EY8:FJ8"/>
    <mergeCell ref="B9:C9"/>
    <mergeCell ref="D9:D10"/>
    <mergeCell ref="E9:E10"/>
    <mergeCell ref="G9:H9"/>
    <mergeCell ref="I9:J9"/>
    <mergeCell ref="L9:L10"/>
    <mergeCell ref="BV4:BX4"/>
    <mergeCell ref="DI4:DK4"/>
    <mergeCell ref="EK4:EM4"/>
    <mergeCell ref="GW4:GY4"/>
    <mergeCell ref="IJ4:IL4"/>
    <mergeCell ref="DI7:DK7"/>
    <mergeCell ref="GE7:GH7"/>
    <mergeCell ref="GL7:GM7"/>
    <mergeCell ref="IJ7:IL7"/>
  </mergeCells>
  <phoneticPr fontId="4"/>
  <conditionalFormatting sqref="B111:C111 C135:D156">
    <cfRule type="containsText" dxfId="41" priority="27" operator="containsText" text="NGホテル">
      <formula>NOT(ISERROR(SEARCH("NGホテル",B111)))</formula>
    </cfRule>
    <cfRule type="containsText" dxfId="40" priority="28" operator="containsText" text="追加">
      <formula>NOT(ISERROR(SEARCH("追加",B111)))</formula>
    </cfRule>
  </conditionalFormatting>
  <conditionalFormatting sqref="B172:C172">
    <cfRule type="containsText" dxfId="39" priority="17" operator="containsText" text="NGホテル">
      <formula>NOT(ISERROR(SEARCH("NGホテル",B172)))</formula>
    </cfRule>
    <cfRule type="containsText" dxfId="38" priority="18" operator="containsText" text="追加">
      <formula>NOT(ISERROR(SEARCH("追加",B172)))</formula>
    </cfRule>
  </conditionalFormatting>
  <conditionalFormatting sqref="B11:D11 C89:D89 C99">
    <cfRule type="containsText" dxfId="36" priority="34" operator="containsText" text="NGホテル">
      <formula>NOT(ISERROR(SEARCH("NGホテル",B11)))</formula>
    </cfRule>
    <cfRule type="containsText" dxfId="37" priority="35" operator="containsText" text="追加">
      <formula>NOT(ISERROR(SEARCH("追加",B11)))</formula>
    </cfRule>
  </conditionalFormatting>
  <conditionalFormatting sqref="B74:D74">
    <cfRule type="containsText" dxfId="34" priority="31" operator="containsText" text="NGホテル">
      <formula>NOT(ISERROR(SEARCH("NGホテル",B74)))</formula>
    </cfRule>
    <cfRule type="containsText" dxfId="35" priority="32" operator="containsText" text="追加">
      <formula>NOT(ISERROR(SEARCH("追加",B74)))</formula>
    </cfRule>
  </conditionalFormatting>
  <conditionalFormatting sqref="C91">
    <cfRule type="containsText" dxfId="33" priority="20" operator="containsText" text="NGホテル">
      <formula>NOT(ISERROR(SEARCH("NGホテル",C91)))</formula>
    </cfRule>
    <cfRule type="containsText" dxfId="32" priority="21" operator="containsText" text="追加">
      <formula>NOT(ISERROR(SEARCH("追加",C91)))</formula>
    </cfRule>
  </conditionalFormatting>
  <conditionalFormatting sqref="C164:C166">
    <cfRule type="duplicateValues" dxfId="31" priority="42"/>
  </conditionalFormatting>
  <conditionalFormatting sqref="C70:D70 D90 C109:D109 D110 C125:D129 B131:D131 D132">
    <cfRule type="containsText" dxfId="30" priority="38" operator="containsText" text="NGホテル">
      <formula>NOT(ISERROR(SEARCH("NGホテル",B70)))</formula>
    </cfRule>
    <cfRule type="containsText" dxfId="29" priority="39" operator="containsText" text="追加">
      <formula>NOT(ISERROR(SEARCH("追加",B70)))</formula>
    </cfRule>
  </conditionalFormatting>
  <conditionalFormatting sqref="K54">
    <cfRule type="expression" dxfId="28" priority="12">
      <formula>J54&lt;K54</formula>
    </cfRule>
  </conditionalFormatting>
  <conditionalFormatting sqref="K56">
    <cfRule type="expression" dxfId="27" priority="9">
      <formula>J56&lt;K56</formula>
    </cfRule>
  </conditionalFormatting>
  <conditionalFormatting sqref="K97">
    <cfRule type="expression" dxfId="26" priority="6">
      <formula>J97&lt;K97</formula>
    </cfRule>
  </conditionalFormatting>
  <conditionalFormatting sqref="K147">
    <cfRule type="expression" dxfId="25" priority="3">
      <formula>J147&lt;K147</formula>
    </cfRule>
  </conditionalFormatting>
  <conditionalFormatting sqref="K83:L84">
    <cfRule type="expression" dxfId="24" priority="14">
      <formula>J83&lt;K83</formula>
    </cfRule>
  </conditionalFormatting>
  <conditionalFormatting sqref="L11:L53 L55 L57:L82 L85:L96 L98:L146 L148:L156">
    <cfRule type="expression" dxfId="23" priority="26">
      <formula>J11&lt;L11</formula>
    </cfRule>
  </conditionalFormatting>
  <conditionalFormatting sqref="M54:O54">
    <cfRule type="cellIs" dxfId="22" priority="10" operator="equal">
      <formula>"ケータリング"</formula>
    </cfRule>
    <cfRule type="expression" dxfId="21" priority="11">
      <formula>#REF!="ケータリング"</formula>
    </cfRule>
  </conditionalFormatting>
  <conditionalFormatting sqref="M56:O56">
    <cfRule type="cellIs" dxfId="20" priority="7" operator="equal">
      <formula>"ケータリング"</formula>
    </cfRule>
    <cfRule type="expression" dxfId="19" priority="8">
      <formula>#REF!="ケータリング"</formula>
    </cfRule>
  </conditionalFormatting>
  <conditionalFormatting sqref="M97:O97">
    <cfRule type="cellIs" dxfId="18" priority="4" operator="equal">
      <formula>"ケータリング"</formula>
    </cfRule>
    <cfRule type="expression" dxfId="17" priority="5">
      <formula>#REF!="ケータリング"</formula>
    </cfRule>
  </conditionalFormatting>
  <conditionalFormatting sqref="M147:O147">
    <cfRule type="cellIs" dxfId="15" priority="1" operator="equal">
      <formula>"ケータリング"</formula>
    </cfRule>
    <cfRule type="expression" dxfId="16" priority="2">
      <formula>#REF!="ケータリング"</formula>
    </cfRule>
  </conditionalFormatting>
  <conditionalFormatting sqref="M83:P84">
    <cfRule type="cellIs" dxfId="13" priority="15" operator="equal">
      <formula>"ケータリング"</formula>
    </cfRule>
    <cfRule type="expression" dxfId="14" priority="16">
      <formula>#REF!="ケータリング"</formula>
    </cfRule>
  </conditionalFormatting>
  <conditionalFormatting sqref="N12:P53 N55:P55 N57:P82 N85:P96 N98:P146 N148:P156">
    <cfRule type="cellIs" dxfId="12" priority="24" operator="equal">
      <formula>"ケータリング"</formula>
    </cfRule>
    <cfRule type="expression" dxfId="11" priority="25">
      <formula>#REF!="ケータリング"</formula>
    </cfRule>
  </conditionalFormatting>
  <conditionalFormatting sqref="Q12:S35 Q163:T1048576">
    <cfRule type="cellIs" dxfId="10" priority="23" operator="lessThan">
      <formula>0</formula>
    </cfRule>
  </conditionalFormatting>
  <conditionalFormatting sqref="Q36:S44 Q89:S90 Q149:S149">
    <cfRule type="containsText" dxfId="8" priority="37" operator="containsText" text="未調査">
      <formula>NOT(ISERROR(SEARCH("未調査",Q36)))</formula>
    </cfRule>
    <cfRule type="containsText" dxfId="9" priority="40" operator="containsText" text="ケータリング">
      <formula>NOT(ISERROR(SEARCH("ケータリング",Q36)))</formula>
    </cfRule>
  </conditionalFormatting>
  <conditionalFormatting sqref="Q95:S96 Q98:S98">
    <cfRule type="cellIs" dxfId="7" priority="22" operator="lessThan">
      <formula>0</formula>
    </cfRule>
  </conditionalFormatting>
  <conditionalFormatting sqref="Q151:S151">
    <cfRule type="containsText" dxfId="6" priority="29" operator="containsText" text="未調査">
      <formula>NOT(ISERROR(SEARCH("未調査",Q151)))</formula>
    </cfRule>
    <cfRule type="containsText" dxfId="5" priority="30" operator="containsText" text="ケータリング">
      <formula>NOT(ISERROR(SEARCH("ケータリング",Q151)))</formula>
    </cfRule>
  </conditionalFormatting>
  <conditionalFormatting sqref="Q7:T8 Q9 T9:T10 Q104:S104 Q106:S128 Q131:S132 R139:S139 Q140:S140 R145:S145 Q146:S146 Q148:S148">
    <cfRule type="cellIs" dxfId="4" priority="36" operator="lessThan">
      <formula>0</formula>
    </cfRule>
  </conditionalFormatting>
  <conditionalFormatting sqref="V7:Z8 V9:X9 V157:Z1048576">
    <cfRule type="containsText" dxfId="3" priority="33" operator="containsText" text="不可">
      <formula>NOT(ISERROR(SEARCH("不可",V7)))</formula>
    </cfRule>
  </conditionalFormatting>
  <conditionalFormatting sqref="EO131:EO134">
    <cfRule type="duplicateValues" dxfId="2" priority="13"/>
  </conditionalFormatting>
  <conditionalFormatting sqref="EO135:EO156 EO11:EO130">
    <cfRule type="duplicateValues" dxfId="1" priority="41"/>
  </conditionalFormatting>
  <conditionalFormatting sqref="EX11:EX156">
    <cfRule type="cellIs" dxfId="0" priority="19" operator="greaterThan">
      <formula>"45分"</formula>
    </cfRule>
  </conditionalFormatting>
  <dataValidations count="8">
    <dataValidation showInputMessage="1" showErrorMessage="1" sqref="FK151 FK133 FK99 FK139 FK117 FK145 EV104 FK109 FK111 FK121 FK125 FK129 FL139:FL141 FL145:FL155 FK119 FK155 FL133:FL134 FK141 EV139 EV109 EV111 EV121 EV125 EV129 EV119 EV155 EV135 EV137 EV131 EV133 EV99 FK127 FK149 EV89 EP80:EQ80 EV58 HD37:HD44 HD163:IL163 GW151:IL151 GW117:IL117 FM156:IN156 EP76:EU79 ES73:EU73 EV81 EV50 FK115 EV52 EY12:FE57 GW72:IL72 EV87 FL106:FL129 IM106:IN130 IM89:IN91 IM11:IN11 FH90:FJ156 GW145:IL145 EV72 FL89:FL91 FL95:FL99 FK91 FK95 EV95 EV91 GW52:IL52 ES156:EU156 GW95:IL95 EV85 IM103:IN104 FH44:FJ57 FH58:FH80 HE36:IN44 FF12:FJ43 FI58:FJ69 EV39:EV44 EP12:EQ75 EV101 EV93 EV115 ES82:EU84 EV127 EV149 EV141 EV151 EV117 EV145 EV70 EW39:EX57 EW12:EX35 FH89:FK89 FI71:FJ80 FM151 EV11:FM11 FK36:FM36 FK50:FM50 FK52:FM52 FK58:FM58 FI70:FM70 FK72:FM72 FV111:FZ111 FK87:FM87 FM89 FM91 FK93:FM93 FM95 FM99 FK101:FM101 FK104:FM104 FM109 FM111 FM115 FM117 FM119 FM125 FM127 FM129 FK131:FM131 FM133 FK135:FM135 FK137:FM137 FM139 FM141 FM145 FM149 EP11:ER11 EV36:EX38 ER36:ER74 ES37:EU49 ES51:EU51 ES53:EU57 ES59:EU69 ES71:EU71 GR158:GR162 ES86:EU86 ES88:EU88 ES90:EU90 ES92:EU92 ES94:EU94 ES96:EU98 ES102:EU103 ES105:EU108 ES110:EU110 ES112:EU114 ES116:EU116 ES118:EU118 ES122:EU124 ES126:EU126 ES130:EU130 ES132:EU132 ES134:EU134 ES136:EU136 ES138:EU138 ES140:EU140 ES142:EU144 ES146:EU148 ES150:EU150 ES152:EU154 FV11:FZ11 FV36:FZ36 FV149:FZ149 GW143:HC143 FV50:FZ50 GW70:IL70 FV52:FZ52 FV58:FZ58 FV70:FZ70 FV72:FZ72 FV74:FZ74 FV87:FZ87 FV151:FZ151 FV91:FZ91 FV89:FZ89 FV95:FZ95 FV99:FZ99 KY115 FV104:FZ104 FV93:FZ93 FV109:FZ109 FV119:FZ119 FV117:FZ117 FV121:FZ121 FV125:FZ125 FV127:FZ127 FV129:FZ129 FV131:FZ131 FV133:FZ133 FV135:FZ135 FV137:FZ137 FV139:FZ139 FV143:FZ143 FV145:FZ145 FK74:FM74 FM155 GW104:IL104 IM50:IN73 GW50:IL50 IH143 GW111:IL111 GW101:IN101 GW99:IL99 GW74:IN74 GW135:IL135 GW91:IL91 GW149:IL149 GW89:IL89 HI143:HJ143 GW115:IL115 GW119:IL119 GW36:HD36 GW87:IL87 FV155:FZ155 HP121:HQ121 GW93:IL93 IM93:IN99 GW125:IL125 IC121 GW127:IL127 GW129:IL129 GW155:IL155 GW11:GY11 GW137:IL137 GW109:IL109 GW131:IL131 GW58:IL58 IM45:IP49 FV115:FZ115 FV101:FZ101 IA170 HH170:HI170 HN171:HO171 IE171 KT52 GW173:HC176 HK173:HL173 IE173:IE174 HT174:HU174 HN175:HO175 IA175 HI176:HJ176 HX176 IV119:IW119 IU117 KL170 JS170:JT170 JY171:JZ171 KP171 IN173:IN176 JV173:JW173 KP173:KP174 KE174:KF174 JY175:JZ175 KL175 JT176:JU176 KI176 KX11:KY11 KX36:KY74 KX93:KY99 KX101:KY101 KS172 KX89:KY91 KX103:KY104 KY173:KY176 JW155:JX155 JT149:JU149 KF145:KG145 JT141:JU141 KI139:KJ139 JY137:JZ137 JY135:JZ135 JS133:JT133 JW131:JX131 JY129:JZ129 JX125:JY125 JY119:JZ119 KF117:KG117 JX111:JY111 JU109:JV109 JT104:JU104 JU101:JV101 KC99:KD99 JY93:JZ93 JY91:JZ91 JY89:JZ89 JY87:JZ87 JY85:JZ85 JW81:JX81 JR74:JS74 JW72:JX72 JW70:JX70 JY52:JZ52 KS155 KP149 KO145 KS141 KS139 KL137 KL135 KT133 KT131 KT129 KJ125 KT119 KT117 KS111 KT109 KM104 KT101 KT99 KP93 KP91 KP89 KM87 KN85 KQ81 KU74 KT72 KT70 KY170:KY171 IN170:IN171 GW170:HC171 KX172:KY172 GW172:IN172 JX172:JY172 KX106:KY114 KX116:KY156 KA115:KB115 KT115 GA157:GQ162 IM131:IP155 FV141:FZ141 GS157:IL162 GW121:HC121 GW139:IL139 II121 GW141:IL141 FN82 GW133:IL133 GR82:GS82 GT82:GT84 GU82:GV82 GP82:GQ84 FP82:FQ84 FS82:FU84 FR82 GA82:GF84 GG82:GI82 GJ82:GL84 GM82:GO82 AB80:AC80 AB11:AD11 AB76:AD79 CC37:CC44 AS145:AW145 BV87:DK87 CR97 CH143:DG143 AG82:AR82 BV56:BX56 AS111:AW111 BO158:BP162 AS11:AW11 AS36:AW36 AS147:AW147 BV141:DK141 AS50:AW50 BV50:DK50 BV155:DK155 AS52:AW52 AS58:AW58 AS70:AW70 AS72:AW72 AS81:AW85 AS149:AW149 AS89:AW89 AS87:AW87 AS93:AW93 AS95:AW95 AS101:AW101 AS91:AW91 AS109:AW109 AS117:AW117 AF156:BX156 AS119:AW119 AS121:AW121 AS125:AW125 AS127:AW127 AS129:AW129 AS131:AW131 AS133:AW133 AS135:AW135 AS137:AW137 AS141:AW141 AS143:AW143 BV99:DK99 FH81:FJ88 DG123 BV111:DK111 BV93:DK93 BV97:BX97 CL54:CM54 DB147 BV52:DK52 BV139:DK139 CH113:CK113 BV107:BX107 BV36:CC36 BV131:DK131 AS151:AW151 CM121:CP121 CO147:CP147 CL88:DH88 BV117:DK117 BV123:BX123 BV125:DK125 BV11:BX11 BV145:DK145 BV58:DK58 BV127:DK127 DG97:DH97 AS104:AW104 AS97:AW97 CZ170 CG170:CH170 CM171:CN171 DD171 BV173:CB176 CJ173:CK173 DD173:DD174 CS174:CT174 CM175:CN175 CZ175 CH176:CI176 CW176 BV170:CB171 BM84:BN84 AS139:AW139 BQ157:DK162 BV121:CB121 BV133:DK133 DG121:DH121 BV135:DK135 AS155:AW155 BV129:DK129 BV147:BX147 AG84:AH84 AP84:AR84 AX84:BA84 BI84:BJ84 DE149:DK149 DH66 BV68:BX68 CA156:CL156 BV113:BX113 AS74:AW74 KX81:KY87 GW81:IL85 IM81:IN87 EP81:ER156 FK81:FM85 FF44:FG156 EW58:FE156 FV81:FZ85 BV137:DK137 DH54 DH56 CX56:CY56 BV89:DK89 AX157:BN162 BV143:CB143 AS54:AW54 AS56:AW56 AS99:AW99 BV72:DK72 BS84 BV54:BX54 AB12:AC75 CC163:DK163 CQ83:DG85 CQ81:DG81 DH81:DK85 BY85:BZ85 BV81:BX85 CA81:CP85 BY81:BZ81 BY83:BZ83 BV151:DK151 AX82:BU82 AS115:AW115 BV95:DK95 BV70:DK70 BV91:DK91 BX153 CT60:CU60 DH60 BV60:BX60 BV62:BX62 BV64:BX64 BV66:BX66 CT62:CU62 DH62 CK64:CL64 DH64 CJ66:CK66 BV104:DK104 CQ107:CR107 DA107:DB107 BV109:DK109 BV115:DK115 BV119:DK119 CM123:CP123 BV149:DC149 DC68 AB81:AD156 AD36:AD74 CH68:CI68 DH113:DI113 BV101:DP101 DR70:DT73 DL45:DP73 DR155:DT156 DR50:DT59 BV74:DP74 DL81:DP87 DR80:DS80 DR76:DT79 DR74:DS75 DL93:DP99 DU84:DX84 DL89:DP91 DL103:DP104 DL106:DP155 DR81:DT106 DR109:DT110 DR115:DT122 DR125:DT152 DF156:DP156 DT74 EN106:EN156 EN89:EN91 EK101:EN101 EN103:EN104 EN45:EN74 EK52:EM52 EK56:EM56 EK50:EM50 EK58:EM58 EK54:EM54 EN93:EN99 EN81:EN87 EK74:EM74 EK104:EM104 EK87:EM87 EK91:EM91 EK99:EM99 EK93:EM93 EK97:EM97 EK89:EM89 EK70:EM70 EC84:ED84 EK95:EM95 EK72:EM72 EK81:EM85 EK109:EM109 EK121:EM121 EK117:EM117 EK119:EM119 EK115:EM115 EK151:EM151 EK141:EM141 EK137:EM137 EK139:EM139 EK131:EM131 EK125:EM125 EK145:EM145 EK127:EM127 EK133:EM133 EK135:EM135 EK129:EM129 EK147:EM147 EK149:EM149 EK143:EM143 EK155:EM155 DQ153:EM154 DQ123:EM124 DQ111:EM114 DQ107:EM108 DQ60:EM69 DQ45:EM49 BV172:EN172 DM170:EN171 DM173:EN176 CD36:EN44 DL11:EN11 DU82:EJ82 DU156:EM156" xr:uid="{A1B123FF-6125-4474-83E4-799B64291A5A}"/>
    <dataValidation type="list" allowBlank="1" showInputMessage="1" showErrorMessage="1" sqref="U54 U56 U97 U147" xr:uid="{34D2F645-F819-4DA9-9695-FB5E3ECDA8EA}">
      <formula1>$U$165:$U$167</formula1>
    </dataValidation>
    <dataValidation type="list" allowBlank="1" showInputMessage="1" showErrorMessage="1" sqref="V11:W156 X11:Z49" xr:uid="{9FABDA7B-E6D9-455A-9139-2DA16395EAB7}">
      <formula1>$V$179:$V$181</formula1>
    </dataValidation>
    <dataValidation type="list" allowBlank="1" showInputMessage="1" showErrorMessage="1" sqref="FO50:FO155 AF50:AF155" xr:uid="{10A2CACA-2FC7-46B5-B37A-0C51DCAD676B}">
      <formula1>"見積取得済,見積依頼中,見積依頼前"</formula1>
    </dataValidation>
    <dataValidation type="list" allowBlank="1" showInputMessage="1" showErrorMessage="1" sqref="EQ164:EQ166 ER179:EU1048576 IM157:IN166 EW7:FJ7 FK7:FL8 ER7:EV8 ES159:EV159 EW164:EX166 EY157:EY161 FB157:FB161 EZ164:FA166 FC164:FD166 FF164:FG166 FI164:FJ166 KY168:KY169 IO173:IP1048576 IM173:IM1048576 IL178 KX173:KX176 IN168:IN169 IN177:IN1048576 KX157:KY166 FY172:FZ175 FU172:FX178 HD181:IL1048576 FP168:FZ171 KX168:KX171 IM168:IM171 FK172:FT1048576 KX115 ES157:EV157 FU182:HC1048576 EO7:EQ7 FH157:FH1048576 FE157:FE1048576 EV163:EV1048576 EY163:EY1048576 FK157:FO171 IO157:IP171 FB163:FB1048576 AC164:AC166 AD7:AD8 AA7:AC7 DL173:DL1048576 DK178 AV172:AW175 AR172:AU178 CC181:DK1048576 DL168:DL171 AD179:AD1048576 AE157:AF171 AG168:AW171 AE172:AQ1048576 AR182:BA1048576 BB182:BJ183 BB200:BJ1048576 BK182:CB1048576 DM177:EN1048576 DM168:EN169 DL157:EN166" xr:uid="{E4C88785-18F1-48CB-9D76-AC3F655756D7}">
      <formula1>#REF!</formula1>
    </dataValidation>
    <dataValidation type="list" showInputMessage="1" showErrorMessage="1" sqref="FN11 FN36" xr:uid="{2632A3DC-C0A4-47C2-A656-7C759C95C317}">
      <formula1>"契約済,契約書提示中,契約交渉中"</formula1>
    </dataValidation>
    <dataValidation type="list" showInputMessage="1" showErrorMessage="1" sqref="FO11 FO36 AF11 AF36" xr:uid="{0EC4B149-6F70-4665-8FF8-09FBBA1C72A3}">
      <formula1>"見積徴取済,見積依頼中,交渉中"</formula1>
    </dataValidation>
    <dataValidation type="list" showInputMessage="1" showErrorMessage="1" sqref="FN50 FN52 FN151 FN58 FN70 FN72 FN74 FN81 FN155 FN89 FN91 FN93 FN95 FN99 FN101 FN104 FN109 FN115 FN87 FN117 FN119 FN125 FN111 FN127 FN129 FN131 FN133 FN135 FN137 FN139 FN141 FN145 FN149 FN121 FN143 FN83:FN85" xr:uid="{E20C6327-30BA-426E-B64E-367A981D609E}">
      <formula1>"契約済,契約書提示中,契約書提示前"</formula1>
    </dataValidation>
  </dataValidations>
  <hyperlinks>
    <hyperlink ref="X50" location="'0121_名古屋東急　別紙1-1'!A1" display="◎" xr:uid="{D2027D12-989C-4456-AFC8-C8AB5276B000}"/>
    <hyperlink ref="Y50" location="'0121_名古屋東急　別紙1-2'!Print_Area" display="◎" xr:uid="{AEEE28CC-E543-4CCA-8300-7AE62066D8DC}"/>
    <hyperlink ref="X70" location="'0012_ルートイン小牧　別紙1-1'!Print_Area" display="◎" xr:uid="{57A2A278-BDFD-4C40-A00C-41A1F1CD2042}"/>
    <hyperlink ref="Y70" location="'0012_ルートイン小牧　別紙1-2'!A1" display="◎" xr:uid="{C2BF2799-F8AA-439A-8687-7D18E5BF8FBB}"/>
    <hyperlink ref="X52" location="'0024_ホテルメルパルク名古屋　別紙1-1'!Print_Area" display="◎" xr:uid="{029A63D4-7FDB-4BF8-962A-000D19343066}"/>
    <hyperlink ref="Y52" location="'0024_ホテルメルパルク名古屋　別紙1-2'!Print_Area" display="◎" xr:uid="{69138B50-AA99-40CF-80C2-340015C94164}"/>
    <hyperlink ref="Z52" location="'0024_ホテルメルパルク名古屋　別紙1-3'!Print_Area" display="◎" xr:uid="{A1261515-B3C4-4A1B-A3FA-F0537CA76C17}"/>
    <hyperlink ref="X54" location="'0159_JALシティ錦　別紙1-1'!Print_Area" display="◎" xr:uid="{08F9CA17-2FB8-4C1F-893F-86567EEE80CC}"/>
    <hyperlink ref="X58" location="'0111　アパEXCELLENT_別紙1-1'!Print_Area" display="◎" xr:uid="{80B578F2-159A-4B4E-8459-773FD08CB779}"/>
    <hyperlink ref="Y58" location="'0111_アパEXCELLENT 別紙1-2'!Print_Area" display="◎" xr:uid="{E4628617-C37D-4FEC-A09C-330922EEDCB4}"/>
    <hyperlink ref="X74" location="'0299_東横中部国際Ⅱ　別紙1-1'!Print_Area" display="◎" xr:uid="{3F43F8E2-7C1F-4E74-A028-B34B52E6D08E}"/>
    <hyperlink ref="Z74" location="'0299_東横中部国際Ⅱ　別紙1-3'!Print_Area" display="◎" xr:uid="{0E190EAE-07A6-4C8F-9460-0682EC52953A}"/>
    <hyperlink ref="X81" location="'0300_東横中部国際Ⅰ　別紙1-1'!Print_Area" display="◎" xr:uid="{1750A639-3901-4012-A044-CD62A5941EF7}"/>
    <hyperlink ref="Y81" location="'0300_東横中部国際Ⅰ　別紙1-2'!Print_Area" display="◎" xr:uid="{AA40C713-EC6B-4FAF-897C-E7F273E2ECFC}"/>
    <hyperlink ref="X83" location="'0302_セントレアホテル　別紙1-1'!Print_Area" display="◎" xr:uid="{1F69FD5D-EC10-4FF2-A615-33BEF7171465}"/>
    <hyperlink ref="X85" location="'0298_フォーポイント中部　別紙1-1'!Print_Area" display="◎" xr:uid="{F1C51F15-C7E0-4E39-9FBA-8D7ADD3CD895}"/>
    <hyperlink ref="Z85" location="'0298_フォーポイント中部　別紙1-3'!Print_Area" display="◎" xr:uid="{6AFE7016-8592-44F8-9DEF-22F72F39367B}"/>
    <hyperlink ref="X89" location="'0221_グランドティアラ　別紙1-1'!Print_Area" display="◎" xr:uid="{02C06813-E203-4334-8570-8C59D9242A57}"/>
    <hyperlink ref="Z89" location="'0221_グランドティアラ　別紙1-3'!Print_Area" display="◎" xr:uid="{3C2FCC6E-D7FF-4701-908B-B324DE5484BE}"/>
    <hyperlink ref="Y89" location="'0221_グランドティアラ　別紙1-2'!A1" display="◎" xr:uid="{DB28D790-8075-4CFB-BAEE-6D9FDED716D6}"/>
    <hyperlink ref="X91" location="'0200_東横三河Ⅰ　別紙1-1'!A1" display="◎" xr:uid="{5E8D8A13-DC9D-4F52-BA46-398AD13B4645}"/>
    <hyperlink ref="X93" location="'0219_東横三河Ⅱ　別紙1-1'!Print_Area" display="◎" xr:uid="{9BDB2FFE-14F7-4C56-A981-4C51766B82A8}"/>
    <hyperlink ref="X95" location="'0223_ドーミー三河安城　別紙1-1'!Print_Area" display="◎" xr:uid="{1151DDAC-68F1-43CD-93D5-0625EAC403E6}"/>
    <hyperlink ref="X99" location="'0201_つどいの丘　別紙1-1'!Print_Area" display="◎" xr:uid="{A246CA44-69B6-4B56-AED2-11C27D108FC0}"/>
    <hyperlink ref="Y99" location="'0201_つどいの丘　別紙1-2'!Print_Area" display="◎" xr:uid="{827E80E9-B4CE-4D7B-93A9-162F776709FB}"/>
    <hyperlink ref="X101" location="'0206_トヨタキャッスル　別紙1-1'!A1" display="◎" xr:uid="{0DDA83B2-3B9A-463F-AC16-CF3272D96750}"/>
    <hyperlink ref="Y101" location="'0206_トヨタキャッスル　別紙1-2'!A1" display="◎" xr:uid="{3E3E3A57-730C-40A8-BDC7-EF7D7C63296C}"/>
    <hyperlink ref="X104" location="'0210_名鉄トヨタ　別紙1-1'!Print_Area" display="◎" xr:uid="{0DC8D9C5-2CFB-4FB0-BFF7-FCE2659CC228}"/>
    <hyperlink ref="Y104" location="'0210_名鉄トヨタ　別紙1-2'!Print_Area" display="◎" xr:uid="{9F623368-D6D9-48A4-B542-E0BE96F9638E}"/>
    <hyperlink ref="X115" location="'0252_ホテル平野屋　別紙1-1'!A1" display="◎" xr:uid="{CAB1FA5D-9869-4DC6-8F6C-97BD96CB92C7}"/>
    <hyperlink ref="Y115" location="'0252_ホテル平野屋　別紙1-2'!A1" display="◎" xr:uid="{AC9332D4-DF97-4C58-AADE-FEFDDE35C866}"/>
    <hyperlink ref="X117" location="'0245_変なホテル　別紙1-1'!A1" display="◎" xr:uid="{0D8E8454-B6D4-48D6-B9DA-F6DAF5404B04}"/>
    <hyperlink ref="Y117" location="'0245_変なホテル　別紙1-2'!A1" display="◎" xr:uid="{360DD338-DCF4-4CA7-B1C3-243DD898A449}"/>
    <hyperlink ref="X119" location="'0261_ホテル竹島　別紙1-1'!A1" display="◎" xr:uid="{D1FA7156-21A4-4E51-807C-2510764FFB59}"/>
    <hyperlink ref="Y119" location="'0261_ホテル竹島　別紙1-2'!A1" display="◎" xr:uid="{62C50DF8-BF26-47CE-A104-812B52498A3B}"/>
    <hyperlink ref="X121" location="'0249_明山荘　別紙1-1'!A1" display="◎" xr:uid="{5CBB4179-87AE-4404-A217-FC6A1BFA1D04}"/>
    <hyperlink ref="Y121" location="'0249_明山荘　別紙1-2'!A1" display="◎" xr:uid="{1ED4923E-91D5-415E-A322-C9D46C3CCD4E}"/>
    <hyperlink ref="X125" location="'1003_ルートイン新城　別紙1-1'!A1" display="◎" xr:uid="{22F47074-990B-4E88-87A4-8B9922846FE4}"/>
    <hyperlink ref="Y125" location="'1003_ルートイン新城　別紙1-2'!A1" display="◎" xr:uid="{FDAE2864-E406-490D-BFC5-4DDCC32D7D60}"/>
    <hyperlink ref="X127" location="'1029_伊良湖オーシャン　別紙1-1'!A1" display="◎" xr:uid="{72E4BD78-CA09-41CB-955C-4B5CD81BCE24}"/>
    <hyperlink ref="Y127" location="'1029_伊良湖オーシャン　別紙1-2'!A1" display="◎" xr:uid="{FF924830-B328-4238-8A6A-93447B9F5479}"/>
    <hyperlink ref="X129" location="'0281_ロワジール豊橋　別紙1-1'!A1" display="◎" xr:uid="{5D5A0165-B94F-4435-931F-E7B0DD20D759}"/>
    <hyperlink ref="Y129" location="'0281_ロワジール豊橋　別紙1-2'!A1" display="◎" xr:uid="{C1E7E290-E4C0-4DEF-A796-D7A684533535}"/>
    <hyperlink ref="X131" location="'2026_岐阜グランド　別紙1-1'!A1" display="◎" xr:uid="{40A9E9AE-A3D6-47EB-B361-0BD9BE04F875}"/>
    <hyperlink ref="Y131" location="'2026_岐阜グランド　別紙1-2'!A1" display="◎" xr:uid="{10F17D04-4BAD-42FA-8958-D90FD070DDEF}"/>
    <hyperlink ref="X133" location="'2027_岐阜都　別紙1-1'!A1" display="◎" xr:uid="{CED546F1-300D-4C84-B8C4-AE9718AF6A7C}"/>
    <hyperlink ref="Y133" location="'2027_岐阜都　別紙1-2'!A1" display="◎" xr:uid="{15EE10AE-5326-43C4-9140-8B91CF5F96E6}"/>
    <hyperlink ref="X135" location="'2032_大垣フォーラム　別紙1-1'!A1" display="◎" xr:uid="{7C1AE9C3-E02B-42AE-928B-6AF0BB5BEFE5}"/>
    <hyperlink ref="Y135" location="'2032_大垣フォーラム　別紙1-2'!A1" display="◎" xr:uid="{8D131A4C-FE9E-4A63-81D3-FF0DBF01D279}"/>
    <hyperlink ref="X137" location="'2045_クインテッサ大垣　別紙1-1'!A1" display="◎" xr:uid="{E811D246-70F3-4CA3-AEC1-1F224F94F847}"/>
    <hyperlink ref="Y137" location="'2045_クインテッサ大垣　別紙1-2'!A1" display="◎" xr:uid="{6A29F3E9-132B-4C75-8863-B5E85984EC05}"/>
    <hyperlink ref="X139" location="'2022_ラフォーレ修善寺 別紙1-1'!A1" display="◎" xr:uid="{1A819216-B436-4A3A-B637-A5EBF32B1004}"/>
    <hyperlink ref="Y139" location="'2022_ラフォーレ修善寺 別紙1-2'!A1" display="◎" xr:uid="{474B9C7B-3BE3-4749-897C-C19B737F8765}"/>
    <hyperlink ref="Z139" location="'2022_ラフォーレ修善寺 別紙1-3'!A1" display="◎" xr:uid="{59A91FD1-19A4-4AC9-80D6-A91128580C04}"/>
    <hyperlink ref="X141" location="'2016_つま恋リゾート　別紙1-1'!A1" display="◎" xr:uid="{4DB25BAD-89A6-4DD5-A691-E97D526DF6C8}"/>
    <hyperlink ref="Y141" location="'2016_つま恋リゾート　別紙1-2'!A1" display="◎" xr:uid="{4EAD2201-A48A-4CDF-A38A-2310CC560200}"/>
    <hyperlink ref="X143" location="'2018_掛川グランド　別紙1-1'!A1" display="◎" xr:uid="{414C2608-ACAE-4510-A7AE-28195FC955A9}"/>
    <hyperlink ref="Y143" location="'2018_掛川グランド　別紙1-2'!A1" display="◎" xr:uid="{6112E4A6-4983-4C89-9E66-BF2C1EA90656}"/>
    <hyperlink ref="X145" location="'2041_コンコルド浜松　別紙1-1'!A1" display="◎" xr:uid="{1DCC0B43-322F-413D-AF02-A71E7E0257FC}"/>
    <hyperlink ref="Y145" location="'2041_コンコルド浜松　別紙1-2'!A1" display="◎" xr:uid="{F7833A85-9DED-4870-B155-61580AA833EF}"/>
    <hyperlink ref="X147" location="'2019_メルキュール浜名湖　別紙1-1'!A1" display="◎" xr:uid="{92E61A28-5BDB-46F8-B447-874428AFE6E0}"/>
    <hyperlink ref="Y147" location="'2019_メルキュール浜名湖　別紙1-2'!A1" display="◎" xr:uid="{2C82055F-51EA-4A40-B717-2275B3437C3F}"/>
    <hyperlink ref="X149" location="'2008_アゴーラ堺　別紙1-1'!A1" display="◎" xr:uid="{CA588A39-920C-428B-A5B2-77927E06C6E8}"/>
    <hyperlink ref="Y149" location="'2008_アゴーラ堺　別紙1-2'!A1" display="◎" xr:uid="{A5AC3C50-EA52-4E34-92D5-BA09BCDBFA54}"/>
    <hyperlink ref="X151" location="'2049_青年館ホテル　別紙1-1'!A1" display="◎" xr:uid="{4FCC4F2C-9B4F-42EB-80B3-3D3B60931177}"/>
    <hyperlink ref="Y151" location="'2049_青年館ホテル　別紙1-2'!A1" display="◎" xr:uid="{17179304-8360-4856-B10C-C609E04455DC}"/>
    <hyperlink ref="X155" location="'2051_ベイ潮見プリンス　別紙1-1'!A1" display="◎" xr:uid="{D945BADC-89E2-45F8-A769-52132A0C815D}"/>
    <hyperlink ref="Y155" location="'2051_ベイ潮見プリンス　別紙1-2'!A1" display="◎" xr:uid="{575564A1-7C5F-40C2-83D5-E5A70A29D9F7}"/>
    <hyperlink ref="F50" location="'0121_名古屋東急　別紙1-1'!Print_Area" display="名古屋東急ホテル" xr:uid="{B7D6FBE9-2A5B-4154-894B-8F9AEBC7B3E1}"/>
    <hyperlink ref="F52" location="'0024_ホテルメルパルク名古屋　別紙1-1'!Print_Area" display="ホテルメルパルク名古屋" xr:uid="{03417B70-F659-4065-B159-34F584792281}"/>
    <hyperlink ref="F54" location="'0159_JALシティ錦　別紙1-1'!Print_Area" display="ホテルJALシティ名古屋　錦" xr:uid="{049F870A-0CC0-4DE2-BACA-8D1A71859134}"/>
    <hyperlink ref="F56" location="'0167_グリーンリッチ　別紙1-1'!Print_Area" display="グリーンリッチホテル名古屋錦" xr:uid="{30274CB7-FC18-4F8F-A901-4BBC2FD0A679}"/>
    <hyperlink ref="F58" location="'0111　アパEXCELLENT_別紙1-1'!Print_Area" display="アパホテル&lt;名古屋錦&gt; EXCELLENT" xr:uid="{2CDC2D23-330F-416F-A2C8-BC7C60172D21}"/>
    <hyperlink ref="F70" location="'0012_ルートイン小牧　別紙1-1'!Print_Area" display="ルートイングランティア小牧" xr:uid="{0AEAD423-CEBC-488C-BB85-B06B7E2FC60E}"/>
    <hyperlink ref="F72" location="'1007_ミュースタイル　別紙1-1'!Print_Area" display="ホテルミュースタイル犬山エクスペリエンス" xr:uid="{8D6F9E27-D41E-4A7F-8F64-B2C4C7907398}"/>
    <hyperlink ref="F74" location="'0299_東横中部国際Ⅱ　別紙1-1'!Print_Area" display="東横INN中部国際空港２" xr:uid="{1092C1BC-B5AA-4370-B025-500BB3717064}"/>
    <hyperlink ref="F81" location="'0300_東横中部国際Ⅰ　別紙1-1'!Print_Area" display="東横INN中部国際空港1" xr:uid="{BA9AA477-E24B-4B10-B711-6CA5B2E4C64A}"/>
    <hyperlink ref="F83" location="'0302_セントレアホテル　別紙1-1'!Print_Area" display="中部国際空港セントレアホテル" xr:uid="{E2BBEB1D-755B-4D17-9DA5-0BEFA5E830AB}"/>
    <hyperlink ref="F85" location="'0298_フォーポイント中部　別紙1-1'!Print_Area" display="フォーポイント　バイ　シェラトン名古屋　中部国際空港" xr:uid="{470A5FBC-8470-41BC-B09F-DF159F53418B}"/>
    <hyperlink ref="F89" location="'0221_グランドティアラ　別紙1-1'!Print_Area" display="ホテルグランドティアラ南名古屋" xr:uid="{ED1746D1-E8E7-4802-B2F1-590CB5E0C853}"/>
    <hyperlink ref="F93" location="'0219_東横三河Ⅱ　別紙1-1'!Print_Area" display="東横INN三河安城駅新幹線南口２" xr:uid="{BAD8B50C-4A2E-4185-94A2-08600C6DF200}"/>
    <hyperlink ref="F91" location="'0200_東横三河Ⅰ　別紙1-1'!A1" display="東横INN三河安城駅新幹線南口１" xr:uid="{1ECB21D1-C40B-4B4B-89A6-1A755612954F}"/>
    <hyperlink ref="F95" location="'0223_ドーミー三河安城　別紙1-1'!Print_Area" display="天然温泉　三州の湯　ドーミーイン　EXPRESS　三河安城" xr:uid="{9E6BA1C5-0C92-4A26-91E7-1CE8559B3406}"/>
    <hyperlink ref="F97" location="'0222_リブマックス三河安城　別紙1-1'!Print_Area" display="HOTEL LiVEMAX三河安城駅前" xr:uid="{8E69F7BF-FBF1-437A-BA97-3801A41DBDE9}"/>
    <hyperlink ref="F99" location="'0201_つどいの丘　別紙1-1'!Print_Area" display="全トヨタ労連研修センター　つどいの丘" xr:uid="{7DEA2BFD-7BCF-4CC6-A861-CE9292E27F7D}"/>
    <hyperlink ref="F101" location="'0206_トヨタキャッスル　別紙1-1'!Print_Area" display="ホテルトヨタキャッスル" xr:uid="{B991BDA9-8323-443D-B81D-23C775BB002C}"/>
    <hyperlink ref="F104" location="'0210_名鉄トヨタ　別紙1-1'!Print_Area" display="名鉄トヨタホテル" xr:uid="{9B07248F-3C1A-493C-9322-0FE50BA47407}"/>
    <hyperlink ref="F115" location="'0252_ホテル平野屋　別紙1-1'!Print_Area" display="ホテル平野屋" xr:uid="{DAC3A393-3694-4FAF-8A93-01F2B605A2A3}"/>
    <hyperlink ref="F117" location="'0245_変なホテル　別紙1-1'!Print_Area" display="変なホテル　ラグーナテンボス" xr:uid="{3CD340F9-32E4-45FB-9EDF-8EFCDEE93544}"/>
    <hyperlink ref="F119" location="'0261_ホテル竹島　別紙1-1'!Print_Area" display="ホテル竹島" xr:uid="{E9133084-185D-4AFB-BE44-913F8B408A6E}"/>
    <hyperlink ref="F121" location="'0249_明山荘　別紙1-1'!Print_Area" display="ホテル明山荘" xr:uid="{55681BBE-AD19-4F56-8D3A-E8ABADADAC15}"/>
    <hyperlink ref="F125" location="'1003_ルートイン新城　別紙1-1'!Print_Area" display="ホテルルートイン新城" xr:uid="{F913CE42-EA43-42F4-9C23-4EE84655E84C}"/>
    <hyperlink ref="F127" location="'1029_伊良湖オーシャン　別紙1-1'!Print_Area" display="伊良湖オーシャンリゾート" xr:uid="{42898CBC-109A-47D0-B5D8-0471E32542B9}"/>
    <hyperlink ref="F129" location="'0281_ロワジール豊橋　別紙1-1'!Print_Area" display="ロワジールホテル豊橋" xr:uid="{3268345B-9628-4B99-AD3A-D723813F7B93}"/>
    <hyperlink ref="F131" location="'2026_岐阜グランド　別紙1-1'!Print_Area" display="岐阜グランドホテル" xr:uid="{F1FE7410-85D8-4428-A2F6-D76B6BA62FC6}"/>
    <hyperlink ref="F133" location="'2027_岐阜都　別紙1-1'!Print_Area" display="都ホテル岐阜長良川" xr:uid="{9F23F4B1-4AF2-406B-BFDA-790370219759}"/>
    <hyperlink ref="F135" location="'2032_大垣フォーラム　別紙1-1'!Print_Area" display="大垣フォーラムホテル" xr:uid="{BA86C72C-1471-4021-87F4-2E845EE8AABB}"/>
    <hyperlink ref="F137" location="'2045_クインテッサ大垣　別紙1-1'!Print_Area" display="クインテッサホテル 大垣" xr:uid="{651E6485-0D34-4BE1-A18C-A224D7515766}"/>
    <hyperlink ref="F139" location="'2022_ラフォーレ修善寺 別紙1-1'!Print_Area" display="ホテルラフォーレ修善寺" xr:uid="{6F0023EA-D30D-4E39-B8C4-D690B8605CB2}"/>
    <hyperlink ref="F141" location="'2016_つま恋リゾート　別紙1-1'!Print_Area" display="つま恋リゾート　彩の郷" xr:uid="{D2C3C4BC-DE96-474C-8782-48DC68A6F741}"/>
    <hyperlink ref="F143" location="'2018_掛川グランド　別紙1-1'!Print_Area" display="掛川グランドホテル" xr:uid="{80A3D776-7799-4716-8E39-A50CFC0AB763}"/>
    <hyperlink ref="F145" location="'2041_コンコルド浜松　別紙1-1'!Print_Area" display="ホテルコンコルド浜松" xr:uid="{0824DC11-EE5D-42FE-B483-C3215F9BAC88}"/>
    <hyperlink ref="F147" location="'2019_メルキュール浜名湖　別紙1-1'!Print_Area" display="グランドメルキュール浜名湖リゾート＆スパ" xr:uid="{0BF38A26-8C64-496F-AE5E-1691E6FC4FE8}"/>
    <hyperlink ref="F149" location="'2008_アゴーラ堺　別紙1-1'!Print_Area" display="ホテルアゴーラリージェンシー大阪堺" xr:uid="{1D9DFB1F-371E-4C04-ABC4-151D6D048E63}"/>
    <hyperlink ref="F151" location="'2049_青年館ホテル　別紙1-1'!Print_Area" display="日本青年館ホテル" xr:uid="{D649DCA4-9347-458B-B955-F0276F8E84C5}"/>
    <hyperlink ref="F155" location="'2051_ベイ潮見プリンス　別紙1-1'!Print_Area" display="東京ベイ潮見プリンスホテル" xr:uid="{8FE2C67F-833F-4C65-8D32-BEDE211035C3}"/>
  </hyperlinks>
  <printOptions horizontalCentered="1"/>
  <pageMargins left="0.25" right="0.25" top="0.75" bottom="0.75" header="0.3" footer="0.3"/>
  <pageSetup paperSize="8" scale="10" pageOrder="overThenDown" orientation="landscape" r:id="rId1"/>
  <headerFooter>
    <oddFooter>&amp;C&amp;14&amp;P / &amp;N ページ</oddFooter>
  </headerFooter>
  <rowBreaks count="1" manualBreakCount="1">
    <brk id="154" max="16383" man="1"/>
  </rowBreaks>
  <colBreaks count="4" manualBreakCount="4">
    <brk id="76" max="1048575" man="1"/>
    <brk id="116" max="1048575" man="1"/>
    <brk id="207" max="1048575" man="1"/>
    <brk id="251" min="2" max="220" man="1"/>
  </col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【251001】アジア選手積算</vt:lpstr>
      <vt:lpstr>【251001】アジア選手積算!Print_Area</vt:lpstr>
      <vt:lpstr>【251001】アジア選手積算!Print_Titles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松本　英朗</dc:creator>
  <cp:lastModifiedBy>松本　英朗</cp:lastModifiedBy>
  <dcterms:created xsi:type="dcterms:W3CDTF">2026-03-25T08:10:19Z</dcterms:created>
  <dcterms:modified xsi:type="dcterms:W3CDTF">2026-03-25T08:10:28Z</dcterms:modified>
</cp:coreProperties>
</file>
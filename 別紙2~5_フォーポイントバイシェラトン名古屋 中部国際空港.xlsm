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松本英朗\Downloads\"/>
    </mc:Choice>
  </mc:AlternateContent>
  <xr:revisionPtr revIDLastSave="52" documentId="13_ncr:1_{C23E3C8F-053B-46CE-90E3-831FD23E866B}" xr6:coauthVersionLast="47" xr6:coauthVersionMax="47" xr10:uidLastSave="{0BE3BCAF-113D-4E0C-953D-44490CACA5B8}"/>
  <bookViews>
    <workbookView xWindow="-110" yWindow="-110" windowWidth="19420" windowHeight="10300" tabRatio="839" xr2:uid="{FE42EE16-30EC-442A-8ACC-92F24A09B33A}"/>
  </bookViews>
  <sheets>
    <sheet name="別紙2" sheetId="62" r:id="rId1"/>
    <sheet name="別紙3" sheetId="57" r:id="rId2"/>
    <sheet name="別紙4" sheetId="66" r:id="rId3"/>
    <sheet name="別紙5" sheetId="72" r:id="rId4"/>
    <sheet name="参考）別紙2単価に含まれる内容例(ひな形）" sheetId="60" r:id="rId5"/>
    <sheet name="参考）別紙2単価に含まれる内容例(ひな形・数式入）" sheetId="59" r:id="rId6"/>
  </sheets>
  <externalReferences>
    <externalReference r:id="rId7"/>
    <externalReference r:id="rId8"/>
    <externalReference r:id="rId9"/>
    <externalReference r:id="rId10"/>
  </externalReferences>
  <definedNames>
    <definedName name="_" hidden="1">#REF!</definedName>
    <definedName name="__123Graph_Aアースロス" hidden="1">#REF!</definedName>
    <definedName name="__123Graph_Aアース拡底" hidden="1">#REF!</definedName>
    <definedName name="__123Graph_Aアース単杭" hidden="1">#REF!</definedName>
    <definedName name="__123Graph_Aリバース" hidden="1">#REF!</definedName>
    <definedName name="__123Graph_Aリバス拡底" hidden="1">#REF!</definedName>
    <definedName name="__123Graph_Aリバス単杭" hidden="1">#REF!</definedName>
    <definedName name="__123Graph_Bアースロス" hidden="1">#REF!</definedName>
    <definedName name="__123Graph_Bアース拡底" hidden="1">#REF!</definedName>
    <definedName name="__123Graph_Bアース単杭" hidden="1">#REF!</definedName>
    <definedName name="__123Graph_Bリバース" hidden="1">#REF!</definedName>
    <definedName name="__123Graph_Bリバス拡底" hidden="1">#REF!</definedName>
    <definedName name="__123Graph_Bリバス単杭" hidden="1">#REF!</definedName>
    <definedName name="__123Graph_Cアースロス" hidden="1">#REF!</definedName>
    <definedName name="__123Graph_Cアース拡底" hidden="1">#REF!</definedName>
    <definedName name="__123Graph_Cアース単杭" hidden="1">#REF!</definedName>
    <definedName name="__123Graph_Cリバース" hidden="1">#REF!</definedName>
    <definedName name="__123Graph_Cリバス拡底" hidden="1">#REF!</definedName>
    <definedName name="__123Graph_Cリバス単杭" hidden="1">#REF!</definedName>
    <definedName name="__123Graph_Xアースロス" hidden="1">#REF!</definedName>
    <definedName name="__123Graph_Xアース拡底" hidden="1">#REF!</definedName>
    <definedName name="__123Graph_Xアース単杭" hidden="1">#REF!</definedName>
    <definedName name="__123Graph_Xリバース" hidden="1">#REF!</definedName>
    <definedName name="__123Graph_Xリバス拡底" hidden="1">#REF!</definedName>
    <definedName name="__123Graph_Xリバス単杭" hidden="1">#REF!</definedName>
    <definedName name="_5面遮水" localSheetId="0">#REF!</definedName>
    <definedName name="_5面遮水" localSheetId="2">#REF!</definedName>
    <definedName name="_5面遮水">#REF!</definedName>
    <definedName name="_6面遮水">#REF!</definedName>
    <definedName name="_Fill" hidden="1">#REF!</definedName>
    <definedName name="_Key1" hidden="1">#REF!</definedName>
    <definedName name="_Key2" hidden="1">#REF!</definedName>
    <definedName name="_Order1" hidden="1">255</definedName>
    <definedName name="_Order2" hidden="1">255</definedName>
    <definedName name="_Sort" hidden="1">#REF!</definedName>
    <definedName name="_シート無">#REF!</definedName>
    <definedName name="・・・">#REF!</definedName>
    <definedName name="a">#REF!</definedName>
    <definedName name="aaa" hidden="1">#REF!</definedName>
    <definedName name="aaaa" hidden="1">#REF!</definedName>
    <definedName name="AAM">#REF!</definedName>
    <definedName name="ah">#REF!</definedName>
    <definedName name="AIX">#REF!</definedName>
    <definedName name="AJC">#REF!</definedName>
    <definedName name="AJG">#REF!</definedName>
    <definedName name="AMM">#REF!</definedName>
    <definedName name="b">#REF!</definedName>
    <definedName name="bbbb" hidden="1">#REF!</definedName>
    <definedName name="BS_1500歩掛">#REF!</definedName>
    <definedName name="BS_2000歩掛">#REF!</definedName>
    <definedName name="BS_2500歩掛">#REF!</definedName>
    <definedName name="buzai_kg">[1]mst製品質量!$D$3:$G$240</definedName>
    <definedName name="ccccc" hidden="1">#REF!</definedName>
    <definedName name="cellレッカー規格1">[1]【入力】概要!$J$35</definedName>
    <definedName name="cellレッカー規格2">[1]【入力】概要!$J$36</definedName>
    <definedName name="cellレッカー種類1">[1]【入力】概要!$F$35</definedName>
    <definedName name="cellレッカー種類2">[1]【入力】概要!$F$36</definedName>
    <definedName name="cellレッカー賃料txt">[1]mst_単価!$A$52</definedName>
    <definedName name="cell営業所">[1]【入力】概要!$AC$14</definedName>
    <definedName name="cell管理番号">[1]【入力】概要!$AC$13</definedName>
    <definedName name="cell軽油">[1]【入力】詳細!$C$74</definedName>
    <definedName name="cell県">#REF!</definedName>
    <definedName name="cell工事費">[1]【入力】概要!$T$7</definedName>
    <definedName name="cell高n">[1]数量計算書_組立図ツール連動用!$AL$99</definedName>
    <definedName name="cell高さ">[1]【入力】概要!$H$4</definedName>
    <definedName name="cell担当者">[1]【入力】概要!$AC$15</definedName>
    <definedName name="cell地域">[1]【入力】概要!$P$34</definedName>
    <definedName name="cell年度">[1]mst_労務!$A$1</definedName>
    <definedName name="cell余裕高">[1]【入力】概要!$AE$6</definedName>
    <definedName name="change">#REF!</definedName>
    <definedName name="ddddd" hidden="1">#REF!</definedName>
    <definedName name="Dept_list">#REF!</definedName>
    <definedName name="Dept_to_FA">#REF!</definedName>
    <definedName name="E">#REF!</definedName>
    <definedName name="eee" hidden="1">#REF!</definedName>
    <definedName name="eeee" hidden="1">#REF!</definedName>
    <definedName name="fffff" hidden="1">#REF!</definedName>
    <definedName name="gggg" hidden="1">#REF!</definedName>
    <definedName name="hhhhh" hidden="1">#REF!</definedName>
    <definedName name="i" hidden="1">#REF!</definedName>
    <definedName name="I_1500歩掛">#REF!</definedName>
    <definedName name="I_2000歩掛">#REF!</definedName>
    <definedName name="I_2500歩掛">#REF!</definedName>
    <definedName name="iii" hidden="1">#REF!</definedName>
    <definedName name="iiiii" hidden="1">#REF!</definedName>
    <definedName name="inM3クラス">[1]【入力】標準組立図!$C$7</definedName>
    <definedName name="inふた幅">[1]【入力】標準組立図!$C$8</definedName>
    <definedName name="in県">[1]【入力】標準組立図!$C$5</definedName>
    <definedName name="in高さ">[1]【入力】標準組立図!$C$6</definedName>
    <definedName name="in製品重量">[1]【入力】標準組立図!$H$9</definedName>
    <definedName name="in製品単価">[1]【入力】標準組立図!$C$12</definedName>
    <definedName name="in余裕高">[1]【入力】標準組立図!$C$9</definedName>
    <definedName name="jjj" hidden="1">#REF!</definedName>
    <definedName name="jjjjj" hidden="1">#REF!</definedName>
    <definedName name="kk" hidden="1">#REF!</definedName>
    <definedName name="kkkkk" hidden="1">#REF!</definedName>
    <definedName name="lllll" hidden="1">#REF!</definedName>
    <definedName name="mm" hidden="1">#REF!</definedName>
    <definedName name="mmmm" hidden="1">#REF!</definedName>
    <definedName name="mst_Qfuta">'[1]参_ふた、端面D規格'!$B$23:$F$46</definedName>
    <definedName name="mst_Qtand">'[1]参_ふた、端面D規格'!$B$50:$G$91</definedName>
    <definedName name="NAME">#REF!</definedName>
    <definedName name="nnnn" hidden="1">#REF!</definedName>
    <definedName name="ooooo" hidden="1">#REF!</definedName>
    <definedName name="PIBO">#REF!</definedName>
    <definedName name="ppp" hidden="1">#REF!</definedName>
    <definedName name="ppppp" hidden="1">#REF!</definedName>
    <definedName name="_xlnm.Print_Area" localSheetId="0">別紙2!$A$1:$AO$38</definedName>
    <definedName name="_xlnm.Print_Area" localSheetId="1">別紙3!$A$1:$M$34</definedName>
    <definedName name="_xlnm.Print_Area" localSheetId="2">別紙4!$A$1:$AM$31</definedName>
    <definedName name="_xlnm.Print_Area" localSheetId="3">別紙5!$A$1:$Q$38</definedName>
    <definedName name="q" hidden="1">#REF!</definedName>
    <definedName name="qqq" hidden="1">#REF!</definedName>
    <definedName name="qqqqq" hidden="1">#REF!</definedName>
    <definedName name="rrr" hidden="1">#REF!</definedName>
    <definedName name="rrrrr" hidden="1">#REF!</definedName>
    <definedName name="SH">#REF!</definedName>
    <definedName name="sssss" hidden="1">#REF!</definedName>
    <definedName name="sw">[1]数量計算書_組立図ツール連動用!$AI$2</definedName>
    <definedName name="tblCOST00">[1]mst_FB000!$BA$4:$BA$108</definedName>
    <definedName name="tblCOST06">[1]mst_FB600!$BA$4:$BA$108</definedName>
    <definedName name="tblHP">[1]mst!$C$160:$D$175</definedName>
    <definedName name="tblHP呼び径">[1]mst!$B$160:$B$175</definedName>
    <definedName name="tblSTDID_見出00">[1]mst_FB000!$B$4:$AZ$108</definedName>
    <definedName name="tblSTDID_見出06">[1]mst_FB600!$B$4:$AZ$108</definedName>
    <definedName name="tblSTDID00">[1]mst_FB000!$A$4:$A$108</definedName>
    <definedName name="tblSTDID06">[1]mst_FB600!$A$4:$A$108</definedName>
    <definedName name="tblクローラ">[1]mst_単価!$I$54:$N$54</definedName>
    <definedName name="tblクローラ2">[1]mst_単価!$I$72:$N$72</definedName>
    <definedName name="tblトラック">[1]mst_単価!$O$54:$S$54</definedName>
    <definedName name="tblはしご">[1]mst_単価!$A$73:$E$89</definedName>
    <definedName name="tblはしごタイプ">[1]mst_単価!$C$73:$C$74</definedName>
    <definedName name="tblラフテレーン">[1]mst_単価!$B$54:$H$54</definedName>
    <definedName name="tbl運搬">[1]mst_単価!$Z$3:$AC$3</definedName>
    <definedName name="tbl運搬クローラ">[1]mst_単価!$T$3:$W$3</definedName>
    <definedName name="tbl営業所_住所">[1]mst_営業所!$B$3:$C$28</definedName>
    <definedName name="tbl塩ビ管">[1]mst!$C$179:$D$192</definedName>
    <definedName name="tbl塩ビ管呼び径">[1]mst!$B$179:$B$192</definedName>
    <definedName name="tbl県">[1]mst_労務!$B$4:$B$50</definedName>
    <definedName name="tbl県_運搬">[1]mst_単価!$Z$4:$AC$49</definedName>
    <definedName name="tbl県_運搬クローラ">[1]mst_単価!$T$4:$W$49</definedName>
    <definedName name="tbl県_工種">[1]mst_単価!$B$4:$E$49</definedName>
    <definedName name="tbl県_職種">[1]mst_労務!$C$4:$U$50</definedName>
    <definedName name="tbl県_組立分解">[1]mst_単価!$N$4:$Q$49</definedName>
    <definedName name="tbl県_組立分解クローラ">[1]mst_単価!$H$4:$K$49</definedName>
    <definedName name="tbl見出00">[1]mst_FB000!$B$3:$AZ$3</definedName>
    <definedName name="tbl見出06">[1]mst_FB600!$B$3:$AZ$3</definedName>
    <definedName name="tbl工種">[1]mst_単価!$B$3:$E$3</definedName>
    <definedName name="tbl職種">[1]mst_労務!$C$3:$U$3</definedName>
    <definedName name="tbl組立分解">[1]mst_単価!$N$3:$Q$3</definedName>
    <definedName name="tbl組立分解クローラ">[1]mst_単価!$H$3:$K$3</definedName>
    <definedName name="tbl地域">[1]mst_単価!$A$55:$A$63</definedName>
    <definedName name="tbl地域_クローラ">[1]mst_単価!$I$55:$N$63</definedName>
    <definedName name="tbl地域_クローラ2">[1]mst_単価!$I$73:$N$81</definedName>
    <definedName name="tbl地域_トラック">[1]mst_単価!$O$55:$S$63</definedName>
    <definedName name="tbl地域_ラフテレーン">[1]mst_単価!$B$55:$H$63</definedName>
    <definedName name="tbl地域3">[1]mst_単価!$H$73:$H$81</definedName>
    <definedName name="ttt" hidden="1">#REF!</definedName>
    <definedName name="ttttt" hidden="1">#REF!</definedName>
    <definedName name="u" hidden="1">#REF!</definedName>
    <definedName name="uuuu" hidden="1">#REF!</definedName>
    <definedName name="VP">#REF!</definedName>
    <definedName name="vvvv" hidden="1">#REF!</definedName>
    <definedName name="wwww" hidden="1">#REF!</definedName>
    <definedName name="xxx" hidden="1">#REF!</definedName>
    <definedName name="xxxxx" hidden="1">#REF!</definedName>
    <definedName name="yy" hidden="1">#REF!</definedName>
    <definedName name="yyyyy" hidden="1">#REF!</definedName>
    <definedName name="yyyyyyy" hidden="1">#REF!</definedName>
    <definedName name="zzzzz" hidden="1">#REF!</definedName>
    <definedName name="ガソリン">#REF!</definedName>
    <definedName name="クエリー1">#REF!</definedName>
    <definedName name="ｿｰﾄ" hidden="1">#REF!</definedName>
    <definedName name="とび工">#REF!</definedName>
    <definedName name="ﾄﾗｯｸｸﾚｰﾝ">#REF!</definedName>
    <definedName name="トンネル作業員">#REF!</definedName>
    <definedName name="トンネル世話役">#REF!</definedName>
    <definedName name="トンネル特殊工">#REF!</definedName>
    <definedName name="はつり工">#REF!</definedName>
    <definedName name="一般運転手">#REF!</definedName>
    <definedName name="管渠延長">[2]入力!$G$6</definedName>
    <definedName name="管径">[2]入力!$G$4</definedName>
    <definedName name="機械工">#REF!</definedName>
    <definedName name="空隙">#REF!</definedName>
    <definedName name="型枠工">#REF!</definedName>
    <definedName name="軽油">#REF!</definedName>
    <definedName name="交通誘導員">#REF!</definedName>
    <definedName name="左官">#REF!</definedName>
    <definedName name="砕石">#REF!</definedName>
    <definedName name="施工歩掛り_世話役">[3]mst_規格!$AM$13:$AN$17</definedName>
    <definedName name="施工歩掛り_普通作業員">[3]mst_規格!$AO$13:$AP$17</definedName>
    <definedName name="遮水">INDIRECT(#REF!)</definedName>
    <definedName name="遮水_図">INDIRECT(#REF!)</definedName>
    <definedName name="書式2">#REF!</definedName>
    <definedName name="助手">#REF!</definedName>
    <definedName name="植樹経費計算書" hidden="1">#REF!</definedName>
    <definedName name="世話役">#REF!</definedName>
    <definedName name="生コン">#REF!</definedName>
    <definedName name="設計日打設量">#REF!</definedName>
    <definedName name="打設工法">#REF!</definedName>
    <definedName name="打設高さ水平距離">#REF!</definedName>
    <definedName name="地域">#REF!</definedName>
    <definedName name="鉄筋工">#REF!</definedName>
    <definedName name="電工">#REF!</definedName>
    <definedName name="電力料">#REF!</definedName>
    <definedName name="特殊運転手">#REF!</definedName>
    <definedName name="特殊作業員">#REF!</definedName>
    <definedName name="配管工">#REF!</definedName>
    <definedName name="配送データ">#REF!</definedName>
    <definedName name="泊数">#REF!</definedName>
    <definedName name="表1">#REF!</definedName>
    <definedName name="普通作業員">#REF!</definedName>
    <definedName name="平面X">#REF!</definedName>
    <definedName name="平面Y">#REF!</definedName>
    <definedName name="補正項目">[4]!case1補正率[項目]</definedName>
    <definedName name="有効水深Hy">#REF!</definedName>
    <definedName name="溶接工">#REF!</definedName>
    <definedName name="路線延長">[2]入力!$G$5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C28" i="62" l="1"/>
  <c r="AB28" i="62"/>
  <c r="AA28" i="62"/>
  <c r="Z28" i="62"/>
  <c r="Y28" i="62"/>
  <c r="X28" i="62"/>
  <c r="W28" i="62"/>
  <c r="V28" i="62"/>
  <c r="U28" i="62"/>
  <c r="T28" i="62"/>
  <c r="S28" i="62"/>
  <c r="R28" i="62"/>
  <c r="Q28" i="62"/>
  <c r="P28" i="62"/>
  <c r="O28" i="62"/>
  <c r="N28" i="62"/>
  <c r="AG15" i="62"/>
  <c r="AF15" i="62"/>
  <c r="AE15" i="62"/>
  <c r="AD15" i="62"/>
  <c r="AC15" i="62"/>
  <c r="AB15" i="62"/>
  <c r="AA15" i="62"/>
  <c r="Z15" i="62"/>
  <c r="Y15" i="62"/>
  <c r="X15" i="62"/>
  <c r="W15" i="62"/>
  <c r="V15" i="62"/>
  <c r="AG13" i="62"/>
  <c r="AF13" i="62"/>
  <c r="AE13" i="62"/>
  <c r="AD13" i="62"/>
  <c r="AC13" i="62"/>
  <c r="AB13" i="62"/>
  <c r="AA13" i="62"/>
  <c r="Z13" i="62"/>
  <c r="Y13" i="62"/>
  <c r="X13" i="62"/>
  <c r="W13" i="62"/>
  <c r="V13" i="62"/>
  <c r="AA12" i="62"/>
  <c r="AG11" i="62"/>
  <c r="AF11" i="62"/>
  <c r="AE11" i="62"/>
  <c r="AD11" i="62"/>
  <c r="AC11" i="62"/>
  <c r="AB11" i="62"/>
  <c r="AA11" i="62"/>
  <c r="Z11" i="62"/>
  <c r="Y11" i="62"/>
  <c r="X11" i="62"/>
  <c r="W11" i="62"/>
  <c r="V11" i="62"/>
  <c r="AG9" i="62"/>
  <c r="AG14" i="62" s="1"/>
  <c r="AF9" i="62"/>
  <c r="AF10" i="62" s="1"/>
  <c r="AE9" i="62"/>
  <c r="AE14" i="62" s="1"/>
  <c r="AD9" i="62"/>
  <c r="AD12" i="62" s="1"/>
  <c r="AC9" i="62"/>
  <c r="AC10" i="62" s="1"/>
  <c r="AB9" i="62"/>
  <c r="AB12" i="62" s="1"/>
  <c r="AA9" i="62"/>
  <c r="AA14" i="62" s="1"/>
  <c r="Z9" i="62"/>
  <c r="Z14" i="62" s="1"/>
  <c r="Y9" i="62"/>
  <c r="Y14" i="62" s="1"/>
  <c r="X9" i="62"/>
  <c r="X14" i="62" s="1"/>
  <c r="W9" i="62"/>
  <c r="W14" i="62" s="1"/>
  <c r="V9" i="62"/>
  <c r="V14" i="62" s="1"/>
  <c r="U15" i="62"/>
  <c r="U14" i="62"/>
  <c r="U13" i="62"/>
  <c r="U12" i="62"/>
  <c r="U11" i="62"/>
  <c r="U10" i="62"/>
  <c r="U9" i="62"/>
  <c r="F9" i="62" s="1"/>
  <c r="Z27" i="62"/>
  <c r="Y27" i="62"/>
  <c r="X27" i="62"/>
  <c r="W27" i="62"/>
  <c r="N27" i="62"/>
  <c r="AC26" i="62"/>
  <c r="AC27" i="62" s="1"/>
  <c r="AB26" i="62"/>
  <c r="AB27" i="62" s="1"/>
  <c r="AA26" i="62"/>
  <c r="AA27" i="62" s="1"/>
  <c r="Z26" i="62"/>
  <c r="Y26" i="62"/>
  <c r="X26" i="62"/>
  <c r="W26" i="62"/>
  <c r="V26" i="62"/>
  <c r="V27" i="62" s="1"/>
  <c r="U26" i="62"/>
  <c r="U27" i="62" s="1"/>
  <c r="T26" i="62"/>
  <c r="T27" i="62" s="1"/>
  <c r="S26" i="62"/>
  <c r="S27" i="62" s="1"/>
  <c r="R26" i="62"/>
  <c r="R27" i="62" s="1"/>
  <c r="Q26" i="62"/>
  <c r="Q27" i="62" s="1"/>
  <c r="P26" i="62"/>
  <c r="P27" i="62" s="1"/>
  <c r="O26" i="62"/>
  <c r="O27" i="62" s="1"/>
  <c r="N26" i="62"/>
  <c r="AC25" i="62"/>
  <c r="AB25" i="62"/>
  <c r="AA25" i="62"/>
  <c r="Z25" i="62"/>
  <c r="Y25" i="62"/>
  <c r="X25" i="62"/>
  <c r="W25" i="62"/>
  <c r="V25" i="62"/>
  <c r="U25" i="62"/>
  <c r="T25" i="62"/>
  <c r="S25" i="62"/>
  <c r="R25" i="62"/>
  <c r="Q25" i="62"/>
  <c r="P25" i="62"/>
  <c r="O25" i="62"/>
  <c r="N25" i="62"/>
  <c r="AC23" i="62"/>
  <c r="AB23" i="62"/>
  <c r="AA23" i="62"/>
  <c r="Z23" i="62"/>
  <c r="Y23" i="62"/>
  <c r="X23" i="62"/>
  <c r="W23" i="62"/>
  <c r="V23" i="62"/>
  <c r="U23" i="62"/>
  <c r="T23" i="62"/>
  <c r="S23" i="62"/>
  <c r="R23" i="62"/>
  <c r="Q23" i="62"/>
  <c r="P23" i="62"/>
  <c r="O23" i="62"/>
  <c r="N23" i="62"/>
  <c r="N24" i="62"/>
  <c r="AC24" i="62"/>
  <c r="AB24" i="62"/>
  <c r="AA24" i="62"/>
  <c r="Z24" i="62"/>
  <c r="Y24" i="62"/>
  <c r="X24" i="62"/>
  <c r="W24" i="62"/>
  <c r="V24" i="62"/>
  <c r="U24" i="62"/>
  <c r="T24" i="62"/>
  <c r="S24" i="62"/>
  <c r="R24" i="62"/>
  <c r="Q24" i="62"/>
  <c r="P24" i="62"/>
  <c r="O24" i="62"/>
  <c r="O22" i="62"/>
  <c r="AC22" i="62"/>
  <c r="AB22" i="62"/>
  <c r="AA22" i="62"/>
  <c r="Z22" i="62"/>
  <c r="Y22" i="62"/>
  <c r="X22" i="62"/>
  <c r="W22" i="62"/>
  <c r="V22" i="62"/>
  <c r="U22" i="62"/>
  <c r="T22" i="62"/>
  <c r="S22" i="62"/>
  <c r="R22" i="62"/>
  <c r="Q22" i="62"/>
  <c r="P22" i="62"/>
  <c r="N22" i="62"/>
  <c r="AF12" i="62" l="1"/>
  <c r="AF14" i="62"/>
  <c r="AG10" i="62"/>
  <c r="V10" i="62"/>
  <c r="W10" i="62"/>
  <c r="X10" i="62"/>
  <c r="X12" i="62"/>
  <c r="AA10" i="62"/>
  <c r="AB14" i="62"/>
  <c r="AC12" i="62"/>
  <c r="AC14" i="62"/>
  <c r="AD14" i="62"/>
  <c r="AE12" i="62"/>
  <c r="Y10" i="62"/>
  <c r="Y12" i="62"/>
  <c r="AB10" i="62"/>
  <c r="AD10" i="62"/>
  <c r="AE10" i="62"/>
  <c r="AG12" i="62"/>
  <c r="V12" i="62"/>
  <c r="W12" i="62"/>
  <c r="Z10" i="62"/>
  <c r="Z12" i="62"/>
  <c r="F27" i="66"/>
  <c r="G27" i="66" s="1"/>
  <c r="I27" i="66" s="1"/>
  <c r="F26" i="66"/>
  <c r="G26" i="66" s="1"/>
  <c r="I26" i="66" s="1"/>
  <c r="F25" i="66"/>
  <c r="G25" i="66" s="1"/>
  <c r="I25" i="66" s="1"/>
  <c r="F24" i="66"/>
  <c r="G24" i="66" s="1"/>
  <c r="I24" i="66" s="1"/>
  <c r="F23" i="66"/>
  <c r="G23" i="66" s="1"/>
  <c r="I23" i="66" s="1"/>
  <c r="F22" i="66"/>
  <c r="G22" i="66" s="1"/>
  <c r="I22" i="66" s="1"/>
  <c r="G21" i="66"/>
  <c r="I21" i="66" s="1"/>
  <c r="I28" i="66" s="1"/>
  <c r="I29" i="66" s="1"/>
  <c r="I10" i="66"/>
  <c r="I11" i="66"/>
  <c r="I12" i="66"/>
  <c r="I13" i="66"/>
  <c r="F14" i="66"/>
  <c r="G14" i="66" s="1"/>
  <c r="I14" i="66" s="1"/>
  <c r="F13" i="66"/>
  <c r="G13" i="66" s="1"/>
  <c r="F12" i="66"/>
  <c r="G12" i="66" s="1"/>
  <c r="F11" i="66"/>
  <c r="G11" i="66" s="1"/>
  <c r="F10" i="66"/>
  <c r="G10" i="66" s="1"/>
  <c r="F9" i="66"/>
  <c r="G9" i="66" s="1"/>
  <c r="I9" i="66" s="1"/>
  <c r="G8" i="66"/>
  <c r="I8" i="66" s="1"/>
  <c r="I15" i="66" l="1"/>
  <c r="I16" i="66" s="1"/>
  <c r="F28" i="62" l="1"/>
  <c r="G28" i="62" s="1"/>
  <c r="K28" i="62" s="1"/>
  <c r="F27" i="62"/>
  <c r="G27" i="62" s="1"/>
  <c r="K27" i="62" s="1"/>
  <c r="F26" i="62"/>
  <c r="G26" i="62" s="1"/>
  <c r="K26" i="62" s="1"/>
  <c r="F25" i="62"/>
  <c r="G25" i="62" s="1"/>
  <c r="K25" i="62" s="1"/>
  <c r="F24" i="62"/>
  <c r="G24" i="62" s="1"/>
  <c r="K24" i="62" s="1"/>
  <c r="F23" i="62"/>
  <c r="G23" i="62" s="1"/>
  <c r="J22" i="62"/>
  <c r="F22" i="62"/>
  <c r="G22" i="62" s="1"/>
  <c r="F15" i="62"/>
  <c r="G15" i="62" s="1"/>
  <c r="K15" i="62" s="1"/>
  <c r="F14" i="62"/>
  <c r="G14" i="62" s="1"/>
  <c r="K14" i="62" s="1"/>
  <c r="F13" i="62"/>
  <c r="G13" i="62" s="1"/>
  <c r="K13" i="62" s="1"/>
  <c r="F12" i="62"/>
  <c r="G12" i="62" s="1"/>
  <c r="K12" i="62" s="1"/>
  <c r="F11" i="62"/>
  <c r="G11" i="62" s="1"/>
  <c r="K11" i="62" s="1"/>
  <c r="F10" i="62"/>
  <c r="G10" i="62" s="1"/>
  <c r="J9" i="62"/>
  <c r="G9" i="62"/>
  <c r="D32" i="59"/>
  <c r="D31" i="59"/>
  <c r="D30" i="59"/>
  <c r="D33" i="59" s="1"/>
  <c r="D34" i="59" s="1"/>
  <c r="D23" i="59"/>
  <c r="D24" i="59" s="1"/>
  <c r="D25" i="59" s="1"/>
  <c r="D12" i="59"/>
  <c r="D11" i="59"/>
  <c r="D10" i="59"/>
  <c r="D13" i="59" s="1"/>
  <c r="D7" i="59"/>
  <c r="D6" i="59"/>
  <c r="D5" i="59"/>
  <c r="K9" i="62" l="1"/>
  <c r="K16" i="62" s="1"/>
  <c r="K17" i="62" s="1"/>
  <c r="D8" i="59"/>
  <c r="D14" i="59" s="1"/>
  <c r="B17" i="59" s="1"/>
  <c r="B16" i="59"/>
  <c r="K22" i="62"/>
  <c r="K29" i="62" s="1"/>
  <c r="K30" i="62" s="1"/>
  <c r="D15" i="59" l="1"/>
  <c r="B18" i="59" s="1"/>
</calcChain>
</file>

<file path=xl/sharedStrings.xml><?xml version="1.0" encoding="utf-8"?>
<sst xmlns="http://schemas.openxmlformats.org/spreadsheetml/2006/main" count="434" uniqueCount="166">
  <si>
    <t>見積に含んでいただきたい項目（イメージ）</t>
    <rPh sb="0" eb="2">
      <t>ミツ</t>
    </rPh>
    <rPh sb="3" eb="4">
      <t>フク</t>
    </rPh>
    <rPh sb="12" eb="14">
      <t>コウモク</t>
    </rPh>
    <phoneticPr fontId="1"/>
  </si>
  <si>
    <t>単価（円）</t>
    <rPh sb="0" eb="2">
      <t>タンカ</t>
    </rPh>
    <rPh sb="3" eb="4">
      <t>エン</t>
    </rPh>
    <phoneticPr fontId="1"/>
  </si>
  <si>
    <t>数量</t>
    <rPh sb="0" eb="2">
      <t>スウリョウ</t>
    </rPh>
    <phoneticPr fontId="1"/>
  </si>
  <si>
    <t>金額（円）</t>
    <rPh sb="0" eb="2">
      <t>キンガク</t>
    </rPh>
    <rPh sb="3" eb="4">
      <t>エン</t>
    </rPh>
    <phoneticPr fontId="1"/>
  </si>
  <si>
    <t>備考</t>
    <rPh sb="0" eb="2">
      <t>ビコウ</t>
    </rPh>
    <phoneticPr fontId="1"/>
  </si>
  <si>
    <r>
      <t>飲食料（サ込税別）</t>
    </r>
    <r>
      <rPr>
        <b/>
        <sz val="11"/>
        <color rgb="FFFF0000"/>
        <rFont val="游ゴシック"/>
        <family val="3"/>
        <charset val="128"/>
        <scheme val="minor"/>
      </rPr>
      <t>　※ハラル・ヴィーガンの支援を受ける場合は、食材仕入費を除くものとする。</t>
    </r>
    <rPh sb="0" eb="2">
      <t>インショク</t>
    </rPh>
    <rPh sb="2" eb="3">
      <t>リョウ</t>
    </rPh>
    <rPh sb="5" eb="6">
      <t>コミ</t>
    </rPh>
    <rPh sb="6" eb="8">
      <t>ゼイベツ</t>
    </rPh>
    <rPh sb="21" eb="23">
      <t>シエン</t>
    </rPh>
    <rPh sb="24" eb="25">
      <t>ウ</t>
    </rPh>
    <rPh sb="27" eb="29">
      <t>バアイ</t>
    </rPh>
    <phoneticPr fontId="1"/>
  </si>
  <si>
    <t>朝食ビュッフェ</t>
    <rPh sb="0" eb="2">
      <t>チョウショク</t>
    </rPh>
    <phoneticPr fontId="1"/>
  </si>
  <si>
    <t>A</t>
    <phoneticPr fontId="1"/>
  </si>
  <si>
    <t>B</t>
    <phoneticPr fontId="1"/>
  </si>
  <si>
    <t>C【A*B】</t>
    <phoneticPr fontId="1"/>
  </si>
  <si>
    <t>サ込税別</t>
    <phoneticPr fontId="1"/>
  </si>
  <si>
    <t>昼食ビュッフェ</t>
    <rPh sb="0" eb="2">
      <t>チュウショク</t>
    </rPh>
    <phoneticPr fontId="1"/>
  </si>
  <si>
    <t>A’</t>
    <phoneticPr fontId="1"/>
  </si>
  <si>
    <t>B’</t>
    <phoneticPr fontId="1"/>
  </si>
  <si>
    <t>C'【A'*B'】</t>
    <phoneticPr fontId="1"/>
  </si>
  <si>
    <t>夕食ビュッフェ</t>
    <rPh sb="0" eb="2">
      <t>ユウショク</t>
    </rPh>
    <phoneticPr fontId="1"/>
  </si>
  <si>
    <t>A’’</t>
    <phoneticPr fontId="1"/>
  </si>
  <si>
    <t>B’’</t>
    <phoneticPr fontId="1"/>
  </si>
  <si>
    <t>C''【A''*B''】</t>
    <phoneticPr fontId="1"/>
  </si>
  <si>
    <t>小計</t>
    <rPh sb="0" eb="2">
      <t>ショウケイ</t>
    </rPh>
    <phoneticPr fontId="1"/>
  </si>
  <si>
    <r>
      <t xml:space="preserve">その他人件費等費用（税別） </t>
    </r>
    <r>
      <rPr>
        <b/>
        <sz val="11"/>
        <color rgb="FFFF0000"/>
        <rFont val="游ゴシック"/>
        <family val="3"/>
        <charset val="128"/>
        <scheme val="minor"/>
      </rPr>
      <t>※追加人員を確保する必要がある場合に発生する費用</t>
    </r>
    <rPh sb="2" eb="3">
      <t>タ</t>
    </rPh>
    <rPh sb="3" eb="6">
      <t>ジンケンヒ</t>
    </rPh>
    <rPh sb="6" eb="7">
      <t>トウ</t>
    </rPh>
    <rPh sb="7" eb="9">
      <t>ヒヨウ</t>
    </rPh>
    <rPh sb="10" eb="12">
      <t>ゼイベツ</t>
    </rPh>
    <phoneticPr fontId="1"/>
  </si>
  <si>
    <t>サービス人件費</t>
    <rPh sb="4" eb="7">
      <t>ジンケンヒ</t>
    </rPh>
    <phoneticPr fontId="1"/>
  </si>
  <si>
    <t>調理人件費</t>
    <rPh sb="0" eb="2">
      <t>チョウリ</t>
    </rPh>
    <rPh sb="2" eb="5">
      <t>ジンケンヒ</t>
    </rPh>
    <phoneticPr fontId="1"/>
  </si>
  <si>
    <t>D</t>
    <phoneticPr fontId="1"/>
  </si>
  <si>
    <t>合計（税別）</t>
    <rPh sb="0" eb="2">
      <t>ゴウケイ</t>
    </rPh>
    <rPh sb="3" eb="5">
      <t>ゼイベツ</t>
    </rPh>
    <phoneticPr fontId="1"/>
  </si>
  <si>
    <t>合計（税込）</t>
    <rPh sb="0" eb="2">
      <t>ゴウケイ</t>
    </rPh>
    <rPh sb="3" eb="5">
      <t>ゼイコミ</t>
    </rPh>
    <phoneticPr fontId="1"/>
  </si>
  <si>
    <t>一人当たりの1食単価（朝食）</t>
    <rPh sb="0" eb="2">
      <t>ヒトリ</t>
    </rPh>
    <rPh sb="2" eb="3">
      <t>ア</t>
    </rPh>
    <rPh sb="7" eb="8">
      <t>ショク</t>
    </rPh>
    <rPh sb="8" eb="10">
      <t>タンカ</t>
    </rPh>
    <rPh sb="11" eb="13">
      <t>チョウショク</t>
    </rPh>
    <phoneticPr fontId="1"/>
  </si>
  <si>
    <t>E【（C＋D/3）/B】</t>
    <phoneticPr fontId="1"/>
  </si>
  <si>
    <t>サ込税別</t>
  </si>
  <si>
    <t>一人当たりの1食単価（昼食）</t>
    <rPh sb="0" eb="2">
      <t>ヒトリ</t>
    </rPh>
    <rPh sb="2" eb="3">
      <t>ア</t>
    </rPh>
    <rPh sb="7" eb="8">
      <t>ショク</t>
    </rPh>
    <rPh sb="8" eb="10">
      <t>タンカ</t>
    </rPh>
    <rPh sb="11" eb="13">
      <t>チュウショク</t>
    </rPh>
    <phoneticPr fontId="1"/>
  </si>
  <si>
    <t>E'【（C'＋D/3）/B'】</t>
    <phoneticPr fontId="1"/>
  </si>
  <si>
    <t>一人当たりの1食単価（夕食）</t>
    <rPh sb="0" eb="2">
      <t>ヒトリ</t>
    </rPh>
    <rPh sb="2" eb="3">
      <t>ア</t>
    </rPh>
    <rPh sb="7" eb="8">
      <t>ショク</t>
    </rPh>
    <rPh sb="8" eb="10">
      <t>タンカ</t>
    </rPh>
    <rPh sb="11" eb="13">
      <t>ユウショク</t>
    </rPh>
    <phoneticPr fontId="1"/>
  </si>
  <si>
    <t>E"【（C''＋D/3）/B''】</t>
    <phoneticPr fontId="1"/>
  </si>
  <si>
    <t>軽食費用</t>
    <rPh sb="0" eb="2">
      <t>ケイショク</t>
    </rPh>
    <rPh sb="2" eb="4">
      <t>ヒヨウ</t>
    </rPh>
    <phoneticPr fontId="1"/>
  </si>
  <si>
    <t>軽食単価</t>
    <rPh sb="0" eb="2">
      <t>ケイショク</t>
    </rPh>
    <rPh sb="2" eb="4">
      <t>タンカ</t>
    </rPh>
    <phoneticPr fontId="1"/>
  </si>
  <si>
    <t>F</t>
    <phoneticPr fontId="1"/>
  </si>
  <si>
    <t>合計（税込）</t>
    <rPh sb="0" eb="2">
      <t>ゴウケイ</t>
    </rPh>
    <rPh sb="3" eb="5">
      <t>ゼイコ</t>
    </rPh>
    <phoneticPr fontId="1"/>
  </si>
  <si>
    <t>厨房機器レンタル代</t>
    <rPh sb="0" eb="2">
      <t>チュウボウ</t>
    </rPh>
    <rPh sb="2" eb="4">
      <t>キキ</t>
    </rPh>
    <rPh sb="8" eb="9">
      <t>ダイ</t>
    </rPh>
    <phoneticPr fontId="1"/>
  </si>
  <si>
    <t>G</t>
    <phoneticPr fontId="1"/>
  </si>
  <si>
    <t>施設様名</t>
    <rPh sb="0" eb="2">
      <t>シセツ</t>
    </rPh>
    <rPh sb="2" eb="3">
      <t>サマ</t>
    </rPh>
    <rPh sb="3" eb="4">
      <t>ナ</t>
    </rPh>
    <phoneticPr fontId="6"/>
  </si>
  <si>
    <t>様</t>
    <rPh sb="0" eb="1">
      <t>サマ</t>
    </rPh>
    <phoneticPr fontId="6"/>
  </si>
  <si>
    <t>別紙2</t>
    <rPh sb="0" eb="2">
      <t>ベッシ</t>
    </rPh>
    <phoneticPr fontId="1"/>
  </si>
  <si>
    <t>【アジア競技大会】</t>
    <rPh sb="4" eb="6">
      <t>キョウギ</t>
    </rPh>
    <rPh sb="6" eb="8">
      <t>タイカイ</t>
    </rPh>
    <phoneticPr fontId="6"/>
  </si>
  <si>
    <t>食事カテゴリー</t>
    <rPh sb="0" eb="2">
      <t>ショクジ</t>
    </rPh>
    <phoneticPr fontId="1"/>
  </si>
  <si>
    <t>食事種類</t>
    <rPh sb="0" eb="2">
      <t>ショクジ</t>
    </rPh>
    <rPh sb="2" eb="4">
      <t>シュルイ</t>
    </rPh>
    <phoneticPr fontId="1"/>
  </si>
  <si>
    <t>2026年提供
飲食提供単価サ込税別（円）
※左右いずれかの欄に入力</t>
    <rPh sb="8" eb="10">
      <t>インショク</t>
    </rPh>
    <rPh sb="10" eb="12">
      <t>テイキョウ</t>
    </rPh>
    <rPh sb="12" eb="14">
      <t>タンカ</t>
    </rPh>
    <rPh sb="16" eb="18">
      <t>ゼイベツ</t>
    </rPh>
    <rPh sb="23" eb="25">
      <t>サユウ</t>
    </rPh>
    <rPh sb="30" eb="31">
      <t>ラン</t>
    </rPh>
    <rPh sb="32" eb="34">
      <t>ニュウリョク</t>
    </rPh>
    <phoneticPr fontId="1"/>
  </si>
  <si>
    <t>合計食数（食）</t>
    <rPh sb="0" eb="2">
      <t>ゴウケイ</t>
    </rPh>
    <rPh sb="2" eb="4">
      <t>ショクスウ</t>
    </rPh>
    <rPh sb="5" eb="6">
      <t>ショク</t>
    </rPh>
    <phoneticPr fontId="1"/>
  </si>
  <si>
    <t>料金（円）
※A</t>
    <rPh sb="0" eb="2">
      <t>リョウキン</t>
    </rPh>
    <rPh sb="3" eb="4">
      <t>エン</t>
    </rPh>
    <phoneticPr fontId="1"/>
  </si>
  <si>
    <t>本契約における基本朝食の単価
（円）</t>
    <rPh sb="0" eb="3">
      <t>ホンケイヤク</t>
    </rPh>
    <rPh sb="7" eb="9">
      <t>キホン</t>
    </rPh>
    <rPh sb="9" eb="11">
      <t>チョウショク</t>
    </rPh>
    <rPh sb="12" eb="14">
      <t>タンカ</t>
    </rPh>
    <rPh sb="16" eb="17">
      <t>エン</t>
    </rPh>
    <phoneticPr fontId="1"/>
  </si>
  <si>
    <t xml:space="preserve">本契約における基本朝食数
（食）
</t>
    <rPh sb="0" eb="3">
      <t>ホンケイヤク</t>
    </rPh>
    <rPh sb="7" eb="9">
      <t>キホン</t>
    </rPh>
    <rPh sb="9" eb="11">
      <t>チョウショク</t>
    </rPh>
    <rPh sb="10" eb="12">
      <t>ショクスウ</t>
    </rPh>
    <rPh sb="14" eb="15">
      <t>ショク</t>
    </rPh>
    <phoneticPr fontId="1"/>
  </si>
  <si>
    <t>料金※Aのうち、本契約における基本朝食の契約金額
※B</t>
    <rPh sb="0" eb="2">
      <t>リョウキン</t>
    </rPh>
    <rPh sb="8" eb="11">
      <t>ホンケイヤク</t>
    </rPh>
    <rPh sb="15" eb="17">
      <t>キホン</t>
    </rPh>
    <rPh sb="17" eb="19">
      <t>チョウショク</t>
    </rPh>
    <rPh sb="20" eb="22">
      <t>ケイヤク</t>
    </rPh>
    <rPh sb="22" eb="24">
      <t>キンガク</t>
    </rPh>
    <phoneticPr fontId="1"/>
  </si>
  <si>
    <t>飲食提供料金
（円）
※A-※B</t>
    <rPh sb="0" eb="2">
      <t>インショク</t>
    </rPh>
    <rPh sb="2" eb="4">
      <t>テイキョウ</t>
    </rPh>
    <rPh sb="4" eb="6">
      <t>リョウキン</t>
    </rPh>
    <rPh sb="8" eb="9">
      <t>エン</t>
    </rPh>
    <phoneticPr fontId="1"/>
  </si>
  <si>
    <t>１日あたりの食数（食）</t>
    <rPh sb="1" eb="2">
      <t>ニチ</t>
    </rPh>
    <rPh sb="6" eb="8">
      <t>ショクスウ</t>
    </rPh>
    <phoneticPr fontId="1"/>
  </si>
  <si>
    <t>飲食提供
単価（円）</t>
    <rPh sb="0" eb="2">
      <t>インショク</t>
    </rPh>
    <rPh sb="2" eb="4">
      <t>テイキョウ</t>
    </rPh>
    <rPh sb="5" eb="7">
      <t>タンカ</t>
    </rPh>
    <rPh sb="8" eb="9">
      <t>エン</t>
    </rPh>
    <phoneticPr fontId="1"/>
  </si>
  <si>
    <t>【Halal/veganメニューのみ】
支援ありの場合の飲食提供単価（円）</t>
    <rPh sb="28" eb="30">
      <t>インショク</t>
    </rPh>
    <rPh sb="30" eb="32">
      <t>テイキョウ</t>
    </rPh>
    <phoneticPr fontId="1"/>
  </si>
  <si>
    <t>月</t>
  </si>
  <si>
    <t>火</t>
  </si>
  <si>
    <t>水</t>
    <rPh sb="0" eb="1">
      <t>スイ</t>
    </rPh>
    <phoneticPr fontId="4"/>
  </si>
  <si>
    <t>木</t>
    <rPh sb="0" eb="1">
      <t>モク</t>
    </rPh>
    <phoneticPr fontId="4"/>
  </si>
  <si>
    <t>金</t>
  </si>
  <si>
    <t>土</t>
  </si>
  <si>
    <t>日</t>
  </si>
  <si>
    <t>水</t>
  </si>
  <si>
    <t>木</t>
  </si>
  <si>
    <t>火</t>
    <rPh sb="0" eb="1">
      <t>カ</t>
    </rPh>
    <phoneticPr fontId="1"/>
  </si>
  <si>
    <t>朝食代</t>
    <rPh sb="0" eb="3">
      <t>チョウショクダイ</t>
    </rPh>
    <phoneticPr fontId="1"/>
  </si>
  <si>
    <t>Basic</t>
    <phoneticPr fontId="1"/>
  </si>
  <si>
    <t>Halal/vegan</t>
    <phoneticPr fontId="1"/>
  </si>
  <si>
    <t>昼食代</t>
    <rPh sb="0" eb="3">
      <t>チュウショクダイ</t>
    </rPh>
    <phoneticPr fontId="1"/>
  </si>
  <si>
    <t>Halal/vegan</t>
  </si>
  <si>
    <t>夕食代</t>
    <rPh sb="0" eb="3">
      <t>ユウショクダイ</t>
    </rPh>
    <phoneticPr fontId="1"/>
  </si>
  <si>
    <t>軽食代</t>
    <rPh sb="0" eb="3">
      <t>ケイショクダイ</t>
    </rPh>
    <phoneticPr fontId="1"/>
  </si>
  <si>
    <t>計（税別）</t>
    <rPh sb="0" eb="1">
      <t>ケイ</t>
    </rPh>
    <rPh sb="2" eb="4">
      <t>ゼイベツ</t>
    </rPh>
    <phoneticPr fontId="1"/>
  </si>
  <si>
    <t>計（税込）</t>
    <rPh sb="0" eb="1">
      <t>ケイ</t>
    </rPh>
    <rPh sb="2" eb="4">
      <t>ゼイコミ</t>
    </rPh>
    <phoneticPr fontId="1"/>
  </si>
  <si>
    <t>【アジアパラ競技大会】</t>
    <rPh sb="6" eb="8">
      <t>キョウギ</t>
    </rPh>
    <rPh sb="8" eb="10">
      <t>タイカイ</t>
    </rPh>
    <phoneticPr fontId="6"/>
  </si>
  <si>
    <t>１日あたりの食数（食）</t>
    <phoneticPr fontId="1"/>
  </si>
  <si>
    <t>※請求合計額は、基本朝食の金額を差し引いた金額とする。</t>
    <rPh sb="1" eb="3">
      <t>セイキュウ</t>
    </rPh>
    <rPh sb="3" eb="5">
      <t>ゴウケイ</t>
    </rPh>
    <rPh sb="5" eb="6">
      <t>ガク</t>
    </rPh>
    <rPh sb="8" eb="10">
      <t>キホン</t>
    </rPh>
    <rPh sb="10" eb="12">
      <t>チョウショク</t>
    </rPh>
    <rPh sb="13" eb="15">
      <t>キンガク</t>
    </rPh>
    <rPh sb="16" eb="17">
      <t>サ</t>
    </rPh>
    <rPh sb="18" eb="19">
      <t>ヒ</t>
    </rPh>
    <rPh sb="21" eb="23">
      <t>キンガク</t>
    </rPh>
    <phoneticPr fontId="1"/>
  </si>
  <si>
    <t>※１食単価については、物価上昇等を加味し、2026年度に提供することを前提に提示するものである。</t>
    <rPh sb="2" eb="3">
      <t>ショク</t>
    </rPh>
    <rPh sb="3" eb="5">
      <t>タンカ</t>
    </rPh>
    <rPh sb="11" eb="13">
      <t>ブッカ</t>
    </rPh>
    <rPh sb="13" eb="15">
      <t>ジョウショウ</t>
    </rPh>
    <rPh sb="15" eb="16">
      <t>トウ</t>
    </rPh>
    <rPh sb="17" eb="19">
      <t>カミ</t>
    </rPh>
    <rPh sb="25" eb="27">
      <t>ネンド</t>
    </rPh>
    <rPh sb="28" eb="30">
      <t>テイキョウ</t>
    </rPh>
    <rPh sb="35" eb="37">
      <t>ゼンテイ</t>
    </rPh>
    <rPh sb="38" eb="40">
      <t>テイジ</t>
    </rPh>
    <phoneticPr fontId="1"/>
  </si>
  <si>
    <t>※１食単価は、別紙1に記載の飲食提供の内容を実施することを前提に算出すること。</t>
    <rPh sb="3" eb="5">
      <t>タンカ</t>
    </rPh>
    <rPh sb="32" eb="34">
      <t>サンシュツ</t>
    </rPh>
    <phoneticPr fontId="1"/>
  </si>
  <si>
    <t>※依頼食数とは、実際に提供いただく食数のことである。本附属書締結後2026年8月7日（金）までに書面によって通知される。</t>
    <phoneticPr fontId="1"/>
  </si>
  <si>
    <t>※「Basic」とは、「Halal/vegan」等の特別な食事制限に対応しない、一般的な食事を指す。</t>
    <phoneticPr fontId="1"/>
  </si>
  <si>
    <t>※Halal/vegan食については、基本的に宿泊施設にて調達・提供することを前提とする。ただし、調達が困難な宿泊施設に限り、組織委員会が冷凍食材を配送する支援を実施する。</t>
    <phoneticPr fontId="1"/>
  </si>
  <si>
    <t>　この場合、宿泊施設が提示する1食単価には、組織委員会が提供する食材調達費を含めないこと。</t>
    <rPh sb="34" eb="36">
      <t>チョウタツ</t>
    </rPh>
    <phoneticPr fontId="1"/>
  </si>
  <si>
    <t>※軽食に係る単価については、マーケティングパートナーによる商材の提供等に伴い、提供内容の変更が生じる場合があるため、本別紙に記載する単価は甲乙協議により都度調整するものとする。</t>
    <rPh sb="1" eb="3">
      <t>ケイショク</t>
    </rPh>
    <phoneticPr fontId="1"/>
  </si>
  <si>
    <t>業務完了届</t>
    <rPh sb="0" eb="2">
      <t>ギョウム</t>
    </rPh>
    <rPh sb="2" eb="4">
      <t>カンリョウ</t>
    </rPh>
    <rPh sb="4" eb="5">
      <t>トドケ</t>
    </rPh>
    <phoneticPr fontId="1"/>
  </si>
  <si>
    <t>別紙3</t>
    <rPh sb="0" eb="2">
      <t>ベッシ</t>
    </rPh>
    <phoneticPr fontId="1"/>
  </si>
  <si>
    <t>年</t>
    <rPh sb="0" eb="1">
      <t>ネン</t>
    </rPh>
    <phoneticPr fontId="1"/>
  </si>
  <si>
    <t>月</t>
    <rPh sb="0" eb="1">
      <t>ガツ</t>
    </rPh>
    <phoneticPr fontId="1"/>
  </si>
  <si>
    <t>日</t>
    <rPh sb="0" eb="1">
      <t>ニチ</t>
    </rPh>
    <phoneticPr fontId="1"/>
  </si>
  <si>
    <t>公益財団法人愛知・名古屋アジア・アジアパラ競技大会組織委員会</t>
    <rPh sb="0" eb="2">
      <t>コウエキ</t>
    </rPh>
    <rPh sb="2" eb="4">
      <t>ザイダン</t>
    </rPh>
    <rPh sb="4" eb="6">
      <t>ホウジン</t>
    </rPh>
    <rPh sb="6" eb="8">
      <t>アイチ</t>
    </rPh>
    <rPh sb="9" eb="12">
      <t>ナゴヤ</t>
    </rPh>
    <rPh sb="21" eb="23">
      <t>キョウギ</t>
    </rPh>
    <rPh sb="23" eb="25">
      <t>タイカイ</t>
    </rPh>
    <rPh sb="25" eb="30">
      <t>ソシキイインカイ</t>
    </rPh>
    <phoneticPr fontId="1"/>
  </si>
  <si>
    <t>　総長　村手　聡　殿</t>
    <rPh sb="1" eb="3">
      <t>ソウチョウ</t>
    </rPh>
    <rPh sb="4" eb="6">
      <t>ムラテ</t>
    </rPh>
    <rPh sb="7" eb="8">
      <t>サトシ</t>
    </rPh>
    <rPh sb="9" eb="10">
      <t>トノ</t>
    </rPh>
    <phoneticPr fontId="1"/>
  </si>
  <si>
    <t>所在地</t>
    <phoneticPr fontId="1"/>
  </si>
  <si>
    <t>名称</t>
  </si>
  <si>
    <t>代表者氏名</t>
  </si>
  <si>
    <t>　下記のとおり業務が完了しましたので、お届けします。</t>
    <phoneticPr fontId="1"/>
  </si>
  <si>
    <t>記</t>
  </si>
  <si>
    <t>1　業務名</t>
    <phoneticPr fontId="1"/>
  </si>
  <si>
    <t xml:space="preserve">大会関係者への飲食提供に関する附属書 </t>
    <phoneticPr fontId="1"/>
  </si>
  <si>
    <t>〔愛知・名古屋2026大会における大会関係者の宿泊施設等の利用に関する基本契約書別表関係〕</t>
    <phoneticPr fontId="1"/>
  </si>
  <si>
    <t>2　実施内容</t>
  </si>
  <si>
    <t>別添「飲食提供実績報告書のとおり」</t>
    <rPh sb="0" eb="2">
      <t>ベッテン</t>
    </rPh>
    <rPh sb="3" eb="5">
      <t>ジッセキ</t>
    </rPh>
    <rPh sb="5" eb="8">
      <t>ホウコクショ</t>
    </rPh>
    <phoneticPr fontId="1"/>
  </si>
  <si>
    <t>※甲が指定した様式とする。</t>
    <rPh sb="1" eb="2">
      <t>コウ</t>
    </rPh>
    <rPh sb="3" eb="5">
      <t>シテイ</t>
    </rPh>
    <rPh sb="7" eb="9">
      <t>ヨウシキ</t>
    </rPh>
    <phoneticPr fontId="1"/>
  </si>
  <si>
    <t>3　契約年月日</t>
  </si>
  <si>
    <t>4　契約金額</t>
  </si>
  <si>
    <t>金</t>
    <rPh sb="0" eb="1">
      <t>キン</t>
    </rPh>
    <phoneticPr fontId="1"/>
  </si>
  <si>
    <t>円</t>
    <rPh sb="0" eb="1">
      <t>エン</t>
    </rPh>
    <phoneticPr fontId="1"/>
  </si>
  <si>
    <t>5　添付書類</t>
  </si>
  <si>
    <t>（上記に記載された内容が確認できるもの。例：会場の様子など）</t>
    <rPh sb="1" eb="3">
      <t>ジョウキ</t>
    </rPh>
    <rPh sb="4" eb="6">
      <t>キサイ</t>
    </rPh>
    <rPh sb="22" eb="24">
      <t>カイジョウ</t>
    </rPh>
    <phoneticPr fontId="1"/>
  </si>
  <si>
    <t>別紙4</t>
    <rPh sb="0" eb="2">
      <t>ベッシ</t>
    </rPh>
    <phoneticPr fontId="1"/>
  </si>
  <si>
    <t>2026年提供
飲食提供単価サ込税別（円）
※左右いずれかの欄に入力</t>
    <rPh sb="8" eb="10">
      <t>インショク</t>
    </rPh>
    <rPh sb="10" eb="12">
      <t>テイキョウ</t>
    </rPh>
    <rPh sb="16" eb="18">
      <t>ゼイベツ</t>
    </rPh>
    <rPh sb="23" eb="25">
      <t>サユウ</t>
    </rPh>
    <rPh sb="30" eb="31">
      <t>ラン</t>
    </rPh>
    <rPh sb="32" eb="34">
      <t>ニュウリョク</t>
    </rPh>
    <phoneticPr fontId="1"/>
  </si>
  <si>
    <t>最終的な料金（円）
※A</t>
    <rPh sb="0" eb="2">
      <t>サイシュウ</t>
    </rPh>
    <rPh sb="2" eb="3">
      <t>テキ</t>
    </rPh>
    <rPh sb="4" eb="6">
      <t>リョウキン</t>
    </rPh>
    <rPh sb="7" eb="8">
      <t>エン</t>
    </rPh>
    <phoneticPr fontId="1"/>
  </si>
  <si>
    <t>別紙2
飲食提供料金
※B</t>
    <rPh sb="0" eb="2">
      <t>ベッシ</t>
    </rPh>
    <phoneticPr fontId="1"/>
  </si>
  <si>
    <t>追加料金
（円）
※A-※B</t>
    <rPh sb="0" eb="2">
      <t>ツイカ</t>
    </rPh>
    <rPh sb="2" eb="4">
      <t>リョウキン</t>
    </rPh>
    <rPh sb="6" eb="7">
      <t>エン</t>
    </rPh>
    <phoneticPr fontId="1"/>
  </si>
  <si>
    <t>１日あたり見込食数又は依頼食数（食）</t>
    <rPh sb="1" eb="2">
      <t>ニチ</t>
    </rPh>
    <rPh sb="5" eb="7">
      <t>ミコ</t>
    </rPh>
    <rPh sb="7" eb="9">
      <t>ショクスウ</t>
    </rPh>
    <rPh sb="9" eb="10">
      <t>マタ</t>
    </rPh>
    <phoneticPr fontId="1"/>
  </si>
  <si>
    <t>【Halal/veganメニューのみ】
支援ありの場合の飲食提供単価（円）</t>
  </si>
  <si>
    <t>１日あたり見込食数又は依頼食数（食）</t>
    <phoneticPr fontId="1"/>
  </si>
  <si>
    <t>※請求合計額は、別紙２に基づき支払した金額を差し引いた金額とする。</t>
    <rPh sb="1" eb="3">
      <t>セイキュウ</t>
    </rPh>
    <rPh sb="3" eb="5">
      <t>ゴウケイ</t>
    </rPh>
    <rPh sb="5" eb="6">
      <t>ガク</t>
    </rPh>
    <rPh sb="8" eb="10">
      <t>ベッシ</t>
    </rPh>
    <rPh sb="12" eb="13">
      <t>モト</t>
    </rPh>
    <rPh sb="15" eb="17">
      <t>シハライ</t>
    </rPh>
    <rPh sb="19" eb="21">
      <t>キンガク</t>
    </rPh>
    <rPh sb="22" eb="23">
      <t>サ</t>
    </rPh>
    <rPh sb="24" eb="25">
      <t>ヒ</t>
    </rPh>
    <rPh sb="27" eb="29">
      <t>キンガク</t>
    </rPh>
    <phoneticPr fontId="1"/>
  </si>
  <si>
    <t>別紙５</t>
    <rPh sb="0" eb="2">
      <t>ベッシ</t>
    </rPh>
    <phoneticPr fontId="39"/>
  </si>
  <si>
    <t>大会名</t>
    <rPh sb="0" eb="2">
      <t>タイカイ</t>
    </rPh>
    <rPh sb="2" eb="3">
      <t>メイ</t>
    </rPh>
    <phoneticPr fontId="39"/>
  </si>
  <si>
    <t>競技名（種別名）</t>
    <rPh sb="0" eb="2">
      <t>キョウギ</t>
    </rPh>
    <rPh sb="2" eb="3">
      <t>メイ</t>
    </rPh>
    <rPh sb="4" eb="6">
      <t>シュベツ</t>
    </rPh>
    <rPh sb="6" eb="7">
      <t>メイ</t>
    </rPh>
    <phoneticPr fontId="39"/>
  </si>
  <si>
    <t>施設様名</t>
    <rPh sb="0" eb="2">
      <t>シセツ</t>
    </rPh>
    <rPh sb="2" eb="3">
      <t>サマ</t>
    </rPh>
    <rPh sb="3" eb="4">
      <t>メイ</t>
    </rPh>
    <phoneticPr fontId="39"/>
  </si>
  <si>
    <t>様</t>
    <rPh sb="0" eb="1">
      <t>サマ</t>
    </rPh>
    <phoneticPr fontId="39"/>
  </si>
  <si>
    <t>アジア競技大会</t>
    <rPh sb="3" eb="5">
      <t>キョウギ</t>
    </rPh>
    <rPh sb="5" eb="7">
      <t>タイカイ</t>
    </rPh>
    <phoneticPr fontId="39"/>
  </si>
  <si>
    <t>アジアパラ競技大会</t>
    <rPh sb="5" eb="7">
      <t>キョウギ</t>
    </rPh>
    <rPh sb="7" eb="9">
      <t>タイカイ</t>
    </rPh>
    <phoneticPr fontId="39"/>
  </si>
  <si>
    <t>■提供時間の原則</t>
    <rPh sb="1" eb="3">
      <t>テイキョウ</t>
    </rPh>
    <rPh sb="3" eb="5">
      <t>ジカン</t>
    </rPh>
    <rPh sb="6" eb="8">
      <t>ゲンソク</t>
    </rPh>
    <phoneticPr fontId="6"/>
  </si>
  <si>
    <t>■原則時間から異なる場合記載</t>
    <rPh sb="1" eb="3">
      <t>ゲンソク</t>
    </rPh>
    <rPh sb="3" eb="5">
      <t>ジカン</t>
    </rPh>
    <rPh sb="7" eb="8">
      <t>コト</t>
    </rPh>
    <rPh sb="10" eb="12">
      <t>バアイ</t>
    </rPh>
    <rPh sb="12" eb="14">
      <t>キサイ</t>
    </rPh>
    <phoneticPr fontId="6"/>
  </si>
  <si>
    <t>アジア競技大会</t>
    <rPh sb="3" eb="5">
      <t>キョウギ</t>
    </rPh>
    <rPh sb="5" eb="7">
      <t>タイカイ</t>
    </rPh>
    <phoneticPr fontId="6"/>
  </si>
  <si>
    <t>朝食時間</t>
    <rPh sb="0" eb="2">
      <t>チョウショク</t>
    </rPh>
    <rPh sb="2" eb="4">
      <t>ジカン</t>
    </rPh>
    <phoneticPr fontId="6"/>
  </si>
  <si>
    <t>昼食時間</t>
    <rPh sb="0" eb="2">
      <t>チュウショク</t>
    </rPh>
    <rPh sb="2" eb="4">
      <t>ジカン</t>
    </rPh>
    <phoneticPr fontId="6"/>
  </si>
  <si>
    <t>夕食時間</t>
    <rPh sb="0" eb="2">
      <t>ユウショク</t>
    </rPh>
    <rPh sb="2" eb="4">
      <t>ジカン</t>
    </rPh>
    <phoneticPr fontId="6"/>
  </si>
  <si>
    <t>トータル時間</t>
    <rPh sb="4" eb="6">
      <t>ジカン</t>
    </rPh>
    <phoneticPr fontId="39"/>
  </si>
  <si>
    <t>日別区分</t>
    <rPh sb="0" eb="2">
      <t>ヒベツ</t>
    </rPh>
    <rPh sb="2" eb="4">
      <t>クブン</t>
    </rPh>
    <phoneticPr fontId="39"/>
  </si>
  <si>
    <t>競技期間前</t>
    <rPh sb="0" eb="2">
      <t>キョウギ</t>
    </rPh>
    <rPh sb="2" eb="4">
      <t>キカン</t>
    </rPh>
    <rPh sb="4" eb="5">
      <t>マエ</t>
    </rPh>
    <phoneticPr fontId="6"/>
  </si>
  <si>
    <t>6：30～9：30</t>
    <phoneticPr fontId="6"/>
  </si>
  <si>
    <t>11：00～14：00</t>
    <phoneticPr fontId="6"/>
  </si>
  <si>
    <t>18：00～22：00</t>
    <phoneticPr fontId="6"/>
  </si>
  <si>
    <t>10時間</t>
    <rPh sb="2" eb="4">
      <t>ジカン</t>
    </rPh>
    <phoneticPr fontId="39"/>
  </si>
  <si>
    <t>競技期間中</t>
    <phoneticPr fontId="6"/>
  </si>
  <si>
    <t>6：00～10：00</t>
    <phoneticPr fontId="6"/>
  </si>
  <si>
    <t>11：00～16：00</t>
    <phoneticPr fontId="6"/>
  </si>
  <si>
    <t>17：00～22：00</t>
    <phoneticPr fontId="6"/>
  </si>
  <si>
    <t>14時間</t>
    <phoneticPr fontId="39"/>
  </si>
  <si>
    <t>競技期間後</t>
    <rPh sb="0" eb="2">
      <t>キョウギ</t>
    </rPh>
    <rPh sb="2" eb="4">
      <t>キカン</t>
    </rPh>
    <rPh sb="4" eb="5">
      <t>ゴ</t>
    </rPh>
    <phoneticPr fontId="6"/>
  </si>
  <si>
    <t>7：00～9：30</t>
    <phoneticPr fontId="6"/>
  </si>
  <si>
    <t>18：00～21：00</t>
    <phoneticPr fontId="6"/>
  </si>
  <si>
    <t>8.5時間</t>
    <phoneticPr fontId="39"/>
  </si>
  <si>
    <t>アジアパラ競技大会</t>
    <rPh sb="5" eb="7">
      <t>キョウギ</t>
    </rPh>
    <rPh sb="7" eb="9">
      <t>タイカイ</t>
    </rPh>
    <phoneticPr fontId="6"/>
  </si>
  <si>
    <t>朝食</t>
    <rPh sb="0" eb="2">
      <t>チョウショク</t>
    </rPh>
    <phoneticPr fontId="6"/>
  </si>
  <si>
    <t>昼食</t>
    <rPh sb="0" eb="2">
      <t>チュウショク</t>
    </rPh>
    <phoneticPr fontId="6"/>
  </si>
  <si>
    <t>夕食</t>
    <rPh sb="0" eb="2">
      <t>ユウショク</t>
    </rPh>
    <phoneticPr fontId="6"/>
  </si>
  <si>
    <t>9時間</t>
    <phoneticPr fontId="39"/>
  </si>
  <si>
    <t>※ただし、競技スケジュールよって上記時間帯に利用者が飲食を行えない場合は、提供時間を変更する。</t>
    <rPh sb="5" eb="7">
      <t>キョウギ</t>
    </rPh>
    <rPh sb="16" eb="18">
      <t>ジョウキ</t>
    </rPh>
    <rPh sb="18" eb="21">
      <t>ジカンタイ</t>
    </rPh>
    <rPh sb="22" eb="25">
      <t>リヨウシャ</t>
    </rPh>
    <rPh sb="26" eb="28">
      <t>インショク</t>
    </rPh>
    <rPh sb="29" eb="30">
      <t>オコナ</t>
    </rPh>
    <rPh sb="33" eb="35">
      <t>バアイ</t>
    </rPh>
    <rPh sb="37" eb="39">
      <t>テイキョウ</t>
    </rPh>
    <rPh sb="39" eb="41">
      <t>ジカン</t>
    </rPh>
    <rPh sb="42" eb="44">
      <t>ヘンコウ</t>
    </rPh>
    <phoneticPr fontId="39"/>
  </si>
  <si>
    <t>フォーポイントバイシェラトン名古屋　中部国際空港</t>
    <rPh sb="14" eb="17">
      <t>ナゴヤ</t>
    </rPh>
    <rPh sb="18" eb="24">
      <t>チュウブコクサイクウコウ</t>
    </rPh>
    <phoneticPr fontId="1"/>
  </si>
  <si>
    <t>フェンシング</t>
    <phoneticPr fontId="1"/>
  </si>
  <si>
    <t>パラ水泳</t>
    <rPh sb="2" eb="4">
      <t>スイエイ</t>
    </rPh>
    <phoneticPr fontId="1"/>
  </si>
  <si>
    <t>フォーポイントバイシェラトン名古屋　中部国際空港</t>
    <phoneticPr fontId="1"/>
  </si>
  <si>
    <t>組織委員会入居日</t>
    <rPh sb="0" eb="5">
      <t>ソシキイインカイ</t>
    </rPh>
    <rPh sb="5" eb="8">
      <t>ニュウキョビ</t>
    </rPh>
    <phoneticPr fontId="39"/>
  </si>
  <si>
    <t>選手団入居日</t>
    <rPh sb="0" eb="3">
      <t>センシュダン</t>
    </rPh>
    <rPh sb="3" eb="6">
      <t>ニュウキョビ</t>
    </rPh>
    <phoneticPr fontId="39"/>
  </si>
  <si>
    <t>練習日</t>
    <rPh sb="0" eb="3">
      <t>レンシュウビ</t>
    </rPh>
    <phoneticPr fontId="39"/>
  </si>
  <si>
    <t>競技日</t>
    <rPh sb="0" eb="3">
      <t>キョウギビ</t>
    </rPh>
    <phoneticPr fontId="39"/>
  </si>
  <si>
    <t>選手団退去日</t>
    <rPh sb="0" eb="3">
      <t>センシュダン</t>
    </rPh>
    <rPh sb="3" eb="6">
      <t>タイキョビ</t>
    </rPh>
    <phoneticPr fontId="39"/>
  </si>
  <si>
    <t>組織委員会退去日</t>
    <rPh sb="0" eb="5">
      <t>ソシキイインカイ</t>
    </rPh>
    <rPh sb="5" eb="8">
      <t>タイキョビ</t>
    </rPh>
    <phoneticPr fontId="39"/>
  </si>
  <si>
    <t>5:00~10:00</t>
    <phoneticPr fontId="39"/>
  </si>
  <si>
    <t>17:00～23:00</t>
    <phoneticPr fontId="39"/>
  </si>
  <si>
    <r>
      <t>アジア競技大会　</t>
    </r>
    <r>
      <rPr>
        <sz val="11"/>
        <color rgb="FFFF0000"/>
        <rFont val="游ゴシック"/>
        <family val="3"/>
        <charset val="128"/>
        <scheme val="minor"/>
      </rPr>
      <t>※調整中</t>
    </r>
    <rPh sb="3" eb="5">
      <t>キョウギ</t>
    </rPh>
    <rPh sb="5" eb="7">
      <t>タイカイ</t>
    </rPh>
    <rPh sb="9" eb="12">
      <t>チョウセイチュウ</t>
    </rPh>
    <phoneticPr fontId="6"/>
  </si>
  <si>
    <r>
      <t>アジアパラ 競技大会　</t>
    </r>
    <r>
      <rPr>
        <sz val="11"/>
        <color rgb="FFFF0000"/>
        <rFont val="游ゴシック"/>
        <family val="3"/>
        <charset val="128"/>
        <scheme val="minor"/>
      </rPr>
      <t>※仮（早朝深夜対応希望については調整中）</t>
    </r>
    <rPh sb="6" eb="8">
      <t>キョウギ</t>
    </rPh>
    <rPh sb="8" eb="10">
      <t>タイカイ</t>
    </rPh>
    <rPh sb="12" eb="13">
      <t>カリ</t>
    </rPh>
    <rPh sb="14" eb="16">
      <t>ソウチョウ</t>
    </rPh>
    <rPh sb="16" eb="18">
      <t>シンヤ</t>
    </rPh>
    <rPh sb="18" eb="20">
      <t>タイオウ</t>
    </rPh>
    <rPh sb="20" eb="22">
      <t>キボウ</t>
    </rPh>
    <rPh sb="27" eb="30">
      <t>チョウセイチュウ</t>
    </rPh>
    <phoneticPr fontId="6"/>
  </si>
</sst>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 #,##0_ ;_ * \-#,##0_ ;_ * &quot;-&quot;_ ;_ @_ "/>
    <numFmt numFmtId="176" formatCode="0_ "/>
    <numFmt numFmtId="177" formatCode="m/d;@"/>
    <numFmt numFmtId="178" formatCode="d"/>
    <numFmt numFmtId="179" formatCode="yyyy/m/d\(aaa\)"/>
  </numFmts>
  <fonts count="43" x14ac:knownFonts="1">
    <font>
      <sz val="11"/>
      <color theme="1"/>
      <name val="游ゴシック"/>
      <family val="2"/>
      <charset val="128"/>
      <scheme val="minor"/>
    </font>
    <font>
      <sz val="6"/>
      <name val="游ゴシック"/>
      <family val="2"/>
      <charset val="128"/>
      <scheme val="minor"/>
    </font>
    <font>
      <sz val="11"/>
      <color theme="1"/>
      <name val="游ゴシック"/>
      <family val="2"/>
      <scheme val="minor"/>
    </font>
    <font>
      <b/>
      <sz val="12"/>
      <name val="游ゴシック Regular"/>
      <charset val="128"/>
    </font>
    <font>
      <sz val="11"/>
      <color theme="1"/>
      <name val="游ゴシック"/>
      <family val="2"/>
      <charset val="128"/>
      <scheme val="minor"/>
    </font>
    <font>
      <sz val="11"/>
      <color theme="1"/>
      <name val="游ゴシック Regular"/>
      <charset val="128"/>
    </font>
    <font>
      <sz val="6"/>
      <name val="游ゴシック"/>
      <family val="3"/>
      <charset val="128"/>
      <scheme val="minor"/>
    </font>
    <font>
      <b/>
      <sz val="11"/>
      <color theme="1"/>
      <name val="游ゴシック Regular"/>
      <charset val="128"/>
    </font>
    <font>
      <sz val="11"/>
      <name val="游ゴシック Regular"/>
      <charset val="128"/>
    </font>
    <font>
      <b/>
      <sz val="16"/>
      <color theme="1"/>
      <name val="游ゴシック Regular"/>
      <charset val="128"/>
    </font>
    <font>
      <b/>
      <sz val="16"/>
      <name val="游ゴシック Regular"/>
      <family val="3"/>
      <charset val="128"/>
    </font>
    <font>
      <b/>
      <sz val="16"/>
      <color theme="1"/>
      <name val="游ゴシック Regular"/>
      <family val="3"/>
      <charset val="128"/>
    </font>
    <font>
      <b/>
      <sz val="14"/>
      <name val="游ゴシック Regular"/>
      <charset val="128"/>
    </font>
    <font>
      <sz val="10"/>
      <name val="游ゴシック Regular"/>
      <charset val="128"/>
    </font>
    <font>
      <sz val="20"/>
      <name val="游ゴシック Regular"/>
      <charset val="128"/>
    </font>
    <font>
      <sz val="22"/>
      <color theme="1"/>
      <name val="游ゴシック Regular"/>
      <charset val="128"/>
    </font>
    <font>
      <sz val="14"/>
      <name val="游ゴシック Regular"/>
      <family val="3"/>
      <charset val="128"/>
    </font>
    <font>
      <b/>
      <sz val="14"/>
      <color theme="1"/>
      <name val="游ゴシック Regular"/>
      <family val="3"/>
      <charset val="128"/>
    </font>
    <font>
      <b/>
      <sz val="14"/>
      <name val="游ゴシック Regular"/>
      <family val="3"/>
      <charset val="128"/>
    </font>
    <font>
      <sz val="18"/>
      <color theme="1"/>
      <name val="游ゴシック Regular"/>
      <charset val="128"/>
    </font>
    <font>
      <b/>
      <sz val="11"/>
      <color theme="1"/>
      <name val="游ゴシック"/>
      <family val="3"/>
      <charset val="128"/>
      <scheme val="minor"/>
    </font>
    <font>
      <sz val="11"/>
      <color theme="1"/>
      <name val="游ゴシック"/>
      <family val="3"/>
      <charset val="128"/>
      <scheme val="minor"/>
    </font>
    <font>
      <b/>
      <sz val="11"/>
      <color rgb="FFFF0000"/>
      <name val="游ゴシック"/>
      <family val="3"/>
      <charset val="128"/>
      <scheme val="minor"/>
    </font>
    <font>
      <b/>
      <sz val="11"/>
      <color theme="1"/>
      <name val="Meiryo UI"/>
      <family val="3"/>
      <charset val="128"/>
    </font>
    <font>
      <b/>
      <sz val="11"/>
      <color theme="1"/>
      <name val="Meiryo UI"/>
      <family val="3"/>
    </font>
    <font>
      <b/>
      <sz val="11"/>
      <name val="Meiryo UI"/>
      <family val="3"/>
      <charset val="128"/>
    </font>
    <font>
      <sz val="20"/>
      <color theme="1"/>
      <name val="游ゴシック Regular"/>
      <charset val="128"/>
    </font>
    <font>
      <sz val="14"/>
      <name val="游ゴシック Regular"/>
      <family val="3"/>
    </font>
    <font>
      <b/>
      <sz val="12"/>
      <name val="游ゴシック Regular"/>
      <family val="3"/>
      <charset val="128"/>
    </font>
    <font>
      <b/>
      <sz val="11"/>
      <name val="游ゴシック Regular"/>
      <family val="3"/>
      <charset val="128"/>
    </font>
    <font>
      <sz val="14"/>
      <name val="游ゴシック Regular"/>
      <charset val="128"/>
    </font>
    <font>
      <sz val="12"/>
      <color theme="1"/>
      <name val="ＭＳ 明朝"/>
      <family val="1"/>
      <charset val="128"/>
    </font>
    <font>
      <sz val="12"/>
      <name val="ＭＳ 明朝"/>
      <family val="1"/>
      <charset val="128"/>
    </font>
    <font>
      <sz val="9"/>
      <color theme="1"/>
      <name val="游ゴシック"/>
      <family val="3"/>
      <charset val="128"/>
      <scheme val="minor"/>
    </font>
    <font>
      <u/>
      <sz val="11"/>
      <color theme="10"/>
      <name val="游ゴシック"/>
      <family val="2"/>
      <scheme val="minor"/>
    </font>
    <font>
      <sz val="36"/>
      <color theme="1"/>
      <name val="游ゴシック Regular"/>
      <charset val="128"/>
    </font>
    <font>
      <b/>
      <sz val="11"/>
      <name val="Meiryo UI"/>
      <family val="3"/>
    </font>
    <font>
      <sz val="12"/>
      <color theme="1"/>
      <name val="ＭＳ ゴシック"/>
      <family val="2"/>
      <charset val="128"/>
    </font>
    <font>
      <sz val="18"/>
      <color theme="1"/>
      <name val="ＭＳ ゴシック"/>
      <family val="3"/>
      <charset val="128"/>
    </font>
    <font>
      <sz val="6"/>
      <name val="ＭＳ ゴシック"/>
      <family val="2"/>
      <charset val="128"/>
    </font>
    <font>
      <b/>
      <sz val="11"/>
      <color theme="1"/>
      <name val="游ゴシック"/>
      <family val="3"/>
      <scheme val="minor"/>
    </font>
    <font>
      <sz val="10"/>
      <color rgb="FF000000"/>
      <name val="Times New Roman"/>
      <family val="1"/>
    </font>
    <font>
      <sz val="11"/>
      <color rgb="FFFF0000"/>
      <name val="游ゴシック"/>
      <family val="3"/>
      <charset val="128"/>
      <scheme val="minor"/>
    </font>
  </fonts>
  <fills count="13">
    <fill>
      <patternFill patternType="none"/>
    </fill>
    <fill>
      <patternFill patternType="gray125"/>
    </fill>
    <fill>
      <patternFill patternType="solid">
        <fgColor theme="0" tint="-4.9989318521683403E-2"/>
        <bgColor indexed="64"/>
      </patternFill>
    </fill>
    <fill>
      <patternFill patternType="solid">
        <fgColor theme="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8" tint="0.39997558519241921"/>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theme="9" tint="0.39997558519241921"/>
        <bgColor indexed="64"/>
      </patternFill>
    </fill>
    <fill>
      <gradientFill degree="270">
        <stop position="0">
          <color theme="5" tint="0.59999389629810485"/>
        </stop>
        <stop position="1">
          <color theme="7" tint="0.59999389629810485"/>
        </stop>
      </gradientFill>
    </fill>
  </fills>
  <borders count="49">
    <border>
      <left/>
      <right/>
      <top/>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right/>
      <top style="thin">
        <color indexed="64"/>
      </top>
      <bottom style="thin">
        <color indexed="64"/>
      </bottom>
      <diagonal/>
    </border>
    <border>
      <left/>
      <right/>
      <top style="medium">
        <color indexed="64"/>
      </top>
      <bottom style="thin">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thin">
        <color indexed="64"/>
      </bottom>
      <diagonal/>
    </border>
    <border diagonalDown="1">
      <left style="thin">
        <color indexed="64"/>
      </left>
      <right style="thin">
        <color indexed="64"/>
      </right>
      <top style="thin">
        <color indexed="64"/>
      </top>
      <bottom style="thin">
        <color indexed="64"/>
      </bottom>
      <diagonal style="thin">
        <color indexed="64"/>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diagonalUp="1">
      <left/>
      <right/>
      <top style="thin">
        <color indexed="64"/>
      </top>
      <bottom style="medium">
        <color indexed="64"/>
      </bottom>
      <diagonal style="thin">
        <color indexed="64"/>
      </diagonal>
    </border>
    <border>
      <left style="medium">
        <color indexed="64"/>
      </left>
      <right/>
      <top style="medium">
        <color indexed="64"/>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indexed="64"/>
      </left>
      <right/>
      <top style="thin">
        <color indexed="64"/>
      </top>
      <bottom style="thin">
        <color indexed="64"/>
      </bottom>
      <diagonal/>
    </border>
    <border>
      <left style="medium">
        <color rgb="FF000000"/>
      </left>
      <right style="medium">
        <color rgb="FF000000"/>
      </right>
      <top/>
      <bottom style="thin">
        <color indexed="64"/>
      </bottom>
      <diagonal/>
    </border>
    <border>
      <left style="medium">
        <color rgb="FF000000"/>
      </left>
      <right style="medium">
        <color rgb="FF000000"/>
      </right>
      <top style="thin">
        <color indexed="64"/>
      </top>
      <bottom style="thin">
        <color indexed="64"/>
      </bottom>
      <diagonal/>
    </border>
    <border>
      <left style="medium">
        <color indexed="64"/>
      </left>
      <right/>
      <top style="thin">
        <color indexed="64"/>
      </top>
      <bottom style="medium">
        <color indexed="64"/>
      </bottom>
      <diagonal/>
    </border>
    <border>
      <left style="medium">
        <color rgb="FF000000"/>
      </left>
      <right style="medium">
        <color rgb="FF000000"/>
      </right>
      <top style="thin">
        <color indexed="64"/>
      </top>
      <bottom style="medium">
        <color rgb="FF000000"/>
      </bottom>
      <diagonal/>
    </border>
    <border>
      <left style="medium">
        <color rgb="FF000000"/>
      </left>
      <right style="medium">
        <color rgb="FF000000"/>
      </right>
      <top/>
      <bottom style="thin">
        <color rgb="FF000000"/>
      </bottom>
      <diagonal/>
    </border>
    <border>
      <left style="medium">
        <color indexed="64"/>
      </left>
      <right style="medium">
        <color rgb="FF000000"/>
      </right>
      <top style="medium">
        <color indexed="64"/>
      </top>
      <bottom/>
      <diagonal/>
    </border>
    <border>
      <left style="medium">
        <color indexed="64"/>
      </left>
      <right style="medium">
        <color rgb="FF000000"/>
      </right>
      <top/>
      <bottom style="thin">
        <color indexed="64"/>
      </bottom>
      <diagonal/>
    </border>
    <border>
      <left/>
      <right style="medium">
        <color rgb="FF000000"/>
      </right>
      <top style="medium">
        <color indexed="64"/>
      </top>
      <bottom/>
      <diagonal/>
    </border>
    <border diagonalUp="1">
      <left style="medium">
        <color rgb="FF000000"/>
      </left>
      <right style="medium">
        <color rgb="FF000000"/>
      </right>
      <top/>
      <bottom style="thin">
        <color indexed="64"/>
      </bottom>
      <diagonal style="thin">
        <color rgb="FF000000"/>
      </diagonal>
    </border>
    <border diagonalUp="1">
      <left style="medium">
        <color rgb="FF000000"/>
      </left>
      <right style="medium">
        <color rgb="FF000000"/>
      </right>
      <top style="thin">
        <color indexed="64"/>
      </top>
      <bottom style="thin">
        <color indexed="64"/>
      </bottom>
      <diagonal style="thin">
        <color rgb="FF000000"/>
      </diagonal>
    </border>
    <border diagonalUp="1">
      <left style="medium">
        <color rgb="FF000000"/>
      </left>
      <right style="medium">
        <color rgb="FF000000"/>
      </right>
      <top style="thin">
        <color indexed="64"/>
      </top>
      <bottom style="medium">
        <color rgb="FF000000"/>
      </bottom>
      <diagonal style="thin">
        <color rgb="FF000000"/>
      </diagonal>
    </border>
    <border diagonalUp="1">
      <left style="medium">
        <color rgb="FF000000"/>
      </left>
      <right style="medium">
        <color rgb="FF000000"/>
      </right>
      <top style="thin">
        <color rgb="FF000000"/>
      </top>
      <bottom style="thin">
        <color rgb="FF000000"/>
      </bottom>
      <diagonal style="thin">
        <color rgb="FF000000"/>
      </diagonal>
    </border>
    <border diagonalUp="1">
      <left style="medium">
        <color rgb="FF000000"/>
      </left>
      <right style="medium">
        <color rgb="FF000000"/>
      </right>
      <top style="thin">
        <color indexed="64"/>
      </top>
      <bottom/>
      <diagonal style="thin">
        <color rgb="FF000000"/>
      </diagonal>
    </border>
    <border diagonalUp="1">
      <left style="medium">
        <color rgb="FF000000"/>
      </left>
      <right style="medium">
        <color rgb="FF000000"/>
      </right>
      <top/>
      <bottom style="medium">
        <color rgb="FF000000"/>
      </bottom>
      <diagonal style="thin">
        <color rgb="FF000000"/>
      </diagonal>
    </border>
    <border>
      <left style="thin">
        <color indexed="64"/>
      </left>
      <right/>
      <top style="thin">
        <color indexed="64"/>
      </top>
      <bottom style="thin">
        <color indexed="64"/>
      </bottom>
      <diagonal/>
    </border>
    <border>
      <left/>
      <right/>
      <top style="thin">
        <color indexed="64"/>
      </top>
      <bottom/>
      <diagonal/>
    </border>
    <border>
      <left style="medium">
        <color rgb="FF000000"/>
      </left>
      <right style="medium">
        <color rgb="FF000000"/>
      </right>
      <top style="thin">
        <color indexed="64"/>
      </top>
      <bottom style="thin">
        <color rgb="FF000000"/>
      </bottom>
      <diagonal/>
    </border>
    <border>
      <left style="medium">
        <color rgb="FF000000"/>
      </left>
      <right style="medium">
        <color rgb="FF000000"/>
      </right>
      <top style="thin">
        <color rgb="FF000000"/>
      </top>
      <bottom style="thin">
        <color rgb="FF000000"/>
      </bottom>
      <diagonal/>
    </border>
    <border>
      <left style="medium">
        <color rgb="FF000000"/>
      </left>
      <right style="medium">
        <color rgb="FF000000"/>
      </right>
      <top/>
      <bottom style="medium">
        <color rgb="FF000000"/>
      </bottom>
      <diagonal/>
    </border>
    <border>
      <left style="medium">
        <color rgb="FF000000"/>
      </left>
      <right/>
      <top style="medium">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9">
    <xf numFmtId="0" fontId="0" fillId="0" borderId="0">
      <alignment vertical="center"/>
    </xf>
    <xf numFmtId="0" fontId="2" fillId="0" borderId="0"/>
    <xf numFmtId="38" fontId="4" fillId="0" borderId="0" applyFont="0" applyFill="0" applyBorder="0" applyAlignment="0" applyProtection="0">
      <alignment vertical="center"/>
    </xf>
    <xf numFmtId="0" fontId="4" fillId="0" borderId="0">
      <alignment vertical="center"/>
    </xf>
    <xf numFmtId="0" fontId="34" fillId="0" borderId="0" applyNumberFormat="0" applyFill="0" applyBorder="0" applyAlignment="0" applyProtection="0"/>
    <xf numFmtId="38" fontId="2" fillId="0" borderId="0" applyFont="0" applyFill="0" applyBorder="0" applyAlignment="0" applyProtection="0">
      <alignment vertical="center"/>
    </xf>
    <xf numFmtId="41" fontId="21" fillId="0" borderId="0" applyFont="0" applyFill="0" applyBorder="0" applyAlignment="0" applyProtection="0">
      <alignment vertical="center"/>
    </xf>
    <xf numFmtId="0" fontId="37" fillId="0" borderId="0">
      <alignment vertical="center"/>
    </xf>
    <xf numFmtId="0" fontId="41" fillId="0" borderId="0"/>
  </cellStyleXfs>
  <cellXfs count="236">
    <xf numFmtId="0" fontId="0" fillId="0" borderId="0" xfId="0">
      <alignment vertical="center"/>
    </xf>
    <xf numFmtId="0" fontId="0" fillId="0" borderId="8" xfId="0" applyBorder="1">
      <alignment vertical="center"/>
    </xf>
    <xf numFmtId="0" fontId="20" fillId="0" borderId="0" xfId="0" applyFont="1">
      <alignment vertical="center"/>
    </xf>
    <xf numFmtId="38" fontId="5" fillId="0" borderId="0" xfId="2" applyFont="1" applyAlignment="1" applyProtection="1">
      <alignment horizontal="center" vertical="center"/>
      <protection locked="0"/>
    </xf>
    <xf numFmtId="38" fontId="5" fillId="0" borderId="0" xfId="2" applyFont="1" applyAlignment="1" applyProtection="1">
      <alignment vertical="center"/>
      <protection locked="0"/>
    </xf>
    <xf numFmtId="38" fontId="5" fillId="0" borderId="0" xfId="2" applyFont="1" applyAlignment="1" applyProtection="1">
      <alignment horizontal="right" vertical="center"/>
      <protection locked="0"/>
    </xf>
    <xf numFmtId="38" fontId="11" fillId="0" borderId="11" xfId="2" applyFont="1" applyBorder="1" applyAlignment="1" applyProtection="1">
      <alignment horizontal="center" vertical="center"/>
      <protection locked="0"/>
    </xf>
    <xf numFmtId="38" fontId="15" fillId="0" borderId="0" xfId="2" applyFont="1" applyAlignment="1" applyProtection="1">
      <alignment vertical="center"/>
      <protection locked="0"/>
    </xf>
    <xf numFmtId="38" fontId="3" fillId="0" borderId="0" xfId="2" applyFont="1" applyAlignment="1" applyProtection="1">
      <alignment horizontal="left" vertical="center"/>
      <protection locked="0"/>
    </xf>
    <xf numFmtId="38" fontId="12" fillId="0" borderId="0" xfId="2" applyFont="1" applyAlignment="1" applyProtection="1">
      <alignment horizontal="left" vertical="center"/>
      <protection locked="0"/>
    </xf>
    <xf numFmtId="38" fontId="7" fillId="0" borderId="0" xfId="2" applyFont="1" applyAlignment="1" applyProtection="1">
      <alignment vertical="center"/>
      <protection locked="0"/>
    </xf>
    <xf numFmtId="177" fontId="23" fillId="0" borderId="1" xfId="3" applyNumberFormat="1" applyFont="1" applyBorder="1" applyAlignment="1" applyProtection="1">
      <alignment horizontal="center" vertical="center"/>
      <protection locked="0"/>
    </xf>
    <xf numFmtId="177" fontId="23" fillId="0" borderId="8" xfId="3" applyNumberFormat="1" applyFont="1" applyBorder="1" applyAlignment="1" applyProtection="1">
      <alignment horizontal="center" vertical="center"/>
      <protection locked="0"/>
    </xf>
    <xf numFmtId="177" fontId="23" fillId="0" borderId="15" xfId="3" applyNumberFormat="1" applyFont="1" applyBorder="1" applyAlignment="1" applyProtection="1">
      <alignment horizontal="center" vertical="center"/>
      <protection locked="0"/>
    </xf>
    <xf numFmtId="178" fontId="23" fillId="0" borderId="1" xfId="3" applyNumberFormat="1" applyFont="1" applyBorder="1" applyAlignment="1" applyProtection="1">
      <alignment horizontal="center" vertical="center"/>
      <protection locked="0"/>
    </xf>
    <xf numFmtId="178" fontId="23" fillId="0" borderId="8" xfId="3" applyNumberFormat="1" applyFont="1" applyBorder="1" applyAlignment="1" applyProtection="1">
      <alignment horizontal="center" vertical="center"/>
      <protection locked="0"/>
    </xf>
    <xf numFmtId="178" fontId="23" fillId="0" borderId="15" xfId="3" applyNumberFormat="1" applyFont="1" applyBorder="1" applyAlignment="1" applyProtection="1">
      <alignment horizontal="center" vertical="center"/>
      <protection locked="0"/>
    </xf>
    <xf numFmtId="38" fontId="16" fillId="0" borderId="4" xfId="2" applyFont="1" applyBorder="1" applyAlignment="1" applyProtection="1">
      <alignment horizontal="center" vertical="center"/>
      <protection locked="0"/>
    </xf>
    <xf numFmtId="38" fontId="16" fillId="0" borderId="23" xfId="2" applyFont="1" applyBorder="1" applyAlignment="1" applyProtection="1">
      <alignment horizontal="right" vertical="center"/>
      <protection locked="0"/>
    </xf>
    <xf numFmtId="38" fontId="16" fillId="0" borderId="32" xfId="2" applyFont="1" applyBorder="1" applyAlignment="1" applyProtection="1">
      <alignment horizontal="right" vertical="center"/>
      <protection locked="0"/>
    </xf>
    <xf numFmtId="38" fontId="16" fillId="0" borderId="24" xfId="2" applyFont="1" applyBorder="1" applyAlignment="1" applyProtection="1">
      <alignment horizontal="right" vertical="center"/>
      <protection locked="0"/>
    </xf>
    <xf numFmtId="176" fontId="25" fillId="0" borderId="1" xfId="3" applyNumberFormat="1" applyFont="1" applyBorder="1" applyAlignment="1" applyProtection="1">
      <alignment horizontal="center" vertical="center"/>
      <protection locked="0"/>
    </xf>
    <xf numFmtId="176" fontId="25" fillId="0" borderId="8" xfId="3" applyNumberFormat="1" applyFont="1" applyBorder="1" applyAlignment="1" applyProtection="1">
      <alignment horizontal="center" vertical="center"/>
      <protection locked="0"/>
    </xf>
    <xf numFmtId="176" fontId="25" fillId="0" borderId="15" xfId="3" applyNumberFormat="1" applyFont="1" applyBorder="1" applyAlignment="1" applyProtection="1">
      <alignment horizontal="center" vertical="center"/>
      <protection locked="0"/>
    </xf>
    <xf numFmtId="38" fontId="16" fillId="0" borderId="25" xfId="2" applyFont="1" applyBorder="1" applyAlignment="1" applyProtection="1">
      <alignment horizontal="right" vertical="center"/>
      <protection locked="0"/>
    </xf>
    <xf numFmtId="38" fontId="16" fillId="0" borderId="33" xfId="2" applyFont="1" applyBorder="1" applyAlignment="1" applyProtection="1">
      <alignment horizontal="right" vertical="center"/>
      <protection locked="0"/>
    </xf>
    <xf numFmtId="38" fontId="16" fillId="0" borderId="18" xfId="2" applyFont="1" applyBorder="1" applyAlignment="1" applyProtection="1">
      <alignment horizontal="center" vertical="center" wrapText="1"/>
      <protection locked="0"/>
    </xf>
    <xf numFmtId="38" fontId="16" fillId="0" borderId="19" xfId="2" applyFont="1" applyBorder="1" applyAlignment="1" applyProtection="1">
      <alignment horizontal="center" vertical="center"/>
      <protection locked="0"/>
    </xf>
    <xf numFmtId="38" fontId="16" fillId="0" borderId="26" xfId="2" applyFont="1" applyBorder="1" applyAlignment="1" applyProtection="1">
      <alignment horizontal="right" vertical="center"/>
      <protection locked="0"/>
    </xf>
    <xf numFmtId="38" fontId="16" fillId="0" borderId="34" xfId="2" applyFont="1" applyBorder="1" applyAlignment="1" applyProtection="1">
      <alignment horizontal="right" vertical="center"/>
      <protection locked="0"/>
    </xf>
    <xf numFmtId="38" fontId="13" fillId="0" borderId="0" xfId="2" applyFont="1" applyAlignment="1" applyProtection="1">
      <alignment horizontal="center" vertical="center"/>
      <protection locked="0"/>
    </xf>
    <xf numFmtId="38" fontId="13" fillId="0" borderId="0" xfId="2" applyFont="1" applyBorder="1" applyAlignment="1" applyProtection="1">
      <alignment horizontal="center" vertical="center"/>
      <protection locked="0"/>
    </xf>
    <xf numFmtId="38" fontId="5" fillId="0" borderId="0" xfId="2" applyFont="1" applyFill="1" applyBorder="1" applyAlignment="1" applyProtection="1">
      <alignment horizontal="center" vertical="center"/>
      <protection locked="0"/>
    </xf>
    <xf numFmtId="38" fontId="8" fillId="0" borderId="0" xfId="2" applyFont="1" applyAlignment="1" applyProtection="1">
      <alignment horizontal="center" vertical="center"/>
      <protection locked="0"/>
    </xf>
    <xf numFmtId="177" fontId="24" fillId="0" borderId="8" xfId="3" applyNumberFormat="1" applyFont="1" applyBorder="1" applyAlignment="1" applyProtection="1">
      <alignment horizontal="center" vertical="center"/>
      <protection locked="0"/>
    </xf>
    <xf numFmtId="38" fontId="27" fillId="0" borderId="4" xfId="2" applyFont="1" applyBorder="1" applyAlignment="1" applyProtection="1">
      <alignment horizontal="center" vertical="center"/>
      <protection locked="0"/>
    </xf>
    <xf numFmtId="0" fontId="14" fillId="0" borderId="0" xfId="1" applyFont="1" applyAlignment="1" applyProtection="1">
      <alignment vertical="center"/>
      <protection locked="0"/>
    </xf>
    <xf numFmtId="38" fontId="19" fillId="0" borderId="0" xfId="2" applyFont="1" applyAlignment="1" applyProtection="1">
      <alignment horizontal="left" vertical="center"/>
      <protection locked="0"/>
    </xf>
    <xf numFmtId="38" fontId="16" fillId="0" borderId="24" xfId="2" applyFont="1" applyBorder="1" applyAlignment="1" applyProtection="1">
      <alignment horizontal="right" vertical="center"/>
    </xf>
    <xf numFmtId="38" fontId="16" fillId="0" borderId="25" xfId="2" applyFont="1" applyBorder="1" applyAlignment="1" applyProtection="1">
      <alignment horizontal="right" vertical="center"/>
    </xf>
    <xf numFmtId="38" fontId="16" fillId="0" borderId="27" xfId="2" applyFont="1" applyBorder="1" applyAlignment="1" applyProtection="1">
      <alignment horizontal="right" vertical="center"/>
    </xf>
    <xf numFmtId="38" fontId="16" fillId="0" borderId="36" xfId="2" applyFont="1" applyBorder="1" applyAlignment="1" applyProtection="1">
      <alignment horizontal="right" vertical="center"/>
      <protection locked="0"/>
    </xf>
    <xf numFmtId="38" fontId="16" fillId="0" borderId="37" xfId="2" applyFont="1" applyBorder="1" applyAlignment="1" applyProtection="1">
      <alignment horizontal="right" vertical="center"/>
      <protection locked="0"/>
    </xf>
    <xf numFmtId="38" fontId="16" fillId="0" borderId="35" xfId="2" applyFont="1" applyBorder="1" applyAlignment="1" applyProtection="1">
      <alignment horizontal="right" vertical="center"/>
      <protection locked="0"/>
    </xf>
    <xf numFmtId="38" fontId="26" fillId="0" borderId="0" xfId="2" applyFont="1" applyAlignment="1" applyProtection="1">
      <alignment horizontal="left" vertical="center"/>
      <protection locked="0"/>
    </xf>
    <xf numFmtId="38" fontId="30" fillId="0" borderId="0" xfId="2" applyFont="1" applyBorder="1" applyAlignment="1" applyProtection="1">
      <alignment horizontal="center" vertical="center"/>
    </xf>
    <xf numFmtId="0" fontId="0" fillId="0" borderId="0" xfId="0" applyAlignment="1">
      <alignment horizontal="center" vertical="center"/>
    </xf>
    <xf numFmtId="0" fontId="31" fillId="0" borderId="0" xfId="0" applyFont="1" applyAlignment="1">
      <alignment horizontal="center" vertical="center"/>
    </xf>
    <xf numFmtId="176" fontId="32" fillId="0" borderId="0" xfId="3" applyNumberFormat="1" applyFont="1" applyAlignment="1" applyProtection="1">
      <alignment horizontal="center" vertical="center"/>
      <protection locked="0"/>
    </xf>
    <xf numFmtId="0" fontId="31" fillId="0" borderId="0" xfId="1" applyFont="1" applyAlignment="1">
      <alignment horizontal="right" vertical="center"/>
    </xf>
    <xf numFmtId="0" fontId="31" fillId="0" borderId="0" xfId="0" applyFont="1">
      <alignment vertical="center"/>
    </xf>
    <xf numFmtId="0" fontId="31" fillId="0" borderId="0" xfId="1" applyFont="1" applyAlignment="1">
      <alignment horizontal="center" vertical="center"/>
    </xf>
    <xf numFmtId="0" fontId="31" fillId="0" borderId="0" xfId="1" applyFont="1" applyAlignment="1">
      <alignment vertical="center"/>
    </xf>
    <xf numFmtId="0" fontId="31" fillId="0" borderId="0" xfId="1" applyFont="1" applyAlignment="1">
      <alignment horizontal="left" vertical="center" shrinkToFit="1"/>
    </xf>
    <xf numFmtId="0" fontId="31" fillId="0" borderId="0" xfId="1" applyFont="1" applyAlignment="1">
      <alignment horizontal="center" vertical="center" shrinkToFit="1"/>
    </xf>
    <xf numFmtId="0" fontId="0" fillId="9" borderId="8" xfId="0" applyFill="1" applyBorder="1">
      <alignment vertical="center"/>
    </xf>
    <xf numFmtId="0" fontId="0" fillId="8" borderId="8" xfId="0" applyFill="1" applyBorder="1">
      <alignment vertical="center"/>
    </xf>
    <xf numFmtId="0" fontId="0" fillId="10" borderId="8" xfId="0" applyFill="1" applyBorder="1">
      <alignment vertical="center"/>
    </xf>
    <xf numFmtId="0" fontId="0" fillId="4" borderId="8" xfId="0" applyFill="1" applyBorder="1">
      <alignment vertical="center"/>
    </xf>
    <xf numFmtId="0" fontId="0" fillId="11" borderId="8" xfId="0" applyFill="1" applyBorder="1">
      <alignment vertical="center"/>
    </xf>
    <xf numFmtId="0" fontId="0" fillId="5" borderId="8" xfId="0" applyFill="1" applyBorder="1">
      <alignment vertical="center"/>
    </xf>
    <xf numFmtId="0" fontId="0" fillId="12" borderId="8" xfId="0" applyFill="1" applyBorder="1">
      <alignment vertical="center"/>
    </xf>
    <xf numFmtId="0" fontId="0" fillId="12" borderId="38" xfId="0" applyFill="1" applyBorder="1" applyAlignment="1">
      <alignment horizontal="center" vertical="center"/>
    </xf>
    <xf numFmtId="0" fontId="0" fillId="12" borderId="1" xfId="0" applyFill="1" applyBorder="1" applyAlignment="1">
      <alignment horizontal="center" vertical="center"/>
    </xf>
    <xf numFmtId="0" fontId="0" fillId="0" borderId="39" xfId="0" applyBorder="1">
      <alignment vertical="center"/>
    </xf>
    <xf numFmtId="0" fontId="0" fillId="0" borderId="39" xfId="0" applyBorder="1" applyAlignment="1">
      <alignment horizontal="center" vertical="center"/>
    </xf>
    <xf numFmtId="0" fontId="20" fillId="0" borderId="0" xfId="0" applyFont="1" applyProtection="1">
      <alignment vertical="center"/>
      <protection locked="0"/>
    </xf>
    <xf numFmtId="0" fontId="0" fillId="0" borderId="0" xfId="0" applyProtection="1">
      <alignment vertical="center"/>
      <protection locked="0"/>
    </xf>
    <xf numFmtId="0" fontId="0" fillId="0" borderId="8" xfId="0" applyBorder="1" applyProtection="1">
      <alignment vertical="center"/>
      <protection locked="0"/>
    </xf>
    <xf numFmtId="0" fontId="0" fillId="8" borderId="8" xfId="0" applyFill="1" applyBorder="1" applyProtection="1">
      <alignment vertical="center"/>
      <protection locked="0"/>
    </xf>
    <xf numFmtId="38" fontId="0" fillId="8" borderId="8" xfId="2" applyFont="1" applyFill="1" applyBorder="1" applyProtection="1">
      <alignment vertical="center"/>
      <protection locked="0"/>
    </xf>
    <xf numFmtId="38" fontId="0" fillId="8" borderId="8" xfId="2" applyFont="1" applyFill="1" applyBorder="1" applyProtection="1">
      <alignment vertical="center"/>
    </xf>
    <xf numFmtId="0" fontId="0" fillId="9" borderId="8" xfId="0" applyFill="1" applyBorder="1" applyProtection="1">
      <alignment vertical="center"/>
      <protection locked="0"/>
    </xf>
    <xf numFmtId="38" fontId="0" fillId="9" borderId="8" xfId="2" applyFont="1" applyFill="1" applyBorder="1" applyProtection="1">
      <alignment vertical="center"/>
    </xf>
    <xf numFmtId="0" fontId="0" fillId="4" borderId="8" xfId="0" applyFill="1" applyBorder="1" applyProtection="1">
      <alignment vertical="center"/>
      <protection locked="0"/>
    </xf>
    <xf numFmtId="38" fontId="0" fillId="4" borderId="8" xfId="2" applyFont="1" applyFill="1" applyBorder="1" applyProtection="1">
      <alignment vertical="center"/>
      <protection locked="0"/>
    </xf>
    <xf numFmtId="38" fontId="0" fillId="4" borderId="16" xfId="2" applyFont="1" applyFill="1" applyBorder="1" applyProtection="1">
      <alignment vertical="center"/>
      <protection locked="0"/>
    </xf>
    <xf numFmtId="38" fontId="0" fillId="4" borderId="8" xfId="2" applyFont="1" applyFill="1" applyBorder="1" applyProtection="1">
      <alignment vertical="center"/>
    </xf>
    <xf numFmtId="0" fontId="0" fillId="10" borderId="8" xfId="0" applyFill="1" applyBorder="1" applyProtection="1">
      <alignment vertical="center"/>
      <protection locked="0"/>
    </xf>
    <xf numFmtId="38" fontId="0" fillId="10" borderId="8" xfId="2" applyFont="1" applyFill="1" applyBorder="1" applyProtection="1">
      <alignment vertical="center"/>
    </xf>
    <xf numFmtId="0" fontId="0" fillId="12" borderId="8" xfId="0" applyFill="1" applyBorder="1" applyProtection="1">
      <alignment vertical="center"/>
      <protection locked="0"/>
    </xf>
    <xf numFmtId="38" fontId="0" fillId="12" borderId="38" xfId="2" applyFont="1" applyFill="1" applyBorder="1" applyAlignment="1" applyProtection="1">
      <alignment horizontal="center" vertical="center"/>
      <protection locked="0"/>
    </xf>
    <xf numFmtId="38" fontId="0" fillId="12" borderId="1" xfId="2" applyFont="1" applyFill="1" applyBorder="1" applyAlignment="1" applyProtection="1">
      <alignment horizontal="center" vertical="center"/>
      <protection locked="0"/>
    </xf>
    <xf numFmtId="38" fontId="0" fillId="12" borderId="8" xfId="2" applyFont="1" applyFill="1" applyBorder="1" applyProtection="1">
      <alignment vertical="center"/>
    </xf>
    <xf numFmtId="0" fontId="0" fillId="0" borderId="39" xfId="0" applyBorder="1" applyProtection="1">
      <alignment vertical="center"/>
      <protection locked="0"/>
    </xf>
    <xf numFmtId="0" fontId="0" fillId="0" borderId="39" xfId="0" applyBorder="1" applyAlignment="1" applyProtection="1">
      <alignment horizontal="center" vertical="center"/>
      <protection locked="0"/>
    </xf>
    <xf numFmtId="38" fontId="0" fillId="9" borderId="8" xfId="0" applyNumberFormat="1" applyFill="1" applyBorder="1">
      <alignment vertical="center"/>
    </xf>
    <xf numFmtId="0" fontId="0" fillId="5" borderId="8" xfId="0" applyFill="1" applyBorder="1" applyProtection="1">
      <alignment vertical="center"/>
      <protection locked="0"/>
    </xf>
    <xf numFmtId="38" fontId="0" fillId="5" borderId="8" xfId="2" applyFont="1" applyFill="1" applyBorder="1" applyProtection="1">
      <alignment vertical="center"/>
      <protection locked="0"/>
    </xf>
    <xf numFmtId="38" fontId="0" fillId="5" borderId="8" xfId="2" applyFont="1" applyFill="1" applyBorder="1" applyProtection="1">
      <alignment vertical="center"/>
    </xf>
    <xf numFmtId="0" fontId="0" fillId="11" borderId="8" xfId="0" applyFill="1" applyBorder="1" applyProtection="1">
      <alignment vertical="center"/>
      <protection locked="0"/>
    </xf>
    <xf numFmtId="38" fontId="0" fillId="11" borderId="8" xfId="2" applyFont="1" applyFill="1" applyBorder="1" applyProtection="1">
      <alignment vertical="center"/>
    </xf>
    <xf numFmtId="38" fontId="25" fillId="0" borderId="1" xfId="2" applyFont="1" applyBorder="1" applyAlignment="1" applyProtection="1">
      <alignment horizontal="center" vertical="center"/>
      <protection locked="0"/>
    </xf>
    <xf numFmtId="38" fontId="25" fillId="0" borderId="8" xfId="2" applyFont="1" applyBorder="1" applyAlignment="1" applyProtection="1">
      <alignment horizontal="center" vertical="center"/>
      <protection locked="0"/>
    </xf>
    <xf numFmtId="38" fontId="25" fillId="0" borderId="15" xfId="2" applyFont="1" applyBorder="1" applyAlignment="1" applyProtection="1">
      <alignment horizontal="center" vertical="center"/>
      <protection locked="0"/>
    </xf>
    <xf numFmtId="38" fontId="16" fillId="0" borderId="40" xfId="2" applyFont="1" applyBorder="1" applyAlignment="1" applyProtection="1">
      <alignment horizontal="right" vertical="center"/>
    </xf>
    <xf numFmtId="38" fontId="16" fillId="0" borderId="41" xfId="2" applyFont="1" applyBorder="1" applyAlignment="1" applyProtection="1">
      <alignment horizontal="right" vertical="center"/>
    </xf>
    <xf numFmtId="38" fontId="16" fillId="0" borderId="42" xfId="2" applyFont="1" applyBorder="1" applyAlignment="1" applyProtection="1">
      <alignment horizontal="right" vertical="center"/>
    </xf>
    <xf numFmtId="38" fontId="25" fillId="0" borderId="6" xfId="2" applyFont="1" applyBorder="1" applyAlignment="1" applyProtection="1">
      <alignment horizontal="center" vertical="center"/>
      <protection locked="0"/>
    </xf>
    <xf numFmtId="38" fontId="25" fillId="0" borderId="14" xfId="2" applyFont="1" applyBorder="1" applyAlignment="1" applyProtection="1">
      <alignment horizontal="center" vertical="center"/>
      <protection locked="0"/>
    </xf>
    <xf numFmtId="38" fontId="25" fillId="0" borderId="17" xfId="2" applyFont="1" applyBorder="1" applyAlignment="1" applyProtection="1">
      <alignment horizontal="center" vertical="center"/>
      <protection locked="0"/>
    </xf>
    <xf numFmtId="38" fontId="18" fillId="0" borderId="0" xfId="2" applyFont="1" applyBorder="1" applyAlignment="1" applyProtection="1">
      <alignment horizontal="center" vertical="center"/>
    </xf>
    <xf numFmtId="38" fontId="16" fillId="0" borderId="27" xfId="2" applyFont="1" applyBorder="1" applyAlignment="1" applyProtection="1">
      <alignment horizontal="right" vertical="center"/>
      <protection locked="0"/>
    </xf>
    <xf numFmtId="38" fontId="35" fillId="0" borderId="0" xfId="2" applyFont="1" applyAlignment="1" applyProtection="1">
      <alignment vertical="center"/>
      <protection locked="0"/>
    </xf>
    <xf numFmtId="177" fontId="24" fillId="0" borderId="1" xfId="3" applyNumberFormat="1" applyFont="1" applyBorder="1" applyAlignment="1" applyProtection="1">
      <alignment horizontal="center" vertical="center"/>
      <protection locked="0"/>
    </xf>
    <xf numFmtId="177" fontId="36" fillId="0" borderId="8" xfId="3" applyNumberFormat="1" applyFont="1" applyBorder="1" applyAlignment="1" applyProtection="1">
      <alignment horizontal="center" vertical="center"/>
      <protection locked="0"/>
    </xf>
    <xf numFmtId="178" fontId="36" fillId="0" borderId="8" xfId="3" applyNumberFormat="1" applyFont="1" applyBorder="1" applyAlignment="1" applyProtection="1">
      <alignment horizontal="center" vertical="center"/>
      <protection locked="0"/>
    </xf>
    <xf numFmtId="178" fontId="25" fillId="0" borderId="8" xfId="3" applyNumberFormat="1" applyFont="1" applyBorder="1" applyAlignment="1" applyProtection="1">
      <alignment horizontal="center" vertical="center"/>
      <protection locked="0"/>
    </xf>
    <xf numFmtId="0" fontId="37" fillId="0" borderId="0" xfId="7" applyAlignment="1">
      <alignment horizontal="center" vertical="center"/>
    </xf>
    <xf numFmtId="0" fontId="37" fillId="0" borderId="0" xfId="7" applyAlignment="1">
      <alignment horizontal="center" vertical="center" shrinkToFit="1"/>
    </xf>
    <xf numFmtId="0" fontId="37" fillId="0" borderId="0" xfId="7">
      <alignment vertical="center"/>
    </xf>
    <xf numFmtId="38" fontId="36" fillId="0" borderId="1" xfId="5" applyFont="1" applyBorder="1" applyAlignment="1" applyProtection="1">
      <alignment horizontal="center" vertical="center" shrinkToFit="1"/>
      <protection locked="0"/>
    </xf>
    <xf numFmtId="0" fontId="40" fillId="0" borderId="0" xfId="1" applyFont="1"/>
    <xf numFmtId="0" fontId="21" fillId="0" borderId="0" xfId="1" applyFont="1"/>
    <xf numFmtId="0" fontId="21" fillId="3" borderId="16" xfId="1" applyFont="1" applyFill="1" applyBorder="1"/>
    <xf numFmtId="0" fontId="21" fillId="3" borderId="8" xfId="1" applyFont="1" applyFill="1" applyBorder="1"/>
    <xf numFmtId="0" fontId="21" fillId="0" borderId="8" xfId="1" applyFont="1" applyBorder="1" applyAlignment="1">
      <alignment shrinkToFit="1"/>
    </xf>
    <xf numFmtId="179" fontId="21" fillId="3" borderId="8" xfId="1" applyNumberFormat="1" applyFont="1" applyFill="1" applyBorder="1" applyAlignment="1">
      <alignment shrinkToFit="1"/>
    </xf>
    <xf numFmtId="0" fontId="21" fillId="3" borderId="8" xfId="1" applyFont="1" applyFill="1" applyBorder="1" applyAlignment="1">
      <alignment wrapText="1"/>
    </xf>
    <xf numFmtId="0" fontId="21" fillId="0" borderId="8" xfId="1" applyFont="1" applyBorder="1" applyAlignment="1">
      <alignment horizontal="left" shrinkToFit="1"/>
    </xf>
    <xf numFmtId="176" fontId="25" fillId="0" borderId="38" xfId="3" applyNumberFormat="1" applyFont="1" applyBorder="1" applyAlignment="1" applyProtection="1">
      <alignment horizontal="center" vertical="center"/>
      <protection locked="0"/>
    </xf>
    <xf numFmtId="38" fontId="25" fillId="0" borderId="38" xfId="2" applyFont="1" applyBorder="1" applyAlignment="1" applyProtection="1">
      <alignment horizontal="center" vertical="center"/>
      <protection locked="0"/>
    </xf>
    <xf numFmtId="38" fontId="25" fillId="0" borderId="44" xfId="2" applyFont="1" applyBorder="1" applyAlignment="1" applyProtection="1">
      <alignment horizontal="center" vertical="center"/>
      <protection locked="0"/>
    </xf>
    <xf numFmtId="177" fontId="23" fillId="0" borderId="45" xfId="3" applyNumberFormat="1" applyFont="1" applyBorder="1" applyAlignment="1" applyProtection="1">
      <alignment horizontal="center" vertical="center"/>
      <protection locked="0"/>
    </xf>
    <xf numFmtId="178" fontId="23" fillId="0" borderId="45" xfId="3" applyNumberFormat="1" applyFont="1" applyBorder="1" applyAlignment="1" applyProtection="1">
      <alignment horizontal="center" vertical="center"/>
      <protection locked="0"/>
    </xf>
    <xf numFmtId="38" fontId="5" fillId="0" borderId="47" xfId="2" applyFont="1" applyBorder="1" applyAlignment="1" applyProtection="1">
      <alignment vertical="center"/>
      <protection locked="0"/>
    </xf>
    <xf numFmtId="38" fontId="5" fillId="0" borderId="47" xfId="2" applyFont="1" applyBorder="1" applyAlignment="1" applyProtection="1">
      <alignment horizontal="center" vertical="center"/>
      <protection locked="0"/>
    </xf>
    <xf numFmtId="38" fontId="5" fillId="0" borderId="48" xfId="2" applyFont="1" applyBorder="1" applyAlignment="1" applyProtection="1">
      <alignment vertical="center"/>
      <protection locked="0"/>
    </xf>
    <xf numFmtId="38" fontId="5" fillId="0" borderId="10" xfId="2" applyFont="1" applyBorder="1" applyAlignment="1" applyProtection="1">
      <alignment vertical="center"/>
      <protection locked="0"/>
    </xf>
    <xf numFmtId="38" fontId="5" fillId="0" borderId="10" xfId="2" applyFont="1" applyBorder="1" applyAlignment="1" applyProtection="1">
      <alignment horizontal="center" vertical="center"/>
      <protection locked="0"/>
    </xf>
    <xf numFmtId="38" fontId="5" fillId="0" borderId="11" xfId="2" applyFont="1" applyBorder="1" applyAlignment="1" applyProtection="1">
      <alignment horizontal="right" vertical="center"/>
      <protection locked="0"/>
    </xf>
    <xf numFmtId="38" fontId="5" fillId="0" borderId="0" xfId="2" applyFont="1" applyBorder="1" applyAlignment="1" applyProtection="1">
      <alignment horizontal="center" vertical="center"/>
      <protection locked="0"/>
    </xf>
    <xf numFmtId="38" fontId="5" fillId="0" borderId="0" xfId="2" applyFont="1" applyBorder="1" applyAlignment="1" applyProtection="1">
      <alignment vertical="center"/>
      <protection locked="0"/>
    </xf>
    <xf numFmtId="38" fontId="15" fillId="0" borderId="9" xfId="2" applyFont="1" applyBorder="1" applyAlignment="1" applyProtection="1">
      <alignment vertical="center"/>
      <protection locked="0"/>
      <extLst>
        <ext xmlns:xfpb="http://schemas.microsoft.com/office/spreadsheetml/2022/featurepropertybag" uri="{C7286773-470A-42A8-94C5-96B5CB345126}">
          <xfpb:xfComplement i="0"/>
        </ext>
      </extLst>
    </xf>
    <xf numFmtId="38" fontId="15" fillId="0" borderId="46" xfId="2" applyFont="1" applyBorder="1" applyAlignment="1" applyProtection="1">
      <alignment vertical="center"/>
      <protection locked="0"/>
      <extLst>
        <ext xmlns:xfpb="http://schemas.microsoft.com/office/spreadsheetml/2022/featurepropertybag" uri="{C7286773-470A-42A8-94C5-96B5CB345126}">
          <xfpb:xfComplement i="0"/>
        </ext>
      </extLst>
    </xf>
    <xf numFmtId="0" fontId="33" fillId="0" borderId="0" xfId="1" applyFont="1"/>
    <xf numFmtId="176" fontId="36" fillId="0" borderId="1" xfId="3" applyNumberFormat="1" applyFont="1" applyBorder="1" applyAlignment="1" applyProtection="1">
      <alignment horizontal="center" vertical="center"/>
      <protection locked="0"/>
    </xf>
    <xf numFmtId="38" fontId="36" fillId="0" borderId="1" xfId="2" applyFont="1" applyBorder="1" applyAlignment="1" applyProtection="1">
      <alignment horizontal="center" vertical="center"/>
      <protection locked="0"/>
    </xf>
    <xf numFmtId="38" fontId="18" fillId="2" borderId="43" xfId="2" applyFont="1" applyFill="1" applyBorder="1" applyAlignment="1" applyProtection="1">
      <alignment horizontal="center" vertical="center" wrapText="1"/>
      <protection locked="0"/>
    </xf>
    <xf numFmtId="38" fontId="18" fillId="2" borderId="5" xfId="2" applyFont="1" applyFill="1" applyBorder="1" applyAlignment="1" applyProtection="1">
      <alignment horizontal="center" vertical="center" wrapText="1"/>
      <protection locked="0"/>
    </xf>
    <xf numFmtId="38" fontId="18" fillId="2" borderId="7" xfId="2" applyFont="1" applyFill="1" applyBorder="1" applyAlignment="1" applyProtection="1">
      <alignment horizontal="center" vertical="center" wrapText="1"/>
      <protection locked="0"/>
    </xf>
    <xf numFmtId="38" fontId="16" fillId="0" borderId="13" xfId="2" applyFont="1" applyBorder="1" applyAlignment="1" applyProtection="1">
      <alignment horizontal="center" vertical="center" wrapText="1"/>
      <protection locked="0"/>
    </xf>
    <xf numFmtId="38" fontId="16" fillId="0" borderId="3" xfId="2" applyFont="1" applyBorder="1" applyAlignment="1" applyProtection="1">
      <alignment horizontal="center" vertical="center" wrapText="1"/>
      <protection locked="0"/>
    </xf>
    <xf numFmtId="38" fontId="9" fillId="0" borderId="9" xfId="2" applyFont="1" applyBorder="1" applyAlignment="1" applyProtection="1">
      <alignment horizontal="center" vertical="center"/>
      <protection locked="0"/>
    </xf>
    <xf numFmtId="38" fontId="9" fillId="0" borderId="10" xfId="2" applyFont="1" applyBorder="1" applyAlignment="1" applyProtection="1">
      <alignment horizontal="center" vertical="center"/>
      <protection locked="0"/>
    </xf>
    <xf numFmtId="38" fontId="10" fillId="0" borderId="10" xfId="2" applyFont="1" applyBorder="1" applyAlignment="1" applyProtection="1">
      <alignment horizontal="center" vertical="center"/>
      <protection locked="0"/>
    </xf>
    <xf numFmtId="38" fontId="12" fillId="2" borderId="2" xfId="2" applyFont="1" applyFill="1" applyBorder="1" applyAlignment="1" applyProtection="1">
      <alignment horizontal="center" vertical="center"/>
      <protection locked="0"/>
    </xf>
    <xf numFmtId="38" fontId="12" fillId="2" borderId="3" xfId="2" applyFont="1" applyFill="1" applyBorder="1" applyAlignment="1" applyProtection="1">
      <alignment horizontal="center" vertical="center"/>
      <protection locked="0"/>
    </xf>
    <xf numFmtId="38" fontId="12" fillId="2" borderId="12" xfId="2" applyFont="1" applyFill="1" applyBorder="1" applyAlignment="1" applyProtection="1">
      <alignment horizontal="center" vertical="center"/>
      <protection locked="0"/>
    </xf>
    <xf numFmtId="38" fontId="17" fillId="2" borderId="2" xfId="2" applyFont="1" applyFill="1" applyBorder="1" applyAlignment="1" applyProtection="1">
      <alignment horizontal="center" vertical="center"/>
      <protection locked="0"/>
    </xf>
    <xf numFmtId="38" fontId="17" fillId="2" borderId="3" xfId="2" applyFont="1" applyFill="1" applyBorder="1" applyAlignment="1" applyProtection="1">
      <alignment horizontal="center" vertical="center"/>
      <protection locked="0"/>
    </xf>
    <xf numFmtId="38" fontId="17" fillId="2" borderId="12" xfId="2" applyFont="1" applyFill="1" applyBorder="1" applyAlignment="1" applyProtection="1">
      <alignment horizontal="center" vertical="center"/>
      <protection locked="0"/>
    </xf>
    <xf numFmtId="38" fontId="18" fillId="8" borderId="20" xfId="2" applyFont="1" applyFill="1" applyBorder="1" applyAlignment="1" applyProtection="1">
      <alignment horizontal="center" vertical="center" wrapText="1"/>
      <protection locked="0"/>
    </xf>
    <xf numFmtId="38" fontId="18" fillId="8" borderId="31" xfId="2" applyFont="1" applyFill="1" applyBorder="1" applyAlignment="1" applyProtection="1">
      <alignment horizontal="center" vertical="center" wrapText="1"/>
      <protection locked="0"/>
    </xf>
    <xf numFmtId="38" fontId="18" fillId="8" borderId="21" xfId="2" applyFont="1" applyFill="1" applyBorder="1" applyAlignment="1" applyProtection="1">
      <alignment horizontal="center" vertical="center" wrapText="1"/>
      <protection locked="0"/>
    </xf>
    <xf numFmtId="38" fontId="18" fillId="8" borderId="22" xfId="2" applyFont="1" applyFill="1" applyBorder="1" applyAlignment="1" applyProtection="1">
      <alignment horizontal="center" vertical="center" wrapText="1"/>
      <protection locked="0"/>
    </xf>
    <xf numFmtId="38" fontId="18" fillId="8" borderId="28" xfId="2" applyFont="1" applyFill="1" applyBorder="1" applyAlignment="1" applyProtection="1">
      <alignment horizontal="center" vertical="center" wrapText="1"/>
      <protection locked="0"/>
    </xf>
    <xf numFmtId="38" fontId="28" fillId="6" borderId="21" xfId="2" applyFont="1" applyFill="1" applyBorder="1" applyAlignment="1" applyProtection="1">
      <alignment horizontal="center" vertical="center" wrapText="1"/>
      <protection locked="0"/>
    </xf>
    <xf numFmtId="38" fontId="28" fillId="6" borderId="22" xfId="2" applyFont="1" applyFill="1" applyBorder="1" applyAlignment="1" applyProtection="1">
      <alignment horizontal="center" vertical="center" wrapText="1"/>
      <protection locked="0"/>
    </xf>
    <xf numFmtId="38" fontId="28" fillId="6" borderId="28" xfId="2" applyFont="1" applyFill="1" applyBorder="1" applyAlignment="1" applyProtection="1">
      <alignment horizontal="center" vertical="center" wrapText="1"/>
      <protection locked="0"/>
    </xf>
    <xf numFmtId="38" fontId="18" fillId="6" borderId="21" xfId="2" applyFont="1" applyFill="1" applyBorder="1" applyAlignment="1" applyProtection="1">
      <alignment horizontal="center" vertical="center" wrapText="1"/>
      <protection locked="0"/>
    </xf>
    <xf numFmtId="38" fontId="18" fillId="6" borderId="22" xfId="2" applyFont="1" applyFill="1" applyBorder="1" applyAlignment="1" applyProtection="1">
      <alignment horizontal="center" vertical="center" wrapText="1"/>
      <protection locked="0"/>
    </xf>
    <xf numFmtId="38" fontId="18" fillId="6" borderId="28" xfId="2" applyFont="1" applyFill="1" applyBorder="1" applyAlignment="1" applyProtection="1">
      <alignment horizontal="center" vertical="center" wrapText="1"/>
      <protection locked="0"/>
    </xf>
    <xf numFmtId="38" fontId="18" fillId="2" borderId="21" xfId="2" applyFont="1" applyFill="1" applyBorder="1" applyAlignment="1" applyProtection="1">
      <alignment horizontal="center" vertical="center" wrapText="1"/>
      <protection locked="0"/>
    </xf>
    <xf numFmtId="38" fontId="18" fillId="2" borderId="22" xfId="2" applyFont="1" applyFill="1" applyBorder="1" applyAlignment="1" applyProtection="1">
      <alignment horizontal="center" vertical="center" wrapText="1"/>
      <protection locked="0"/>
    </xf>
    <xf numFmtId="38" fontId="18" fillId="2" borderId="28" xfId="2" applyFont="1" applyFill="1" applyBorder="1" applyAlignment="1" applyProtection="1">
      <alignment horizontal="center" vertical="center" wrapText="1"/>
      <protection locked="0"/>
    </xf>
    <xf numFmtId="38" fontId="29" fillId="8" borderId="29" xfId="2" applyFont="1" applyFill="1" applyBorder="1" applyAlignment="1" applyProtection="1">
      <alignment horizontal="center" vertical="center" wrapText="1"/>
      <protection locked="0"/>
    </xf>
    <xf numFmtId="38" fontId="29" fillId="8" borderId="30" xfId="2" applyFont="1" applyFill="1" applyBorder="1" applyAlignment="1" applyProtection="1">
      <alignment horizontal="center" vertical="center" wrapText="1"/>
      <protection locked="0"/>
    </xf>
    <xf numFmtId="38" fontId="29" fillId="8" borderId="21" xfId="2" applyFont="1" applyFill="1" applyBorder="1" applyAlignment="1" applyProtection="1">
      <alignment horizontal="center" vertical="center" wrapText="1"/>
      <protection locked="0"/>
    </xf>
    <xf numFmtId="38" fontId="29" fillId="8" borderId="28" xfId="2" applyFont="1" applyFill="1" applyBorder="1" applyAlignment="1" applyProtection="1">
      <alignment horizontal="center" vertical="center" wrapText="1"/>
      <protection locked="0"/>
    </xf>
    <xf numFmtId="0" fontId="31" fillId="0" borderId="0" xfId="0" applyFont="1" applyAlignment="1">
      <alignment horizontal="center" vertical="center"/>
    </xf>
    <xf numFmtId="176" fontId="32" fillId="0" borderId="0" xfId="3" applyNumberFormat="1" applyFont="1" applyAlignment="1" applyProtection="1">
      <alignment horizontal="left" vertical="center" shrinkToFit="1"/>
      <protection locked="0"/>
    </xf>
    <xf numFmtId="0" fontId="31" fillId="0" borderId="0" xfId="1" applyFont="1" applyAlignment="1">
      <alignment horizontal="left" vertical="center"/>
    </xf>
    <xf numFmtId="176" fontId="32" fillId="0" borderId="0" xfId="3" applyNumberFormat="1" applyFont="1" applyAlignment="1" applyProtection="1">
      <alignment horizontal="left" vertical="center"/>
      <protection locked="0"/>
    </xf>
    <xf numFmtId="0" fontId="31" fillId="0" borderId="0" xfId="1" applyFont="1" applyAlignment="1">
      <alignment horizontal="left" vertical="center" shrinkToFit="1"/>
    </xf>
    <xf numFmtId="38" fontId="32" fillId="0" borderId="0" xfId="2" applyFont="1" applyBorder="1" applyAlignment="1" applyProtection="1">
      <alignment horizontal="center" vertical="center"/>
      <protection locked="0"/>
    </xf>
    <xf numFmtId="0" fontId="31" fillId="0" borderId="0" xfId="1" applyFont="1" applyAlignment="1">
      <alignment horizontal="center" vertical="center"/>
    </xf>
    <xf numFmtId="0" fontId="31" fillId="0" borderId="0" xfId="1" applyFont="1" applyAlignment="1">
      <alignment horizontal="left" vertical="center" wrapText="1"/>
    </xf>
    <xf numFmtId="38" fontId="18" fillId="9" borderId="20" xfId="2" applyFont="1" applyFill="1" applyBorder="1" applyAlignment="1" applyProtection="1">
      <alignment horizontal="center" vertical="center" wrapText="1"/>
      <protection locked="0"/>
    </xf>
    <xf numFmtId="38" fontId="18" fillId="9" borderId="31" xfId="2" applyFont="1" applyFill="1" applyBorder="1" applyAlignment="1" applyProtection="1">
      <alignment horizontal="center" vertical="center" wrapText="1"/>
      <protection locked="0"/>
    </xf>
    <xf numFmtId="38" fontId="18" fillId="9" borderId="21" xfId="2" applyFont="1" applyFill="1" applyBorder="1" applyAlignment="1" applyProtection="1">
      <alignment horizontal="center" vertical="center" wrapText="1"/>
      <protection locked="0"/>
    </xf>
    <xf numFmtId="38" fontId="18" fillId="9" borderId="22" xfId="2" applyFont="1" applyFill="1" applyBorder="1" applyAlignment="1" applyProtection="1">
      <alignment horizontal="center" vertical="center" wrapText="1"/>
      <protection locked="0"/>
    </xf>
    <xf numFmtId="38" fontId="18" fillId="9" borderId="28" xfId="2" applyFont="1" applyFill="1" applyBorder="1" applyAlignment="1" applyProtection="1">
      <alignment horizontal="center" vertical="center" wrapText="1"/>
      <protection locked="0"/>
    </xf>
    <xf numFmtId="38" fontId="18" fillId="7" borderId="21" xfId="2" applyFont="1" applyFill="1" applyBorder="1" applyAlignment="1" applyProtection="1">
      <alignment horizontal="center" vertical="center" wrapText="1"/>
      <protection locked="0"/>
    </xf>
    <xf numFmtId="38" fontId="18" fillId="7" borderId="22" xfId="2" applyFont="1" applyFill="1" applyBorder="1" applyAlignment="1" applyProtection="1">
      <alignment horizontal="center" vertical="center" wrapText="1"/>
      <protection locked="0"/>
    </xf>
    <xf numFmtId="38" fontId="18" fillId="7" borderId="28" xfId="2" applyFont="1" applyFill="1" applyBorder="1" applyAlignment="1" applyProtection="1">
      <alignment horizontal="center" vertical="center" wrapText="1"/>
      <protection locked="0"/>
    </xf>
    <xf numFmtId="38" fontId="29" fillId="9" borderId="29" xfId="2" applyFont="1" applyFill="1" applyBorder="1" applyAlignment="1" applyProtection="1">
      <alignment horizontal="center" vertical="center" wrapText="1"/>
      <protection locked="0"/>
    </xf>
    <xf numFmtId="38" fontId="29" fillId="9" borderId="30" xfId="2" applyFont="1" applyFill="1" applyBorder="1" applyAlignment="1" applyProtection="1">
      <alignment horizontal="center" vertical="center" wrapText="1"/>
      <protection locked="0"/>
    </xf>
    <xf numFmtId="38" fontId="29" fillId="9" borderId="21" xfId="2" applyFont="1" applyFill="1" applyBorder="1" applyAlignment="1" applyProtection="1">
      <alignment horizontal="center" vertical="center" wrapText="1"/>
      <protection locked="0"/>
    </xf>
    <xf numFmtId="38" fontId="29" fillId="9" borderId="28" xfId="2" applyFont="1" applyFill="1" applyBorder="1" applyAlignment="1" applyProtection="1">
      <alignment horizontal="center" vertical="center" wrapText="1"/>
      <protection locked="0"/>
    </xf>
    <xf numFmtId="0" fontId="37" fillId="0" borderId="38" xfId="7" applyBorder="1" applyAlignment="1">
      <alignment horizontal="center" vertical="center"/>
    </xf>
    <xf numFmtId="0" fontId="37" fillId="0" borderId="1" xfId="7" applyBorder="1" applyAlignment="1">
      <alignment horizontal="center" vertical="center"/>
    </xf>
    <xf numFmtId="38" fontId="36" fillId="0" borderId="38" xfId="5" applyFont="1" applyBorder="1" applyAlignment="1" applyProtection="1">
      <alignment horizontal="center" vertical="center" shrinkToFit="1"/>
      <protection locked="0"/>
    </xf>
    <xf numFmtId="38" fontId="36" fillId="0" borderId="1" xfId="5" applyFont="1" applyBorder="1" applyAlignment="1" applyProtection="1">
      <alignment horizontal="center" vertical="center" shrinkToFit="1"/>
      <protection locked="0"/>
    </xf>
    <xf numFmtId="0" fontId="38" fillId="0" borderId="0" xfId="7" applyFont="1" applyAlignment="1">
      <alignment horizontal="right" vertical="center"/>
    </xf>
    <xf numFmtId="0" fontId="37" fillId="0" borderId="38" xfId="7" applyBorder="1" applyAlignment="1">
      <alignment horizontal="center" vertical="center" shrinkToFit="1"/>
    </xf>
    <xf numFmtId="0" fontId="37" fillId="0" borderId="1" xfId="7" applyBorder="1" applyAlignment="1">
      <alignment horizontal="center" vertical="center" shrinkToFit="1"/>
    </xf>
    <xf numFmtId="0" fontId="37" fillId="0" borderId="8" xfId="7" applyBorder="1" applyAlignment="1">
      <alignment horizontal="center" vertical="center"/>
    </xf>
    <xf numFmtId="38" fontId="36" fillId="0" borderId="8" xfId="5" applyFont="1" applyBorder="1" applyAlignment="1" applyProtection="1">
      <alignment horizontal="center" vertical="center" shrinkToFit="1"/>
      <protection locked="0"/>
    </xf>
    <xf numFmtId="0" fontId="37" fillId="0" borderId="0" xfId="7" applyAlignment="1">
      <alignment horizontal="left" vertical="center"/>
    </xf>
    <xf numFmtId="0" fontId="0" fillId="12" borderId="38" xfId="0" applyFill="1" applyBorder="1" applyAlignment="1">
      <alignment horizontal="center" vertical="center"/>
    </xf>
    <xf numFmtId="0" fontId="0" fillId="12" borderId="1" xfId="0" applyFill="1" applyBorder="1" applyAlignment="1">
      <alignment horizontal="center" vertical="center"/>
    </xf>
    <xf numFmtId="0" fontId="0" fillId="9" borderId="38" xfId="0" applyFill="1" applyBorder="1" applyAlignment="1">
      <alignment horizontal="left" vertical="center"/>
    </xf>
    <xf numFmtId="0" fontId="0" fillId="9" borderId="4" xfId="0" applyFill="1" applyBorder="1" applyAlignment="1">
      <alignment horizontal="left" vertical="center"/>
    </xf>
    <xf numFmtId="0" fontId="0" fillId="9" borderId="1" xfId="0" applyFill="1" applyBorder="1" applyAlignment="1">
      <alignment horizontal="left" vertical="center"/>
    </xf>
    <xf numFmtId="0" fontId="0" fillId="9" borderId="38" xfId="0" applyFill="1" applyBorder="1" applyAlignment="1">
      <alignment horizontal="center" vertical="center"/>
    </xf>
    <xf numFmtId="0" fontId="0" fillId="9" borderId="1" xfId="0" applyFill="1" applyBorder="1" applyAlignment="1">
      <alignment horizontal="center" vertical="center"/>
    </xf>
    <xf numFmtId="0" fontId="0" fillId="10" borderId="38" xfId="0" applyFill="1" applyBorder="1" applyAlignment="1">
      <alignment horizontal="left" vertical="center"/>
    </xf>
    <xf numFmtId="0" fontId="0" fillId="10" borderId="4" xfId="0" applyFill="1" applyBorder="1" applyAlignment="1">
      <alignment horizontal="left" vertical="center"/>
    </xf>
    <xf numFmtId="0" fontId="0" fillId="10" borderId="1" xfId="0" applyFill="1" applyBorder="1" applyAlignment="1">
      <alignment horizontal="left" vertical="center"/>
    </xf>
    <xf numFmtId="0" fontId="0" fillId="10" borderId="38" xfId="0" applyFill="1" applyBorder="1" applyAlignment="1">
      <alignment horizontal="center" vertical="center"/>
    </xf>
    <xf numFmtId="0" fontId="0" fillId="10" borderId="1" xfId="0" applyFill="1" applyBorder="1" applyAlignment="1">
      <alignment horizontal="center" vertical="center"/>
    </xf>
    <xf numFmtId="0" fontId="0" fillId="11" borderId="38" xfId="0" applyFill="1" applyBorder="1" applyAlignment="1">
      <alignment horizontal="center" vertical="center"/>
    </xf>
    <xf numFmtId="0" fontId="0" fillId="11" borderId="1" xfId="0" applyFill="1" applyBorder="1" applyAlignment="1">
      <alignment horizontal="center" vertical="center"/>
    </xf>
    <xf numFmtId="0" fontId="0" fillId="11" borderId="38" xfId="0" applyFill="1" applyBorder="1" applyAlignment="1">
      <alignment horizontal="left" vertical="center"/>
    </xf>
    <xf numFmtId="0" fontId="0" fillId="11" borderId="4" xfId="0" applyFill="1" applyBorder="1" applyAlignment="1">
      <alignment horizontal="left" vertical="center"/>
    </xf>
    <xf numFmtId="0" fontId="0" fillId="11" borderId="1" xfId="0" applyFill="1" applyBorder="1" applyAlignment="1">
      <alignment horizontal="left" vertical="center"/>
    </xf>
    <xf numFmtId="38" fontId="0" fillId="12" borderId="38" xfId="2" applyFont="1" applyFill="1" applyBorder="1" applyAlignment="1" applyProtection="1">
      <alignment horizontal="center" vertical="center"/>
      <protection locked="0"/>
    </xf>
    <xf numFmtId="38" fontId="0" fillId="12" borderId="1" xfId="2" applyFont="1" applyFill="1" applyBorder="1" applyAlignment="1" applyProtection="1">
      <alignment horizontal="center" vertical="center"/>
      <protection locked="0"/>
    </xf>
    <xf numFmtId="0" fontId="0" fillId="9" borderId="38" xfId="0" applyFill="1" applyBorder="1" applyAlignment="1" applyProtection="1">
      <alignment horizontal="left" vertical="center"/>
      <protection locked="0"/>
    </xf>
    <xf numFmtId="0" fontId="0" fillId="9" borderId="4" xfId="0" applyFill="1" applyBorder="1" applyAlignment="1" applyProtection="1">
      <alignment horizontal="left" vertical="center"/>
      <protection locked="0"/>
    </xf>
    <xf numFmtId="0" fontId="0" fillId="9" borderId="1" xfId="0" applyFill="1" applyBorder="1" applyAlignment="1" applyProtection="1">
      <alignment horizontal="left" vertical="center"/>
      <protection locked="0"/>
    </xf>
    <xf numFmtId="38" fontId="0" fillId="9" borderId="38" xfId="2" applyFont="1" applyFill="1" applyBorder="1" applyAlignment="1" applyProtection="1">
      <alignment horizontal="center" vertical="center"/>
      <protection locked="0"/>
    </xf>
    <xf numFmtId="38" fontId="0" fillId="9" borderId="1" xfId="2" applyFont="1" applyFill="1" applyBorder="1" applyAlignment="1" applyProtection="1">
      <alignment horizontal="center" vertical="center"/>
      <protection locked="0"/>
    </xf>
    <xf numFmtId="0" fontId="0" fillId="10" borderId="38" xfId="0" applyFill="1" applyBorder="1" applyAlignment="1" applyProtection="1">
      <alignment horizontal="left" vertical="center"/>
      <protection locked="0"/>
    </xf>
    <xf numFmtId="0" fontId="0" fillId="10" borderId="4" xfId="0" applyFill="1" applyBorder="1" applyAlignment="1" applyProtection="1">
      <alignment horizontal="left" vertical="center"/>
      <protection locked="0"/>
    </xf>
    <xf numFmtId="0" fontId="0" fillId="10" borderId="1" xfId="0" applyFill="1" applyBorder="1" applyAlignment="1" applyProtection="1">
      <alignment horizontal="left" vertical="center"/>
      <protection locked="0"/>
    </xf>
    <xf numFmtId="38" fontId="0" fillId="10" borderId="38" xfId="2" applyFont="1" applyFill="1" applyBorder="1" applyAlignment="1" applyProtection="1">
      <alignment horizontal="center" vertical="center"/>
      <protection locked="0"/>
    </xf>
    <xf numFmtId="38" fontId="0" fillId="10" borderId="1" xfId="2" applyFont="1" applyFill="1" applyBorder="1" applyAlignment="1" applyProtection="1">
      <alignment horizontal="center" vertical="center"/>
      <protection locked="0"/>
    </xf>
    <xf numFmtId="38" fontId="0" fillId="11" borderId="38" xfId="2" applyFont="1" applyFill="1" applyBorder="1" applyAlignment="1" applyProtection="1">
      <alignment horizontal="center" vertical="center"/>
      <protection locked="0"/>
    </xf>
    <xf numFmtId="38" fontId="0" fillId="11" borderId="1" xfId="2" applyFont="1" applyFill="1" applyBorder="1" applyAlignment="1" applyProtection="1">
      <alignment horizontal="center" vertical="center"/>
      <protection locked="0"/>
    </xf>
    <xf numFmtId="0" fontId="0" fillId="9" borderId="38" xfId="0" applyFill="1" applyBorder="1" applyAlignment="1" applyProtection="1">
      <alignment horizontal="center" vertical="center"/>
      <protection locked="0"/>
    </xf>
    <xf numFmtId="0" fontId="0" fillId="9" borderId="1" xfId="0" applyFill="1" applyBorder="1" applyAlignment="1" applyProtection="1">
      <alignment horizontal="center" vertical="center"/>
      <protection locked="0"/>
    </xf>
    <xf numFmtId="0" fontId="0" fillId="11" borderId="38" xfId="0" applyFill="1" applyBorder="1" applyAlignment="1" applyProtection="1">
      <alignment horizontal="left" vertical="center"/>
      <protection locked="0"/>
    </xf>
    <xf numFmtId="0" fontId="0" fillId="11" borderId="4" xfId="0" applyFill="1" applyBorder="1" applyAlignment="1" applyProtection="1">
      <alignment horizontal="left" vertical="center"/>
      <protection locked="0"/>
    </xf>
    <xf numFmtId="0" fontId="0" fillId="11" borderId="1" xfId="0" applyFill="1" applyBorder="1" applyAlignment="1" applyProtection="1">
      <alignment horizontal="left" vertical="center"/>
      <protection locked="0"/>
    </xf>
  </cellXfs>
  <cellStyles count="9">
    <cellStyle name="Hyperlink" xfId="4" xr:uid="{E7A2B44C-7684-4DD8-97F3-908F37C94FF1}"/>
    <cellStyle name="桁区切り" xfId="2" builtinId="6"/>
    <cellStyle name="桁区切り 2" xfId="5" xr:uid="{7D55F492-C12B-44B7-AC13-40CE21ACE3CD}"/>
    <cellStyle name="桁区切り 3" xfId="6" xr:uid="{ECBBEE62-EE42-4444-9466-57DCCF38075A}"/>
    <cellStyle name="標準" xfId="0" builtinId="0"/>
    <cellStyle name="標準 2" xfId="1" xr:uid="{00000000-0005-0000-0000-000003000000}"/>
    <cellStyle name="標準 2 2 3 2" xfId="3" xr:uid="{225C201D-654D-4A6B-B223-D3A5C9834DA7}"/>
    <cellStyle name="標準 3" xfId="7" xr:uid="{D1CA7402-8B39-4AAC-90EA-BA4BE3E188B6}"/>
    <cellStyle name="標準 3 2" xfId="8" xr:uid="{2EA5A48C-4424-42EB-BC34-A91CB7A0A58C}"/>
  </cellStyles>
  <dxfs count="24">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theme="9" tint="0.79998168889431442"/>
        </patternFill>
      </fill>
    </dxf>
    <dxf>
      <fill>
        <patternFill>
          <bgColor rgb="FFFFFF99"/>
        </patternFill>
      </fill>
    </dxf>
    <dxf>
      <fill>
        <patternFill>
          <bgColor theme="9" tint="0.79998168889431442"/>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
      <fill>
        <patternFill>
          <bgColor rgb="FFFFFF99"/>
        </patternFill>
      </fill>
    </dxf>
  </dxfs>
  <tableStyles count="0" defaultTableStyle="TableStyleMedium2" defaultPivotStyle="PivotStyleLight16"/>
  <colors>
    <mruColors>
      <color rgb="FFCC99FF"/>
      <color rgb="FFFF99FF"/>
      <color rgb="FFFF66CC"/>
      <color rgb="FFFFFF66"/>
      <color rgb="FFFFFF99"/>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2.xml"/><Relationship Id="rId13" Type="http://schemas.openxmlformats.org/officeDocument/2006/relationships/sharedStrings" Target="sharedStrings.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styles" Target="styles.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externalLink" Target="externalLinks/externalLink4.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externalLink" Target="externalLinks/externalLink3.xml"/><Relationship Id="rId14" Type="http://schemas.microsoft.com/office/2022/11/relationships/FeaturePropertyBag" Target="featurePropertyBag/featurePropertyBag.xml"/></Relationships>
</file>

<file path=xl/drawings/drawing1.xml><?xml version="1.0" encoding="utf-8"?>
<xdr:wsDr xmlns:xdr="http://schemas.openxmlformats.org/drawingml/2006/spreadsheetDrawing" xmlns:a="http://schemas.openxmlformats.org/drawingml/2006/main">
  <xdr:twoCellAnchor>
    <xdr:from>
      <xdr:col>20</xdr:col>
      <xdr:colOff>127000</xdr:colOff>
      <xdr:row>1</xdr:row>
      <xdr:rowOff>63500</xdr:rowOff>
    </xdr:from>
    <xdr:to>
      <xdr:col>25</xdr:col>
      <xdr:colOff>714375</xdr:colOff>
      <xdr:row>1</xdr:row>
      <xdr:rowOff>587375</xdr:rowOff>
    </xdr:to>
    <xdr:sp macro="" textlink="">
      <xdr:nvSpPr>
        <xdr:cNvPr id="2" name="テキスト ボックス 1">
          <a:extLst>
            <a:ext uri="{FF2B5EF4-FFF2-40B4-BE49-F238E27FC236}">
              <a16:creationId xmlns:a16="http://schemas.microsoft.com/office/drawing/2014/main" id="{CA7A7877-C8E8-CC42-B6BC-129E17355EDD}"/>
            </a:ext>
          </a:extLst>
        </xdr:cNvPr>
        <xdr:cNvSpPr txBox="1"/>
      </xdr:nvSpPr>
      <xdr:spPr>
        <a:xfrm>
          <a:off x="22209125" y="333375"/>
          <a:ext cx="4635500"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3200" b="1"/>
            <a:t>見込食数</a:t>
          </a:r>
        </a:p>
      </xdr:txBody>
    </xdr:sp>
    <xdr:clientData/>
  </xdr:twoCellAnchor>
  <xdr:twoCellAnchor>
    <xdr:from>
      <xdr:col>20</xdr:col>
      <xdr:colOff>104775</xdr:colOff>
      <xdr:row>2</xdr:row>
      <xdr:rowOff>104775</xdr:rowOff>
    </xdr:from>
    <xdr:to>
      <xdr:col>25</xdr:col>
      <xdr:colOff>692150</xdr:colOff>
      <xdr:row>2</xdr:row>
      <xdr:rowOff>628650</xdr:rowOff>
    </xdr:to>
    <xdr:sp macro="" textlink="">
      <xdr:nvSpPr>
        <xdr:cNvPr id="3" name="テキスト ボックス 2">
          <a:extLst>
            <a:ext uri="{FF2B5EF4-FFF2-40B4-BE49-F238E27FC236}">
              <a16:creationId xmlns:a16="http://schemas.microsoft.com/office/drawing/2014/main" id="{801C8DF6-513A-4339-9B9B-6F5A9DF57AB0}"/>
            </a:ext>
          </a:extLst>
        </xdr:cNvPr>
        <xdr:cNvSpPr txBox="1"/>
      </xdr:nvSpPr>
      <xdr:spPr>
        <a:xfrm>
          <a:off x="22186900" y="1057275"/>
          <a:ext cx="4635500" cy="523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ja-JP" altLang="en-US" sz="3200" b="1"/>
            <a:t>依頼食数</a:t>
          </a:r>
        </a:p>
      </xdr:txBody>
    </xdr:sp>
    <xdr:clientData/>
  </xdr:twoCellAnchor>
  <xdr:twoCellAnchor>
    <xdr:from>
      <xdr:col>2</xdr:col>
      <xdr:colOff>1730375</xdr:colOff>
      <xdr:row>2</xdr:row>
      <xdr:rowOff>412749</xdr:rowOff>
    </xdr:from>
    <xdr:to>
      <xdr:col>5</xdr:col>
      <xdr:colOff>619125</xdr:colOff>
      <xdr:row>4</xdr:row>
      <xdr:rowOff>31750</xdr:rowOff>
    </xdr:to>
    <xdr:sp macro="" textlink="">
      <xdr:nvSpPr>
        <xdr:cNvPr id="4" name="矢印: 下 3">
          <a:extLst>
            <a:ext uri="{FF2B5EF4-FFF2-40B4-BE49-F238E27FC236}">
              <a16:creationId xmlns:a16="http://schemas.microsoft.com/office/drawing/2014/main" id="{C1CFA970-84F5-18EF-8D5B-EE0E3CBFC233}"/>
            </a:ext>
          </a:extLst>
        </xdr:cNvPr>
        <xdr:cNvSpPr/>
      </xdr:nvSpPr>
      <xdr:spPr>
        <a:xfrm>
          <a:off x="3540125" y="1365249"/>
          <a:ext cx="3873500" cy="603251"/>
        </a:xfrm>
        <a:prstGeom prst="downArrow">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t>ホテル様ご記入欄</a:t>
          </a:r>
        </a:p>
      </xdr:txBody>
    </xdr:sp>
    <xdr:clientData/>
  </xdr:twoCellAnchor>
  <xdr:twoCellAnchor>
    <xdr:from>
      <xdr:col>2</xdr:col>
      <xdr:colOff>1730375</xdr:colOff>
      <xdr:row>15</xdr:row>
      <xdr:rowOff>285749</xdr:rowOff>
    </xdr:from>
    <xdr:to>
      <xdr:col>5</xdr:col>
      <xdr:colOff>619125</xdr:colOff>
      <xdr:row>17</xdr:row>
      <xdr:rowOff>63500</xdr:rowOff>
    </xdr:to>
    <xdr:sp macro="" textlink="">
      <xdr:nvSpPr>
        <xdr:cNvPr id="5" name="矢印: 下 4">
          <a:extLst>
            <a:ext uri="{FF2B5EF4-FFF2-40B4-BE49-F238E27FC236}">
              <a16:creationId xmlns:a16="http://schemas.microsoft.com/office/drawing/2014/main" id="{07EC15DE-C97F-1AD4-9233-8A3E88ACAE24}"/>
            </a:ext>
          </a:extLst>
        </xdr:cNvPr>
        <xdr:cNvSpPr/>
      </xdr:nvSpPr>
      <xdr:spPr>
        <a:xfrm>
          <a:off x="3540125" y="7238999"/>
          <a:ext cx="3873500" cy="603251"/>
        </a:xfrm>
        <a:prstGeom prst="downArrow">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400" b="1"/>
            <a:t>ホテル様ご記入欄</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285748</xdr:colOff>
      <xdr:row>31</xdr:row>
      <xdr:rowOff>165098</xdr:rowOff>
    </xdr:from>
    <xdr:to>
      <xdr:col>7</xdr:col>
      <xdr:colOff>431799</xdr:colOff>
      <xdr:row>36</xdr:row>
      <xdr:rowOff>50799</xdr:rowOff>
    </xdr:to>
    <xdr:sp macro="" textlink="">
      <xdr:nvSpPr>
        <xdr:cNvPr id="63" name="吹き出し: 角を丸めた四角形 1">
          <a:extLst>
            <a:ext uri="{FF2B5EF4-FFF2-40B4-BE49-F238E27FC236}">
              <a16:creationId xmlns:a16="http://schemas.microsoft.com/office/drawing/2014/main" id="{DD797CFE-06A2-42F8-A819-3C41CEAF2580}"/>
            </a:ext>
          </a:extLst>
        </xdr:cNvPr>
        <xdr:cNvSpPr/>
      </xdr:nvSpPr>
      <xdr:spPr>
        <a:xfrm>
          <a:off x="6772273" y="7251698"/>
          <a:ext cx="3032126" cy="1028701"/>
        </a:xfrm>
        <a:prstGeom prst="wedgeRoundRectCallout">
          <a:avLst>
            <a:gd name="adj1" fmla="val -82864"/>
            <a:gd name="adj2" fmla="val -14619"/>
            <a:gd name="adj3" fmla="val 16667"/>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今後、組織委員会が金額の精査、事前承認を行う。</a:t>
          </a:r>
          <a:endParaRPr kumimoji="1" lang="en-US" altLang="ja-JP" sz="1100"/>
        </a:p>
        <a:p>
          <a:pPr algn="l"/>
          <a:r>
            <a:rPr kumimoji="1" lang="ja-JP" altLang="en-US" sz="1100"/>
            <a:t>（別紙</a:t>
          </a:r>
          <a:r>
            <a:rPr kumimoji="1" lang="en-US" altLang="ja-JP" sz="1100"/>
            <a:t>2</a:t>
          </a:r>
          <a:r>
            <a:rPr kumimoji="1" lang="ja-JP" altLang="en-US" sz="1100"/>
            <a:t>の単価欄には記載せず）</a:t>
          </a:r>
        </a:p>
      </xdr:txBody>
    </xdr:sp>
    <xdr:clientData/>
  </xdr:twoCellAnchor>
  <xdr:twoCellAnchor>
    <xdr:from>
      <xdr:col>5</xdr:col>
      <xdr:colOff>57147</xdr:colOff>
      <xdr:row>14</xdr:row>
      <xdr:rowOff>111125</xdr:rowOff>
    </xdr:from>
    <xdr:to>
      <xdr:col>9</xdr:col>
      <xdr:colOff>447674</xdr:colOff>
      <xdr:row>15</xdr:row>
      <xdr:rowOff>209550</xdr:rowOff>
    </xdr:to>
    <xdr:sp macro="" textlink="">
      <xdr:nvSpPr>
        <xdr:cNvPr id="3" name="吹き出し: 角を丸めた四角形 2">
          <a:extLst>
            <a:ext uri="{FF2B5EF4-FFF2-40B4-BE49-F238E27FC236}">
              <a16:creationId xmlns:a16="http://schemas.microsoft.com/office/drawing/2014/main" id="{E3DC709B-990C-4D0B-826D-F4381412F10F}"/>
            </a:ext>
          </a:extLst>
        </xdr:cNvPr>
        <xdr:cNvSpPr/>
      </xdr:nvSpPr>
      <xdr:spPr>
        <a:xfrm>
          <a:off x="8121647" y="3311525"/>
          <a:ext cx="3032127" cy="327025"/>
        </a:xfrm>
        <a:prstGeom prst="wedgeRoundRectCallout">
          <a:avLst>
            <a:gd name="adj1" fmla="val -206758"/>
            <a:gd name="adj2" fmla="val 22493"/>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別紙エクセルの単価欄に記載される金額</a:t>
          </a:r>
        </a:p>
      </xdr:txBody>
    </xdr:sp>
    <xdr:clientData/>
  </xdr:twoCellAnchor>
  <xdr:twoCellAnchor>
    <xdr:from>
      <xdr:col>5</xdr:col>
      <xdr:colOff>57147</xdr:colOff>
      <xdr:row>21</xdr:row>
      <xdr:rowOff>149225</xdr:rowOff>
    </xdr:from>
    <xdr:to>
      <xdr:col>10</xdr:col>
      <xdr:colOff>190500</xdr:colOff>
      <xdr:row>23</xdr:row>
      <xdr:rowOff>19050</xdr:rowOff>
    </xdr:to>
    <xdr:sp macro="" textlink="">
      <xdr:nvSpPr>
        <xdr:cNvPr id="62" name="吹き出し: 角を丸めた四角形 3">
          <a:extLst>
            <a:ext uri="{FF2B5EF4-FFF2-40B4-BE49-F238E27FC236}">
              <a16:creationId xmlns:a16="http://schemas.microsoft.com/office/drawing/2014/main" id="{BAAD7C1F-EFBA-44F9-A878-AEE0D398438A}"/>
            </a:ext>
          </a:extLst>
        </xdr:cNvPr>
        <xdr:cNvSpPr/>
      </xdr:nvSpPr>
      <xdr:spPr>
        <a:xfrm>
          <a:off x="8115297" y="4949825"/>
          <a:ext cx="3419478" cy="327025"/>
        </a:xfrm>
        <a:prstGeom prst="wedgeRoundRectCallout">
          <a:avLst>
            <a:gd name="adj1" fmla="val -210751"/>
            <a:gd name="adj2" fmla="val 3142"/>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5</xdr:col>
      <xdr:colOff>57147</xdr:colOff>
      <xdr:row>14</xdr:row>
      <xdr:rowOff>111125</xdr:rowOff>
    </xdr:from>
    <xdr:to>
      <xdr:col>10</xdr:col>
      <xdr:colOff>323850</xdr:colOff>
      <xdr:row>15</xdr:row>
      <xdr:rowOff>209550</xdr:rowOff>
    </xdr:to>
    <xdr:sp macro="" textlink="">
      <xdr:nvSpPr>
        <xdr:cNvPr id="59" name="吹き出し: 角を丸めた四角形 4">
          <a:extLst>
            <a:ext uri="{FF2B5EF4-FFF2-40B4-BE49-F238E27FC236}">
              <a16:creationId xmlns:a16="http://schemas.microsoft.com/office/drawing/2014/main" id="{A00E54F4-D8C5-472F-81BB-C4B43B984683}"/>
            </a:ext>
          </a:extLst>
        </xdr:cNvPr>
        <xdr:cNvSpPr/>
      </xdr:nvSpPr>
      <xdr:spPr>
        <a:xfrm>
          <a:off x="8115297" y="3311525"/>
          <a:ext cx="3552828" cy="327025"/>
        </a:xfrm>
        <a:prstGeom prst="wedgeRoundRectCallout">
          <a:avLst>
            <a:gd name="adj1" fmla="val -206758"/>
            <a:gd name="adj2" fmla="val 22493"/>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5</xdr:col>
      <xdr:colOff>69847</xdr:colOff>
      <xdr:row>15</xdr:row>
      <xdr:rowOff>168275</xdr:rowOff>
    </xdr:from>
    <xdr:to>
      <xdr:col>10</xdr:col>
      <xdr:colOff>304800</xdr:colOff>
      <xdr:row>17</xdr:row>
      <xdr:rowOff>38100</xdr:rowOff>
    </xdr:to>
    <xdr:sp macro="" textlink="">
      <xdr:nvSpPr>
        <xdr:cNvPr id="60" name="吹き出し: 角を丸めた四角形 5">
          <a:extLst>
            <a:ext uri="{FF2B5EF4-FFF2-40B4-BE49-F238E27FC236}">
              <a16:creationId xmlns:a16="http://schemas.microsoft.com/office/drawing/2014/main" id="{D25F9EA9-D51E-47BD-8CFC-37BC9630D6BA}"/>
            </a:ext>
          </a:extLst>
        </xdr:cNvPr>
        <xdr:cNvSpPr/>
      </xdr:nvSpPr>
      <xdr:spPr>
        <a:xfrm>
          <a:off x="8127997" y="3597275"/>
          <a:ext cx="3521078" cy="327025"/>
        </a:xfrm>
        <a:prstGeom prst="wedgeRoundRectCallout">
          <a:avLst>
            <a:gd name="adj1" fmla="val -206758"/>
            <a:gd name="adj2" fmla="val 22493"/>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5</xdr:col>
      <xdr:colOff>76196</xdr:colOff>
      <xdr:row>16</xdr:row>
      <xdr:rowOff>196850</xdr:rowOff>
    </xdr:from>
    <xdr:to>
      <xdr:col>10</xdr:col>
      <xdr:colOff>317499</xdr:colOff>
      <xdr:row>18</xdr:row>
      <xdr:rowOff>66675</xdr:rowOff>
    </xdr:to>
    <xdr:sp macro="" textlink="">
      <xdr:nvSpPr>
        <xdr:cNvPr id="61" name="吹き出し: 角を丸めた四角形 6">
          <a:extLst>
            <a:ext uri="{FF2B5EF4-FFF2-40B4-BE49-F238E27FC236}">
              <a16:creationId xmlns:a16="http://schemas.microsoft.com/office/drawing/2014/main" id="{580EE964-3545-461A-9CA6-9C63B4132EF5}"/>
            </a:ext>
          </a:extLst>
        </xdr:cNvPr>
        <xdr:cNvSpPr/>
      </xdr:nvSpPr>
      <xdr:spPr>
        <a:xfrm>
          <a:off x="8134346" y="3854450"/>
          <a:ext cx="3527428" cy="327025"/>
        </a:xfrm>
        <a:prstGeom prst="wedgeRoundRectCallout">
          <a:avLst>
            <a:gd name="adj1" fmla="val -192717"/>
            <a:gd name="adj2" fmla="val 7930"/>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6</xdr:col>
      <xdr:colOff>0</xdr:colOff>
      <xdr:row>3</xdr:row>
      <xdr:rowOff>27216</xdr:rowOff>
    </xdr:from>
    <xdr:to>
      <xdr:col>10</xdr:col>
      <xdr:colOff>236923</xdr:colOff>
      <xdr:row>10</xdr:row>
      <xdr:rowOff>159018</xdr:rowOff>
    </xdr:to>
    <xdr:sp macro="" textlink="">
      <xdr:nvSpPr>
        <xdr:cNvPr id="72" name="テキスト ボックス 7">
          <a:extLst>
            <a:ext uri="{FF2B5EF4-FFF2-40B4-BE49-F238E27FC236}">
              <a16:creationId xmlns:a16="http://schemas.microsoft.com/office/drawing/2014/main" id="{66A35ECE-0AD5-41F3-8167-5352D17CB9B7}"/>
            </a:ext>
            <a:ext uri="{147F2762-F138-4A5C-976F-8EAC2B608ADB}">
              <a16:predDERef xmlns:a16="http://schemas.microsoft.com/office/drawing/2014/main" pred="{580EE964-3545-461A-9CA6-9C63B4132EF5}"/>
            </a:ext>
          </a:extLst>
        </xdr:cNvPr>
        <xdr:cNvSpPr txBox="1"/>
      </xdr:nvSpPr>
      <xdr:spPr>
        <a:xfrm>
          <a:off x="8708571" y="707573"/>
          <a:ext cx="2885781" cy="1719302"/>
        </a:xfrm>
        <a:prstGeom prst="rect">
          <a:avLst/>
        </a:prstGeom>
        <a:solidFill>
          <a:schemeClr val="accent4">
            <a:lumMod val="20000"/>
            <a:lumOff val="80000"/>
          </a:schemeClr>
        </a:solidFill>
        <a:ln/>
      </xdr:spPr>
      <xdr:style>
        <a:lnRef idx="2">
          <a:schemeClr val="accent4">
            <a:shade val="15000"/>
          </a:schemeClr>
        </a:lnRef>
        <a:fillRef idx="1">
          <a:schemeClr val="accent4"/>
        </a:fillRef>
        <a:effectRef idx="0">
          <a:schemeClr val="accent4"/>
        </a:effectRef>
        <a:fontRef idx="minor">
          <a:schemeClr val="lt1"/>
        </a:fontRef>
      </xdr:style>
      <xdr:txBody>
        <a:bodyPr spcFirstLastPara="0" vertOverflow="clip" horzOverflow="clip" wrap="square" lIns="91440" tIns="45720" rIns="91440" bIns="45720" rtlCol="0" anchor="t">
          <a:noAutofit/>
        </a:bodyPr>
        <a:lstStyle/>
        <a:p>
          <a:pPr marL="0" indent="0" algn="l"/>
          <a:r>
            <a:rPr lang="ja-JP" altLang="en-US" sz="1400" b="0" i="0" u="none" strike="noStrike">
              <a:solidFill>
                <a:srgbClr val="000000"/>
              </a:solidFill>
              <a:latin typeface="Meiryo UI" panose="020B0604030504040204" pitchFamily="50" charset="-128"/>
              <a:ea typeface="Meiryo UI" panose="020B0604030504040204" pitchFamily="50" charset="-128"/>
              <a:cs typeface="Calibri" panose="020F0502020204030204" pitchFamily="34" charset="0"/>
            </a:rPr>
            <a:t>本資料は、見積もり時にご確認いただきたい項目を記載した参考資料です。</a:t>
          </a:r>
        </a:p>
        <a:p>
          <a:pPr marL="0" indent="0" algn="l"/>
          <a:r>
            <a:rPr lang="ja-JP" altLang="en-US" sz="1400" b="0" i="0" u="none" strike="noStrike">
              <a:solidFill>
                <a:srgbClr val="000000"/>
              </a:solidFill>
              <a:latin typeface="Meiryo UI" panose="020B0604030504040204" pitchFamily="50" charset="-128"/>
              <a:ea typeface="Meiryo UI" panose="020B0604030504040204" pitchFamily="50" charset="-128"/>
              <a:cs typeface="Calibri" panose="020F0502020204030204" pitchFamily="34" charset="0"/>
            </a:rPr>
            <a:t>使用は任意ですが、記載項目は見積もり単価に含めるようお願いいたします。</a:t>
          </a:r>
        </a:p>
        <a:p>
          <a:pPr marL="0" indent="0" algn="l"/>
          <a:r>
            <a:rPr lang="ja-JP" altLang="en-US" sz="1400" b="0" i="0" u="none" strike="noStrike">
              <a:solidFill>
                <a:srgbClr val="000000"/>
              </a:solidFill>
              <a:latin typeface="Meiryo UI" panose="020B0604030504040204" pitchFamily="50" charset="-128"/>
              <a:ea typeface="Meiryo UI" panose="020B0604030504040204" pitchFamily="50" charset="-128"/>
              <a:cs typeface="Calibri" panose="020F0502020204030204" pitchFamily="34" charset="0"/>
            </a:rPr>
            <a:t>宿泊施設様に応じてご編集ください。</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1057275</xdr:colOff>
      <xdr:row>31</xdr:row>
      <xdr:rowOff>136523</xdr:rowOff>
    </xdr:from>
    <xdr:to>
      <xdr:col>8</xdr:col>
      <xdr:colOff>549276</xdr:colOff>
      <xdr:row>36</xdr:row>
      <xdr:rowOff>22224</xdr:rowOff>
    </xdr:to>
    <xdr:sp macro="" textlink="">
      <xdr:nvSpPr>
        <xdr:cNvPr id="25" name="吹き出し: 角を丸めた四角形 7">
          <a:extLst>
            <a:ext uri="{FF2B5EF4-FFF2-40B4-BE49-F238E27FC236}">
              <a16:creationId xmlns:a16="http://schemas.microsoft.com/office/drawing/2014/main" id="{522B18E0-4F40-4529-94BD-B7FEA3A90DEA}"/>
            </a:ext>
          </a:extLst>
        </xdr:cNvPr>
        <xdr:cNvSpPr/>
      </xdr:nvSpPr>
      <xdr:spPr>
        <a:xfrm>
          <a:off x="7543800" y="7223123"/>
          <a:ext cx="3035301" cy="1028701"/>
        </a:xfrm>
        <a:prstGeom prst="wedgeRoundRectCallout">
          <a:avLst>
            <a:gd name="adj1" fmla="val -82864"/>
            <a:gd name="adj2" fmla="val -14619"/>
            <a:gd name="adj3" fmla="val 16667"/>
          </a:avLst>
        </a:prstGeom>
        <a:solidFill>
          <a:schemeClr val="accent5">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今後、組織委員会が金額の精査、事前承認を行う。</a:t>
          </a:r>
          <a:endParaRPr kumimoji="1" lang="en-US" altLang="ja-JP" sz="1100"/>
        </a:p>
        <a:p>
          <a:pPr algn="l"/>
          <a:r>
            <a:rPr kumimoji="1" lang="ja-JP" altLang="en-US" sz="1100"/>
            <a:t>（別紙</a:t>
          </a:r>
          <a:r>
            <a:rPr kumimoji="1" lang="en-US" altLang="ja-JP" sz="1100"/>
            <a:t>2</a:t>
          </a:r>
          <a:r>
            <a:rPr kumimoji="1" lang="ja-JP" altLang="en-US" sz="1100"/>
            <a:t>の単価欄には記載せず）</a:t>
          </a:r>
        </a:p>
      </xdr:txBody>
    </xdr:sp>
    <xdr:clientData/>
  </xdr:twoCellAnchor>
  <xdr:twoCellAnchor>
    <xdr:from>
      <xdr:col>6</xdr:col>
      <xdr:colOff>174624</xdr:colOff>
      <xdr:row>21</xdr:row>
      <xdr:rowOff>123825</xdr:rowOff>
    </xdr:from>
    <xdr:to>
      <xdr:col>11</xdr:col>
      <xdr:colOff>301627</xdr:colOff>
      <xdr:row>22</xdr:row>
      <xdr:rowOff>225425</xdr:rowOff>
    </xdr:to>
    <xdr:sp macro="" textlink="">
      <xdr:nvSpPr>
        <xdr:cNvPr id="24" name="吹き出し: 角を丸めた四角形 8">
          <a:extLst>
            <a:ext uri="{FF2B5EF4-FFF2-40B4-BE49-F238E27FC236}">
              <a16:creationId xmlns:a16="http://schemas.microsoft.com/office/drawing/2014/main" id="{693D40AE-DE7F-4104-9176-8732249F3D56}"/>
            </a:ext>
          </a:extLst>
        </xdr:cNvPr>
        <xdr:cNvSpPr/>
      </xdr:nvSpPr>
      <xdr:spPr>
        <a:xfrm>
          <a:off x="8889999" y="4924425"/>
          <a:ext cx="3413128" cy="330200"/>
        </a:xfrm>
        <a:prstGeom prst="wedgeRoundRectCallout">
          <a:avLst>
            <a:gd name="adj1" fmla="val -210751"/>
            <a:gd name="adj2" fmla="val 3142"/>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6</xdr:col>
      <xdr:colOff>174624</xdr:colOff>
      <xdr:row>14</xdr:row>
      <xdr:rowOff>85725</xdr:rowOff>
    </xdr:from>
    <xdr:to>
      <xdr:col>11</xdr:col>
      <xdr:colOff>434977</xdr:colOff>
      <xdr:row>15</xdr:row>
      <xdr:rowOff>187325</xdr:rowOff>
    </xdr:to>
    <xdr:sp macro="" textlink="">
      <xdr:nvSpPr>
        <xdr:cNvPr id="21" name="吹き出し: 角を丸めた四角形 9">
          <a:extLst>
            <a:ext uri="{FF2B5EF4-FFF2-40B4-BE49-F238E27FC236}">
              <a16:creationId xmlns:a16="http://schemas.microsoft.com/office/drawing/2014/main" id="{A10B4FA8-FF5C-4BB4-A0DB-761A8FB6F64F}"/>
            </a:ext>
          </a:extLst>
        </xdr:cNvPr>
        <xdr:cNvSpPr/>
      </xdr:nvSpPr>
      <xdr:spPr>
        <a:xfrm>
          <a:off x="8889999" y="3286125"/>
          <a:ext cx="3546478" cy="330200"/>
        </a:xfrm>
        <a:prstGeom prst="wedgeRoundRectCallout">
          <a:avLst>
            <a:gd name="adj1" fmla="val -206758"/>
            <a:gd name="adj2" fmla="val 22493"/>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6</xdr:col>
      <xdr:colOff>184149</xdr:colOff>
      <xdr:row>15</xdr:row>
      <xdr:rowOff>142875</xdr:rowOff>
    </xdr:from>
    <xdr:to>
      <xdr:col>11</xdr:col>
      <xdr:colOff>415927</xdr:colOff>
      <xdr:row>17</xdr:row>
      <xdr:rowOff>15875</xdr:rowOff>
    </xdr:to>
    <xdr:sp macro="" textlink="">
      <xdr:nvSpPr>
        <xdr:cNvPr id="22" name="吹き出し: 角を丸めた四角形 10">
          <a:extLst>
            <a:ext uri="{FF2B5EF4-FFF2-40B4-BE49-F238E27FC236}">
              <a16:creationId xmlns:a16="http://schemas.microsoft.com/office/drawing/2014/main" id="{E4446157-1A8D-4D3E-8237-0C4C30285037}"/>
            </a:ext>
          </a:extLst>
        </xdr:cNvPr>
        <xdr:cNvSpPr/>
      </xdr:nvSpPr>
      <xdr:spPr>
        <a:xfrm>
          <a:off x="8899524" y="3571875"/>
          <a:ext cx="3517903" cy="330200"/>
        </a:xfrm>
        <a:prstGeom prst="wedgeRoundRectCallout">
          <a:avLst>
            <a:gd name="adj1" fmla="val -206758"/>
            <a:gd name="adj2" fmla="val 22493"/>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6</xdr:col>
      <xdr:colOff>193673</xdr:colOff>
      <xdr:row>16</xdr:row>
      <xdr:rowOff>168275</xdr:rowOff>
    </xdr:from>
    <xdr:to>
      <xdr:col>11</xdr:col>
      <xdr:colOff>434976</xdr:colOff>
      <xdr:row>18</xdr:row>
      <xdr:rowOff>38100</xdr:rowOff>
    </xdr:to>
    <xdr:sp macro="" textlink="">
      <xdr:nvSpPr>
        <xdr:cNvPr id="23" name="吹き出し: 角を丸めた四角形 11">
          <a:extLst>
            <a:ext uri="{FF2B5EF4-FFF2-40B4-BE49-F238E27FC236}">
              <a16:creationId xmlns:a16="http://schemas.microsoft.com/office/drawing/2014/main" id="{0E852FCF-E35C-4A2D-A309-13DA986421AA}"/>
            </a:ext>
          </a:extLst>
        </xdr:cNvPr>
        <xdr:cNvSpPr/>
      </xdr:nvSpPr>
      <xdr:spPr>
        <a:xfrm>
          <a:off x="8909048" y="3825875"/>
          <a:ext cx="3527428" cy="327025"/>
        </a:xfrm>
        <a:prstGeom prst="wedgeRoundRectCallout">
          <a:avLst>
            <a:gd name="adj1" fmla="val -192717"/>
            <a:gd name="adj2" fmla="val 7930"/>
            <a:gd name="adj3" fmla="val 16667"/>
          </a:avLst>
        </a:prstGeom>
        <a:solidFill>
          <a:srgbClr val="CC99FF"/>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t>別紙</a:t>
          </a:r>
          <a:r>
            <a:rPr kumimoji="1" lang="en-US" altLang="ja-JP" sz="1100"/>
            <a:t>2</a:t>
          </a:r>
          <a:r>
            <a:rPr kumimoji="1" lang="ja-JP" altLang="en-US" sz="1100"/>
            <a:t>の単価欄に記載される金額イメージ</a:t>
          </a:r>
        </a:p>
      </xdr:txBody>
    </xdr:sp>
    <xdr:clientData/>
  </xdr:twoCellAnchor>
  <xdr:twoCellAnchor>
    <xdr:from>
      <xdr:col>6</xdr:col>
      <xdr:colOff>22412</xdr:colOff>
      <xdr:row>3</xdr:row>
      <xdr:rowOff>22412</xdr:rowOff>
    </xdr:from>
    <xdr:to>
      <xdr:col>10</xdr:col>
      <xdr:colOff>295622</xdr:colOff>
      <xdr:row>10</xdr:row>
      <xdr:rowOff>154214</xdr:rowOff>
    </xdr:to>
    <xdr:sp macro="" textlink="">
      <xdr:nvSpPr>
        <xdr:cNvPr id="26" name="テキスト ボックス 7">
          <a:extLst>
            <a:ext uri="{FF2B5EF4-FFF2-40B4-BE49-F238E27FC236}">
              <a16:creationId xmlns:a16="http://schemas.microsoft.com/office/drawing/2014/main" id="{70D7B9FF-1079-42CC-A816-352F1DC8ADDD}"/>
            </a:ext>
            <a:ext uri="{147F2762-F138-4A5C-976F-8EAC2B608ADB}">
              <a16:predDERef xmlns:a16="http://schemas.microsoft.com/office/drawing/2014/main" pred="{580EE964-3545-461A-9CA6-9C63B4132EF5}"/>
            </a:ext>
          </a:extLst>
        </xdr:cNvPr>
        <xdr:cNvSpPr txBox="1"/>
      </xdr:nvSpPr>
      <xdr:spPr>
        <a:xfrm>
          <a:off x="8721912" y="702769"/>
          <a:ext cx="2885781" cy="1719302"/>
        </a:xfrm>
        <a:prstGeom prst="rect">
          <a:avLst/>
        </a:prstGeom>
        <a:solidFill>
          <a:schemeClr val="accent4">
            <a:lumMod val="20000"/>
            <a:lumOff val="80000"/>
          </a:schemeClr>
        </a:solidFill>
        <a:ln/>
      </xdr:spPr>
      <xdr:style>
        <a:lnRef idx="2">
          <a:schemeClr val="accent4">
            <a:shade val="15000"/>
          </a:schemeClr>
        </a:lnRef>
        <a:fillRef idx="1">
          <a:schemeClr val="accent4"/>
        </a:fillRef>
        <a:effectRef idx="0">
          <a:schemeClr val="accent4"/>
        </a:effectRef>
        <a:fontRef idx="minor">
          <a:schemeClr val="lt1"/>
        </a:fontRef>
      </xdr:style>
      <xdr:txBody>
        <a:bodyPr spcFirstLastPara="0" vertOverflow="clip" horzOverflow="clip" wrap="square" lIns="91440" tIns="45720" rIns="91440" bIns="45720" rtlCol="0" anchor="t">
          <a:noAutofit/>
        </a:bodyPr>
        <a:lstStyle/>
        <a:p>
          <a:pPr marL="0" indent="0" algn="l"/>
          <a:r>
            <a:rPr lang="ja-JP" altLang="en-US" sz="1400" b="0" i="0" u="none" strike="noStrike">
              <a:solidFill>
                <a:srgbClr val="000000"/>
              </a:solidFill>
              <a:latin typeface="Meiryo UI" panose="020B0604030504040204" pitchFamily="50" charset="-128"/>
              <a:ea typeface="Meiryo UI" panose="020B0604030504040204" pitchFamily="50" charset="-128"/>
              <a:cs typeface="Calibri" panose="020F0502020204030204" pitchFamily="34" charset="0"/>
            </a:rPr>
            <a:t>本資料は、見積もり時にご確認いただきたい項目を記載した参考資料です。</a:t>
          </a:r>
        </a:p>
        <a:p>
          <a:pPr marL="0" indent="0" algn="l"/>
          <a:r>
            <a:rPr lang="ja-JP" altLang="en-US" sz="1400" b="0" i="0" u="none" strike="noStrike">
              <a:solidFill>
                <a:srgbClr val="000000"/>
              </a:solidFill>
              <a:latin typeface="Meiryo UI" panose="020B0604030504040204" pitchFamily="50" charset="-128"/>
              <a:ea typeface="Meiryo UI" panose="020B0604030504040204" pitchFamily="50" charset="-128"/>
              <a:cs typeface="Calibri" panose="020F0502020204030204" pitchFamily="34" charset="0"/>
            </a:rPr>
            <a:t>使用は任意ですが、記載項目は見積もり単価に含めるようお願いいたします。</a:t>
          </a:r>
        </a:p>
        <a:p>
          <a:pPr marL="0" indent="0" algn="l"/>
          <a:r>
            <a:rPr lang="ja-JP" altLang="en-US" sz="1400" b="0" i="0" u="none" strike="noStrike">
              <a:solidFill>
                <a:srgbClr val="000000"/>
              </a:solidFill>
              <a:latin typeface="Meiryo UI" panose="020B0604030504040204" pitchFamily="50" charset="-128"/>
              <a:ea typeface="Meiryo UI" panose="020B0604030504040204" pitchFamily="50" charset="-128"/>
              <a:cs typeface="Calibri" panose="020F0502020204030204" pitchFamily="34" charset="0"/>
            </a:rPr>
            <a:t>宿泊施設様に応じてご編集ください。</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Kato-pc5-2\d\&#9734;&#31481;&#30000;&#36991;&#38627;\&#9733;&#23550;&#24540;&#29289;&#20214;\2019&#24180;&#24230;(82)\&#23546;&#19979;_&#12450;&#12472;&#12450;&#22823;&#20250;&#36015;&#30041;\MVP\&#12467;&#12500;&#12540;MVP-&#31309;-Ver3_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D:\M.Uchida\Other\&#21508;&#31278;&#35336;&#31639;&#26360;&#31561;\&#27010;&#31639;&#24037;&#20107;&#36027;\&#23567;&#21475;&#24452;&#31649;&#25512;&#36914;&#24037;&#27861;&#65288;&#39640;&#32784;&#33655;&#21147;&#26041;&#24335;&#65289;\&#23567;&#12539;&#39640;&#12539;&#12458;&#12540;&#12460;&#19968;&#24037;&#3124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Kato-pc5-2\d\&#9734;&#31481;&#30000;&#36991;&#38627;\&#9733;&#23550;&#24540;&#29289;&#20214;\2019&#24180;&#24230;(82)\&#23546;&#19979;_&#12450;&#12472;&#12450;&#22823;&#20250;&#36015;&#30041;\CW\CW&#27010;&#31639;&#24037;&#20107;&#36027;&#31639;&#20986;&#65288;&#20196;&#21644;&#20803;&#24180;&#24230;&#65289;_20190625.xlsm" TargetMode="External"/></Relationships>
</file>

<file path=xl/externalLinks/_rels/externalLink4.xml.rels><?xml version="1.0" encoding="UTF-8" standalone="yes"?>
<Relationships xmlns="http://schemas.openxmlformats.org/package/2006/relationships"><Relationship Id="rId2" Type="http://schemas.openxmlformats.org/officeDocument/2006/relationships/externalLinkPath" Target="file:///\\172.16.1.253\Public\002_&#32076;&#21942;&#20225;&#30011;&#35506;(&#35506;&#20869;&#12398;&#12415;&#20844;&#38283;)\002_&#32076;&#21942;G(&#12464;&#12523;&#12540;&#12503;&#20869;&#20844;&#38283;)\006_FIN\&#36001;&#25919;&#35336;&#30011;\&#12450;&#12472;&#12450;\&#9734;20230524&#21508;&#35506;&#20869;&#31034;&#38989;&#36890;&#30693;&#29992;\&#9733;&#21508;&#35506;&#36865;&#20184;&#29992;\&#9733;&#20840;&#20307;&#19968;&#35239;&#34920;\&#12450;&#12472;&#12450;\&#20840;&#20307;&#19968;&#35239;&#34920;(&#12450;&#12472;&#12450;).xlsx" TargetMode="External"/><Relationship Id="rId1" Type="http://schemas.openxmlformats.org/officeDocument/2006/relationships/externalLinkPath" Target="https://ainagoc2026.sharepoint.com/002_&#32076;&#21942;&#20225;&#30011;&#35506;(&#35506;&#20869;&#12398;&#12415;&#20844;&#38283;)/002_&#32076;&#21942;G(&#12464;&#12523;&#12540;&#12503;&#20869;&#20844;&#38283;)/006_FIN/&#36001;&#25919;&#35336;&#30011;/&#12450;&#12472;&#12450;/&#9734;20230524&#21508;&#35506;&#20869;&#31034;&#38989;&#36890;&#30693;&#29992;/&#9733;&#21508;&#35506;&#36865;&#20184;&#29992;/&#9733;&#20840;&#20307;&#19968;&#35239;&#34920;/&#12450;&#12472;&#12450;/&#20840;&#20307;&#19968;&#35239;&#34920;(&#12450;&#12472;&#12450;).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容量_はじめに"/>
      <sheetName val="容量_sub"/>
      <sheetName val="容量_mst"/>
      <sheetName val="表STD工事費"/>
      <sheetName val="mst_FB000"/>
      <sheetName val="mst_FB600"/>
      <sheetName val="はじめに"/>
      <sheetName val="【入力】概要"/>
      <sheetName val="&quot;概算工事費&quot;マクロについて"/>
      <sheetName val="mst_単価"/>
      <sheetName val="mst_労務"/>
      <sheetName val="【入力】標準組立図"/>
      <sheetName val="mst_営業所"/>
      <sheetName val="工事価格算出"/>
      <sheetName val="参_底版鉄筋"/>
      <sheetName val="【追加入力】異形平面の場合"/>
      <sheetName val="mst_土被り毎"/>
      <sheetName val="【入力】詳細"/>
      <sheetName val="容量_出力"/>
      <sheetName val="数量計算書"/>
      <sheetName val="部材名一覧"/>
      <sheetName val="数量計算書_組立図ツール連動用"/>
      <sheetName val="参考_より線"/>
      <sheetName val="参考_PC鋼棒"/>
      <sheetName val="mst"/>
      <sheetName val="mst製品質量"/>
      <sheetName val="表紙甲"/>
      <sheetName val="表紙乙【入力】"/>
      <sheetName val="本工事内訳書【入力】"/>
      <sheetName val="本工事内訳書【入力】 (2)"/>
      <sheetName val="内訳表"/>
      <sheetName val="単価表"/>
      <sheetName val="参_単価表(非公開)"/>
      <sheetName val="施工日数(入力)"/>
      <sheetName val="施工日数(出力)"/>
      <sheetName val="Sheet1"/>
      <sheetName val="技開用_概略図"/>
      <sheetName val="参_縦締め材数量"/>
      <sheetName val="参_ふた、端面D規格"/>
      <sheetName val="参_ふた部材重量"/>
    </sheetNames>
    <sheetDataSet>
      <sheetData sheetId="0" refreshError="1"/>
      <sheetData sheetId="1" refreshError="1"/>
      <sheetData sheetId="2" refreshError="1"/>
      <sheetData sheetId="3" refreshError="1"/>
      <sheetData sheetId="4" refreshError="1">
        <row r="3">
          <cell r="B3" t="str">
            <v>容量</v>
          </cell>
          <cell r="C3" t="str">
            <v>規格高</v>
          </cell>
          <cell r="D3" t="str">
            <v>ふた幅</v>
          </cell>
          <cell r="E3" t="str">
            <v>列当り本体数</v>
          </cell>
          <cell r="F3" t="str">
            <v>ふた列数</v>
          </cell>
          <cell r="G3" t="str">
            <v>連通管数</v>
          </cell>
          <cell r="H3" t="str">
            <v>底版厚</v>
          </cell>
          <cell r="I3" t="str">
            <v>レッカー</v>
          </cell>
          <cell r="J3" t="str">
            <v>実容量m3</v>
          </cell>
          <cell r="K3" t="str">
            <v>新図番</v>
          </cell>
          <cell r="L3" t="str">
            <v>pdf</v>
          </cell>
          <cell r="M3" t="str">
            <v>青森</v>
          </cell>
          <cell r="N3" t="str">
            <v>岩手</v>
          </cell>
          <cell r="O3" t="str">
            <v>宮城</v>
          </cell>
          <cell r="P3" t="str">
            <v>宮城(豪雪地)</v>
          </cell>
          <cell r="Q3" t="str">
            <v>秋田</v>
          </cell>
          <cell r="R3" t="str">
            <v>山形</v>
          </cell>
          <cell r="S3" t="str">
            <v>福島</v>
          </cell>
          <cell r="T3" t="str">
            <v>福島(豪雪地)</v>
          </cell>
          <cell r="U3" t="str">
            <v>茨城</v>
          </cell>
          <cell r="V3" t="str">
            <v>栃木</v>
          </cell>
          <cell r="W3" t="str">
            <v>群馬</v>
          </cell>
          <cell r="X3" t="str">
            <v>埼玉</v>
          </cell>
          <cell r="Y3" t="str">
            <v>千葉</v>
          </cell>
          <cell r="Z3" t="str">
            <v>東京</v>
          </cell>
          <cell r="AA3" t="str">
            <v>神奈川</v>
          </cell>
          <cell r="AB3" t="str">
            <v>山梨</v>
          </cell>
          <cell r="AC3" t="str">
            <v>長野</v>
          </cell>
          <cell r="AD3" t="str">
            <v>新潟</v>
          </cell>
          <cell r="AE3" t="str">
            <v>富山</v>
          </cell>
          <cell r="AF3" t="str">
            <v>石川</v>
          </cell>
          <cell r="AG3" t="str">
            <v>岐阜</v>
          </cell>
          <cell r="AH3" t="str">
            <v>静岡</v>
          </cell>
          <cell r="AI3" t="str">
            <v>愛知</v>
          </cell>
          <cell r="AJ3" t="str">
            <v>三重</v>
          </cell>
          <cell r="AK3" t="str">
            <v>福井</v>
          </cell>
          <cell r="AL3" t="str">
            <v>滋賀</v>
          </cell>
          <cell r="AM3" t="str">
            <v>京都</v>
          </cell>
          <cell r="AN3" t="str">
            <v>大阪</v>
          </cell>
          <cell r="AO3" t="str">
            <v>兵庫</v>
          </cell>
          <cell r="AP3" t="str">
            <v>奈良</v>
          </cell>
          <cell r="AQ3" t="str">
            <v>和歌山</v>
          </cell>
          <cell r="AR3" t="str">
            <v>鳥取</v>
          </cell>
          <cell r="AS3" t="str">
            <v>島根</v>
          </cell>
          <cell r="AT3" t="str">
            <v>岡山</v>
          </cell>
          <cell r="AU3" t="str">
            <v>広島</v>
          </cell>
          <cell r="AV3" t="str">
            <v>山口</v>
          </cell>
          <cell r="AW3" t="str">
            <v>徳島</v>
          </cell>
          <cell r="AX3" t="str">
            <v>香川</v>
          </cell>
          <cell r="AY3" t="str">
            <v>愛媛</v>
          </cell>
          <cell r="AZ3" t="str">
            <v>高知</v>
          </cell>
        </row>
        <row r="4">
          <cell r="A4" t="str">
            <v>V0500H15B30</v>
          </cell>
          <cell r="B4">
            <v>500</v>
          </cell>
          <cell r="C4">
            <v>1500</v>
          </cell>
          <cell r="D4">
            <v>3000</v>
          </cell>
          <cell r="E4">
            <v>11</v>
          </cell>
          <cell r="F4">
            <v>2</v>
          </cell>
          <cell r="G4">
            <v>1</v>
          </cell>
          <cell r="H4">
            <v>350</v>
          </cell>
          <cell r="I4">
            <v>50</v>
          </cell>
          <cell r="J4">
            <v>529.1</v>
          </cell>
          <cell r="K4" t="str">
            <v>Q-11002853</v>
          </cell>
          <cell r="L4" t="str">
            <v>\\hokukon-net2\hop\Program\01_MVPシステム_容量別組立図\.\01_余裕高0_0m\pdf\FB0_0500m3-MVP-1500-組-B3000_Q-11002853.pdf</v>
          </cell>
          <cell r="M4">
            <v>2458.4499999999998</v>
          </cell>
          <cell r="N4">
            <v>2494.84</v>
          </cell>
          <cell r="O4">
            <v>2411.41</v>
          </cell>
          <cell r="P4">
            <v>2412.66</v>
          </cell>
          <cell r="Q4">
            <v>2476.6999999999998</v>
          </cell>
          <cell r="R4">
            <v>2449.7199999999998</v>
          </cell>
          <cell r="S4">
            <v>2443.0300000000002</v>
          </cell>
          <cell r="T4">
            <v>2444.56</v>
          </cell>
          <cell r="U4">
            <v>2432.21</v>
          </cell>
          <cell r="V4">
            <v>2418.7199999999998</v>
          </cell>
          <cell r="W4">
            <v>2436.37</v>
          </cell>
          <cell r="X4">
            <v>2446.9299999999998</v>
          </cell>
          <cell r="Y4">
            <v>2448.02</v>
          </cell>
          <cell r="Z4">
            <v>2528.96</v>
          </cell>
          <cell r="AA4">
            <v>2459.34</v>
          </cell>
          <cell r="AB4">
            <v>2466.8200000000002</v>
          </cell>
          <cell r="AC4">
            <v>2572.69</v>
          </cell>
          <cell r="AD4">
            <v>2428.86</v>
          </cell>
          <cell r="AE4">
            <v>2464.1999999999998</v>
          </cell>
          <cell r="AF4">
            <v>2559.77</v>
          </cell>
          <cell r="AG4">
            <v>2432.25</v>
          </cell>
          <cell r="AH4">
            <v>2458.2199999999998</v>
          </cell>
          <cell r="AI4">
            <v>2409.66</v>
          </cell>
          <cell r="AJ4">
            <v>2463.81</v>
          </cell>
          <cell r="AK4">
            <v>2355.2800000000002</v>
          </cell>
          <cell r="AL4">
            <v>2459.98</v>
          </cell>
          <cell r="AM4">
            <v>2577.54</v>
          </cell>
          <cell r="AN4">
            <v>2491.96</v>
          </cell>
          <cell r="AO4">
            <v>2521.85</v>
          </cell>
          <cell r="AP4">
            <v>2516.58</v>
          </cell>
          <cell r="AQ4">
            <v>2543.2199999999998</v>
          </cell>
          <cell r="AR4">
            <v>2444.66</v>
          </cell>
          <cell r="AS4">
            <v>2585.42</v>
          </cell>
          <cell r="AT4">
            <v>2507.42</v>
          </cell>
          <cell r="AU4">
            <v>2519.04</v>
          </cell>
          <cell r="AV4">
            <v>2552.13</v>
          </cell>
          <cell r="AW4">
            <v>2484.1999999999998</v>
          </cell>
          <cell r="AX4">
            <v>2349.1</v>
          </cell>
          <cell r="AY4">
            <v>2436.35</v>
          </cell>
          <cell r="AZ4">
            <v>2313.6799999999998</v>
          </cell>
          <cell r="BA4">
            <v>2683.9</v>
          </cell>
        </row>
        <row r="5">
          <cell r="A5" t="str">
            <v>V0500H15B25</v>
          </cell>
          <cell r="B5">
            <v>500</v>
          </cell>
          <cell r="C5">
            <v>1500</v>
          </cell>
          <cell r="D5">
            <v>2500</v>
          </cell>
          <cell r="E5">
            <v>12</v>
          </cell>
          <cell r="F5">
            <v>2</v>
          </cell>
          <cell r="G5">
            <v>1</v>
          </cell>
          <cell r="H5">
            <v>350</v>
          </cell>
          <cell r="I5">
            <v>50</v>
          </cell>
          <cell r="J5">
            <v>535.9</v>
          </cell>
          <cell r="K5" t="str">
            <v>Q-11002852</v>
          </cell>
          <cell r="L5" t="str">
            <v>\\hokukon-net2\hop\Program\01_MVPシステム_容量別組立図\.\01_余裕高0_0m\pdf\FB0_0500m3-MVP-1500-組-B2500_Q-11002852.pdf</v>
          </cell>
          <cell r="M5">
            <v>2523.21</v>
          </cell>
          <cell r="N5">
            <v>2560.11</v>
          </cell>
          <cell r="O5">
            <v>2475.6</v>
          </cell>
          <cell r="P5">
            <v>2476.87</v>
          </cell>
          <cell r="Q5">
            <v>2541.63</v>
          </cell>
          <cell r="R5">
            <v>2514.25</v>
          </cell>
          <cell r="S5">
            <v>2507.35</v>
          </cell>
          <cell r="T5">
            <v>2508.9</v>
          </cell>
          <cell r="U5">
            <v>2496.92</v>
          </cell>
          <cell r="V5">
            <v>2483.16</v>
          </cell>
          <cell r="W5">
            <v>2501.13</v>
          </cell>
          <cell r="X5">
            <v>2512.0500000000002</v>
          </cell>
          <cell r="Y5">
            <v>2513.1999999999998</v>
          </cell>
          <cell r="Z5">
            <v>2595.56</v>
          </cell>
          <cell r="AA5">
            <v>2525</v>
          </cell>
          <cell r="AB5">
            <v>2532.34</v>
          </cell>
          <cell r="AC5">
            <v>2639.56</v>
          </cell>
          <cell r="AD5">
            <v>2493.4299999999998</v>
          </cell>
          <cell r="AE5">
            <v>2529.48</v>
          </cell>
          <cell r="AF5">
            <v>2626.63</v>
          </cell>
          <cell r="AG5">
            <v>2497.3000000000002</v>
          </cell>
          <cell r="AH5">
            <v>2523.63</v>
          </cell>
          <cell r="AI5">
            <v>2474.4899999999998</v>
          </cell>
          <cell r="AJ5">
            <v>2529.21</v>
          </cell>
          <cell r="AK5">
            <v>2418.94</v>
          </cell>
          <cell r="AL5">
            <v>2525.06</v>
          </cell>
          <cell r="AM5">
            <v>2644.43</v>
          </cell>
          <cell r="AN5">
            <v>2557.59</v>
          </cell>
          <cell r="AO5">
            <v>2587.77</v>
          </cell>
          <cell r="AP5">
            <v>2582.5100000000002</v>
          </cell>
          <cell r="AQ5">
            <v>2609.62</v>
          </cell>
          <cell r="AR5">
            <v>2509.17</v>
          </cell>
          <cell r="AS5">
            <v>2652.12</v>
          </cell>
          <cell r="AT5">
            <v>2573.23</v>
          </cell>
          <cell r="AU5">
            <v>2585.08</v>
          </cell>
          <cell r="AV5">
            <v>2618.4</v>
          </cell>
          <cell r="AW5">
            <v>2549.52</v>
          </cell>
          <cell r="AX5">
            <v>2412.62</v>
          </cell>
          <cell r="AY5">
            <v>2500.88</v>
          </cell>
          <cell r="AZ5">
            <v>2376.5300000000002</v>
          </cell>
          <cell r="BA5">
            <v>2767.81</v>
          </cell>
        </row>
        <row r="6">
          <cell r="A6" t="str">
            <v>V0500H15B20</v>
          </cell>
          <cell r="B6">
            <v>500</v>
          </cell>
          <cell r="C6">
            <v>1500</v>
          </cell>
          <cell r="D6">
            <v>2000</v>
          </cell>
          <cell r="E6">
            <v>13</v>
          </cell>
          <cell r="F6">
            <v>2</v>
          </cell>
          <cell r="G6">
            <v>1</v>
          </cell>
          <cell r="H6">
            <v>350</v>
          </cell>
          <cell r="I6">
            <v>50</v>
          </cell>
          <cell r="J6">
            <v>536.70000000000005</v>
          </cell>
          <cell r="K6" t="str">
            <v>Q-11002851</v>
          </cell>
          <cell r="L6" t="str">
            <v>\\hokukon-net2\hop\Program\01_MVPシステム_容量別組立図\.\01_余裕高0_0m\pdf\FB0_0500m3-MVP-1500-組-B2000_Q-11002851.pdf</v>
          </cell>
          <cell r="M6">
            <v>2569.06</v>
          </cell>
          <cell r="N6">
            <v>2606.13</v>
          </cell>
          <cell r="O6">
            <v>2521.4</v>
          </cell>
          <cell r="P6">
            <v>2522.69</v>
          </cell>
          <cell r="Q6">
            <v>2587.4699999999998</v>
          </cell>
          <cell r="R6">
            <v>2559.92</v>
          </cell>
          <cell r="S6">
            <v>2552.83</v>
          </cell>
          <cell r="T6">
            <v>2554.38</v>
          </cell>
          <cell r="U6">
            <v>2543.15</v>
          </cell>
          <cell r="V6">
            <v>2529.1999999999998</v>
          </cell>
          <cell r="W6">
            <v>2547.35</v>
          </cell>
          <cell r="X6">
            <v>2558.6</v>
          </cell>
          <cell r="Y6">
            <v>2559.7800000000002</v>
          </cell>
          <cell r="Z6">
            <v>2642.86</v>
          </cell>
          <cell r="AA6">
            <v>2572.06</v>
          </cell>
          <cell r="AB6">
            <v>2579.09</v>
          </cell>
          <cell r="AC6">
            <v>2686.55</v>
          </cell>
          <cell r="AD6">
            <v>2539.39</v>
          </cell>
          <cell r="AE6">
            <v>2575.9</v>
          </cell>
          <cell r="AF6">
            <v>2673.74</v>
          </cell>
          <cell r="AG6">
            <v>2543.88</v>
          </cell>
          <cell r="AH6">
            <v>2570.36</v>
          </cell>
          <cell r="AI6">
            <v>2521.12</v>
          </cell>
          <cell r="AJ6">
            <v>2575.83</v>
          </cell>
          <cell r="AK6">
            <v>2464.81</v>
          </cell>
          <cell r="AL6">
            <v>2571.33</v>
          </cell>
          <cell r="AM6">
            <v>2691.45</v>
          </cell>
          <cell r="AN6">
            <v>2604.1799999999998</v>
          </cell>
          <cell r="AO6">
            <v>2634.28</v>
          </cell>
          <cell r="AP6">
            <v>2629.14</v>
          </cell>
          <cell r="AQ6">
            <v>2656.46</v>
          </cell>
          <cell r="AR6">
            <v>2554.89</v>
          </cell>
          <cell r="AS6">
            <v>2698.72</v>
          </cell>
          <cell r="AT6">
            <v>2619.75</v>
          </cell>
          <cell r="AU6">
            <v>2631.73</v>
          </cell>
          <cell r="AV6">
            <v>2664.91</v>
          </cell>
          <cell r="AW6">
            <v>2595.7199999999998</v>
          </cell>
          <cell r="AX6">
            <v>2458.33</v>
          </cell>
          <cell r="AY6">
            <v>2546.7199999999998</v>
          </cell>
          <cell r="AZ6">
            <v>2421.88</v>
          </cell>
          <cell r="BA6">
            <v>2830.45</v>
          </cell>
        </row>
        <row r="7">
          <cell r="A7" t="str">
            <v>V0500H20B30</v>
          </cell>
          <cell r="B7">
            <v>500</v>
          </cell>
          <cell r="C7">
            <v>2000</v>
          </cell>
          <cell r="D7">
            <v>3000</v>
          </cell>
          <cell r="E7">
            <v>14</v>
          </cell>
          <cell r="F7">
            <v>1</v>
          </cell>
          <cell r="G7">
            <v>1</v>
          </cell>
          <cell r="H7">
            <v>350</v>
          </cell>
          <cell r="I7">
            <v>50</v>
          </cell>
          <cell r="J7">
            <v>533.29999999999995</v>
          </cell>
          <cell r="K7" t="str">
            <v>Q-11002856</v>
          </cell>
          <cell r="L7" t="str">
            <v>\\hokukon-net2\hop\Program\01_MVPシステム_容量別組立図\.\01_余裕高0_0m\pdf\FB0_0500m3-MVP-2000-組-B3000_Q-11002856.pdf</v>
          </cell>
          <cell r="M7">
            <v>1998.01</v>
          </cell>
          <cell r="N7">
            <v>2026</v>
          </cell>
          <cell r="O7">
            <v>1961.9</v>
          </cell>
          <cell r="P7">
            <v>1962.87</v>
          </cell>
          <cell r="Q7">
            <v>2011.74</v>
          </cell>
          <cell r="R7">
            <v>1991.08</v>
          </cell>
          <cell r="S7">
            <v>1985.87</v>
          </cell>
          <cell r="T7">
            <v>1987.05</v>
          </cell>
          <cell r="U7">
            <v>1977.81</v>
          </cell>
          <cell r="V7">
            <v>1967.37</v>
          </cell>
          <cell r="W7">
            <v>1981.07</v>
          </cell>
          <cell r="X7">
            <v>1989.28</v>
          </cell>
          <cell r="Y7">
            <v>1990.05</v>
          </cell>
          <cell r="Z7">
            <v>2052.4</v>
          </cell>
          <cell r="AA7">
            <v>1998.87</v>
          </cell>
          <cell r="AB7">
            <v>2004.61</v>
          </cell>
          <cell r="AC7">
            <v>2085.89</v>
          </cell>
          <cell r="AD7">
            <v>1975.11</v>
          </cell>
          <cell r="AE7">
            <v>2002.49</v>
          </cell>
          <cell r="AF7">
            <v>2075.9899999999998</v>
          </cell>
          <cell r="AG7">
            <v>1977.95</v>
          </cell>
          <cell r="AH7">
            <v>1997.82</v>
          </cell>
          <cell r="AI7">
            <v>1960.67</v>
          </cell>
          <cell r="AJ7">
            <v>2002.19</v>
          </cell>
          <cell r="AK7">
            <v>1918.65</v>
          </cell>
          <cell r="AL7">
            <v>1999.2</v>
          </cell>
          <cell r="AM7">
            <v>2089.77</v>
          </cell>
          <cell r="AN7">
            <v>2023.98</v>
          </cell>
          <cell r="AO7">
            <v>2046.91</v>
          </cell>
          <cell r="AP7">
            <v>2042.88</v>
          </cell>
          <cell r="AQ7">
            <v>2063.46</v>
          </cell>
          <cell r="AR7">
            <v>1987.26</v>
          </cell>
          <cell r="AS7">
            <v>2095.59</v>
          </cell>
          <cell r="AT7">
            <v>2035.66</v>
          </cell>
          <cell r="AU7">
            <v>2044.59</v>
          </cell>
          <cell r="AV7">
            <v>2069.89</v>
          </cell>
          <cell r="AW7">
            <v>2017.65</v>
          </cell>
          <cell r="AX7">
            <v>1913.72</v>
          </cell>
          <cell r="AY7">
            <v>1980.77</v>
          </cell>
          <cell r="AZ7">
            <v>1886.35</v>
          </cell>
          <cell r="BA7">
            <v>2198.94</v>
          </cell>
        </row>
        <row r="8">
          <cell r="A8" t="str">
            <v>V0500H20B25</v>
          </cell>
          <cell r="B8">
            <v>500</v>
          </cell>
          <cell r="C8">
            <v>2000</v>
          </cell>
          <cell r="D8">
            <v>2500</v>
          </cell>
          <cell r="E8">
            <v>14</v>
          </cell>
          <cell r="F8">
            <v>1</v>
          </cell>
          <cell r="G8">
            <v>1</v>
          </cell>
          <cell r="H8">
            <v>350</v>
          </cell>
          <cell r="I8">
            <v>50</v>
          </cell>
          <cell r="J8">
            <v>503.8</v>
          </cell>
          <cell r="K8" t="str">
            <v>Q-11002855</v>
          </cell>
          <cell r="L8" t="str">
            <v>\\hokukon-net2\hop\Program\01_MVPシステム_容量別組立図\.\01_余裕高0_0m\pdf\FB0_0500m3-MVP-2000-組-B2500_Q-11002855.pdf</v>
          </cell>
          <cell r="M8">
            <v>1928.85</v>
          </cell>
          <cell r="N8">
            <v>1955.51</v>
          </cell>
          <cell r="O8">
            <v>1894.78</v>
          </cell>
          <cell r="P8">
            <v>1895.71</v>
          </cell>
          <cell r="Q8">
            <v>1941.84</v>
          </cell>
          <cell r="R8">
            <v>1922.19</v>
          </cell>
          <cell r="S8">
            <v>1917.08</v>
          </cell>
          <cell r="T8">
            <v>1918.21</v>
          </cell>
          <cell r="U8">
            <v>1910.26</v>
          </cell>
          <cell r="V8">
            <v>1900.23</v>
          </cell>
          <cell r="W8">
            <v>1913.29</v>
          </cell>
          <cell r="X8">
            <v>1921.4</v>
          </cell>
          <cell r="Y8">
            <v>1922.17</v>
          </cell>
          <cell r="Z8">
            <v>1981.68</v>
          </cell>
          <cell r="AA8">
            <v>1930.83</v>
          </cell>
          <cell r="AB8">
            <v>1936.03</v>
          </cell>
          <cell r="AC8">
            <v>2012.92</v>
          </cell>
          <cell r="AD8">
            <v>1907.22</v>
          </cell>
          <cell r="AE8">
            <v>1933.54</v>
          </cell>
          <cell r="AF8">
            <v>2003.61</v>
          </cell>
          <cell r="AG8">
            <v>1910.6</v>
          </cell>
          <cell r="AH8">
            <v>1929.51</v>
          </cell>
          <cell r="AI8">
            <v>1894.3</v>
          </cell>
          <cell r="AJ8">
            <v>1933.51</v>
          </cell>
          <cell r="AK8">
            <v>1853.97</v>
          </cell>
          <cell r="AL8">
            <v>1930.46</v>
          </cell>
          <cell r="AM8">
            <v>2016.71</v>
          </cell>
          <cell r="AN8">
            <v>1954.22</v>
          </cell>
          <cell r="AO8">
            <v>1975.81</v>
          </cell>
          <cell r="AP8">
            <v>1972.13</v>
          </cell>
          <cell r="AQ8">
            <v>1991.76</v>
          </cell>
          <cell r="AR8">
            <v>1918.59</v>
          </cell>
          <cell r="AS8">
            <v>2021.67</v>
          </cell>
          <cell r="AT8">
            <v>1965.03</v>
          </cell>
          <cell r="AU8">
            <v>1973.53</v>
          </cell>
          <cell r="AV8">
            <v>1997.32</v>
          </cell>
          <cell r="AW8">
            <v>1947.65</v>
          </cell>
          <cell r="AX8">
            <v>1848.95</v>
          </cell>
          <cell r="AY8">
            <v>1912.5</v>
          </cell>
          <cell r="AZ8">
            <v>1822.8</v>
          </cell>
          <cell r="BA8">
            <v>2130.6999999999998</v>
          </cell>
        </row>
        <row r="9">
          <cell r="A9" t="str">
            <v>V0500H20B20</v>
          </cell>
          <cell r="B9">
            <v>500</v>
          </cell>
          <cell r="C9">
            <v>2000</v>
          </cell>
          <cell r="D9">
            <v>2000</v>
          </cell>
          <cell r="E9">
            <v>15</v>
          </cell>
          <cell r="F9">
            <v>1</v>
          </cell>
          <cell r="G9">
            <v>1</v>
          </cell>
          <cell r="H9">
            <v>350</v>
          </cell>
          <cell r="I9">
            <v>50</v>
          </cell>
          <cell r="J9">
            <v>506.5</v>
          </cell>
          <cell r="K9" t="str">
            <v>Q-11002854</v>
          </cell>
          <cell r="L9" t="str">
            <v>\\hokukon-net2\hop\Program\01_MVPシステム_容量別組立図\.\01_余裕高0_0m\pdf\FB0_0500m3-MVP-2000-組-B2000_Q-11002854.pdf</v>
          </cell>
          <cell r="M9">
            <v>1973.83</v>
          </cell>
          <cell r="N9">
            <v>2000.74</v>
          </cell>
          <cell r="O9">
            <v>1939.52</v>
          </cell>
          <cell r="P9">
            <v>1940.46</v>
          </cell>
          <cell r="Q9">
            <v>1986.87</v>
          </cell>
          <cell r="R9">
            <v>1967.01</v>
          </cell>
          <cell r="S9">
            <v>1961.73</v>
          </cell>
          <cell r="T9">
            <v>1962.87</v>
          </cell>
          <cell r="U9">
            <v>1955.39</v>
          </cell>
          <cell r="V9">
            <v>1945.17</v>
          </cell>
          <cell r="W9">
            <v>1958.4</v>
          </cell>
          <cell r="X9">
            <v>1966.79</v>
          </cell>
          <cell r="Y9">
            <v>1967.59</v>
          </cell>
          <cell r="Z9">
            <v>2027.9</v>
          </cell>
          <cell r="AA9">
            <v>1976.59</v>
          </cell>
          <cell r="AB9">
            <v>1981.64</v>
          </cell>
          <cell r="AC9">
            <v>2059.09</v>
          </cell>
          <cell r="AD9">
            <v>1952.1</v>
          </cell>
          <cell r="AE9">
            <v>1978.86</v>
          </cell>
          <cell r="AF9">
            <v>2049.79</v>
          </cell>
          <cell r="AG9">
            <v>1955.92</v>
          </cell>
          <cell r="AH9">
            <v>1975.05</v>
          </cell>
          <cell r="AI9">
            <v>1939.57</v>
          </cell>
          <cell r="AJ9">
            <v>1978.99</v>
          </cell>
          <cell r="AK9">
            <v>1898.51</v>
          </cell>
          <cell r="AL9">
            <v>1975.73</v>
          </cell>
          <cell r="AM9">
            <v>2062.94</v>
          </cell>
          <cell r="AN9">
            <v>1999.84</v>
          </cell>
          <cell r="AO9">
            <v>2021.51</v>
          </cell>
          <cell r="AP9">
            <v>2017.88</v>
          </cell>
          <cell r="AQ9">
            <v>2037.77</v>
          </cell>
          <cell r="AR9">
            <v>1963.42</v>
          </cell>
          <cell r="AS9">
            <v>2067.63</v>
          </cell>
          <cell r="AT9">
            <v>2010.63</v>
          </cell>
          <cell r="AU9">
            <v>2019.26</v>
          </cell>
          <cell r="AV9">
            <v>2043.1</v>
          </cell>
          <cell r="AW9">
            <v>1992.92</v>
          </cell>
          <cell r="AX9">
            <v>1893.35</v>
          </cell>
          <cell r="AY9">
            <v>1957.34</v>
          </cell>
          <cell r="AZ9">
            <v>1866.79</v>
          </cell>
          <cell r="BA9">
            <v>2189.77</v>
          </cell>
        </row>
        <row r="10">
          <cell r="A10" t="str">
            <v>V0500H25B30</v>
          </cell>
          <cell r="B10">
            <v>500</v>
          </cell>
          <cell r="C10">
            <v>2500</v>
          </cell>
          <cell r="D10">
            <v>3000</v>
          </cell>
          <cell r="E10">
            <v>11</v>
          </cell>
          <cell r="F10">
            <v>2</v>
          </cell>
          <cell r="G10">
            <v>1</v>
          </cell>
          <cell r="H10">
            <v>300</v>
          </cell>
          <cell r="I10">
            <v>50</v>
          </cell>
          <cell r="J10">
            <v>532.9</v>
          </cell>
          <cell r="K10" t="str">
            <v>Q-11002859</v>
          </cell>
          <cell r="L10" t="str">
            <v>\\hokukon-net2\hop\Program\01_MVPシステム_容量別組立図\.\01_余裕高0_0m\pdf\FB0_0500m3-MVP-2500-組-B3000_Q-11002859.pdf</v>
          </cell>
          <cell r="M10">
            <v>2077.73</v>
          </cell>
          <cell r="N10">
            <v>2099.33</v>
          </cell>
          <cell r="O10">
            <v>2053.41</v>
          </cell>
          <cell r="P10">
            <v>2054.15</v>
          </cell>
          <cell r="Q10">
            <v>2088.13</v>
          </cell>
          <cell r="R10">
            <v>2072.41</v>
          </cell>
          <cell r="S10">
            <v>2067.19</v>
          </cell>
          <cell r="T10">
            <v>2068.08</v>
          </cell>
          <cell r="U10">
            <v>2071.44</v>
          </cell>
          <cell r="V10">
            <v>2062.35</v>
          </cell>
          <cell r="W10">
            <v>2072.9</v>
          </cell>
          <cell r="X10">
            <v>2083.0500000000002</v>
          </cell>
          <cell r="Y10">
            <v>2084.5300000000002</v>
          </cell>
          <cell r="Z10">
            <v>2134.35</v>
          </cell>
          <cell r="AA10">
            <v>2093.77</v>
          </cell>
          <cell r="AB10">
            <v>2094.88</v>
          </cell>
          <cell r="AC10">
            <v>2151.29</v>
          </cell>
          <cell r="AD10">
            <v>2062.6799999999998</v>
          </cell>
          <cell r="AE10">
            <v>2085.6</v>
          </cell>
          <cell r="AF10">
            <v>2143.29</v>
          </cell>
          <cell r="AG10">
            <v>2072.87</v>
          </cell>
          <cell r="AH10">
            <v>2089.06</v>
          </cell>
          <cell r="AI10">
            <v>2061.39</v>
          </cell>
          <cell r="AJ10">
            <v>2090.06</v>
          </cell>
          <cell r="AK10">
            <v>2025.73</v>
          </cell>
          <cell r="AL10">
            <v>2084.8000000000002</v>
          </cell>
          <cell r="AM10">
            <v>2154.0300000000002</v>
          </cell>
          <cell r="AN10">
            <v>2105.4299999999998</v>
          </cell>
          <cell r="AO10">
            <v>2120.17</v>
          </cell>
          <cell r="AP10">
            <v>2119.21</v>
          </cell>
          <cell r="AQ10">
            <v>2134.77</v>
          </cell>
          <cell r="AR10">
            <v>2071.2600000000002</v>
          </cell>
          <cell r="AS10">
            <v>2153.04</v>
          </cell>
          <cell r="AT10">
            <v>2110.81</v>
          </cell>
          <cell r="AU10">
            <v>2117.46</v>
          </cell>
          <cell r="AV10">
            <v>2134.7199999999998</v>
          </cell>
          <cell r="AW10">
            <v>2093.83</v>
          </cell>
          <cell r="AX10">
            <v>2017.99</v>
          </cell>
          <cell r="AY10">
            <v>2065.6999999999998</v>
          </cell>
          <cell r="AZ10">
            <v>1995.27</v>
          </cell>
          <cell r="BA10">
            <v>2294.42</v>
          </cell>
        </row>
        <row r="11">
          <cell r="A11" t="str">
            <v>V0500H25B25</v>
          </cell>
          <cell r="B11">
            <v>500</v>
          </cell>
          <cell r="C11">
            <v>2500</v>
          </cell>
          <cell r="D11">
            <v>2500</v>
          </cell>
          <cell r="E11">
            <v>12</v>
          </cell>
          <cell r="F11">
            <v>2</v>
          </cell>
          <cell r="G11">
            <v>1</v>
          </cell>
          <cell r="H11">
            <v>300</v>
          </cell>
          <cell r="I11">
            <v>50</v>
          </cell>
          <cell r="J11">
            <v>531.1</v>
          </cell>
          <cell r="K11" t="str">
            <v>Q-11002858</v>
          </cell>
          <cell r="L11" t="str">
            <v>\\hokukon-net2\hop\Program\01_MVPシステム_容量別組立図\.\01_余裕高0_0m\pdf\FB0_0500m3-MVP-2500-組-B2500_Q-11002858.pdf</v>
          </cell>
          <cell r="M11">
            <v>2130.67</v>
          </cell>
          <cell r="N11">
            <v>2152.2800000000002</v>
          </cell>
          <cell r="O11">
            <v>2106.54</v>
          </cell>
          <cell r="P11">
            <v>2107.29</v>
          </cell>
          <cell r="Q11">
            <v>2141.0100000000002</v>
          </cell>
          <cell r="R11">
            <v>2125.2600000000002</v>
          </cell>
          <cell r="S11">
            <v>2119.84</v>
          </cell>
          <cell r="T11">
            <v>2120.7399999999998</v>
          </cell>
          <cell r="U11">
            <v>2124.94</v>
          </cell>
          <cell r="V11">
            <v>2115.7399999999998</v>
          </cell>
          <cell r="W11">
            <v>2126.36</v>
          </cell>
          <cell r="X11">
            <v>2136.8200000000002</v>
          </cell>
          <cell r="Y11">
            <v>2138.33</v>
          </cell>
          <cell r="Z11">
            <v>2188.52</v>
          </cell>
          <cell r="AA11">
            <v>2147.98</v>
          </cell>
          <cell r="AB11">
            <v>2148.7800000000002</v>
          </cell>
          <cell r="AC11">
            <v>2204.9</v>
          </cell>
          <cell r="AD11">
            <v>2115.89</v>
          </cell>
          <cell r="AE11">
            <v>2139.13</v>
          </cell>
          <cell r="AF11">
            <v>2197.08</v>
          </cell>
          <cell r="AG11">
            <v>2126.73</v>
          </cell>
          <cell r="AH11">
            <v>2142.9499999999998</v>
          </cell>
          <cell r="AI11">
            <v>2115.39</v>
          </cell>
          <cell r="AJ11">
            <v>2143.79</v>
          </cell>
          <cell r="AK11">
            <v>2079.23</v>
          </cell>
          <cell r="AL11">
            <v>2138.21</v>
          </cell>
          <cell r="AM11">
            <v>2207.63</v>
          </cell>
          <cell r="AN11">
            <v>2159.02</v>
          </cell>
          <cell r="AO11">
            <v>2173.5300000000002</v>
          </cell>
          <cell r="AP11">
            <v>2172.73</v>
          </cell>
          <cell r="AQ11">
            <v>2188.38</v>
          </cell>
          <cell r="AR11">
            <v>2124.1799999999998</v>
          </cell>
          <cell r="AS11">
            <v>2206.17</v>
          </cell>
          <cell r="AT11">
            <v>2164.2399999999998</v>
          </cell>
          <cell r="AU11">
            <v>2170.96</v>
          </cell>
          <cell r="AV11">
            <v>2187.9299999999998</v>
          </cell>
          <cell r="AW11">
            <v>2147.0300000000002</v>
          </cell>
          <cell r="AX11">
            <v>2071.34</v>
          </cell>
          <cell r="AY11">
            <v>2118.7600000000002</v>
          </cell>
          <cell r="AZ11">
            <v>2048.4</v>
          </cell>
          <cell r="BA11">
            <v>2363.56</v>
          </cell>
        </row>
        <row r="12">
          <cell r="A12" t="str">
            <v>V0500H25B20</v>
          </cell>
          <cell r="B12">
            <v>500</v>
          </cell>
          <cell r="C12">
            <v>2500</v>
          </cell>
          <cell r="D12">
            <v>2000</v>
          </cell>
          <cell r="E12">
            <v>13</v>
          </cell>
          <cell r="F12">
            <v>2</v>
          </cell>
          <cell r="G12">
            <v>1</v>
          </cell>
          <cell r="H12">
            <v>300</v>
          </cell>
          <cell r="I12">
            <v>50</v>
          </cell>
          <cell r="J12">
            <v>521.9</v>
          </cell>
          <cell r="K12" t="str">
            <v>Q-11002857</v>
          </cell>
          <cell r="L12" t="str">
            <v>\\hokukon-net2\hop\Program\01_MVPシステム_容量別組立図\.\01_余裕高0_0m\pdf\FB0_0500m3-MVP-2500-組-B2000_Q-11002857.pdf</v>
          </cell>
          <cell r="M12">
            <v>2167.15</v>
          </cell>
          <cell r="N12">
            <v>2188.52</v>
          </cell>
          <cell r="O12">
            <v>2143.58</v>
          </cell>
          <cell r="P12">
            <v>2144.3200000000002</v>
          </cell>
          <cell r="Q12">
            <v>2177.2600000000002</v>
          </cell>
          <cell r="R12">
            <v>2161.64</v>
          </cell>
          <cell r="S12">
            <v>2156.11</v>
          </cell>
          <cell r="T12">
            <v>2157</v>
          </cell>
          <cell r="U12">
            <v>2162.2600000000002</v>
          </cell>
          <cell r="V12">
            <v>2153</v>
          </cell>
          <cell r="W12">
            <v>2163.6</v>
          </cell>
          <cell r="X12">
            <v>2174.33</v>
          </cell>
          <cell r="Y12">
            <v>2175.88</v>
          </cell>
          <cell r="Z12">
            <v>2225.89</v>
          </cell>
          <cell r="AA12">
            <v>2185.92</v>
          </cell>
          <cell r="AB12">
            <v>2186.27</v>
          </cell>
          <cell r="AC12">
            <v>2241.33</v>
          </cell>
          <cell r="AD12">
            <v>2152.86</v>
          </cell>
          <cell r="AE12">
            <v>2176.1999999999998</v>
          </cell>
          <cell r="AF12">
            <v>2233.79</v>
          </cell>
          <cell r="AG12">
            <v>2164.42</v>
          </cell>
          <cell r="AH12">
            <v>2180.52</v>
          </cell>
          <cell r="AI12">
            <v>2153.4499999999998</v>
          </cell>
          <cell r="AJ12">
            <v>2181.15</v>
          </cell>
          <cell r="AK12">
            <v>2117.08</v>
          </cell>
          <cell r="AL12">
            <v>2175.23</v>
          </cell>
          <cell r="AM12">
            <v>2244.0500000000002</v>
          </cell>
          <cell r="AN12">
            <v>2195.9899999999998</v>
          </cell>
          <cell r="AO12">
            <v>2210.08</v>
          </cell>
          <cell r="AP12">
            <v>2209.5</v>
          </cell>
          <cell r="AQ12">
            <v>2225.06</v>
          </cell>
          <cell r="AR12">
            <v>2160.6799999999998</v>
          </cell>
          <cell r="AS12">
            <v>2241.91</v>
          </cell>
          <cell r="AT12">
            <v>2200.9299999999998</v>
          </cell>
          <cell r="AU12">
            <v>2207.63</v>
          </cell>
          <cell r="AV12">
            <v>2224.02</v>
          </cell>
          <cell r="AW12">
            <v>2183.6</v>
          </cell>
          <cell r="AX12">
            <v>2109.0100000000002</v>
          </cell>
          <cell r="AY12">
            <v>2155.5100000000002</v>
          </cell>
          <cell r="AZ12">
            <v>2086.09</v>
          </cell>
          <cell r="BA12" t="e">
            <v>#N/A</v>
          </cell>
        </row>
        <row r="13">
          <cell r="A13" t="str">
            <v>V0500H30B30</v>
          </cell>
          <cell r="B13">
            <v>500</v>
          </cell>
          <cell r="C13">
            <v>3000</v>
          </cell>
          <cell r="D13">
            <v>3000</v>
          </cell>
          <cell r="E13">
            <v>9</v>
          </cell>
          <cell r="F13">
            <v>2</v>
          </cell>
          <cell r="G13">
            <v>1</v>
          </cell>
          <cell r="H13">
            <v>300</v>
          </cell>
          <cell r="I13">
            <v>50</v>
          </cell>
          <cell r="J13">
            <v>531.79999999999995</v>
          </cell>
          <cell r="K13" t="str">
            <v>Q-11002862</v>
          </cell>
          <cell r="L13" t="str">
            <v>\\hokukon-net2\hop\Program\01_MVPシステム_容量別組立図\.\01_余裕高0_0m\pdf\FB0_0500m3-MVP-3000-組-B3000_Q-11002862.pdf</v>
          </cell>
          <cell r="M13">
            <v>1914.43</v>
          </cell>
          <cell r="N13">
            <v>1932.96</v>
          </cell>
          <cell r="O13">
            <v>1895.01</v>
          </cell>
          <cell r="P13">
            <v>1895.64</v>
          </cell>
          <cell r="Q13">
            <v>1923.06</v>
          </cell>
          <cell r="R13">
            <v>1909.67</v>
          </cell>
          <cell r="S13">
            <v>1904.7</v>
          </cell>
          <cell r="T13">
            <v>1905.45</v>
          </cell>
          <cell r="U13">
            <v>1911.74</v>
          </cell>
          <cell r="V13">
            <v>1903.77</v>
          </cell>
          <cell r="W13">
            <v>1912.4</v>
          </cell>
          <cell r="X13">
            <v>1922.21</v>
          </cell>
          <cell r="Y13">
            <v>1923.72</v>
          </cell>
          <cell r="Z13">
            <v>1966.39</v>
          </cell>
          <cell r="AA13">
            <v>1932.32</v>
          </cell>
          <cell r="AB13">
            <v>1932.29</v>
          </cell>
          <cell r="AC13">
            <v>1978.11</v>
          </cell>
          <cell r="AD13">
            <v>1902.02</v>
          </cell>
          <cell r="AE13">
            <v>1922.42</v>
          </cell>
          <cell r="AF13">
            <v>1971.45</v>
          </cell>
          <cell r="AG13">
            <v>1913.23</v>
          </cell>
          <cell r="AH13">
            <v>1927.03</v>
          </cell>
          <cell r="AI13">
            <v>1904.15</v>
          </cell>
          <cell r="AJ13">
            <v>1927.13</v>
          </cell>
          <cell r="AK13">
            <v>1872.94</v>
          </cell>
          <cell r="AL13">
            <v>1922.33</v>
          </cell>
          <cell r="AM13">
            <v>1980.85</v>
          </cell>
          <cell r="AN13">
            <v>1940.54</v>
          </cell>
          <cell r="AO13">
            <v>1952.09</v>
          </cell>
          <cell r="AP13">
            <v>1951.7</v>
          </cell>
          <cell r="AQ13">
            <v>1964.98</v>
          </cell>
          <cell r="AR13">
            <v>1908.84</v>
          </cell>
          <cell r="AS13">
            <v>1977.5</v>
          </cell>
          <cell r="AT13">
            <v>1943.45</v>
          </cell>
          <cell r="AU13">
            <v>1948.95</v>
          </cell>
          <cell r="AV13">
            <v>1962.63</v>
          </cell>
          <cell r="AW13">
            <v>1928.18</v>
          </cell>
          <cell r="AX13">
            <v>1864.75</v>
          </cell>
          <cell r="AY13">
            <v>1904.23</v>
          </cell>
          <cell r="AZ13">
            <v>1845.26</v>
          </cell>
          <cell r="BA13" t="e">
            <v>#N/A</v>
          </cell>
        </row>
        <row r="14">
          <cell r="A14" t="str">
            <v>V0500H30B25</v>
          </cell>
          <cell r="B14">
            <v>500</v>
          </cell>
          <cell r="C14">
            <v>3000</v>
          </cell>
          <cell r="D14">
            <v>2500</v>
          </cell>
          <cell r="E14">
            <v>10</v>
          </cell>
          <cell r="F14">
            <v>2</v>
          </cell>
          <cell r="G14">
            <v>1</v>
          </cell>
          <cell r="H14">
            <v>300</v>
          </cell>
          <cell r="I14">
            <v>50</v>
          </cell>
          <cell r="J14">
            <v>538.9</v>
          </cell>
          <cell r="K14" t="str">
            <v>Q-11002861</v>
          </cell>
          <cell r="L14" t="str">
            <v>\\hokukon-net2\hop\Program\01_MVPシステム_容量別組立図\.\01_余裕高0_0m\pdf\FB0_0500m3-MVP-3000-組-B2500_Q-11002861.pdf</v>
          </cell>
          <cell r="M14">
            <v>1979.69</v>
          </cell>
          <cell r="N14">
            <v>1998.45</v>
          </cell>
          <cell r="O14">
            <v>1960.06</v>
          </cell>
          <cell r="P14">
            <v>1960.7</v>
          </cell>
          <cell r="Q14">
            <v>1988.41</v>
          </cell>
          <cell r="R14">
            <v>1974.83</v>
          </cell>
          <cell r="S14">
            <v>1969.7</v>
          </cell>
          <cell r="T14">
            <v>1970.48</v>
          </cell>
          <cell r="U14">
            <v>1977.21</v>
          </cell>
          <cell r="V14">
            <v>1969.06</v>
          </cell>
          <cell r="W14">
            <v>1977.91</v>
          </cell>
          <cell r="X14">
            <v>1987.98</v>
          </cell>
          <cell r="Y14">
            <v>1989.51</v>
          </cell>
          <cell r="Z14">
            <v>2032.98</v>
          </cell>
          <cell r="AA14">
            <v>1998.46</v>
          </cell>
          <cell r="AB14">
            <v>1998.29</v>
          </cell>
          <cell r="AC14">
            <v>2044.65</v>
          </cell>
          <cell r="AD14">
            <v>1967.26</v>
          </cell>
          <cell r="AE14">
            <v>1988.09</v>
          </cell>
          <cell r="AF14">
            <v>2037.97</v>
          </cell>
          <cell r="AG14">
            <v>1978.92</v>
          </cell>
          <cell r="AH14">
            <v>1992.99</v>
          </cell>
          <cell r="AI14">
            <v>1969.8</v>
          </cell>
          <cell r="AJ14">
            <v>1993.02</v>
          </cell>
          <cell r="AK14">
            <v>1937.86</v>
          </cell>
          <cell r="AL14">
            <v>1987.93</v>
          </cell>
          <cell r="AM14">
            <v>2047.37</v>
          </cell>
          <cell r="AN14">
            <v>2006.44</v>
          </cell>
          <cell r="AO14">
            <v>2018.07</v>
          </cell>
          <cell r="AP14">
            <v>2017.78</v>
          </cell>
          <cell r="AQ14">
            <v>2031.27</v>
          </cell>
          <cell r="AR14">
            <v>1974.02</v>
          </cell>
          <cell r="AS14">
            <v>2043.83</v>
          </cell>
          <cell r="AT14">
            <v>2009.41</v>
          </cell>
          <cell r="AU14">
            <v>2015.03</v>
          </cell>
          <cell r="AV14">
            <v>2028.77</v>
          </cell>
          <cell r="AW14">
            <v>1993.8</v>
          </cell>
          <cell r="AX14">
            <v>1929.58</v>
          </cell>
          <cell r="AY14">
            <v>1969.45</v>
          </cell>
          <cell r="AZ14">
            <v>1909.64</v>
          </cell>
          <cell r="BA14" t="e">
            <v>#N/A</v>
          </cell>
        </row>
        <row r="15">
          <cell r="A15" t="str">
            <v>V0500H30B20</v>
          </cell>
          <cell r="B15">
            <v>500</v>
          </cell>
          <cell r="C15">
            <v>3000</v>
          </cell>
          <cell r="D15">
            <v>2000</v>
          </cell>
          <cell r="E15">
            <v>11</v>
          </cell>
          <cell r="F15">
            <v>2</v>
          </cell>
          <cell r="G15">
            <v>1</v>
          </cell>
          <cell r="H15">
            <v>300</v>
          </cell>
          <cell r="I15">
            <v>50</v>
          </cell>
          <cell r="J15">
            <v>537</v>
          </cell>
          <cell r="K15" t="str">
            <v>Q-11002860</v>
          </cell>
          <cell r="L15" t="str">
            <v>\\hokukon-net2\hop\Program\01_MVPシステム_容量別組立図\.\01_余裕高0_0m\pdf\FB0_0500m3-MVP-3000-組-B2000_Q-11002860.pdf</v>
          </cell>
          <cell r="M15">
            <v>2034.64</v>
          </cell>
          <cell r="N15">
            <v>2053.39</v>
          </cell>
          <cell r="O15">
            <v>2015.24</v>
          </cell>
          <cell r="P15">
            <v>2015.88</v>
          </cell>
          <cell r="Q15">
            <v>2043.27</v>
          </cell>
          <cell r="R15">
            <v>2029.67</v>
          </cell>
          <cell r="S15">
            <v>2024.37</v>
          </cell>
          <cell r="T15">
            <v>2025.14</v>
          </cell>
          <cell r="U15">
            <v>2032.8</v>
          </cell>
          <cell r="V15">
            <v>2024.51</v>
          </cell>
          <cell r="W15">
            <v>2033.45</v>
          </cell>
          <cell r="X15">
            <v>2043.85</v>
          </cell>
          <cell r="Y15">
            <v>2045.42</v>
          </cell>
          <cell r="Z15">
            <v>2089.2600000000002</v>
          </cell>
          <cell r="AA15">
            <v>2054.83</v>
          </cell>
          <cell r="AB15">
            <v>2054.2800000000002</v>
          </cell>
          <cell r="AC15">
            <v>2100.2800000000002</v>
          </cell>
          <cell r="AD15">
            <v>2022.53</v>
          </cell>
          <cell r="AE15">
            <v>2043.67</v>
          </cell>
          <cell r="AF15">
            <v>2093.8200000000002</v>
          </cell>
          <cell r="AG15">
            <v>2034.89</v>
          </cell>
          <cell r="AH15">
            <v>2048.9899999999998</v>
          </cell>
          <cell r="AI15">
            <v>2025.95</v>
          </cell>
          <cell r="AJ15">
            <v>2048.84</v>
          </cell>
          <cell r="AK15">
            <v>1993.47</v>
          </cell>
          <cell r="AL15">
            <v>2043.4</v>
          </cell>
          <cell r="AM15">
            <v>2103.02</v>
          </cell>
          <cell r="AN15">
            <v>2062.09</v>
          </cell>
          <cell r="AO15">
            <v>2073.46</v>
          </cell>
          <cell r="AP15">
            <v>2073.34</v>
          </cell>
          <cell r="AQ15">
            <v>2086.92</v>
          </cell>
          <cell r="AR15">
            <v>2028.94</v>
          </cell>
          <cell r="AS15">
            <v>2098.92</v>
          </cell>
          <cell r="AT15">
            <v>2064.88</v>
          </cell>
          <cell r="AU15">
            <v>2070.56</v>
          </cell>
          <cell r="AV15">
            <v>2083.96</v>
          </cell>
          <cell r="AW15">
            <v>2049.02</v>
          </cell>
          <cell r="AX15">
            <v>1985</v>
          </cell>
          <cell r="AY15">
            <v>2024.54</v>
          </cell>
          <cell r="AZ15">
            <v>1964.86</v>
          </cell>
          <cell r="BA15" t="e">
            <v>#N/A</v>
          </cell>
        </row>
        <row r="16">
          <cell r="A16" t="str">
            <v>V0500H35B30</v>
          </cell>
          <cell r="B16">
            <v>500</v>
          </cell>
          <cell r="C16">
            <v>3500</v>
          </cell>
          <cell r="D16">
            <v>3000</v>
          </cell>
          <cell r="E16">
            <v>8</v>
          </cell>
          <cell r="F16">
            <v>2</v>
          </cell>
          <cell r="G16">
            <v>1</v>
          </cell>
          <cell r="H16">
            <v>300</v>
          </cell>
          <cell r="I16">
            <v>50</v>
          </cell>
          <cell r="J16">
            <v>557.70000000000005</v>
          </cell>
          <cell r="K16" t="str">
            <v>Q-11002865</v>
          </cell>
          <cell r="L16" t="str">
            <v>\\hokukon-net2\hop\Program\01_MVPシステム_容量別組立図\.\01_余裕高0_0m\pdf\FB0_0500m3-MVP-3500-組-B3000_Q-11002865.pdf</v>
          </cell>
          <cell r="M16">
            <v>1873.67</v>
          </cell>
          <cell r="N16">
            <v>1890.8</v>
          </cell>
          <cell r="O16">
            <v>1856.91</v>
          </cell>
          <cell r="P16">
            <v>1857.47</v>
          </cell>
          <cell r="Q16">
            <v>1881.41</v>
          </cell>
          <cell r="R16">
            <v>1869.24</v>
          </cell>
          <cell r="S16">
            <v>1864.35</v>
          </cell>
          <cell r="T16">
            <v>1865.04</v>
          </cell>
          <cell r="U16">
            <v>1873.1</v>
          </cell>
          <cell r="V16">
            <v>1865.62</v>
          </cell>
          <cell r="W16">
            <v>1873.34</v>
          </cell>
          <cell r="X16">
            <v>1883.05</v>
          </cell>
          <cell r="Y16">
            <v>1884.54</v>
          </cell>
          <cell r="Z16">
            <v>1923.71</v>
          </cell>
          <cell r="AA16">
            <v>1892.93</v>
          </cell>
          <cell r="AB16">
            <v>1892.26</v>
          </cell>
          <cell r="AC16">
            <v>1932.56</v>
          </cell>
          <cell r="AD16">
            <v>1862.47</v>
          </cell>
          <cell r="AE16">
            <v>1881.68</v>
          </cell>
          <cell r="AF16">
            <v>1926.49</v>
          </cell>
          <cell r="AG16">
            <v>1874.47</v>
          </cell>
          <cell r="AH16">
            <v>1887.31</v>
          </cell>
          <cell r="AI16">
            <v>1866.64</v>
          </cell>
          <cell r="AJ16">
            <v>1886.75</v>
          </cell>
          <cell r="AK16">
            <v>1837.53</v>
          </cell>
          <cell r="AL16">
            <v>1882.18</v>
          </cell>
          <cell r="AM16">
            <v>1935.31</v>
          </cell>
          <cell r="AN16">
            <v>1899.27</v>
          </cell>
          <cell r="AO16">
            <v>1909.12</v>
          </cell>
          <cell r="AP16">
            <v>1909.22</v>
          </cell>
          <cell r="AQ16">
            <v>1921.32</v>
          </cell>
          <cell r="AR16">
            <v>1868.49</v>
          </cell>
          <cell r="AS16">
            <v>1930.63</v>
          </cell>
          <cell r="AT16">
            <v>1900.74</v>
          </cell>
          <cell r="AU16">
            <v>1905.65</v>
          </cell>
          <cell r="AV16">
            <v>1917.57</v>
          </cell>
          <cell r="AW16">
            <v>1886.24</v>
          </cell>
          <cell r="AX16">
            <v>1829.02</v>
          </cell>
          <cell r="AY16">
            <v>1864.36</v>
          </cell>
          <cell r="AZ16">
            <v>1811.05</v>
          </cell>
          <cell r="BA16" t="e">
            <v>#N/A</v>
          </cell>
        </row>
        <row r="17">
          <cell r="A17" t="str">
            <v>V0500H35B25</v>
          </cell>
          <cell r="B17">
            <v>500</v>
          </cell>
          <cell r="C17">
            <v>3500</v>
          </cell>
          <cell r="D17">
            <v>2500</v>
          </cell>
          <cell r="E17">
            <v>14</v>
          </cell>
          <cell r="F17">
            <v>1</v>
          </cell>
          <cell r="G17">
            <v>1</v>
          </cell>
          <cell r="H17">
            <v>300</v>
          </cell>
          <cell r="I17">
            <v>50</v>
          </cell>
          <cell r="J17">
            <v>509.9</v>
          </cell>
          <cell r="K17" t="str">
            <v>Q-11002864</v>
          </cell>
          <cell r="L17" t="str">
            <v>\\hokukon-net2\hop\Program\01_MVPシステム_容量別組立図\.\01_余裕高0_0m\pdf\FB0_0500m3-MVP-3500-組-B2500_Q-11002864.pdf</v>
          </cell>
          <cell r="M17">
            <v>1771.55</v>
          </cell>
          <cell r="N17">
            <v>1787.13</v>
          </cell>
          <cell r="O17">
            <v>1755.15</v>
          </cell>
          <cell r="P17">
            <v>1755.67</v>
          </cell>
          <cell r="Q17">
            <v>1778.64</v>
          </cell>
          <cell r="R17">
            <v>1767.43</v>
          </cell>
          <cell r="S17">
            <v>1763.15</v>
          </cell>
          <cell r="T17">
            <v>1763.78</v>
          </cell>
          <cell r="U17">
            <v>1769.29</v>
          </cell>
          <cell r="V17">
            <v>1762.45</v>
          </cell>
          <cell r="W17">
            <v>1770</v>
          </cell>
          <cell r="X17">
            <v>1778.29</v>
          </cell>
          <cell r="Y17">
            <v>1779.53</v>
          </cell>
          <cell r="Z17">
            <v>1815.82</v>
          </cell>
          <cell r="AA17">
            <v>1787.11</v>
          </cell>
          <cell r="AB17">
            <v>1786.93</v>
          </cell>
          <cell r="AC17">
            <v>1825.64</v>
          </cell>
          <cell r="AD17">
            <v>1761.37</v>
          </cell>
          <cell r="AE17">
            <v>1778.68</v>
          </cell>
          <cell r="AF17">
            <v>1820.26</v>
          </cell>
          <cell r="AG17">
            <v>1770.92</v>
          </cell>
          <cell r="AH17">
            <v>1782.54</v>
          </cell>
          <cell r="AI17">
            <v>1763.39</v>
          </cell>
          <cell r="AJ17">
            <v>1782.64</v>
          </cell>
          <cell r="AK17">
            <v>1736.72</v>
          </cell>
          <cell r="AL17">
            <v>1778.3</v>
          </cell>
          <cell r="AM17">
            <v>1827.89</v>
          </cell>
          <cell r="AN17">
            <v>1793.75</v>
          </cell>
          <cell r="AO17">
            <v>1803.41</v>
          </cell>
          <cell r="AP17">
            <v>1803.18</v>
          </cell>
          <cell r="AQ17">
            <v>1814.52</v>
          </cell>
          <cell r="AR17">
            <v>1766.89</v>
          </cell>
          <cell r="AS17">
            <v>1825.12</v>
          </cell>
          <cell r="AT17">
            <v>1796.35</v>
          </cell>
          <cell r="AU17">
            <v>1801.18</v>
          </cell>
          <cell r="AV17">
            <v>1812.48</v>
          </cell>
          <cell r="AW17">
            <v>1783.42</v>
          </cell>
          <cell r="AX17">
            <v>1729.95</v>
          </cell>
          <cell r="AY17">
            <v>1763.03</v>
          </cell>
          <cell r="AZ17">
            <v>1713.36</v>
          </cell>
          <cell r="BA17" t="e">
            <v>#N/A</v>
          </cell>
        </row>
        <row r="18">
          <cell r="A18" t="str">
            <v>V0500H35B20</v>
          </cell>
          <cell r="B18">
            <v>500</v>
          </cell>
          <cell r="C18">
            <v>3500</v>
          </cell>
          <cell r="D18">
            <v>2000</v>
          </cell>
          <cell r="E18">
            <v>9</v>
          </cell>
          <cell r="F18">
            <v>2</v>
          </cell>
          <cell r="G18">
            <v>1</v>
          </cell>
          <cell r="H18">
            <v>300</v>
          </cell>
          <cell r="I18">
            <v>50</v>
          </cell>
          <cell r="J18">
            <v>520.70000000000005</v>
          </cell>
          <cell r="K18" t="str">
            <v>Q-11002863</v>
          </cell>
          <cell r="L18" t="str">
            <v>\\hokukon-net2\hop\Program\01_MVPシステム_容量別組立図\.\01_余裕高0_0m\pdf\FB0_0500m3-MVP-3500-組-B2000_Q-11002863.pdf</v>
          </cell>
          <cell r="M18">
            <v>1869.55</v>
          </cell>
          <cell r="N18">
            <v>1885.75</v>
          </cell>
          <cell r="O18">
            <v>1854.27</v>
          </cell>
          <cell r="P18">
            <v>1854.81</v>
          </cell>
          <cell r="Q18">
            <v>1876.73</v>
          </cell>
          <cell r="R18">
            <v>1865.22</v>
          </cell>
          <cell r="S18">
            <v>1860.29</v>
          </cell>
          <cell r="T18">
            <v>1860.93</v>
          </cell>
          <cell r="U18">
            <v>1870.38</v>
          </cell>
          <cell r="V18">
            <v>1863.11</v>
          </cell>
          <cell r="W18">
            <v>1870.47</v>
          </cell>
          <cell r="X18">
            <v>1880.28</v>
          </cell>
          <cell r="Y18">
            <v>1881.74</v>
          </cell>
          <cell r="Z18">
            <v>1919.27</v>
          </cell>
          <cell r="AA18">
            <v>1890.36</v>
          </cell>
          <cell r="AB18">
            <v>1889.12</v>
          </cell>
          <cell r="AC18">
            <v>1926.3</v>
          </cell>
          <cell r="AD18">
            <v>1859.41</v>
          </cell>
          <cell r="AE18">
            <v>1878.11</v>
          </cell>
          <cell r="AF18">
            <v>1920.78</v>
          </cell>
          <cell r="AG18">
            <v>1872.13</v>
          </cell>
          <cell r="AH18">
            <v>1884.39</v>
          </cell>
          <cell r="AI18">
            <v>1865.13</v>
          </cell>
          <cell r="AJ18">
            <v>1883.5</v>
          </cell>
          <cell r="AK18">
            <v>1836.77</v>
          </cell>
          <cell r="AL18">
            <v>1878.68</v>
          </cell>
          <cell r="AM18">
            <v>1928.99</v>
          </cell>
          <cell r="AN18">
            <v>1895.12</v>
          </cell>
          <cell r="AO18">
            <v>1903.94</v>
          </cell>
          <cell r="AP18">
            <v>1904.4</v>
          </cell>
          <cell r="AQ18">
            <v>1915.91</v>
          </cell>
          <cell r="AR18">
            <v>1864.63</v>
          </cell>
          <cell r="AS18">
            <v>1923.41</v>
          </cell>
          <cell r="AT18">
            <v>1895.98</v>
          </cell>
          <cell r="AU18">
            <v>1900.65</v>
          </cell>
          <cell r="AV18">
            <v>1911.35</v>
          </cell>
          <cell r="AW18">
            <v>1881.77</v>
          </cell>
          <cell r="AX18">
            <v>1828.2</v>
          </cell>
          <cell r="AY18">
            <v>1860.96</v>
          </cell>
          <cell r="AZ18">
            <v>1810.88</v>
          </cell>
          <cell r="BA18" t="e">
            <v>#N/A</v>
          </cell>
        </row>
        <row r="19">
          <cell r="A19" t="str">
            <v>V0500H40B30</v>
          </cell>
          <cell r="B19">
            <v>500</v>
          </cell>
          <cell r="C19">
            <v>4000</v>
          </cell>
          <cell r="D19">
            <v>3000</v>
          </cell>
          <cell r="E19">
            <v>7</v>
          </cell>
          <cell r="F19">
            <v>2</v>
          </cell>
          <cell r="G19">
            <v>1</v>
          </cell>
          <cell r="H19">
            <v>350</v>
          </cell>
          <cell r="I19">
            <v>70</v>
          </cell>
          <cell r="J19">
            <v>568.5</v>
          </cell>
          <cell r="K19" t="str">
            <v>Q-11002868</v>
          </cell>
          <cell r="L19" t="str">
            <v>\\hokukon-net2\hop\Program\01_MVPシステム_容量別組立図\.\01_余裕高0_0m\pdf\FB0_0500m3-MVP-4000-組-B3000_Q-11002868.pdf</v>
          </cell>
          <cell r="M19">
            <v>2048.8200000000002</v>
          </cell>
          <cell r="N19">
            <v>2066.33</v>
          </cell>
          <cell r="O19">
            <v>2032.83</v>
          </cell>
          <cell r="P19">
            <v>2033.39</v>
          </cell>
          <cell r="Q19">
            <v>2056.58</v>
          </cell>
          <cell r="R19">
            <v>2044.39</v>
          </cell>
          <cell r="S19">
            <v>2039.22</v>
          </cell>
          <cell r="T19">
            <v>2039.89</v>
          </cell>
          <cell r="U19">
            <v>2048.21</v>
          </cell>
          <cell r="V19">
            <v>2040.94</v>
          </cell>
          <cell r="W19">
            <v>2048.4699999999998</v>
          </cell>
          <cell r="X19">
            <v>2058.06</v>
          </cell>
          <cell r="Y19">
            <v>2059.23</v>
          </cell>
          <cell r="Z19">
            <v>2098.27</v>
          </cell>
          <cell r="AA19">
            <v>2067.81</v>
          </cell>
          <cell r="AB19">
            <v>2067.3000000000002</v>
          </cell>
          <cell r="AC19">
            <v>2106.54</v>
          </cell>
          <cell r="AD19">
            <v>2035.12</v>
          </cell>
          <cell r="AE19">
            <v>2054.96</v>
          </cell>
          <cell r="AF19">
            <v>2099.23</v>
          </cell>
          <cell r="AG19">
            <v>2046.96</v>
          </cell>
          <cell r="AH19">
            <v>2059.9299999999998</v>
          </cell>
          <cell r="AI19">
            <v>2039.52</v>
          </cell>
          <cell r="AJ19">
            <v>2058.88</v>
          </cell>
          <cell r="AK19">
            <v>2014.41</v>
          </cell>
          <cell r="AL19">
            <v>2059.0500000000002</v>
          </cell>
          <cell r="AM19">
            <v>2111.54</v>
          </cell>
          <cell r="AN19">
            <v>2076.12</v>
          </cell>
          <cell r="AO19">
            <v>2085.87</v>
          </cell>
          <cell r="AP19">
            <v>2086.04</v>
          </cell>
          <cell r="AQ19">
            <v>2098.31</v>
          </cell>
          <cell r="AR19">
            <v>2040.89</v>
          </cell>
          <cell r="AS19">
            <v>2102.3200000000002</v>
          </cell>
          <cell r="AT19">
            <v>2073.7600000000002</v>
          </cell>
          <cell r="AU19">
            <v>2078.37</v>
          </cell>
          <cell r="AV19">
            <v>2089.67</v>
          </cell>
          <cell r="AW19">
            <v>2058.16</v>
          </cell>
          <cell r="AX19">
            <v>2001.08</v>
          </cell>
          <cell r="AY19">
            <v>2036.1</v>
          </cell>
          <cell r="AZ19">
            <v>1983.06</v>
          </cell>
          <cell r="BA19" t="e">
            <v>#N/A</v>
          </cell>
        </row>
        <row r="20">
          <cell r="A20" t="str">
            <v>V0500H40B25</v>
          </cell>
          <cell r="B20">
            <v>500</v>
          </cell>
          <cell r="C20">
            <v>4000</v>
          </cell>
          <cell r="D20">
            <v>2500</v>
          </cell>
          <cell r="E20">
            <v>7</v>
          </cell>
          <cell r="F20">
            <v>2</v>
          </cell>
          <cell r="G20">
            <v>1</v>
          </cell>
          <cell r="H20">
            <v>350</v>
          </cell>
          <cell r="I20">
            <v>70</v>
          </cell>
          <cell r="J20">
            <v>522.5</v>
          </cell>
          <cell r="K20" t="str">
            <v>Q-11002867</v>
          </cell>
          <cell r="L20" t="str">
            <v>\\hokukon-net2\hop\Program\01_MVPシステム_容量別組立図\.\01_余裕高0_0m\pdf\FB0_0500m3-MVP-4000-組-B2500_Q-11002867.pdf</v>
          </cell>
          <cell r="M20">
            <v>1973.87</v>
          </cell>
          <cell r="N20">
            <v>1990.22</v>
          </cell>
          <cell r="O20">
            <v>1959.48</v>
          </cell>
          <cell r="P20">
            <v>1960.01</v>
          </cell>
          <cell r="Q20">
            <v>1981</v>
          </cell>
          <cell r="R20">
            <v>1969.62</v>
          </cell>
          <cell r="S20">
            <v>1964.59</v>
          </cell>
          <cell r="T20">
            <v>1965.2</v>
          </cell>
          <cell r="U20">
            <v>1974.39</v>
          </cell>
          <cell r="V20">
            <v>1967.49</v>
          </cell>
          <cell r="W20">
            <v>1974.47</v>
          </cell>
          <cell r="X20">
            <v>1983.9</v>
          </cell>
          <cell r="Y20">
            <v>1985.06</v>
          </cell>
          <cell r="Z20">
            <v>2021.73</v>
          </cell>
          <cell r="AA20">
            <v>1993.5</v>
          </cell>
          <cell r="AB20">
            <v>1992.59</v>
          </cell>
          <cell r="AC20">
            <v>2028.29</v>
          </cell>
          <cell r="AD20">
            <v>1961.19</v>
          </cell>
          <cell r="AE20">
            <v>1980.11</v>
          </cell>
          <cell r="AF20">
            <v>2021.5</v>
          </cell>
          <cell r="AG20">
            <v>1973.31</v>
          </cell>
          <cell r="AH20">
            <v>1985.47</v>
          </cell>
          <cell r="AI20">
            <v>1966.69</v>
          </cell>
          <cell r="AJ20">
            <v>1984.16</v>
          </cell>
          <cell r="AK20">
            <v>1943.01</v>
          </cell>
          <cell r="AL20">
            <v>1984.32</v>
          </cell>
          <cell r="AM20">
            <v>2033.18</v>
          </cell>
          <cell r="AN20">
            <v>2000.49</v>
          </cell>
          <cell r="AO20">
            <v>2009.15</v>
          </cell>
          <cell r="AP20">
            <v>2009.58</v>
          </cell>
          <cell r="AQ20">
            <v>2021.05</v>
          </cell>
          <cell r="AR20">
            <v>1966.28</v>
          </cell>
          <cell r="AS20">
            <v>2023.37</v>
          </cell>
          <cell r="AT20">
            <v>1997.48</v>
          </cell>
          <cell r="AU20">
            <v>2001.74</v>
          </cell>
          <cell r="AV20">
            <v>2011.84</v>
          </cell>
          <cell r="AW20">
            <v>1982.48</v>
          </cell>
          <cell r="AX20">
            <v>1929.73</v>
          </cell>
          <cell r="AY20">
            <v>1961.86</v>
          </cell>
          <cell r="AZ20">
            <v>1912.73</v>
          </cell>
          <cell r="BA20" t="e">
            <v>#N/A</v>
          </cell>
        </row>
        <row r="21">
          <cell r="A21" t="str">
            <v>V0500H40B20</v>
          </cell>
          <cell r="B21">
            <v>500</v>
          </cell>
          <cell r="C21">
            <v>4000</v>
          </cell>
          <cell r="D21">
            <v>2000</v>
          </cell>
          <cell r="E21">
            <v>8</v>
          </cell>
          <cell r="F21">
            <v>2</v>
          </cell>
          <cell r="G21">
            <v>1</v>
          </cell>
          <cell r="H21">
            <v>350</v>
          </cell>
          <cell r="I21">
            <v>70</v>
          </cell>
          <cell r="J21">
            <v>539</v>
          </cell>
          <cell r="K21" t="str">
            <v>Q-11002866</v>
          </cell>
          <cell r="L21" t="str">
            <v>\\hokukon-net2\hop\Program\01_MVPシステム_容量別組立図\.\01_余裕高0_0m\pdf\FB0_0500m3-MVP-4000-組-B2000_Q-11002866.pdf</v>
          </cell>
          <cell r="M21">
            <v>2082.59</v>
          </cell>
          <cell r="N21">
            <v>2099.37</v>
          </cell>
          <cell r="O21">
            <v>2067.73</v>
          </cell>
          <cell r="P21">
            <v>2068.2600000000002</v>
          </cell>
          <cell r="Q21">
            <v>2089.9</v>
          </cell>
          <cell r="R21">
            <v>2078.17</v>
          </cell>
          <cell r="S21">
            <v>2072.94</v>
          </cell>
          <cell r="T21">
            <v>2073.59</v>
          </cell>
          <cell r="U21">
            <v>2083.14</v>
          </cell>
          <cell r="V21">
            <v>2076</v>
          </cell>
          <cell r="W21">
            <v>2083.2600000000002</v>
          </cell>
          <cell r="X21">
            <v>2093.0100000000002</v>
          </cell>
          <cell r="Y21">
            <v>2094.2399999999998</v>
          </cell>
          <cell r="Z21">
            <v>2132.13</v>
          </cell>
          <cell r="AA21">
            <v>2103.08</v>
          </cell>
          <cell r="AB21">
            <v>2102.0500000000002</v>
          </cell>
          <cell r="AC21">
            <v>2138.84</v>
          </cell>
          <cell r="AD21">
            <v>2069.62</v>
          </cell>
          <cell r="AE21">
            <v>2089.14</v>
          </cell>
          <cell r="AF21">
            <v>2131.87</v>
          </cell>
          <cell r="AG21">
            <v>2082.11</v>
          </cell>
          <cell r="AH21">
            <v>2094.62</v>
          </cell>
          <cell r="AI21">
            <v>2075.33</v>
          </cell>
          <cell r="AJ21">
            <v>2093.3000000000002</v>
          </cell>
          <cell r="AK21">
            <v>2050.96</v>
          </cell>
          <cell r="AL21">
            <v>2093.4699999999998</v>
          </cell>
          <cell r="AM21">
            <v>2143.88</v>
          </cell>
          <cell r="AN21">
            <v>2110.1</v>
          </cell>
          <cell r="AO21">
            <v>2119.02</v>
          </cell>
          <cell r="AP21">
            <v>2119.48</v>
          </cell>
          <cell r="AQ21">
            <v>2131.35</v>
          </cell>
          <cell r="AR21">
            <v>2074.6999999999998</v>
          </cell>
          <cell r="AS21">
            <v>2133.62</v>
          </cell>
          <cell r="AT21">
            <v>2106.96</v>
          </cell>
          <cell r="AU21">
            <v>2111.4</v>
          </cell>
          <cell r="AV21">
            <v>2121.73</v>
          </cell>
          <cell r="AW21">
            <v>2091.4499999999998</v>
          </cell>
          <cell r="AX21">
            <v>2037.2</v>
          </cell>
          <cell r="AY21">
            <v>2070.16</v>
          </cell>
          <cell r="AZ21">
            <v>2019.58</v>
          </cell>
          <cell r="BA21" t="e">
            <v>#N/A</v>
          </cell>
        </row>
        <row r="22">
          <cell r="A22" t="str">
            <v>V0500H45B30</v>
          </cell>
          <cell r="B22">
            <v>500</v>
          </cell>
          <cell r="C22">
            <v>4500</v>
          </cell>
          <cell r="D22">
            <v>3000</v>
          </cell>
          <cell r="E22">
            <v>6</v>
          </cell>
          <cell r="F22">
            <v>2</v>
          </cell>
          <cell r="G22">
            <v>1</v>
          </cell>
          <cell r="H22">
            <v>350</v>
          </cell>
          <cell r="I22">
            <v>70</v>
          </cell>
          <cell r="J22">
            <v>556.9</v>
          </cell>
          <cell r="K22" t="str">
            <v>Q-11002871</v>
          </cell>
          <cell r="L22" t="str">
            <v>\\hokukon-net2\hop\Program\01_MVPシステム_容量別組立図\.\01_余裕高0_0m\pdf\FB0_0500m3-MVP-4500-組-B3000_Q-11002871.pdf</v>
          </cell>
          <cell r="M22">
            <v>1972.11</v>
          </cell>
          <cell r="N22">
            <v>1987.87</v>
          </cell>
          <cell r="O22">
            <v>1958.92</v>
          </cell>
          <cell r="P22">
            <v>1959.42</v>
          </cell>
          <cell r="Q22">
            <v>1978.82</v>
          </cell>
          <cell r="R22">
            <v>1967.86</v>
          </cell>
          <cell r="S22">
            <v>1962.76</v>
          </cell>
          <cell r="T22">
            <v>1963.34</v>
          </cell>
          <cell r="U22">
            <v>1973.88</v>
          </cell>
          <cell r="V22">
            <v>1967.18</v>
          </cell>
          <cell r="W22">
            <v>1973.67</v>
          </cell>
          <cell r="X22">
            <v>1983.31</v>
          </cell>
          <cell r="Y22">
            <v>1984.47</v>
          </cell>
          <cell r="Z22">
            <v>2019.79</v>
          </cell>
          <cell r="AA22">
            <v>1992.96</v>
          </cell>
          <cell r="AB22">
            <v>1991.68</v>
          </cell>
          <cell r="AC22">
            <v>2024.71</v>
          </cell>
          <cell r="AD22">
            <v>1959.92</v>
          </cell>
          <cell r="AE22">
            <v>1978.48</v>
          </cell>
          <cell r="AF22">
            <v>2018.2</v>
          </cell>
          <cell r="AG22">
            <v>1972.85</v>
          </cell>
          <cell r="AH22">
            <v>1984.54</v>
          </cell>
          <cell r="AI22">
            <v>1966.75</v>
          </cell>
          <cell r="AJ22">
            <v>1982.95</v>
          </cell>
          <cell r="AK22">
            <v>1943.77</v>
          </cell>
          <cell r="AL22">
            <v>1982.96</v>
          </cell>
          <cell r="AM22">
            <v>2029.66</v>
          </cell>
          <cell r="AN22">
            <v>1998.86</v>
          </cell>
          <cell r="AO22">
            <v>2006.76</v>
          </cell>
          <cell r="AP22">
            <v>2007.36</v>
          </cell>
          <cell r="AQ22">
            <v>2018.37</v>
          </cell>
          <cell r="AR22">
            <v>1964.55</v>
          </cell>
          <cell r="AS22">
            <v>2018.87</v>
          </cell>
          <cell r="AT22">
            <v>1994.91</v>
          </cell>
          <cell r="AU22">
            <v>1998.88</v>
          </cell>
          <cell r="AV22">
            <v>2008.23</v>
          </cell>
          <cell r="AW22">
            <v>1980.19</v>
          </cell>
          <cell r="AX22">
            <v>1930.14</v>
          </cell>
          <cell r="AY22">
            <v>1960.32</v>
          </cell>
          <cell r="AZ22">
            <v>1913.7</v>
          </cell>
          <cell r="BA22" t="e">
            <v>#N/A</v>
          </cell>
        </row>
        <row r="23">
          <cell r="A23" t="str">
            <v>V0500H45B25</v>
          </cell>
          <cell r="B23">
            <v>500</v>
          </cell>
          <cell r="C23">
            <v>4500</v>
          </cell>
          <cell r="D23">
            <v>2500</v>
          </cell>
          <cell r="E23">
            <v>11</v>
          </cell>
          <cell r="F23">
            <v>1</v>
          </cell>
          <cell r="G23">
            <v>1</v>
          </cell>
          <cell r="H23">
            <v>350</v>
          </cell>
          <cell r="I23">
            <v>70</v>
          </cell>
          <cell r="J23">
            <v>526.70000000000005</v>
          </cell>
          <cell r="K23" t="str">
            <v>Q-11002870</v>
          </cell>
          <cell r="L23" t="str">
            <v>\\hokukon-net2\hop\Program\01_MVPシステム_容量別組立図\.\01_余裕高0_0m\pdf\FB0_0500m3-MVP-4500-組-B2500_Q-11002870.pdf</v>
          </cell>
          <cell r="M23">
            <v>1901.17</v>
          </cell>
          <cell r="N23">
            <v>1915.65</v>
          </cell>
          <cell r="O23">
            <v>1887.37</v>
          </cell>
          <cell r="P23">
            <v>1887.84</v>
          </cell>
          <cell r="Q23">
            <v>1907.56</v>
          </cell>
          <cell r="R23">
            <v>1897.32</v>
          </cell>
          <cell r="S23">
            <v>1892.97</v>
          </cell>
          <cell r="T23">
            <v>1893.54</v>
          </cell>
          <cell r="U23">
            <v>1900.1</v>
          </cell>
          <cell r="V23">
            <v>1894</v>
          </cell>
          <cell r="W23">
            <v>1900.66</v>
          </cell>
          <cell r="X23">
            <v>1908.57</v>
          </cell>
          <cell r="Y23">
            <v>1909.47</v>
          </cell>
          <cell r="Z23">
            <v>1942.56</v>
          </cell>
          <cell r="AA23">
            <v>1916.88</v>
          </cell>
          <cell r="AB23">
            <v>1916.5</v>
          </cell>
          <cell r="AC23">
            <v>1949.87</v>
          </cell>
          <cell r="AD23">
            <v>1889.82</v>
          </cell>
          <cell r="AE23">
            <v>1906.44</v>
          </cell>
          <cell r="AF23">
            <v>1943.89</v>
          </cell>
          <cell r="AG23">
            <v>1899.4</v>
          </cell>
          <cell r="AH23">
            <v>1910.15</v>
          </cell>
          <cell r="AI23">
            <v>1893.12</v>
          </cell>
          <cell r="AJ23">
            <v>1909.49</v>
          </cell>
          <cell r="AK23">
            <v>1872.23</v>
          </cell>
          <cell r="AL23">
            <v>1909.63</v>
          </cell>
          <cell r="AM23">
            <v>1954.02</v>
          </cell>
          <cell r="AN23">
            <v>1923.97</v>
          </cell>
          <cell r="AO23">
            <v>1932.24</v>
          </cell>
          <cell r="AP23">
            <v>1932.29</v>
          </cell>
          <cell r="AQ23">
            <v>1942.79</v>
          </cell>
          <cell r="AR23">
            <v>1894.33</v>
          </cell>
          <cell r="AS23">
            <v>1946.46</v>
          </cell>
          <cell r="AT23">
            <v>1922.13</v>
          </cell>
          <cell r="AU23">
            <v>1926.19</v>
          </cell>
          <cell r="AV23">
            <v>1935.64</v>
          </cell>
          <cell r="AW23">
            <v>1909.05</v>
          </cell>
          <cell r="AX23">
            <v>1861.07</v>
          </cell>
          <cell r="AY23">
            <v>1890.27</v>
          </cell>
          <cell r="AZ23">
            <v>1845.75</v>
          </cell>
          <cell r="BA23" t="e">
            <v>#N/A</v>
          </cell>
        </row>
        <row r="24">
          <cell r="A24" t="str">
            <v>V0500H45B20</v>
          </cell>
          <cell r="B24">
            <v>500</v>
          </cell>
          <cell r="C24">
            <v>4500</v>
          </cell>
          <cell r="D24">
            <v>2000</v>
          </cell>
          <cell r="E24">
            <v>7</v>
          </cell>
          <cell r="F24">
            <v>2</v>
          </cell>
          <cell r="G24">
            <v>1</v>
          </cell>
          <cell r="H24">
            <v>350</v>
          </cell>
          <cell r="I24">
            <v>70</v>
          </cell>
          <cell r="J24">
            <v>537.20000000000005</v>
          </cell>
          <cell r="K24" t="str">
            <v>Q-11002869</v>
          </cell>
          <cell r="L24" t="str">
            <v>\\hokukon-net2\hop\Program\01_MVPシステム_容量別組立図\.\01_余裕高0_0m\pdf\FB0_0500m3-MVP-4500-組-B2000_Q-11002869.pdf</v>
          </cell>
          <cell r="M24">
            <v>2021.22</v>
          </cell>
          <cell r="N24">
            <v>2036.59</v>
          </cell>
          <cell r="O24">
            <v>2008.87</v>
          </cell>
          <cell r="P24">
            <v>2009.34</v>
          </cell>
          <cell r="Q24">
            <v>2027.65</v>
          </cell>
          <cell r="R24">
            <v>2016.97</v>
          </cell>
          <cell r="S24">
            <v>2011.77</v>
          </cell>
          <cell r="T24">
            <v>2012.34</v>
          </cell>
          <cell r="U24">
            <v>2023.98</v>
          </cell>
          <cell r="V24">
            <v>2017.28</v>
          </cell>
          <cell r="W24">
            <v>2023.65</v>
          </cell>
          <cell r="X24">
            <v>2033.54</v>
          </cell>
          <cell r="Y24">
            <v>2034.76</v>
          </cell>
          <cell r="Z24">
            <v>2069.48</v>
          </cell>
          <cell r="AA24">
            <v>2043.59</v>
          </cell>
          <cell r="AB24">
            <v>2041.79</v>
          </cell>
          <cell r="AC24">
            <v>2073.19</v>
          </cell>
          <cell r="AD24">
            <v>2009.55</v>
          </cell>
          <cell r="AE24">
            <v>2028.07</v>
          </cell>
          <cell r="AF24">
            <v>2066.9</v>
          </cell>
          <cell r="AG24">
            <v>2023.16</v>
          </cell>
          <cell r="AH24">
            <v>2034.61</v>
          </cell>
          <cell r="AI24">
            <v>2017.55</v>
          </cell>
          <cell r="AJ24">
            <v>2032.72</v>
          </cell>
          <cell r="AK24">
            <v>1994.94</v>
          </cell>
          <cell r="AL24">
            <v>2032.78</v>
          </cell>
          <cell r="AM24">
            <v>2078.2399999999998</v>
          </cell>
          <cell r="AN24">
            <v>2048.44</v>
          </cell>
          <cell r="AO24">
            <v>2055.71</v>
          </cell>
          <cell r="AP24">
            <v>2056.61</v>
          </cell>
          <cell r="AQ24">
            <v>2067.39</v>
          </cell>
          <cell r="AR24">
            <v>2013.65</v>
          </cell>
          <cell r="AS24">
            <v>2066.4699999999998</v>
          </cell>
          <cell r="AT24">
            <v>2043.85</v>
          </cell>
          <cell r="AU24">
            <v>2047.77</v>
          </cell>
          <cell r="AV24">
            <v>2056.33</v>
          </cell>
          <cell r="AW24">
            <v>2029.05</v>
          </cell>
          <cell r="AX24">
            <v>1980.82</v>
          </cell>
          <cell r="AY24">
            <v>2009.6</v>
          </cell>
          <cell r="AZ24">
            <v>1964.56</v>
          </cell>
          <cell r="BA24" t="e">
            <v>#N/A</v>
          </cell>
        </row>
        <row r="25">
          <cell r="A25" t="str">
            <v>V1000H15B30</v>
          </cell>
          <cell r="B25">
            <v>1000</v>
          </cell>
          <cell r="C25">
            <v>1500</v>
          </cell>
          <cell r="D25">
            <v>3000</v>
          </cell>
          <cell r="E25">
            <v>22</v>
          </cell>
          <cell r="F25">
            <v>2</v>
          </cell>
          <cell r="G25">
            <v>2</v>
          </cell>
          <cell r="H25">
            <v>350</v>
          </cell>
          <cell r="I25">
            <v>50</v>
          </cell>
          <cell r="J25">
            <v>1024.8</v>
          </cell>
          <cell r="K25" t="str">
            <v>Q-11002874</v>
          </cell>
          <cell r="L25" t="str">
            <v>\\hokukon-net2\hop\Program\01_MVPシステム_容量別組立図\.\01_余裕高0_0m\pdf\FB0_1000m3-MVP-1500-組-B3000_Q-11002874.pdf</v>
          </cell>
          <cell r="M25">
            <v>4468.57</v>
          </cell>
          <cell r="N25">
            <v>4536.1400000000003</v>
          </cell>
          <cell r="O25">
            <v>4376.9399999999996</v>
          </cell>
          <cell r="P25">
            <v>4379.32</v>
          </cell>
          <cell r="Q25">
            <v>4503.3</v>
          </cell>
          <cell r="R25">
            <v>4452.42</v>
          </cell>
          <cell r="S25">
            <v>4441.28</v>
          </cell>
          <cell r="T25">
            <v>4444.16</v>
          </cell>
          <cell r="U25">
            <v>4411.74</v>
          </cell>
          <cell r="V25">
            <v>4387.2</v>
          </cell>
          <cell r="W25">
            <v>4420.9799999999996</v>
          </cell>
          <cell r="X25">
            <v>4437.5200000000004</v>
          </cell>
          <cell r="Y25">
            <v>4439.2299999999996</v>
          </cell>
          <cell r="Z25">
            <v>4589.8</v>
          </cell>
          <cell r="AA25">
            <v>4458.84</v>
          </cell>
          <cell r="AB25">
            <v>4475.04</v>
          </cell>
          <cell r="AC25">
            <v>4679.12</v>
          </cell>
          <cell r="AD25">
            <v>4412.84</v>
          </cell>
          <cell r="AE25">
            <v>4476.5600000000004</v>
          </cell>
          <cell r="AF25">
            <v>4655.1899999999996</v>
          </cell>
          <cell r="AG25">
            <v>4411.9799999999996</v>
          </cell>
          <cell r="AH25">
            <v>4459.84</v>
          </cell>
          <cell r="AI25">
            <v>4367.91</v>
          </cell>
          <cell r="AJ25">
            <v>4472.46</v>
          </cell>
          <cell r="AK25">
            <v>4268.49</v>
          </cell>
          <cell r="AL25">
            <v>4465.96</v>
          </cell>
          <cell r="AM25">
            <v>4686.6400000000003</v>
          </cell>
          <cell r="AN25">
            <v>4523.9399999999996</v>
          </cell>
          <cell r="AO25">
            <v>4582.37</v>
          </cell>
          <cell r="AP25">
            <v>4570.8900000000003</v>
          </cell>
          <cell r="AQ25">
            <v>4620.88</v>
          </cell>
          <cell r="AR25">
            <v>4442.66</v>
          </cell>
          <cell r="AS25">
            <v>4708.32</v>
          </cell>
          <cell r="AT25">
            <v>4557.62</v>
          </cell>
          <cell r="AU25">
            <v>4580.22</v>
          </cell>
          <cell r="AV25">
            <v>4644.1499999999996</v>
          </cell>
          <cell r="AW25">
            <v>4516.8500000000004</v>
          </cell>
          <cell r="AX25">
            <v>4261.58</v>
          </cell>
          <cell r="AY25">
            <v>4427.2299999999996</v>
          </cell>
          <cell r="AZ25">
            <v>4196.04</v>
          </cell>
          <cell r="BA25" t="e">
            <v>#N/A</v>
          </cell>
        </row>
        <row r="26">
          <cell r="A26" t="str">
            <v>V1000H15B25</v>
          </cell>
          <cell r="B26">
            <v>1000</v>
          </cell>
          <cell r="C26">
            <v>1500</v>
          </cell>
          <cell r="D26">
            <v>2500</v>
          </cell>
          <cell r="E26">
            <v>24</v>
          </cell>
          <cell r="F26">
            <v>2</v>
          </cell>
          <cell r="G26">
            <v>2</v>
          </cell>
          <cell r="H26">
            <v>350</v>
          </cell>
          <cell r="I26">
            <v>50</v>
          </cell>
          <cell r="J26">
            <v>1040.7</v>
          </cell>
          <cell r="K26" t="str">
            <v>Q-11002873</v>
          </cell>
          <cell r="L26" t="str">
            <v>\\hokukon-net2\hop\Program\01_MVPシステム_容量別組立図\.\01_余裕高0_0m\pdf\FB0_1000m3-MVP-1500-組-B2500_Q-11002873.pdf</v>
          </cell>
          <cell r="M26">
            <v>4614.67</v>
          </cell>
          <cell r="N26">
            <v>4683.5200000000004</v>
          </cell>
          <cell r="O26">
            <v>4521.5600000000004</v>
          </cell>
          <cell r="P26">
            <v>4524</v>
          </cell>
          <cell r="Q26">
            <v>4649.91</v>
          </cell>
          <cell r="R26">
            <v>4598.0200000000004</v>
          </cell>
          <cell r="S26">
            <v>4586.3999999999996</v>
          </cell>
          <cell r="T26">
            <v>4589.34</v>
          </cell>
          <cell r="U26">
            <v>4557.6099999999997</v>
          </cell>
          <cell r="V26">
            <v>4532.3999999999996</v>
          </cell>
          <cell r="W26">
            <v>4566.95</v>
          </cell>
          <cell r="X26">
            <v>4584.29</v>
          </cell>
          <cell r="Y26">
            <v>4586.09</v>
          </cell>
          <cell r="Z26">
            <v>4740.12</v>
          </cell>
          <cell r="AA26">
            <v>4606.74</v>
          </cell>
          <cell r="AB26">
            <v>4622.7</v>
          </cell>
          <cell r="AC26">
            <v>4830.2700000000004</v>
          </cell>
          <cell r="AD26">
            <v>4558.32</v>
          </cell>
          <cell r="AE26">
            <v>4623.72</v>
          </cell>
          <cell r="AF26">
            <v>4806.1899999999996</v>
          </cell>
          <cell r="AG26">
            <v>4558.42</v>
          </cell>
          <cell r="AH26">
            <v>4607.2299999999996</v>
          </cell>
          <cell r="AI26">
            <v>4513.76</v>
          </cell>
          <cell r="AJ26">
            <v>4619.87</v>
          </cell>
          <cell r="AK26">
            <v>4411.6099999999997</v>
          </cell>
          <cell r="AL26">
            <v>4612.71</v>
          </cell>
          <cell r="AM26">
            <v>4837.92</v>
          </cell>
          <cell r="AN26">
            <v>4672.05</v>
          </cell>
          <cell r="AO26">
            <v>4731.29</v>
          </cell>
          <cell r="AP26">
            <v>4719.8</v>
          </cell>
          <cell r="AQ26">
            <v>4770.92</v>
          </cell>
          <cell r="AR26">
            <v>4588.2</v>
          </cell>
          <cell r="AS26">
            <v>4859.28</v>
          </cell>
          <cell r="AT26">
            <v>4706.17</v>
          </cell>
          <cell r="AU26">
            <v>4729.34</v>
          </cell>
          <cell r="AV26">
            <v>4793.99</v>
          </cell>
          <cell r="AW26">
            <v>4664.26</v>
          </cell>
          <cell r="AX26">
            <v>4404.3599999999997</v>
          </cell>
          <cell r="AY26">
            <v>4572.71</v>
          </cell>
          <cell r="AZ26">
            <v>4337.24</v>
          </cell>
          <cell r="BA26">
            <v>3671.63</v>
          </cell>
        </row>
        <row r="27">
          <cell r="A27" t="str">
            <v>V1000H15B20</v>
          </cell>
          <cell r="B27">
            <v>1000</v>
          </cell>
          <cell r="C27">
            <v>1500</v>
          </cell>
          <cell r="D27">
            <v>2000</v>
          </cell>
          <cell r="E27">
            <v>25</v>
          </cell>
          <cell r="F27">
            <v>2</v>
          </cell>
          <cell r="G27">
            <v>2</v>
          </cell>
          <cell r="H27">
            <v>350</v>
          </cell>
          <cell r="I27">
            <v>50</v>
          </cell>
          <cell r="J27">
            <v>1005.6</v>
          </cell>
          <cell r="K27" t="str">
            <v>Q-11002872</v>
          </cell>
          <cell r="L27" t="str">
            <v>\\hokukon-net2\hop\Program\01_MVPシステム_容量別組立図\.\01_余裕高0_0m\pdf\FB0_1000m3-MVP-1500-組-B2000_Q-11002872.pdf</v>
          </cell>
          <cell r="M27">
            <v>4560.78</v>
          </cell>
          <cell r="N27">
            <v>4627.76</v>
          </cell>
          <cell r="O27">
            <v>4470.8100000000004</v>
          </cell>
          <cell r="P27">
            <v>4473.17</v>
          </cell>
          <cell r="Q27">
            <v>4594.82</v>
          </cell>
          <cell r="R27">
            <v>4544.3500000000004</v>
          </cell>
          <cell r="S27">
            <v>4532.68</v>
          </cell>
          <cell r="T27">
            <v>4535.5200000000004</v>
          </cell>
          <cell r="U27">
            <v>4506.6899999999996</v>
          </cell>
          <cell r="V27">
            <v>4481.91</v>
          </cell>
          <cell r="W27">
            <v>4515.6499999999996</v>
          </cell>
          <cell r="X27">
            <v>4533.21</v>
          </cell>
          <cell r="Y27">
            <v>4535.04</v>
          </cell>
          <cell r="Z27">
            <v>4685.41</v>
          </cell>
          <cell r="AA27">
            <v>4555.93</v>
          </cell>
          <cell r="AB27">
            <v>4570.75</v>
          </cell>
          <cell r="AC27">
            <v>4771.67</v>
          </cell>
          <cell r="AD27">
            <v>4506.5</v>
          </cell>
          <cell r="AE27">
            <v>4570.74</v>
          </cell>
          <cell r="AF27">
            <v>4748.6000000000004</v>
          </cell>
          <cell r="AG27">
            <v>4508.1400000000003</v>
          </cell>
          <cell r="AH27">
            <v>4555.6499999999996</v>
          </cell>
          <cell r="AI27">
            <v>4465.08</v>
          </cell>
          <cell r="AJ27">
            <v>4567.58</v>
          </cell>
          <cell r="AK27">
            <v>4364.78</v>
          </cell>
          <cell r="AL27">
            <v>4559.97</v>
          </cell>
          <cell r="AM27">
            <v>4779.2</v>
          </cell>
          <cell r="AN27">
            <v>4618.09</v>
          </cell>
          <cell r="AO27">
            <v>4675.1499999999996</v>
          </cell>
          <cell r="AP27">
            <v>4664.33</v>
          </cell>
          <cell r="AQ27">
            <v>4714.17</v>
          </cell>
          <cell r="AR27">
            <v>4534.95</v>
          </cell>
          <cell r="AS27">
            <v>4798.71</v>
          </cell>
          <cell r="AT27">
            <v>4650.7</v>
          </cell>
          <cell r="AU27">
            <v>4673.29</v>
          </cell>
          <cell r="AV27">
            <v>4735.5</v>
          </cell>
          <cell r="AW27">
            <v>4609.41</v>
          </cell>
          <cell r="AX27">
            <v>4357.1499999999996</v>
          </cell>
          <cell r="AY27">
            <v>4520.16</v>
          </cell>
          <cell r="AZ27">
            <v>4291.5</v>
          </cell>
          <cell r="BA27">
            <v>3647.58</v>
          </cell>
        </row>
        <row r="28">
          <cell r="A28" t="str">
            <v>V1000H20B30</v>
          </cell>
          <cell r="B28">
            <v>1000</v>
          </cell>
          <cell r="C28">
            <v>2000</v>
          </cell>
          <cell r="D28">
            <v>3000</v>
          </cell>
          <cell r="E28">
            <v>16</v>
          </cell>
          <cell r="F28">
            <v>2</v>
          </cell>
          <cell r="G28">
            <v>1</v>
          </cell>
          <cell r="H28">
            <v>350</v>
          </cell>
          <cell r="I28">
            <v>50</v>
          </cell>
          <cell r="J28">
            <v>1012.1</v>
          </cell>
          <cell r="K28" t="str">
            <v>Q-11002877</v>
          </cell>
          <cell r="L28" t="str">
            <v>\\hokukon-net2\hop\Program\01_MVPシステム_容量別組立図\.\01_余裕高0_0m\pdf\FB0_1000m3-MVP-2000-組-B3000_Q-11002877.pdf</v>
          </cell>
          <cell r="M28">
            <v>3564.23</v>
          </cell>
          <cell r="N28">
            <v>3614.99</v>
          </cell>
          <cell r="O28">
            <v>3497.41</v>
          </cell>
          <cell r="P28">
            <v>3499.18</v>
          </cell>
          <cell r="Q28">
            <v>3590</v>
          </cell>
          <cell r="R28">
            <v>3552.13</v>
          </cell>
          <cell r="S28">
            <v>3543.25</v>
          </cell>
          <cell r="T28">
            <v>3545.39</v>
          </cell>
          <cell r="U28">
            <v>3525.36</v>
          </cell>
          <cell r="V28">
            <v>3506.7</v>
          </cell>
          <cell r="W28">
            <v>3531.58</v>
          </cell>
          <cell r="X28">
            <v>3545.36</v>
          </cell>
          <cell r="Y28">
            <v>3546.83</v>
          </cell>
          <cell r="Z28">
            <v>3659.69</v>
          </cell>
          <cell r="AA28">
            <v>3562.18</v>
          </cell>
          <cell r="AB28">
            <v>3573.28</v>
          </cell>
          <cell r="AC28">
            <v>3723.09</v>
          </cell>
          <cell r="AD28">
            <v>3522.82</v>
          </cell>
          <cell r="AE28">
            <v>3571.46</v>
          </cell>
          <cell r="AF28">
            <v>3704.97</v>
          </cell>
          <cell r="AG28">
            <v>3525.4</v>
          </cell>
          <cell r="AH28">
            <v>3561.49</v>
          </cell>
          <cell r="AI28">
            <v>3493.25</v>
          </cell>
          <cell r="AJ28">
            <v>3569.92</v>
          </cell>
          <cell r="AK28">
            <v>3417.99</v>
          </cell>
          <cell r="AL28">
            <v>3564.85</v>
          </cell>
          <cell r="AM28">
            <v>3729.33</v>
          </cell>
          <cell r="AN28">
            <v>3608.95</v>
          </cell>
          <cell r="AO28">
            <v>3651.52</v>
          </cell>
          <cell r="AP28">
            <v>3643.63</v>
          </cell>
          <cell r="AQ28">
            <v>3680.91</v>
          </cell>
          <cell r="AR28">
            <v>3544.98</v>
          </cell>
          <cell r="AS28">
            <v>3742.37</v>
          </cell>
          <cell r="AT28">
            <v>3671.46</v>
          </cell>
          <cell r="AU28">
            <v>3648.43</v>
          </cell>
          <cell r="AV28">
            <v>3695.32</v>
          </cell>
          <cell r="AW28">
            <v>3600.27</v>
          </cell>
          <cell r="AX28">
            <v>3410.74</v>
          </cell>
          <cell r="AY28">
            <v>3533.4</v>
          </cell>
          <cell r="AZ28">
            <v>3361.42</v>
          </cell>
          <cell r="BA28">
            <v>2827.23</v>
          </cell>
        </row>
        <row r="29">
          <cell r="A29" t="str">
            <v>V1000H20B25</v>
          </cell>
          <cell r="B29">
            <v>1000</v>
          </cell>
          <cell r="C29">
            <v>2000</v>
          </cell>
          <cell r="D29">
            <v>2500</v>
          </cell>
          <cell r="E29">
            <v>17</v>
          </cell>
          <cell r="F29">
            <v>2</v>
          </cell>
          <cell r="G29">
            <v>1</v>
          </cell>
          <cell r="H29">
            <v>350</v>
          </cell>
          <cell r="I29">
            <v>50</v>
          </cell>
          <cell r="J29">
            <v>1001.6</v>
          </cell>
          <cell r="K29" t="str">
            <v>Q-11002876</v>
          </cell>
          <cell r="L29" t="str">
            <v>\\hokukon-net2\hop\Program\01_MVPシステム_容量別組立図\.\01_余裕高0_0m\pdf\FB0_1000m3-MVP-2000-組-B2500_Q-11002876.pdf</v>
          </cell>
          <cell r="M29">
            <v>3590.22</v>
          </cell>
          <cell r="N29">
            <v>3640.67</v>
          </cell>
          <cell r="O29">
            <v>3524.14</v>
          </cell>
          <cell r="P29">
            <v>3525.91</v>
          </cell>
          <cell r="Q29">
            <v>3615.69</v>
          </cell>
          <cell r="R29">
            <v>3578.05</v>
          </cell>
          <cell r="S29">
            <v>3569.01</v>
          </cell>
          <cell r="T29">
            <v>3571.14</v>
          </cell>
          <cell r="U29">
            <v>3552.4</v>
          </cell>
          <cell r="V29">
            <v>3533.73</v>
          </cell>
          <cell r="W29">
            <v>3558.51</v>
          </cell>
          <cell r="X29">
            <v>3572.63</v>
          </cell>
          <cell r="Y29">
            <v>3574.13</v>
          </cell>
          <cell r="Z29">
            <v>3686.64</v>
          </cell>
          <cell r="AA29">
            <v>3589.88</v>
          </cell>
          <cell r="AB29">
            <v>3600.47</v>
          </cell>
          <cell r="AC29">
            <v>3748.81</v>
          </cell>
          <cell r="AD29">
            <v>3549.43</v>
          </cell>
          <cell r="AE29">
            <v>3598.14</v>
          </cell>
          <cell r="AF29">
            <v>3731.04</v>
          </cell>
          <cell r="AG29">
            <v>3552.85</v>
          </cell>
          <cell r="AH29">
            <v>3588.76</v>
          </cell>
          <cell r="AI29">
            <v>3521.17</v>
          </cell>
          <cell r="AJ29">
            <v>3596.91</v>
          </cell>
          <cell r="AK29">
            <v>3445.78</v>
          </cell>
          <cell r="AL29">
            <v>3591.47</v>
          </cell>
          <cell r="AM29">
            <v>3755.04</v>
          </cell>
          <cell r="AN29">
            <v>3635.51</v>
          </cell>
          <cell r="AO29">
            <v>3677.49</v>
          </cell>
          <cell r="AP29">
            <v>3669.87</v>
          </cell>
          <cell r="AQ29">
            <v>3707.01</v>
          </cell>
          <cell r="AR29">
            <v>3571.05</v>
          </cell>
          <cell r="AS29">
            <v>3767.28</v>
          </cell>
          <cell r="AT29">
            <v>3658.13</v>
          </cell>
          <cell r="AU29">
            <v>3674.53</v>
          </cell>
          <cell r="AV29">
            <v>3720.68</v>
          </cell>
          <cell r="AW29">
            <v>3626.3</v>
          </cell>
          <cell r="AX29">
            <v>3438.28</v>
          </cell>
          <cell r="AY29">
            <v>3559.73</v>
          </cell>
          <cell r="AZ29">
            <v>3389.04</v>
          </cell>
          <cell r="BA29">
            <v>2861.17</v>
          </cell>
        </row>
        <row r="30">
          <cell r="A30" t="str">
            <v>V1000H20B20</v>
          </cell>
          <cell r="B30">
            <v>1000</v>
          </cell>
          <cell r="C30">
            <v>2000</v>
          </cell>
          <cell r="D30">
            <v>2000</v>
          </cell>
          <cell r="E30">
            <v>19</v>
          </cell>
          <cell r="F30">
            <v>2</v>
          </cell>
          <cell r="G30">
            <v>1</v>
          </cell>
          <cell r="H30">
            <v>350</v>
          </cell>
          <cell r="I30">
            <v>50</v>
          </cell>
          <cell r="J30">
            <v>1035.5</v>
          </cell>
          <cell r="K30" t="str">
            <v>Q-11002875</v>
          </cell>
          <cell r="L30" t="str">
            <v>\\hokukon-net2\hop\Program\01_MVPシステム_容量別組立図\.\01_余裕高0_0m\pdf\FB0_1000m3-MVP-2000-組-B2000_Q-11002875.pdf</v>
          </cell>
          <cell r="M30">
            <v>3775.97</v>
          </cell>
          <cell r="N30">
            <v>3828.22</v>
          </cell>
          <cell r="O30">
            <v>3707.65</v>
          </cell>
          <cell r="P30">
            <v>3709.47</v>
          </cell>
          <cell r="Q30">
            <v>3802.23</v>
          </cell>
          <cell r="R30">
            <v>3763.18</v>
          </cell>
          <cell r="S30">
            <v>3753.63</v>
          </cell>
          <cell r="T30">
            <v>3755.84</v>
          </cell>
          <cell r="U30">
            <v>3737.3</v>
          </cell>
          <cell r="V30">
            <v>3717.79</v>
          </cell>
          <cell r="W30">
            <v>3743.62</v>
          </cell>
          <cell r="X30">
            <v>3758.56</v>
          </cell>
          <cell r="Y30">
            <v>3760.17</v>
          </cell>
          <cell r="Z30">
            <v>3877.2</v>
          </cell>
          <cell r="AA30">
            <v>3777.02</v>
          </cell>
          <cell r="AB30">
            <v>3787.59</v>
          </cell>
          <cell r="AC30">
            <v>3941.07</v>
          </cell>
          <cell r="AD30">
            <v>3734.07</v>
          </cell>
          <cell r="AE30">
            <v>3784.87</v>
          </cell>
          <cell r="AF30">
            <v>3922.93</v>
          </cell>
          <cell r="AG30">
            <v>3738.29</v>
          </cell>
          <cell r="AH30">
            <v>3775.49</v>
          </cell>
          <cell r="AI30">
            <v>3705.6</v>
          </cell>
          <cell r="AJ30">
            <v>3783.8</v>
          </cell>
          <cell r="AK30">
            <v>3626.86</v>
          </cell>
          <cell r="AL30">
            <v>3777.72</v>
          </cell>
          <cell r="AM30">
            <v>3947.48</v>
          </cell>
          <cell r="AN30">
            <v>3823.54</v>
          </cell>
          <cell r="AO30">
            <v>3866.81</v>
          </cell>
          <cell r="AP30">
            <v>3859.06</v>
          </cell>
          <cell r="AQ30">
            <v>3897.67</v>
          </cell>
          <cell r="AR30">
            <v>3756.03</v>
          </cell>
          <cell r="AS30">
            <v>3959.71</v>
          </cell>
          <cell r="AT30">
            <v>3846.89</v>
          </cell>
          <cell r="AU30">
            <v>3864.01</v>
          </cell>
          <cell r="AV30">
            <v>3911.47</v>
          </cell>
          <cell r="AW30">
            <v>3813.7</v>
          </cell>
          <cell r="AX30">
            <v>3619.01</v>
          </cell>
          <cell r="AY30">
            <v>3744.51</v>
          </cell>
          <cell r="AZ30">
            <v>3567.74</v>
          </cell>
          <cell r="BA30">
            <v>3021.8</v>
          </cell>
        </row>
        <row r="31">
          <cell r="A31" t="str">
            <v>V1000H25B30</v>
          </cell>
          <cell r="B31">
            <v>1000</v>
          </cell>
          <cell r="C31">
            <v>2500</v>
          </cell>
          <cell r="D31">
            <v>3000</v>
          </cell>
          <cell r="E31">
            <v>15</v>
          </cell>
          <cell r="F31">
            <v>3</v>
          </cell>
          <cell r="G31">
            <v>1</v>
          </cell>
          <cell r="H31">
            <v>300</v>
          </cell>
          <cell r="I31">
            <v>50</v>
          </cell>
          <cell r="J31">
            <v>1016.1</v>
          </cell>
          <cell r="K31" t="str">
            <v>Q-11002880</v>
          </cell>
          <cell r="L31" t="str">
            <v>\\hokukon-net2\hop\Program\01_MVPシステム_容量別組立図\.\01_余裕高0_0m\pdf\FB0_1000m3-MVP-2500-組-B3000_Q-11002880.pdf</v>
          </cell>
          <cell r="M31">
            <v>3634.21</v>
          </cell>
          <cell r="N31">
            <v>3673.26</v>
          </cell>
          <cell r="O31">
            <v>3587.55</v>
          </cell>
          <cell r="P31">
            <v>3588.91</v>
          </cell>
          <cell r="Q31">
            <v>3653.79</v>
          </cell>
          <cell r="R31">
            <v>3625.23</v>
          </cell>
          <cell r="S31">
            <v>3616.38</v>
          </cell>
          <cell r="T31">
            <v>3618.02</v>
          </cell>
          <cell r="U31">
            <v>3618.06</v>
          </cell>
          <cell r="V31">
            <v>3602.08</v>
          </cell>
          <cell r="W31">
            <v>3621.55</v>
          </cell>
          <cell r="X31">
            <v>3637.93</v>
          </cell>
          <cell r="Y31">
            <v>3640.41</v>
          </cell>
          <cell r="Z31">
            <v>3730.22</v>
          </cell>
          <cell r="AA31">
            <v>3655.94</v>
          </cell>
          <cell r="AB31">
            <v>3659.52</v>
          </cell>
          <cell r="AC31">
            <v>3766.07</v>
          </cell>
          <cell r="AD31">
            <v>3606.65</v>
          </cell>
          <cell r="AE31">
            <v>3646.95</v>
          </cell>
          <cell r="AF31">
            <v>3751.65</v>
          </cell>
          <cell r="AG31">
            <v>3620.87</v>
          </cell>
          <cell r="AH31">
            <v>3650.04</v>
          </cell>
          <cell r="AI31">
            <v>3598.97</v>
          </cell>
          <cell r="AJ31">
            <v>3653.12</v>
          </cell>
          <cell r="AK31">
            <v>3535.89</v>
          </cell>
          <cell r="AL31">
            <v>3644.96</v>
          </cell>
          <cell r="AM31">
            <v>3771.04</v>
          </cell>
          <cell r="AN31">
            <v>3681.14</v>
          </cell>
          <cell r="AO31">
            <v>3709.63</v>
          </cell>
          <cell r="AP31">
            <v>3706.92</v>
          </cell>
          <cell r="AQ31">
            <v>3735.12</v>
          </cell>
          <cell r="AR31">
            <v>3621.98</v>
          </cell>
          <cell r="AS31">
            <v>3771.95</v>
          </cell>
          <cell r="AT31">
            <v>3693.12</v>
          </cell>
          <cell r="AU31">
            <v>3705.58</v>
          </cell>
          <cell r="AV31">
            <v>3738.31</v>
          </cell>
          <cell r="AW31">
            <v>3663.99</v>
          </cell>
          <cell r="AX31">
            <v>3524.25</v>
          </cell>
          <cell r="AY31">
            <v>3612.93</v>
          </cell>
          <cell r="AZ31">
            <v>3483.68</v>
          </cell>
          <cell r="BA31">
            <v>2896.64</v>
          </cell>
        </row>
        <row r="32">
          <cell r="A32" t="str">
            <v>V1000H25B25</v>
          </cell>
          <cell r="B32">
            <v>1000</v>
          </cell>
          <cell r="C32">
            <v>2500</v>
          </cell>
          <cell r="D32">
            <v>2500</v>
          </cell>
          <cell r="E32">
            <v>17</v>
          </cell>
          <cell r="F32">
            <v>3</v>
          </cell>
          <cell r="G32">
            <v>1</v>
          </cell>
          <cell r="H32">
            <v>300</v>
          </cell>
          <cell r="I32">
            <v>50</v>
          </cell>
          <cell r="J32">
            <v>1046.5999999999999</v>
          </cell>
          <cell r="K32" t="str">
            <v>Q-11002879</v>
          </cell>
          <cell r="L32" t="str">
            <v>\\hokukon-net2\hop\Program\01_MVPシステム_容量別組立図\.\01_余裕高0_0m\pdf\FB0_1000m3-MVP-2500-組-B2500_Q-11002879.pdf</v>
          </cell>
          <cell r="M32">
            <v>3839.57</v>
          </cell>
          <cell r="N32">
            <v>3879.81</v>
          </cell>
          <cell r="O32">
            <v>3791.67</v>
          </cell>
          <cell r="P32">
            <v>3793.07</v>
          </cell>
          <cell r="Q32">
            <v>3859.64</v>
          </cell>
          <cell r="R32">
            <v>3830.1</v>
          </cell>
          <cell r="S32">
            <v>3820.72</v>
          </cell>
          <cell r="T32">
            <v>3822.42</v>
          </cell>
          <cell r="U32">
            <v>3823.61</v>
          </cell>
          <cell r="V32">
            <v>3806.92</v>
          </cell>
          <cell r="W32">
            <v>3827.2</v>
          </cell>
          <cell r="X32">
            <v>3844.53</v>
          </cell>
          <cell r="Y32">
            <v>3847.15</v>
          </cell>
          <cell r="Z32">
            <v>3940.35</v>
          </cell>
          <cell r="AA32">
            <v>3863.87</v>
          </cell>
          <cell r="AB32">
            <v>3867.03</v>
          </cell>
          <cell r="AC32">
            <v>3976.62</v>
          </cell>
          <cell r="AD32">
            <v>3811.66</v>
          </cell>
          <cell r="AE32">
            <v>3853.64</v>
          </cell>
          <cell r="AF32">
            <v>3962.11</v>
          </cell>
          <cell r="AG32">
            <v>3827.2</v>
          </cell>
          <cell r="AH32">
            <v>3857.3</v>
          </cell>
          <cell r="AI32">
            <v>3804.83</v>
          </cell>
          <cell r="AJ32">
            <v>3860.31</v>
          </cell>
          <cell r="AK32">
            <v>3738.93</v>
          </cell>
          <cell r="AL32">
            <v>3851.27</v>
          </cell>
          <cell r="AM32">
            <v>3981.65</v>
          </cell>
          <cell r="AN32">
            <v>3888.78</v>
          </cell>
          <cell r="AO32">
            <v>3917.88</v>
          </cell>
          <cell r="AP32">
            <v>3915.31</v>
          </cell>
          <cell r="AQ32">
            <v>3944.57</v>
          </cell>
          <cell r="AR32">
            <v>3826.87</v>
          </cell>
          <cell r="AS32">
            <v>3981.99</v>
          </cell>
          <cell r="AT32">
            <v>3901.09</v>
          </cell>
          <cell r="AU32">
            <v>3914.11</v>
          </cell>
          <cell r="AV32">
            <v>3947.4</v>
          </cell>
          <cell r="AW32">
            <v>3870.76</v>
          </cell>
          <cell r="AX32">
            <v>3726.88</v>
          </cell>
          <cell r="AY32">
            <v>3817.85</v>
          </cell>
          <cell r="AZ32">
            <v>3684.67</v>
          </cell>
          <cell r="BA32">
            <v>3071.57</v>
          </cell>
        </row>
        <row r="33">
          <cell r="A33" t="str">
            <v>V1000H25B20</v>
          </cell>
          <cell r="B33">
            <v>1000</v>
          </cell>
          <cell r="C33">
            <v>2500</v>
          </cell>
          <cell r="D33">
            <v>2000</v>
          </cell>
          <cell r="E33">
            <v>18</v>
          </cell>
          <cell r="F33">
            <v>3</v>
          </cell>
          <cell r="G33">
            <v>1</v>
          </cell>
          <cell r="H33">
            <v>300</v>
          </cell>
          <cell r="I33">
            <v>50</v>
          </cell>
          <cell r="J33">
            <v>1000.9</v>
          </cell>
          <cell r="K33" t="str">
            <v>Q-11002878</v>
          </cell>
          <cell r="L33" t="str">
            <v>\\hokukon-net2\hop\Program\01_MVPシステム_容量別組立図\.\01_余裕高0_0m\pdf\FB0_1000m3-MVP-2500-組-B2000_Q-11002878.pdf</v>
          </cell>
          <cell r="M33">
            <v>3830.93</v>
          </cell>
          <cell r="N33">
            <v>3869.71</v>
          </cell>
          <cell r="O33">
            <v>3785.46</v>
          </cell>
          <cell r="P33">
            <v>3786.8</v>
          </cell>
          <cell r="Q33">
            <v>3850.04</v>
          </cell>
          <cell r="R33">
            <v>3821.55</v>
          </cell>
          <cell r="S33">
            <v>3812.08</v>
          </cell>
          <cell r="T33">
            <v>3813.72</v>
          </cell>
          <cell r="U33">
            <v>3817.29</v>
          </cell>
          <cell r="V33">
            <v>3800.91</v>
          </cell>
          <cell r="W33">
            <v>3820.6</v>
          </cell>
          <cell r="X33">
            <v>3838.14</v>
          </cell>
          <cell r="Y33">
            <v>3840.75</v>
          </cell>
          <cell r="Z33">
            <v>3931.34</v>
          </cell>
          <cell r="AA33">
            <v>3857.88</v>
          </cell>
          <cell r="AB33">
            <v>3860.05</v>
          </cell>
          <cell r="AC33">
            <v>3964.56</v>
          </cell>
          <cell r="AD33">
            <v>3804.67</v>
          </cell>
          <cell r="AE33">
            <v>3845.89</v>
          </cell>
          <cell r="AF33">
            <v>3950.95</v>
          </cell>
          <cell r="AG33">
            <v>3821.53</v>
          </cell>
          <cell r="AH33">
            <v>3850.65</v>
          </cell>
          <cell r="AI33">
            <v>3800.43</v>
          </cell>
          <cell r="AJ33">
            <v>3853.07</v>
          </cell>
          <cell r="AK33">
            <v>3735.72</v>
          </cell>
          <cell r="AL33">
            <v>3843.58</v>
          </cell>
          <cell r="AM33">
            <v>3969.49</v>
          </cell>
          <cell r="AN33">
            <v>3880.15</v>
          </cell>
          <cell r="AO33">
            <v>3907.54</v>
          </cell>
          <cell r="AP33">
            <v>3905.56</v>
          </cell>
          <cell r="AQ33">
            <v>3933.9</v>
          </cell>
          <cell r="AR33">
            <v>3818.64</v>
          </cell>
          <cell r="AS33">
            <v>3968.32</v>
          </cell>
          <cell r="AT33">
            <v>3891.4</v>
          </cell>
          <cell r="AU33">
            <v>3904.05</v>
          </cell>
          <cell r="AV33">
            <v>3935.33</v>
          </cell>
          <cell r="AW33">
            <v>3861.5</v>
          </cell>
          <cell r="AX33">
            <v>3723.48</v>
          </cell>
          <cell r="AY33">
            <v>3810.26</v>
          </cell>
          <cell r="AZ33">
            <v>3682.3</v>
          </cell>
          <cell r="BA33">
            <v>3080.77</v>
          </cell>
        </row>
        <row r="34">
          <cell r="A34" t="str">
            <v>V1000H30B30</v>
          </cell>
          <cell r="B34">
            <v>1000</v>
          </cell>
          <cell r="C34">
            <v>3000</v>
          </cell>
          <cell r="D34">
            <v>3000</v>
          </cell>
          <cell r="E34">
            <v>13</v>
          </cell>
          <cell r="F34">
            <v>3</v>
          </cell>
          <cell r="G34">
            <v>1</v>
          </cell>
          <cell r="H34">
            <v>300</v>
          </cell>
          <cell r="I34">
            <v>50</v>
          </cell>
          <cell r="J34">
            <v>1067.7</v>
          </cell>
          <cell r="K34" t="str">
            <v>Q-11002883</v>
          </cell>
          <cell r="L34" t="str">
            <v>\\hokukon-net2\hop\Program\01_MVPシステム_容量別組立図\.\01_余裕高0_0m\pdf\FB0_1000m3-MVP-3000-組-B3000_Q-11002883.pdf</v>
          </cell>
          <cell r="M34">
            <v>3452.96</v>
          </cell>
          <cell r="N34">
            <v>3487.77</v>
          </cell>
          <cell r="O34">
            <v>3413.36</v>
          </cell>
          <cell r="P34">
            <v>3414.57</v>
          </cell>
          <cell r="Q34">
            <v>3469.91</v>
          </cell>
          <cell r="R34">
            <v>3444.41</v>
          </cell>
          <cell r="S34">
            <v>3435.73</v>
          </cell>
          <cell r="T34">
            <v>3437.17</v>
          </cell>
          <cell r="U34">
            <v>3442.5</v>
          </cell>
          <cell r="V34">
            <v>3427.89</v>
          </cell>
          <cell r="W34">
            <v>3444.69</v>
          </cell>
          <cell r="X34">
            <v>3461.02</v>
          </cell>
          <cell r="Y34">
            <v>3463.68</v>
          </cell>
          <cell r="Z34">
            <v>3543.96</v>
          </cell>
          <cell r="AA34">
            <v>3478.87</v>
          </cell>
          <cell r="AB34">
            <v>3480.34</v>
          </cell>
          <cell r="AC34">
            <v>3571.69</v>
          </cell>
          <cell r="AD34">
            <v>3429.35</v>
          </cell>
          <cell r="AE34">
            <v>3466.53</v>
          </cell>
          <cell r="AF34">
            <v>3559.39</v>
          </cell>
          <cell r="AG34">
            <v>3445.77</v>
          </cell>
          <cell r="AH34">
            <v>3471.53</v>
          </cell>
          <cell r="AI34">
            <v>3427.42</v>
          </cell>
          <cell r="AJ34">
            <v>3473.15</v>
          </cell>
          <cell r="AK34">
            <v>3369.93</v>
          </cell>
          <cell r="AL34">
            <v>3465.19</v>
          </cell>
          <cell r="AM34">
            <v>3576.62</v>
          </cell>
          <cell r="AN34">
            <v>3498.39</v>
          </cell>
          <cell r="AO34">
            <v>3522.07</v>
          </cell>
          <cell r="AP34">
            <v>3520.22</v>
          </cell>
          <cell r="AQ34">
            <v>3545.41</v>
          </cell>
          <cell r="AR34">
            <v>3441.84</v>
          </cell>
          <cell r="AS34">
            <v>3573.63</v>
          </cell>
          <cell r="AT34">
            <v>3506.59</v>
          </cell>
          <cell r="AU34">
            <v>3517.6</v>
          </cell>
          <cell r="AV34">
            <v>3544.88</v>
          </cell>
          <cell r="AW34">
            <v>3479.59</v>
          </cell>
          <cell r="AX34">
            <v>3357.3</v>
          </cell>
          <cell r="AY34">
            <v>3434.14</v>
          </cell>
          <cell r="AZ34">
            <v>3321.12</v>
          </cell>
          <cell r="BA34">
            <v>2760.88</v>
          </cell>
        </row>
        <row r="35">
          <cell r="A35" t="str">
            <v>V1000H30B25</v>
          </cell>
          <cell r="B35">
            <v>1000</v>
          </cell>
          <cell r="C35">
            <v>3000</v>
          </cell>
          <cell r="D35">
            <v>2500</v>
          </cell>
          <cell r="E35">
            <v>20</v>
          </cell>
          <cell r="F35">
            <v>2</v>
          </cell>
          <cell r="G35">
            <v>1</v>
          </cell>
          <cell r="H35">
            <v>300</v>
          </cell>
          <cell r="I35">
            <v>50</v>
          </cell>
          <cell r="J35">
            <v>1045.2</v>
          </cell>
          <cell r="K35" t="str">
            <v>Q-11002882</v>
          </cell>
          <cell r="L35" t="str">
            <v>\\hokukon-net2\hop\Program\01_MVPシステム_容量別組立図\.\01_余裕高0_0m\pdf\FB0_1000m3-MVP-3000-組-B2500_Q-11002882.pdf</v>
          </cell>
          <cell r="M35">
            <v>3468.21</v>
          </cell>
          <cell r="N35">
            <v>3502.14</v>
          </cell>
          <cell r="O35">
            <v>3428.48</v>
          </cell>
          <cell r="P35">
            <v>3429.67</v>
          </cell>
          <cell r="Q35">
            <v>3484.72</v>
          </cell>
          <cell r="R35">
            <v>3459.65</v>
          </cell>
          <cell r="S35">
            <v>3451.29</v>
          </cell>
          <cell r="T35">
            <v>3452.71</v>
          </cell>
          <cell r="U35">
            <v>3456.35</v>
          </cell>
          <cell r="V35">
            <v>3441.98</v>
          </cell>
          <cell r="W35">
            <v>3459.02</v>
          </cell>
          <cell r="X35">
            <v>3474.51</v>
          </cell>
          <cell r="Y35">
            <v>3476.98</v>
          </cell>
          <cell r="Z35">
            <v>3556.14</v>
          </cell>
          <cell r="AA35">
            <v>3492.05</v>
          </cell>
          <cell r="AB35">
            <v>3493.71</v>
          </cell>
          <cell r="AC35">
            <v>3584.8</v>
          </cell>
          <cell r="AD35">
            <v>3445.32</v>
          </cell>
          <cell r="AE35">
            <v>3481.57</v>
          </cell>
          <cell r="AF35">
            <v>3573.14</v>
          </cell>
          <cell r="AG35">
            <v>3460.23</v>
          </cell>
          <cell r="AH35">
            <v>3485.32</v>
          </cell>
          <cell r="AI35">
            <v>3441.94</v>
          </cell>
          <cell r="AJ35">
            <v>3487.43</v>
          </cell>
          <cell r="AK35">
            <v>3385.37</v>
          </cell>
          <cell r="AL35">
            <v>3479.24</v>
          </cell>
          <cell r="AM35">
            <v>3589.27</v>
          </cell>
          <cell r="AN35">
            <v>3511.55</v>
          </cell>
          <cell r="AO35">
            <v>3535.26</v>
          </cell>
          <cell r="AP35">
            <v>3533.23</v>
          </cell>
          <cell r="AQ35">
            <v>3558.2</v>
          </cell>
          <cell r="AR35">
            <v>3457.26</v>
          </cell>
          <cell r="AS35">
            <v>3587.77</v>
          </cell>
          <cell r="AT35">
            <v>3520.87</v>
          </cell>
          <cell r="AU35">
            <v>3532.09</v>
          </cell>
          <cell r="AV35">
            <v>3559</v>
          </cell>
          <cell r="AW35">
            <v>3494.76</v>
          </cell>
          <cell r="AX35">
            <v>3374.17</v>
          </cell>
          <cell r="AY35">
            <v>3449.85</v>
          </cell>
          <cell r="AZ35">
            <v>3338.48</v>
          </cell>
          <cell r="BA35">
            <v>2777.07</v>
          </cell>
        </row>
        <row r="36">
          <cell r="A36" t="str">
            <v>V1000H30B20</v>
          </cell>
          <cell r="B36">
            <v>1000</v>
          </cell>
          <cell r="C36">
            <v>3000</v>
          </cell>
          <cell r="D36">
            <v>2000</v>
          </cell>
          <cell r="E36">
            <v>22</v>
          </cell>
          <cell r="F36">
            <v>2</v>
          </cell>
          <cell r="G36">
            <v>1</v>
          </cell>
          <cell r="H36">
            <v>300</v>
          </cell>
          <cell r="I36">
            <v>50</v>
          </cell>
          <cell r="J36">
            <v>1044.4000000000001</v>
          </cell>
          <cell r="K36" t="str">
            <v>Q-11002881</v>
          </cell>
          <cell r="L36" t="str">
            <v>\\hokukon-net2\hop\Program\01_MVPシステム_容量別組立図\.\01_余裕高0_0m\pdf\FB0_1000m3-MVP-3000-組-B2000_Q-11002881.pdf</v>
          </cell>
          <cell r="M36">
            <v>3606.32</v>
          </cell>
          <cell r="N36">
            <v>3640.44</v>
          </cell>
          <cell r="O36">
            <v>3566.82</v>
          </cell>
          <cell r="P36">
            <v>3568.01</v>
          </cell>
          <cell r="Q36">
            <v>3622.74</v>
          </cell>
          <cell r="R36">
            <v>3597.46</v>
          </cell>
          <cell r="S36">
            <v>3588.73</v>
          </cell>
          <cell r="T36">
            <v>3590.17</v>
          </cell>
          <cell r="U36">
            <v>3595.66</v>
          </cell>
          <cell r="V36">
            <v>3580.94</v>
          </cell>
          <cell r="W36">
            <v>3598.24</v>
          </cell>
          <cell r="X36">
            <v>3614.47</v>
          </cell>
          <cell r="Y36">
            <v>3617.06</v>
          </cell>
          <cell r="Z36">
            <v>3697.36</v>
          </cell>
          <cell r="AA36">
            <v>3633.04</v>
          </cell>
          <cell r="AB36">
            <v>3634.01</v>
          </cell>
          <cell r="AC36">
            <v>3724.94</v>
          </cell>
          <cell r="AD36">
            <v>3583.87</v>
          </cell>
          <cell r="AE36">
            <v>3620.94</v>
          </cell>
          <cell r="AF36">
            <v>3713.55</v>
          </cell>
          <cell r="AG36">
            <v>3600.26</v>
          </cell>
          <cell r="AH36">
            <v>3625.57</v>
          </cell>
          <cell r="AI36">
            <v>3582.22</v>
          </cell>
          <cell r="AJ36">
            <v>3627.35</v>
          </cell>
          <cell r="AK36">
            <v>3524.3</v>
          </cell>
          <cell r="AL36">
            <v>3618.46</v>
          </cell>
          <cell r="AM36">
            <v>3729.45</v>
          </cell>
          <cell r="AN36">
            <v>3651.32</v>
          </cell>
          <cell r="AO36">
            <v>3674.7</v>
          </cell>
          <cell r="AP36">
            <v>3672.97</v>
          </cell>
          <cell r="AQ36">
            <v>3698.27</v>
          </cell>
          <cell r="AR36">
            <v>3595.26</v>
          </cell>
          <cell r="AS36">
            <v>3726.82</v>
          </cell>
          <cell r="AT36">
            <v>3660.27</v>
          </cell>
          <cell r="AU36">
            <v>3671.69</v>
          </cell>
          <cell r="AV36">
            <v>3698.11</v>
          </cell>
          <cell r="AW36">
            <v>3633.49</v>
          </cell>
          <cell r="AX36">
            <v>3512.6</v>
          </cell>
          <cell r="AY36">
            <v>3588.09</v>
          </cell>
          <cell r="AZ36">
            <v>3476.29</v>
          </cell>
          <cell r="BA36">
            <v>2899.58</v>
          </cell>
        </row>
        <row r="37">
          <cell r="A37" t="str">
            <v>V1000H35B30</v>
          </cell>
          <cell r="B37">
            <v>1000</v>
          </cell>
          <cell r="C37">
            <v>3500</v>
          </cell>
          <cell r="D37">
            <v>3000</v>
          </cell>
          <cell r="E37">
            <v>15</v>
          </cell>
          <cell r="F37">
            <v>2</v>
          </cell>
          <cell r="G37">
            <v>1</v>
          </cell>
          <cell r="H37">
            <v>300</v>
          </cell>
          <cell r="I37">
            <v>50</v>
          </cell>
          <cell r="J37">
            <v>1009.1</v>
          </cell>
          <cell r="K37" t="str">
            <v>Q-11002886</v>
          </cell>
          <cell r="L37" t="str">
            <v>\\hokukon-net2\hop\Program\01_MVPシステム_容量別組立図\.\01_余裕高0_0m\pdf\FB0_1000m3-MVP-3500-組-B3000_Q-11002886.pdf</v>
          </cell>
          <cell r="M37">
            <v>3014.93</v>
          </cell>
          <cell r="N37">
            <v>3043.51</v>
          </cell>
          <cell r="O37">
            <v>2982.83</v>
          </cell>
          <cell r="P37">
            <v>2983.8</v>
          </cell>
          <cell r="Q37">
            <v>3028.63</v>
          </cell>
          <cell r="R37">
            <v>3007.81</v>
          </cell>
          <cell r="S37">
            <v>3000.55</v>
          </cell>
          <cell r="T37">
            <v>3001.74</v>
          </cell>
          <cell r="U37">
            <v>3007</v>
          </cell>
          <cell r="V37">
            <v>2994.9</v>
          </cell>
          <cell r="W37">
            <v>3008.75</v>
          </cell>
          <cell r="X37">
            <v>3022.38</v>
          </cell>
          <cell r="Y37">
            <v>3024.55</v>
          </cell>
          <cell r="Z37">
            <v>3090.54</v>
          </cell>
          <cell r="AA37">
            <v>3037.31</v>
          </cell>
          <cell r="AB37">
            <v>3038.25</v>
          </cell>
          <cell r="AC37">
            <v>3112.55</v>
          </cell>
          <cell r="AD37">
            <v>2995.7</v>
          </cell>
          <cell r="AE37">
            <v>3026.38</v>
          </cell>
          <cell r="AF37">
            <v>3102.59</v>
          </cell>
          <cell r="AG37">
            <v>3009.78</v>
          </cell>
          <cell r="AH37">
            <v>3030.99</v>
          </cell>
          <cell r="AI37">
            <v>2994.96</v>
          </cell>
          <cell r="AJ37">
            <v>3032.08</v>
          </cell>
          <cell r="AK37">
            <v>2947.55</v>
          </cell>
          <cell r="AL37">
            <v>3025.4</v>
          </cell>
          <cell r="AM37">
            <v>3116.68</v>
          </cell>
          <cell r="AN37">
            <v>3052.83</v>
          </cell>
          <cell r="AO37">
            <v>3071.94</v>
          </cell>
          <cell r="AP37">
            <v>3070.63</v>
          </cell>
          <cell r="AQ37">
            <v>3091.36</v>
          </cell>
          <cell r="AR37">
            <v>3005.79</v>
          </cell>
          <cell r="AS37">
            <v>3113.71</v>
          </cell>
          <cell r="AT37">
            <v>3059.15</v>
          </cell>
          <cell r="AU37">
            <v>3068.25</v>
          </cell>
          <cell r="AV37">
            <v>3090.29</v>
          </cell>
          <cell r="AW37">
            <v>3036.81</v>
          </cell>
          <cell r="AX37">
            <v>2936.86</v>
          </cell>
          <cell r="AY37">
            <v>2999.48</v>
          </cell>
          <cell r="AZ37">
            <v>2907.11</v>
          </cell>
          <cell r="BA37">
            <v>2408.63</v>
          </cell>
        </row>
        <row r="38">
          <cell r="A38" t="str">
            <v>V1000H35B25</v>
          </cell>
          <cell r="B38">
            <v>1000</v>
          </cell>
          <cell r="C38">
            <v>3500</v>
          </cell>
          <cell r="D38">
            <v>2500</v>
          </cell>
          <cell r="E38">
            <v>17</v>
          </cell>
          <cell r="F38">
            <v>2</v>
          </cell>
          <cell r="G38">
            <v>1</v>
          </cell>
          <cell r="H38">
            <v>300</v>
          </cell>
          <cell r="I38">
            <v>50</v>
          </cell>
          <cell r="J38">
            <v>1045.4000000000001</v>
          </cell>
          <cell r="K38" t="str">
            <v>Q-11002885</v>
          </cell>
          <cell r="L38" t="str">
            <v>\\hokukon-net2\hop\Program\01_MVPシステム_容量別組立図\.\01_余裕高0_0m\pdf\FB0_1000m3-MVP-3500-組-B2500_Q-11002885.pdf</v>
          </cell>
          <cell r="M38">
            <v>3206.51</v>
          </cell>
          <cell r="N38">
            <v>3236.14</v>
          </cell>
          <cell r="O38">
            <v>3173.38</v>
          </cell>
          <cell r="P38">
            <v>3174.41</v>
          </cell>
          <cell r="Q38">
            <v>3220.65</v>
          </cell>
          <cell r="R38">
            <v>3199</v>
          </cell>
          <cell r="S38">
            <v>3191.28</v>
          </cell>
          <cell r="T38">
            <v>3192.5</v>
          </cell>
          <cell r="U38">
            <v>3198.89</v>
          </cell>
          <cell r="V38">
            <v>3186.18</v>
          </cell>
          <cell r="W38">
            <v>3200.7</v>
          </cell>
          <cell r="X38">
            <v>3215.17</v>
          </cell>
          <cell r="Y38">
            <v>3217.49</v>
          </cell>
          <cell r="Z38">
            <v>3286.38</v>
          </cell>
          <cell r="AA38">
            <v>3231.25</v>
          </cell>
          <cell r="AB38">
            <v>3231.81</v>
          </cell>
          <cell r="AC38">
            <v>3308.63</v>
          </cell>
          <cell r="AD38">
            <v>3187</v>
          </cell>
          <cell r="AE38">
            <v>3219.16</v>
          </cell>
          <cell r="AF38">
            <v>3298.55</v>
          </cell>
          <cell r="AG38">
            <v>3202.3</v>
          </cell>
          <cell r="AH38">
            <v>3224.31</v>
          </cell>
          <cell r="AI38">
            <v>3187.12</v>
          </cell>
          <cell r="AJ38">
            <v>3225.29</v>
          </cell>
          <cell r="AK38">
            <v>3137.28</v>
          </cell>
          <cell r="AL38">
            <v>3217.92</v>
          </cell>
          <cell r="AM38">
            <v>3312.85</v>
          </cell>
          <cell r="AN38">
            <v>3246.54</v>
          </cell>
          <cell r="AO38">
            <v>3266.12</v>
          </cell>
          <cell r="AP38">
            <v>3264.93</v>
          </cell>
          <cell r="AQ38">
            <v>3286.56</v>
          </cell>
          <cell r="AR38">
            <v>3197.03</v>
          </cell>
          <cell r="AS38">
            <v>3309.27</v>
          </cell>
          <cell r="AT38">
            <v>3253.01</v>
          </cell>
          <cell r="AU38">
            <v>3262.57</v>
          </cell>
          <cell r="AV38">
            <v>3285.07</v>
          </cell>
          <cell r="AW38">
            <v>3229.58</v>
          </cell>
          <cell r="AX38">
            <v>3126.09</v>
          </cell>
          <cell r="AY38">
            <v>3190.67</v>
          </cell>
          <cell r="AZ38">
            <v>3094.98</v>
          </cell>
          <cell r="BA38">
            <v>2569.5700000000002</v>
          </cell>
        </row>
        <row r="39">
          <cell r="A39" t="str">
            <v>V1000H35B20</v>
          </cell>
          <cell r="B39">
            <v>1000</v>
          </cell>
          <cell r="C39">
            <v>3500</v>
          </cell>
          <cell r="D39">
            <v>2000</v>
          </cell>
          <cell r="E39">
            <v>18</v>
          </cell>
          <cell r="F39">
            <v>2</v>
          </cell>
          <cell r="G39">
            <v>1</v>
          </cell>
          <cell r="H39">
            <v>300</v>
          </cell>
          <cell r="I39">
            <v>50</v>
          </cell>
          <cell r="J39">
            <v>1006.6</v>
          </cell>
          <cell r="K39" t="str">
            <v>Q-11002884</v>
          </cell>
          <cell r="L39" t="str">
            <v>\\hokukon-net2\hop\Program\01_MVPシステム_容量別組立図\.\01_余裕高0_0m\pdf\FB0_1000m3-MVP-3500-組-B2000_Q-11002884.pdf</v>
          </cell>
          <cell r="M39">
            <v>3223.55</v>
          </cell>
          <cell r="N39">
            <v>3252.36</v>
          </cell>
          <cell r="O39">
            <v>3191.88</v>
          </cell>
          <cell r="P39">
            <v>3192.87</v>
          </cell>
          <cell r="Q39">
            <v>3237.14</v>
          </cell>
          <cell r="R39">
            <v>3216.14</v>
          </cell>
          <cell r="S39">
            <v>3208.35</v>
          </cell>
          <cell r="T39">
            <v>3209.55</v>
          </cell>
          <cell r="U39">
            <v>3217.43</v>
          </cell>
          <cell r="V39">
            <v>3204.87</v>
          </cell>
          <cell r="W39">
            <v>3219.07</v>
          </cell>
          <cell r="X39">
            <v>3233.72</v>
          </cell>
          <cell r="Y39">
            <v>3236.03</v>
          </cell>
          <cell r="Z39">
            <v>3303.44</v>
          </cell>
          <cell r="AA39">
            <v>3250.04</v>
          </cell>
          <cell r="AB39">
            <v>3250.01</v>
          </cell>
          <cell r="AC39">
            <v>3323.83</v>
          </cell>
          <cell r="AD39">
            <v>3205.03</v>
          </cell>
          <cell r="AE39">
            <v>3236.77</v>
          </cell>
          <cell r="AF39">
            <v>3314.23</v>
          </cell>
          <cell r="AG39">
            <v>3221.18</v>
          </cell>
          <cell r="AH39">
            <v>3242.69</v>
          </cell>
          <cell r="AI39">
            <v>3206.78</v>
          </cell>
          <cell r="AJ39">
            <v>3243.28</v>
          </cell>
          <cell r="AK39">
            <v>3157.58</v>
          </cell>
          <cell r="AL39">
            <v>3235.65</v>
          </cell>
          <cell r="AM39">
            <v>3328</v>
          </cell>
          <cell r="AN39">
            <v>3263.73</v>
          </cell>
          <cell r="AO39">
            <v>3282.31</v>
          </cell>
          <cell r="AP39">
            <v>3281.5</v>
          </cell>
          <cell r="AQ39">
            <v>3302.58</v>
          </cell>
          <cell r="AR39">
            <v>3214.34</v>
          </cell>
          <cell r="AS39">
            <v>3323.49</v>
          </cell>
          <cell r="AT39">
            <v>3269.56</v>
          </cell>
          <cell r="AU39">
            <v>3278.88</v>
          </cell>
          <cell r="AV39">
            <v>3300.2</v>
          </cell>
          <cell r="AW39">
            <v>3246.32</v>
          </cell>
          <cell r="AX39">
            <v>3146.22</v>
          </cell>
          <cell r="AY39">
            <v>3208.38</v>
          </cell>
          <cell r="AZ39">
            <v>3115.65</v>
          </cell>
          <cell r="BA39">
            <v>2593</v>
          </cell>
        </row>
        <row r="40">
          <cell r="A40" t="str">
            <v>V1000H40B30</v>
          </cell>
          <cell r="B40">
            <v>1000</v>
          </cell>
          <cell r="C40">
            <v>4000</v>
          </cell>
          <cell r="D40">
            <v>3000</v>
          </cell>
          <cell r="E40">
            <v>13</v>
          </cell>
          <cell r="F40">
            <v>2</v>
          </cell>
          <cell r="G40">
            <v>1</v>
          </cell>
          <cell r="H40">
            <v>350</v>
          </cell>
          <cell r="I40">
            <v>70</v>
          </cell>
          <cell r="J40">
            <v>1015</v>
          </cell>
          <cell r="K40" t="str">
            <v>Q-11002889</v>
          </cell>
          <cell r="L40" t="str">
            <v>\\hokukon-net2\hop\Program\01_MVPシステム_容量別組立図\.\01_余裕高0_0m\pdf\FB0_1000m3-MVP-4000-組-B3000_Q-11002889.pdf</v>
          </cell>
          <cell r="M40">
            <v>3232.35</v>
          </cell>
          <cell r="N40">
            <v>3260.95</v>
          </cell>
          <cell r="O40">
            <v>3201.97</v>
          </cell>
          <cell r="P40">
            <v>3202.91</v>
          </cell>
          <cell r="Q40">
            <v>3245.88</v>
          </cell>
          <cell r="R40">
            <v>3225.46</v>
          </cell>
          <cell r="S40">
            <v>3217.97</v>
          </cell>
          <cell r="T40">
            <v>3219.11</v>
          </cell>
          <cell r="U40">
            <v>3224.16</v>
          </cell>
          <cell r="V40">
            <v>3212.72</v>
          </cell>
          <cell r="W40">
            <v>3226.02</v>
          </cell>
          <cell r="X40">
            <v>3239.02</v>
          </cell>
          <cell r="Y40">
            <v>3240.62</v>
          </cell>
          <cell r="Z40">
            <v>3305.02</v>
          </cell>
          <cell r="AA40">
            <v>3253.31</v>
          </cell>
          <cell r="AB40">
            <v>3254.61</v>
          </cell>
          <cell r="AC40">
            <v>3326.04</v>
          </cell>
          <cell r="AD40">
            <v>3209.62</v>
          </cell>
          <cell r="AE40">
            <v>3240.54</v>
          </cell>
          <cell r="AF40">
            <v>3314.4</v>
          </cell>
          <cell r="AG40">
            <v>3222.68</v>
          </cell>
          <cell r="AH40">
            <v>3243.73</v>
          </cell>
          <cell r="AI40">
            <v>3208.79</v>
          </cell>
          <cell r="AJ40">
            <v>3244.08</v>
          </cell>
          <cell r="AK40">
            <v>3168.74</v>
          </cell>
          <cell r="AL40">
            <v>3245.09</v>
          </cell>
          <cell r="AM40">
            <v>3333.48</v>
          </cell>
          <cell r="AN40">
            <v>3271.84</v>
          </cell>
          <cell r="AO40">
            <v>3290.47</v>
          </cell>
          <cell r="AP40">
            <v>3289.24</v>
          </cell>
          <cell r="AQ40">
            <v>3309.85</v>
          </cell>
          <cell r="AR40">
            <v>3219.18</v>
          </cell>
          <cell r="AS40">
            <v>3323.95</v>
          </cell>
          <cell r="AT40">
            <v>3272.27</v>
          </cell>
          <cell r="AU40">
            <v>3280.77</v>
          </cell>
          <cell r="AV40">
            <v>3301.51</v>
          </cell>
          <cell r="AW40">
            <v>3248.79</v>
          </cell>
          <cell r="AX40">
            <v>3150.95</v>
          </cell>
          <cell r="AY40">
            <v>3211.92</v>
          </cell>
          <cell r="AZ40">
            <v>3121.72</v>
          </cell>
          <cell r="BA40">
            <v>2583.7800000000002</v>
          </cell>
        </row>
        <row r="41">
          <cell r="A41" t="str">
            <v>V1000H40B25</v>
          </cell>
          <cell r="B41">
            <v>1000</v>
          </cell>
          <cell r="C41">
            <v>4000</v>
          </cell>
          <cell r="D41">
            <v>2500</v>
          </cell>
          <cell r="E41">
            <v>14</v>
          </cell>
          <cell r="F41">
            <v>2</v>
          </cell>
          <cell r="G41">
            <v>1</v>
          </cell>
          <cell r="H41">
            <v>350</v>
          </cell>
          <cell r="I41">
            <v>70</v>
          </cell>
          <cell r="J41">
            <v>1001.5</v>
          </cell>
          <cell r="K41" t="str">
            <v>Q-11002888</v>
          </cell>
          <cell r="L41" t="str">
            <v>\\hokukon-net2\hop\Program\01_MVPシステム_容量別組立図\.\01_余裕高0_0m\pdf\FB0_1000m3-MVP-4000-組-B2500_Q-11002888.pdf</v>
          </cell>
          <cell r="M41">
            <v>3313.01</v>
          </cell>
          <cell r="N41">
            <v>3341.41</v>
          </cell>
          <cell r="O41">
            <v>3283.25</v>
          </cell>
          <cell r="P41">
            <v>3284.18</v>
          </cell>
          <cell r="Q41">
            <v>3326.33</v>
          </cell>
          <cell r="R41">
            <v>3306.03</v>
          </cell>
          <cell r="S41">
            <v>3298.37</v>
          </cell>
          <cell r="T41">
            <v>3299.5</v>
          </cell>
          <cell r="U41">
            <v>3305.76</v>
          </cell>
          <cell r="V41">
            <v>3294.25</v>
          </cell>
          <cell r="W41">
            <v>3307.55</v>
          </cell>
          <cell r="X41">
            <v>3320.9</v>
          </cell>
          <cell r="Y41">
            <v>3322.55</v>
          </cell>
          <cell r="Z41">
            <v>3386.87</v>
          </cell>
          <cell r="AA41">
            <v>3335.69</v>
          </cell>
          <cell r="AB41">
            <v>3336.51</v>
          </cell>
          <cell r="AC41">
            <v>3406.77</v>
          </cell>
          <cell r="AD41">
            <v>3290.61</v>
          </cell>
          <cell r="AE41">
            <v>3321.72</v>
          </cell>
          <cell r="AF41">
            <v>3395.26</v>
          </cell>
          <cell r="AG41">
            <v>3304.52</v>
          </cell>
          <cell r="AH41">
            <v>3325.46</v>
          </cell>
          <cell r="AI41">
            <v>3291.01</v>
          </cell>
          <cell r="AJ41">
            <v>3325.52</v>
          </cell>
          <cell r="AK41">
            <v>3251.02</v>
          </cell>
          <cell r="AL41">
            <v>3326.54</v>
          </cell>
          <cell r="AM41">
            <v>3414.35</v>
          </cell>
          <cell r="AN41">
            <v>3353.33</v>
          </cell>
          <cell r="AO41">
            <v>3371.44</v>
          </cell>
          <cell r="AP41">
            <v>3370.48</v>
          </cell>
          <cell r="AQ41">
            <v>3391.03</v>
          </cell>
          <cell r="AR41">
            <v>3299.68</v>
          </cell>
          <cell r="AS41">
            <v>3403.74</v>
          </cell>
          <cell r="AT41">
            <v>3353.03</v>
          </cell>
          <cell r="AU41">
            <v>3361.54</v>
          </cell>
          <cell r="AV41">
            <v>3381.64</v>
          </cell>
          <cell r="AW41">
            <v>3329.27</v>
          </cell>
          <cell r="AX41">
            <v>3232.54</v>
          </cell>
          <cell r="AY41">
            <v>3292.54</v>
          </cell>
          <cell r="AZ41">
            <v>3203.26</v>
          </cell>
          <cell r="BA41">
            <v>2656.57</v>
          </cell>
        </row>
        <row r="42">
          <cell r="A42" t="str">
            <v>V1000H40B20</v>
          </cell>
          <cell r="B42">
            <v>1000</v>
          </cell>
          <cell r="C42">
            <v>4000</v>
          </cell>
          <cell r="D42">
            <v>2000</v>
          </cell>
          <cell r="E42">
            <v>16</v>
          </cell>
          <cell r="F42">
            <v>2</v>
          </cell>
          <cell r="G42">
            <v>1</v>
          </cell>
          <cell r="H42">
            <v>350</v>
          </cell>
          <cell r="I42">
            <v>70</v>
          </cell>
          <cell r="J42">
            <v>1038.3</v>
          </cell>
          <cell r="K42" t="str">
            <v>Q-11002887</v>
          </cell>
          <cell r="L42" t="str">
            <v>\\hokukon-net2\hop\Program\01_MVPシステム_容量別組立図\.\01_余裕高0_0m\pdf\FB0_1000m3-MVP-4000-組-B2000_Q-11002887.pdf</v>
          </cell>
          <cell r="M42">
            <v>3561.65</v>
          </cell>
          <cell r="N42">
            <v>3591.14</v>
          </cell>
          <cell r="O42">
            <v>3530.81</v>
          </cell>
          <cell r="P42">
            <v>3531.78</v>
          </cell>
          <cell r="Q42">
            <v>3575.42</v>
          </cell>
          <cell r="R42">
            <v>3554.27</v>
          </cell>
          <cell r="S42">
            <v>3546.15</v>
          </cell>
          <cell r="T42">
            <v>3547.31</v>
          </cell>
          <cell r="U42">
            <v>3554.57</v>
          </cell>
          <cell r="V42">
            <v>3542.48</v>
          </cell>
          <cell r="W42">
            <v>3556.45</v>
          </cell>
          <cell r="X42">
            <v>3570.6</v>
          </cell>
          <cell r="Y42">
            <v>3572.37</v>
          </cell>
          <cell r="Z42">
            <v>3639.67</v>
          </cell>
          <cell r="AA42">
            <v>3586.49</v>
          </cell>
          <cell r="AB42">
            <v>3587.01</v>
          </cell>
          <cell r="AC42">
            <v>3659.83</v>
          </cell>
          <cell r="AD42">
            <v>3538.52</v>
          </cell>
          <cell r="AE42">
            <v>3571.14</v>
          </cell>
          <cell r="AF42">
            <v>3647.92</v>
          </cell>
          <cell r="AG42">
            <v>3553.47</v>
          </cell>
          <cell r="AH42">
            <v>3575.27</v>
          </cell>
          <cell r="AI42">
            <v>3539.58</v>
          </cell>
          <cell r="AJ42">
            <v>3575.22</v>
          </cell>
          <cell r="AK42">
            <v>3497.88</v>
          </cell>
          <cell r="AL42">
            <v>3576.28</v>
          </cell>
          <cell r="AM42">
            <v>3667.83</v>
          </cell>
          <cell r="AN42">
            <v>3604.27</v>
          </cell>
          <cell r="AO42">
            <v>3622.92</v>
          </cell>
          <cell r="AP42">
            <v>3622.08</v>
          </cell>
          <cell r="AQ42">
            <v>3643.57</v>
          </cell>
          <cell r="AR42">
            <v>3547.57</v>
          </cell>
          <cell r="AS42">
            <v>3656.06</v>
          </cell>
          <cell r="AT42">
            <v>3603.55</v>
          </cell>
          <cell r="AU42">
            <v>3612.52</v>
          </cell>
          <cell r="AV42">
            <v>3633.11</v>
          </cell>
          <cell r="AW42">
            <v>3578.55</v>
          </cell>
          <cell r="AX42">
            <v>3478.14</v>
          </cell>
          <cell r="AY42">
            <v>3540.18</v>
          </cell>
          <cell r="AZ42">
            <v>3447.42</v>
          </cell>
          <cell r="BA42">
            <v>2861.69</v>
          </cell>
        </row>
        <row r="43">
          <cell r="A43" t="str">
            <v>V1000H45B30</v>
          </cell>
          <cell r="B43">
            <v>1000</v>
          </cell>
          <cell r="C43">
            <v>4500</v>
          </cell>
          <cell r="D43">
            <v>3000</v>
          </cell>
          <cell r="E43">
            <v>12</v>
          </cell>
          <cell r="F43">
            <v>2</v>
          </cell>
          <cell r="G43">
            <v>1</v>
          </cell>
          <cell r="H43">
            <v>350</v>
          </cell>
          <cell r="I43">
            <v>70</v>
          </cell>
          <cell r="J43">
            <v>1060.0999999999999</v>
          </cell>
          <cell r="K43" t="str">
            <v>Q-11002892</v>
          </cell>
          <cell r="L43" t="str">
            <v>\\hokukon-net2\hop\Program\01_MVPシステム_容量別組立図\.\01_余裕高0_0m\pdf\FB0_1000m3-MVP-4500-組-B3000_Q-11002892.pdf</v>
          </cell>
          <cell r="M43">
            <v>3215.85</v>
          </cell>
          <cell r="N43">
            <v>3242.66</v>
          </cell>
          <cell r="O43">
            <v>3188.33</v>
          </cell>
          <cell r="P43">
            <v>3189.21</v>
          </cell>
          <cell r="Q43">
            <v>3228.29</v>
          </cell>
          <cell r="R43">
            <v>3209.04</v>
          </cell>
          <cell r="S43">
            <v>3201.54</v>
          </cell>
          <cell r="T43">
            <v>3202.6</v>
          </cell>
          <cell r="U43">
            <v>3210.26</v>
          </cell>
          <cell r="V43">
            <v>3199.38</v>
          </cell>
          <cell r="W43">
            <v>3211.72</v>
          </cell>
          <cell r="X43">
            <v>3224.87</v>
          </cell>
          <cell r="Y43">
            <v>3226.47</v>
          </cell>
          <cell r="Z43">
            <v>3287.28</v>
          </cell>
          <cell r="AA43">
            <v>3239.17</v>
          </cell>
          <cell r="AB43">
            <v>3239.62</v>
          </cell>
          <cell r="AC43">
            <v>3304.66</v>
          </cell>
          <cell r="AD43">
            <v>3194.66</v>
          </cell>
          <cell r="AE43">
            <v>3224.36</v>
          </cell>
          <cell r="AF43">
            <v>3293.82</v>
          </cell>
          <cell r="AG43">
            <v>3209.09</v>
          </cell>
          <cell r="AH43">
            <v>3228.84</v>
          </cell>
          <cell r="AI43">
            <v>3196.54</v>
          </cell>
          <cell r="AJ43">
            <v>3228.6</v>
          </cell>
          <cell r="AK43">
            <v>3158.59</v>
          </cell>
          <cell r="AL43">
            <v>3229.34</v>
          </cell>
          <cell r="AM43">
            <v>3312.03</v>
          </cell>
          <cell r="AN43">
            <v>3255.07</v>
          </cell>
          <cell r="AO43">
            <v>3271.77</v>
          </cell>
          <cell r="AP43">
            <v>3271</v>
          </cell>
          <cell r="AQ43">
            <v>3290.41</v>
          </cell>
          <cell r="AR43">
            <v>3202.97</v>
          </cell>
          <cell r="AS43">
            <v>3300.67</v>
          </cell>
          <cell r="AT43">
            <v>3253.72</v>
          </cell>
          <cell r="AU43">
            <v>3261.55</v>
          </cell>
          <cell r="AV43">
            <v>3280.27</v>
          </cell>
          <cell r="AW43">
            <v>3231</v>
          </cell>
          <cell r="AX43">
            <v>3140.25</v>
          </cell>
          <cell r="AY43">
            <v>3196.25</v>
          </cell>
          <cell r="AZ43">
            <v>3112.55</v>
          </cell>
          <cell r="BA43">
            <v>2574.16</v>
          </cell>
        </row>
        <row r="44">
          <cell r="A44" t="str">
            <v>V1000H45B25</v>
          </cell>
          <cell r="B44">
            <v>1000</v>
          </cell>
          <cell r="C44">
            <v>4500</v>
          </cell>
          <cell r="D44">
            <v>2500</v>
          </cell>
          <cell r="E44">
            <v>13</v>
          </cell>
          <cell r="F44">
            <v>2</v>
          </cell>
          <cell r="G44">
            <v>1</v>
          </cell>
          <cell r="H44">
            <v>350</v>
          </cell>
          <cell r="I44">
            <v>70</v>
          </cell>
          <cell r="J44">
            <v>1051.7</v>
          </cell>
          <cell r="K44" t="str">
            <v>Q-11002891</v>
          </cell>
          <cell r="L44" t="str">
            <v>\\hokukon-net2\hop\Program\01_MVPシステム_容量別組立図\.\01_余裕高0_0m\pdf\FB0_1000m3-MVP-4500-組-B2500_Q-11002891.pdf</v>
          </cell>
          <cell r="M44">
            <v>3304.57</v>
          </cell>
          <cell r="N44">
            <v>3331.38</v>
          </cell>
          <cell r="O44">
            <v>3277.48</v>
          </cell>
          <cell r="P44">
            <v>3278.34</v>
          </cell>
          <cell r="Q44">
            <v>3316.92</v>
          </cell>
          <cell r="R44">
            <v>3297.72</v>
          </cell>
          <cell r="S44">
            <v>3290.07</v>
          </cell>
          <cell r="T44">
            <v>3291.13</v>
          </cell>
          <cell r="U44">
            <v>3299.77</v>
          </cell>
          <cell r="V44">
            <v>3288.78</v>
          </cell>
          <cell r="W44">
            <v>3301.15</v>
          </cell>
          <cell r="X44">
            <v>3314.64</v>
          </cell>
          <cell r="Y44">
            <v>3316.28</v>
          </cell>
          <cell r="Z44">
            <v>3377.25</v>
          </cell>
          <cell r="AA44">
            <v>3329.4</v>
          </cell>
          <cell r="AB44">
            <v>3329.44</v>
          </cell>
          <cell r="AC44">
            <v>3393.79</v>
          </cell>
          <cell r="AD44">
            <v>3283.6</v>
          </cell>
          <cell r="AE44">
            <v>3313.58</v>
          </cell>
          <cell r="AF44">
            <v>3383.03</v>
          </cell>
          <cell r="AG44">
            <v>3298.74</v>
          </cell>
          <cell r="AH44">
            <v>3318.51</v>
          </cell>
          <cell r="AI44">
            <v>3286.48</v>
          </cell>
          <cell r="AJ44">
            <v>3318.01</v>
          </cell>
          <cell r="AK44">
            <v>3248.43</v>
          </cell>
          <cell r="AL44">
            <v>3318.81</v>
          </cell>
          <cell r="AM44">
            <v>3401.33</v>
          </cell>
          <cell r="AN44">
            <v>3344.63</v>
          </cell>
          <cell r="AO44">
            <v>3360.98</v>
          </cell>
          <cell r="AP44">
            <v>3360.43</v>
          </cell>
          <cell r="AQ44">
            <v>3379.84</v>
          </cell>
          <cell r="AR44">
            <v>3291.58</v>
          </cell>
          <cell r="AS44">
            <v>3389.07</v>
          </cell>
          <cell r="AT44">
            <v>3342.73</v>
          </cell>
          <cell r="AU44">
            <v>3350.61</v>
          </cell>
          <cell r="AV44">
            <v>3368.86</v>
          </cell>
          <cell r="AW44">
            <v>3319.69</v>
          </cell>
          <cell r="AX44">
            <v>3229.49</v>
          </cell>
          <cell r="AY44">
            <v>3284.93</v>
          </cell>
          <cell r="AZ44">
            <v>3201.63</v>
          </cell>
          <cell r="BA44">
            <v>2651.06</v>
          </cell>
        </row>
        <row r="45">
          <cell r="A45" t="str">
            <v>V1000H45B20</v>
          </cell>
          <cell r="B45">
            <v>1000</v>
          </cell>
          <cell r="C45">
            <v>4500</v>
          </cell>
          <cell r="D45">
            <v>2000</v>
          </cell>
          <cell r="E45">
            <v>14</v>
          </cell>
          <cell r="F45">
            <v>2</v>
          </cell>
          <cell r="G45">
            <v>1</v>
          </cell>
          <cell r="H45">
            <v>350</v>
          </cell>
          <cell r="I45">
            <v>70</v>
          </cell>
          <cell r="J45">
            <v>1029.8</v>
          </cell>
          <cell r="K45" t="str">
            <v>Q-11002890</v>
          </cell>
          <cell r="L45" t="str">
            <v>\\hokukon-net2\hop\Program\01_MVPシステム_容量別組立図\.\01_余裕高0_0m\pdf\FB0_1000m3-MVP-4500-組-B2000_Q-11002890.pdf</v>
          </cell>
          <cell r="M45">
            <v>3385.9</v>
          </cell>
          <cell r="N45">
            <v>3412.35</v>
          </cell>
          <cell r="O45">
            <v>3359.61</v>
          </cell>
          <cell r="P45">
            <v>3360.47</v>
          </cell>
          <cell r="Q45">
            <v>3397.95</v>
          </cell>
          <cell r="R45">
            <v>3378.96</v>
          </cell>
          <cell r="S45">
            <v>3371.13</v>
          </cell>
          <cell r="T45">
            <v>3372.17</v>
          </cell>
          <cell r="U45">
            <v>3382.23</v>
          </cell>
          <cell r="V45">
            <v>3371.2</v>
          </cell>
          <cell r="W45">
            <v>3383.5</v>
          </cell>
          <cell r="X45">
            <v>3397.36</v>
          </cell>
          <cell r="Y45">
            <v>3399.07</v>
          </cell>
          <cell r="Z45">
            <v>3459.7</v>
          </cell>
          <cell r="AA45">
            <v>3412.64</v>
          </cell>
          <cell r="AB45">
            <v>3412.11</v>
          </cell>
          <cell r="AC45">
            <v>3474.83</v>
          </cell>
          <cell r="AD45">
            <v>3365.37</v>
          </cell>
          <cell r="AE45">
            <v>3395.45</v>
          </cell>
          <cell r="AF45">
            <v>3464.26</v>
          </cell>
          <cell r="AG45">
            <v>3381.45</v>
          </cell>
          <cell r="AH45">
            <v>3401.02</v>
          </cell>
          <cell r="AI45">
            <v>3369.67</v>
          </cell>
          <cell r="AJ45">
            <v>3400.19</v>
          </cell>
          <cell r="AK45">
            <v>3331.87</v>
          </cell>
          <cell r="AL45">
            <v>3400.98</v>
          </cell>
          <cell r="AM45">
            <v>3482.5</v>
          </cell>
          <cell r="AN45">
            <v>3426.74</v>
          </cell>
          <cell r="AO45">
            <v>3442.44</v>
          </cell>
          <cell r="AP45">
            <v>3442.18</v>
          </cell>
          <cell r="AQ45">
            <v>3461.47</v>
          </cell>
          <cell r="AR45">
            <v>3372.76</v>
          </cell>
          <cell r="AS45">
            <v>3469.02</v>
          </cell>
          <cell r="AT45">
            <v>3423.99</v>
          </cell>
          <cell r="AU45">
            <v>3431.85</v>
          </cell>
          <cell r="AV45">
            <v>3449.3</v>
          </cell>
          <cell r="AW45">
            <v>3400.73</v>
          </cell>
          <cell r="AX45">
            <v>3312.21</v>
          </cell>
          <cell r="AY45">
            <v>3366.28</v>
          </cell>
          <cell r="AZ45">
            <v>3284.39</v>
          </cell>
          <cell r="BA45">
            <v>2724.43</v>
          </cell>
        </row>
        <row r="46">
          <cell r="A46" t="str">
            <v>V2000H15B30</v>
          </cell>
          <cell r="B46">
            <v>2000</v>
          </cell>
          <cell r="C46">
            <v>1500</v>
          </cell>
          <cell r="D46">
            <v>3000</v>
          </cell>
          <cell r="E46">
            <v>31</v>
          </cell>
          <cell r="F46">
            <v>3</v>
          </cell>
          <cell r="G46">
            <v>2</v>
          </cell>
          <cell r="H46">
            <v>350</v>
          </cell>
          <cell r="I46">
            <v>50</v>
          </cell>
          <cell r="J46">
            <v>2004.5</v>
          </cell>
          <cell r="K46" t="str">
            <v>Q-11002895</v>
          </cell>
          <cell r="L46" t="str">
            <v>\\hokukon-net2\hop\Program\01_MVPシステム_容量別組立図\.\01_余裕高0_0m\pdf\FB0_2000m3-MVP-1500-組-B3000_Q-11002895.pdf</v>
          </cell>
          <cell r="M46">
            <v>8394.1299999999992</v>
          </cell>
          <cell r="N46">
            <v>8522.44</v>
          </cell>
          <cell r="O46">
            <v>8216.2900000000009</v>
          </cell>
          <cell r="P46">
            <v>8220.84</v>
          </cell>
          <cell r="Q46">
            <v>8461.57</v>
          </cell>
          <cell r="R46">
            <v>8364.1200000000008</v>
          </cell>
          <cell r="S46">
            <v>8344.33</v>
          </cell>
          <cell r="T46">
            <v>8349.83</v>
          </cell>
          <cell r="U46">
            <v>8279.39</v>
          </cell>
          <cell r="V46">
            <v>8233.41</v>
          </cell>
          <cell r="W46">
            <v>8298.1299999999992</v>
          </cell>
          <cell r="X46">
            <v>8326.6299999999992</v>
          </cell>
          <cell r="Y46">
            <v>8329.7900000000009</v>
          </cell>
          <cell r="Z46">
            <v>8615.6200000000008</v>
          </cell>
          <cell r="AA46">
            <v>8365.48</v>
          </cell>
          <cell r="AB46">
            <v>8398.24</v>
          </cell>
          <cell r="AC46">
            <v>8792.58</v>
          </cell>
          <cell r="AD46">
            <v>8288.2000000000007</v>
          </cell>
          <cell r="AE46">
            <v>8406.98</v>
          </cell>
          <cell r="AF46">
            <v>8747.0400000000009</v>
          </cell>
          <cell r="AG46">
            <v>8279.65</v>
          </cell>
          <cell r="AH46">
            <v>8370.42</v>
          </cell>
          <cell r="AI46">
            <v>8193.9500000000007</v>
          </cell>
          <cell r="AJ46">
            <v>8396.23</v>
          </cell>
          <cell r="AK46">
            <v>8007.1</v>
          </cell>
          <cell r="AL46">
            <v>8384.58</v>
          </cell>
          <cell r="AM46">
            <v>8805.1200000000008</v>
          </cell>
          <cell r="AN46">
            <v>8492.9599999999991</v>
          </cell>
          <cell r="AO46">
            <v>8606.65</v>
          </cell>
          <cell r="AP46">
            <v>8583.2000000000007</v>
          </cell>
          <cell r="AQ46">
            <v>8678.3700000000008</v>
          </cell>
          <cell r="AR46">
            <v>8345.24</v>
          </cell>
          <cell r="AS46">
            <v>8853.01</v>
          </cell>
          <cell r="AT46">
            <v>8561.74</v>
          </cell>
          <cell r="AU46">
            <v>8605.4699999999993</v>
          </cell>
          <cell r="AV46">
            <v>8729.4</v>
          </cell>
          <cell r="AW46">
            <v>8486.68</v>
          </cell>
          <cell r="AX46">
            <v>7998.39</v>
          </cell>
          <cell r="AY46">
            <v>8316.07</v>
          </cell>
          <cell r="AZ46">
            <v>7874.48</v>
          </cell>
          <cell r="BA46">
            <v>6602.13</v>
          </cell>
        </row>
        <row r="47">
          <cell r="A47" t="str">
            <v>V2000H15B25</v>
          </cell>
          <cell r="B47">
            <v>2000</v>
          </cell>
          <cell r="C47">
            <v>1500</v>
          </cell>
          <cell r="D47">
            <v>2500</v>
          </cell>
          <cell r="E47">
            <v>34</v>
          </cell>
          <cell r="F47">
            <v>3</v>
          </cell>
          <cell r="G47">
            <v>2</v>
          </cell>
          <cell r="H47">
            <v>350</v>
          </cell>
          <cell r="I47">
            <v>50</v>
          </cell>
          <cell r="J47">
            <v>2037.7</v>
          </cell>
          <cell r="K47" t="str">
            <v>Q-11002894</v>
          </cell>
          <cell r="L47" t="str">
            <v>\\hokukon-net2\hop\Program\01_MVPシステム_容量別組立図\.\01_余裕高0_0m\pdf\FB0_2000m3-MVP-1500-組-B2500_Q-11002894.pdf</v>
          </cell>
          <cell r="M47">
            <v>8690.35</v>
          </cell>
          <cell r="N47">
            <v>8821.2199999999993</v>
          </cell>
          <cell r="O47">
            <v>8509.57</v>
          </cell>
          <cell r="P47">
            <v>8514.2000000000007</v>
          </cell>
          <cell r="Q47">
            <v>8758.83</v>
          </cell>
          <cell r="R47">
            <v>8659.32</v>
          </cell>
          <cell r="S47">
            <v>8638.61</v>
          </cell>
          <cell r="T47">
            <v>8644.2099999999991</v>
          </cell>
          <cell r="U47">
            <v>8575.08</v>
          </cell>
          <cell r="V47">
            <v>8527.77</v>
          </cell>
          <cell r="W47">
            <v>8594.06</v>
          </cell>
          <cell r="X47">
            <v>8624.14</v>
          </cell>
          <cell r="Y47">
            <v>8627.49</v>
          </cell>
          <cell r="Z47">
            <v>8920.17</v>
          </cell>
          <cell r="AA47">
            <v>8665.25</v>
          </cell>
          <cell r="AB47">
            <v>8697.56</v>
          </cell>
          <cell r="AC47">
            <v>9098.8700000000008</v>
          </cell>
          <cell r="AD47">
            <v>8583.2099999999991</v>
          </cell>
          <cell r="AE47">
            <v>8705.31</v>
          </cell>
          <cell r="AF47">
            <v>9053.02</v>
          </cell>
          <cell r="AG47">
            <v>8576.58</v>
          </cell>
          <cell r="AH47">
            <v>8669.23</v>
          </cell>
          <cell r="AI47">
            <v>8489.64</v>
          </cell>
          <cell r="AJ47">
            <v>8695.07</v>
          </cell>
          <cell r="AK47">
            <v>8297.4</v>
          </cell>
          <cell r="AL47">
            <v>8682.0499999999993</v>
          </cell>
          <cell r="AM47">
            <v>9111.64</v>
          </cell>
          <cell r="AN47">
            <v>8793.18</v>
          </cell>
          <cell r="AO47">
            <v>8908.43</v>
          </cell>
          <cell r="AP47">
            <v>8885</v>
          </cell>
          <cell r="AQ47">
            <v>8982.36</v>
          </cell>
          <cell r="AR47">
            <v>8640.34</v>
          </cell>
          <cell r="AS47">
            <v>9158.91</v>
          </cell>
          <cell r="AT47">
            <v>8862.83</v>
          </cell>
          <cell r="AU47">
            <v>8907.7099999999991</v>
          </cell>
          <cell r="AV47">
            <v>9033.1</v>
          </cell>
          <cell r="AW47">
            <v>8785.5300000000007</v>
          </cell>
          <cell r="AX47">
            <v>8288.02</v>
          </cell>
          <cell r="AY47">
            <v>8611.1</v>
          </cell>
          <cell r="AZ47">
            <v>8160.96</v>
          </cell>
          <cell r="BA47">
            <v>6873.61</v>
          </cell>
        </row>
        <row r="48">
          <cell r="A48" t="str">
            <v>V2000H15B20</v>
          </cell>
          <cell r="B48">
            <v>2000</v>
          </cell>
          <cell r="C48">
            <v>1500</v>
          </cell>
          <cell r="D48">
            <v>2000</v>
          </cell>
          <cell r="E48">
            <v>37</v>
          </cell>
          <cell r="F48">
            <v>3</v>
          </cell>
          <cell r="G48">
            <v>2</v>
          </cell>
          <cell r="H48">
            <v>350</v>
          </cell>
          <cell r="I48">
            <v>50</v>
          </cell>
          <cell r="J48">
            <v>2043.7</v>
          </cell>
          <cell r="K48" t="str">
            <v>Q-11002893</v>
          </cell>
          <cell r="L48" t="str">
            <v>\\hokukon-net2\hop\Program\01_MVPシステム_容量別組立図\.\01_余裕高0_0m\pdf\FB0_2000m3-MVP-1500-組-B2000_Q-11002893.pdf</v>
          </cell>
          <cell r="M48">
            <v>8914.59</v>
          </cell>
          <cell r="N48">
            <v>9046.48</v>
          </cell>
          <cell r="O48">
            <v>8733.2000000000007</v>
          </cell>
          <cell r="P48">
            <v>8737.8799999999992</v>
          </cell>
          <cell r="Q48">
            <v>8983.2099999999991</v>
          </cell>
          <cell r="R48">
            <v>8882.82</v>
          </cell>
          <cell r="S48">
            <v>8861.2800000000007</v>
          </cell>
          <cell r="T48">
            <v>8866.94</v>
          </cell>
          <cell r="U48">
            <v>8800.73</v>
          </cell>
          <cell r="V48">
            <v>8752.5300000000007</v>
          </cell>
          <cell r="W48">
            <v>8819.66</v>
          </cell>
          <cell r="X48">
            <v>8851.19</v>
          </cell>
          <cell r="Y48">
            <v>8854.75</v>
          </cell>
          <cell r="Z48">
            <v>9151.0499999999993</v>
          </cell>
          <cell r="AA48">
            <v>8894.44</v>
          </cell>
          <cell r="AB48">
            <v>8925.66</v>
          </cell>
          <cell r="AC48">
            <v>9328.84</v>
          </cell>
          <cell r="AD48">
            <v>8807.67</v>
          </cell>
          <cell r="AE48">
            <v>8931.94</v>
          </cell>
          <cell r="AF48">
            <v>9283.35</v>
          </cell>
          <cell r="AG48">
            <v>8803.6299999999992</v>
          </cell>
          <cell r="AH48">
            <v>8897.11</v>
          </cell>
          <cell r="AI48">
            <v>8716.69</v>
          </cell>
          <cell r="AJ48">
            <v>8922.5300000000007</v>
          </cell>
          <cell r="AK48">
            <v>8520.93</v>
          </cell>
          <cell r="AL48">
            <v>8908.1299999999992</v>
          </cell>
          <cell r="AM48">
            <v>9341.76</v>
          </cell>
          <cell r="AN48">
            <v>9020.82</v>
          </cell>
          <cell r="AO48">
            <v>9136.09</v>
          </cell>
          <cell r="AP48">
            <v>9113.09</v>
          </cell>
          <cell r="AQ48">
            <v>9211.58</v>
          </cell>
          <cell r="AR48">
            <v>8864</v>
          </cell>
          <cell r="AS48">
            <v>9387.32</v>
          </cell>
          <cell r="AT48">
            <v>9090.2999999999993</v>
          </cell>
          <cell r="AU48">
            <v>9135.81</v>
          </cell>
          <cell r="AV48">
            <v>9260.94</v>
          </cell>
          <cell r="AW48">
            <v>9011.4599999999991</v>
          </cell>
          <cell r="AX48">
            <v>8510.7199999999993</v>
          </cell>
          <cell r="AY48">
            <v>8835.1200000000008</v>
          </cell>
          <cell r="AZ48">
            <v>8381.8799999999992</v>
          </cell>
          <cell r="BA48">
            <v>7088.96</v>
          </cell>
        </row>
        <row r="49">
          <cell r="A49" t="str">
            <v>V2000H20B30</v>
          </cell>
          <cell r="B49">
            <v>2000</v>
          </cell>
          <cell r="C49">
            <v>2000</v>
          </cell>
          <cell r="D49">
            <v>3000</v>
          </cell>
          <cell r="E49">
            <v>23</v>
          </cell>
          <cell r="F49">
            <v>3</v>
          </cell>
          <cell r="G49">
            <v>2</v>
          </cell>
          <cell r="H49">
            <v>350</v>
          </cell>
          <cell r="I49">
            <v>50</v>
          </cell>
          <cell r="J49">
            <v>2011.8</v>
          </cell>
          <cell r="K49" t="str">
            <v>Q-11002898</v>
          </cell>
          <cell r="L49" t="str">
            <v>\\hokukon-net2\hop\Program\01_MVPシステム_容量別組立図\.\01_余裕高0_0m\pdf\FB0_2000m3-MVP-2000-組-B3000_Q-11002898.pdf</v>
          </cell>
          <cell r="M49">
            <v>6715.18</v>
          </cell>
          <cell r="N49">
            <v>6812.61</v>
          </cell>
          <cell r="O49">
            <v>6583.32</v>
          </cell>
          <cell r="P49">
            <v>6586.74</v>
          </cell>
          <cell r="Q49">
            <v>6765.72</v>
          </cell>
          <cell r="R49">
            <v>6692.29</v>
          </cell>
          <cell r="S49">
            <v>6676.44</v>
          </cell>
          <cell r="T49">
            <v>6680.59</v>
          </cell>
          <cell r="U49">
            <v>6633.71</v>
          </cell>
          <cell r="V49">
            <v>6598.49</v>
          </cell>
          <cell r="W49">
            <v>6646.89</v>
          </cell>
          <cell r="X49">
            <v>6670.58</v>
          </cell>
          <cell r="Y49">
            <v>6673.21</v>
          </cell>
          <cell r="Z49">
            <v>6889.75</v>
          </cell>
          <cell r="AA49">
            <v>6701.28</v>
          </cell>
          <cell r="AB49">
            <v>6724.57</v>
          </cell>
          <cell r="AC49">
            <v>7018.47</v>
          </cell>
          <cell r="AD49">
            <v>6635.25</v>
          </cell>
          <cell r="AE49">
            <v>6726.7</v>
          </cell>
          <cell r="AF49">
            <v>6983.75</v>
          </cell>
          <cell r="AG49">
            <v>6633.76</v>
          </cell>
          <cell r="AH49">
            <v>6702.8</v>
          </cell>
          <cell r="AI49">
            <v>6570.19</v>
          </cell>
          <cell r="AJ49">
            <v>6720.8</v>
          </cell>
          <cell r="AK49">
            <v>6427.41</v>
          </cell>
          <cell r="AL49">
            <v>6711.68</v>
          </cell>
          <cell r="AM49">
            <v>7028.97</v>
          </cell>
          <cell r="AN49">
            <v>6794.87</v>
          </cell>
          <cell r="AO49">
            <v>6879.11</v>
          </cell>
          <cell r="AP49">
            <v>6862.48</v>
          </cell>
          <cell r="AQ49">
            <v>6934.31</v>
          </cell>
          <cell r="AR49">
            <v>6678.15</v>
          </cell>
          <cell r="AS49">
            <v>7060.3</v>
          </cell>
          <cell r="AT49">
            <v>6843.53</v>
          </cell>
          <cell r="AU49">
            <v>6875.91</v>
          </cell>
          <cell r="AV49">
            <v>6968.16</v>
          </cell>
          <cell r="AW49">
            <v>6784.89</v>
          </cell>
          <cell r="AX49">
            <v>6417.6</v>
          </cell>
          <cell r="AY49">
            <v>6656.05</v>
          </cell>
          <cell r="AZ49">
            <v>6323.38</v>
          </cell>
          <cell r="BA49">
            <v>5291.29</v>
          </cell>
        </row>
        <row r="50">
          <cell r="A50" t="str">
            <v>V2000H20B25</v>
          </cell>
          <cell r="B50">
            <v>2000</v>
          </cell>
          <cell r="C50">
            <v>2000</v>
          </cell>
          <cell r="D50">
            <v>2500</v>
          </cell>
          <cell r="E50">
            <v>25</v>
          </cell>
          <cell r="F50">
            <v>3</v>
          </cell>
          <cell r="G50">
            <v>2</v>
          </cell>
          <cell r="H50">
            <v>350</v>
          </cell>
          <cell r="I50">
            <v>50</v>
          </cell>
          <cell r="J50">
            <v>2026.8</v>
          </cell>
          <cell r="K50" t="str">
            <v>Q-11002897</v>
          </cell>
          <cell r="L50" t="str">
            <v>\\hokukon-net2\hop\Program\01_MVPシステム_容量別組立図\.\01_余裕高0_0m\pdf\FB0_2000m3-MVP-2000-組-B2500_Q-11002897.pdf</v>
          </cell>
          <cell r="M50">
            <v>6891.37</v>
          </cell>
          <cell r="N50">
            <v>6989.77</v>
          </cell>
          <cell r="O50">
            <v>6758.63</v>
          </cell>
          <cell r="P50">
            <v>6762.09</v>
          </cell>
          <cell r="Q50">
            <v>6942.21</v>
          </cell>
          <cell r="R50">
            <v>6867.94</v>
          </cell>
          <cell r="S50">
            <v>6851.56</v>
          </cell>
          <cell r="T50">
            <v>6855.74</v>
          </cell>
          <cell r="U50">
            <v>6810.42</v>
          </cell>
          <cell r="V50">
            <v>6774.55</v>
          </cell>
          <cell r="W50">
            <v>6823.63</v>
          </cell>
          <cell r="X50">
            <v>6848.31</v>
          </cell>
          <cell r="Y50">
            <v>6851.08</v>
          </cell>
          <cell r="Z50">
            <v>7070.65</v>
          </cell>
          <cell r="AA50">
            <v>6880.44</v>
          </cell>
          <cell r="AB50">
            <v>6903.12</v>
          </cell>
          <cell r="AC50">
            <v>7199.33</v>
          </cell>
          <cell r="AD50">
            <v>6811.34</v>
          </cell>
          <cell r="AE50">
            <v>6904.42</v>
          </cell>
          <cell r="AF50">
            <v>7164.69</v>
          </cell>
          <cell r="AG50">
            <v>6811.38</v>
          </cell>
          <cell r="AH50">
            <v>6881.19</v>
          </cell>
          <cell r="AI50">
            <v>6747.53</v>
          </cell>
          <cell r="AJ50">
            <v>6899</v>
          </cell>
          <cell r="AK50">
            <v>6602.09</v>
          </cell>
          <cell r="AL50">
            <v>6888.95</v>
          </cell>
          <cell r="AM50">
            <v>7209.91</v>
          </cell>
          <cell r="AN50">
            <v>6973.4</v>
          </cell>
          <cell r="AO50">
            <v>7057.96</v>
          </cell>
          <cell r="AP50">
            <v>7041.52</v>
          </cell>
          <cell r="AQ50">
            <v>7114.29</v>
          </cell>
          <cell r="AR50">
            <v>6853.88</v>
          </cell>
          <cell r="AS50">
            <v>7240.37</v>
          </cell>
          <cell r="AT50">
            <v>7022.18</v>
          </cell>
          <cell r="AU50">
            <v>7055.1</v>
          </cell>
          <cell r="AV50">
            <v>7147.52</v>
          </cell>
          <cell r="AW50">
            <v>6962.41</v>
          </cell>
          <cell r="AX50">
            <v>6591.81</v>
          </cell>
          <cell r="AY50">
            <v>6831.95</v>
          </cell>
          <cell r="AZ50">
            <v>6496.13</v>
          </cell>
          <cell r="BA50">
            <v>5458.68</v>
          </cell>
        </row>
        <row r="51">
          <cell r="A51" t="str">
            <v>V2000H20B20</v>
          </cell>
          <cell r="B51">
            <v>2000</v>
          </cell>
          <cell r="C51">
            <v>2000</v>
          </cell>
          <cell r="D51">
            <v>2000</v>
          </cell>
          <cell r="E51">
            <v>27</v>
          </cell>
          <cell r="F51">
            <v>3</v>
          </cell>
          <cell r="G51">
            <v>2</v>
          </cell>
          <cell r="H51">
            <v>350</v>
          </cell>
          <cell r="I51">
            <v>50</v>
          </cell>
          <cell r="J51">
            <v>2017.9</v>
          </cell>
          <cell r="K51" t="str">
            <v>Q-11002896</v>
          </cell>
          <cell r="L51" t="str">
            <v>\\hokukon-net2\hop\Program\01_MVPシステム_容量別組立図\.\01_余裕高0_0m\pdf\FB0_2000m3-MVP-2000-組-B2000_Q-11002896.pdf</v>
          </cell>
          <cell r="M51">
            <v>7020.22</v>
          </cell>
          <cell r="N51">
            <v>7118.6</v>
          </cell>
          <cell r="O51">
            <v>6888.17</v>
          </cell>
          <cell r="P51">
            <v>6891.64</v>
          </cell>
          <cell r="Q51">
            <v>7070.76</v>
          </cell>
          <cell r="R51">
            <v>6996.45</v>
          </cell>
          <cell r="S51">
            <v>6979.58</v>
          </cell>
          <cell r="T51">
            <v>6983.76</v>
          </cell>
          <cell r="U51">
            <v>6941.09</v>
          </cell>
          <cell r="V51">
            <v>6904.84</v>
          </cell>
          <cell r="W51">
            <v>6954.14</v>
          </cell>
          <cell r="X51">
            <v>6979.73</v>
          </cell>
          <cell r="Y51">
            <v>6982.63</v>
          </cell>
          <cell r="Z51">
            <v>7203.07</v>
          </cell>
          <cell r="AA51">
            <v>7013.19</v>
          </cell>
          <cell r="AB51">
            <v>7034.85</v>
          </cell>
          <cell r="AC51">
            <v>7329.94</v>
          </cell>
          <cell r="AD51">
            <v>6941.02</v>
          </cell>
          <cell r="AE51">
            <v>7034.94</v>
          </cell>
          <cell r="AF51">
            <v>7295.84</v>
          </cell>
          <cell r="AG51">
            <v>6943.07</v>
          </cell>
          <cell r="AH51">
            <v>7012.93</v>
          </cell>
          <cell r="AI51">
            <v>6879.75</v>
          </cell>
          <cell r="AJ51">
            <v>7030.25</v>
          </cell>
          <cell r="AK51">
            <v>6732.89</v>
          </cell>
          <cell r="AL51">
            <v>7019.24</v>
          </cell>
          <cell r="AM51">
            <v>7340.54</v>
          </cell>
          <cell r="AN51">
            <v>7104.19</v>
          </cell>
          <cell r="AO51">
            <v>7188.02</v>
          </cell>
          <cell r="AP51">
            <v>7172.04</v>
          </cell>
          <cell r="AQ51">
            <v>7245.05</v>
          </cell>
          <cell r="AR51">
            <v>6982.65</v>
          </cell>
          <cell r="AS51">
            <v>7369.43</v>
          </cell>
          <cell r="AT51">
            <v>7152.37</v>
          </cell>
          <cell r="AU51">
            <v>7185.48</v>
          </cell>
          <cell r="AV51">
            <v>7276.93</v>
          </cell>
          <cell r="AW51">
            <v>7091.92</v>
          </cell>
          <cell r="AX51">
            <v>6722.03</v>
          </cell>
          <cell r="AY51">
            <v>6961.14</v>
          </cell>
          <cell r="AZ51">
            <v>6625.81</v>
          </cell>
          <cell r="BA51">
            <v>5588.49</v>
          </cell>
        </row>
        <row r="52">
          <cell r="A52" t="str">
            <v>V2000H25B30</v>
          </cell>
          <cell r="B52">
            <v>2000</v>
          </cell>
          <cell r="C52">
            <v>2500</v>
          </cell>
          <cell r="D52">
            <v>3000</v>
          </cell>
          <cell r="E52">
            <v>24</v>
          </cell>
          <cell r="F52">
            <v>4</v>
          </cell>
          <cell r="G52">
            <v>1</v>
          </cell>
          <cell r="H52">
            <v>300</v>
          </cell>
          <cell r="I52">
            <v>50</v>
          </cell>
          <cell r="J52">
            <v>2073.6</v>
          </cell>
          <cell r="K52" t="str">
            <v>Q-11002901</v>
          </cell>
          <cell r="L52" t="str">
            <v>\\hokukon-net2\hop\Program\01_MVPシステム_容量別組立図\.\01_余裕高0_0m\pdf\FB0_2000m3-MVP-2500-組-B3000_Q-11002901.pdf</v>
          </cell>
          <cell r="M52">
            <v>6874.56</v>
          </cell>
          <cell r="N52">
            <v>6950.54</v>
          </cell>
          <cell r="O52">
            <v>6778.54</v>
          </cell>
          <cell r="P52">
            <v>6781.23</v>
          </cell>
          <cell r="Q52">
            <v>6913.99</v>
          </cell>
          <cell r="R52">
            <v>6857.41</v>
          </cell>
          <cell r="S52">
            <v>6841.88</v>
          </cell>
          <cell r="T52">
            <v>6845.12</v>
          </cell>
          <cell r="U52">
            <v>6832.88</v>
          </cell>
          <cell r="V52">
            <v>6802.58</v>
          </cell>
          <cell r="W52">
            <v>6841.5</v>
          </cell>
          <cell r="X52">
            <v>6869.45</v>
          </cell>
          <cell r="Y52">
            <v>6873.83</v>
          </cell>
          <cell r="Z52">
            <v>7048.52</v>
          </cell>
          <cell r="AA52">
            <v>6902.02</v>
          </cell>
          <cell r="AB52">
            <v>6912.06</v>
          </cell>
          <cell r="AC52">
            <v>7128.59</v>
          </cell>
          <cell r="AD52">
            <v>6819.65</v>
          </cell>
          <cell r="AE52">
            <v>6895.53</v>
          </cell>
          <cell r="AF52">
            <v>7100.45</v>
          </cell>
          <cell r="AG52">
            <v>6838.24</v>
          </cell>
          <cell r="AH52">
            <v>6894.58</v>
          </cell>
          <cell r="AI52">
            <v>6792.75</v>
          </cell>
          <cell r="AJ52">
            <v>6903.41</v>
          </cell>
          <cell r="AK52">
            <v>6672.4</v>
          </cell>
          <cell r="AL52">
            <v>6888.48</v>
          </cell>
          <cell r="AM52">
            <v>7136.41</v>
          </cell>
          <cell r="AN52">
            <v>6956.83</v>
          </cell>
          <cell r="AO52">
            <v>7016.05</v>
          </cell>
          <cell r="AP52">
            <v>7008.76</v>
          </cell>
          <cell r="AQ52">
            <v>7064.11</v>
          </cell>
          <cell r="AR52">
            <v>6850.32</v>
          </cell>
          <cell r="AS52">
            <v>7147.23</v>
          </cell>
          <cell r="AT52">
            <v>6986.38</v>
          </cell>
          <cell r="AU52">
            <v>7011.81</v>
          </cell>
          <cell r="AV52">
            <v>7078.95</v>
          </cell>
          <cell r="AW52">
            <v>6932.88</v>
          </cell>
          <cell r="AX52">
            <v>6655.68</v>
          </cell>
          <cell r="AY52">
            <v>6832.75</v>
          </cell>
          <cell r="AZ52">
            <v>6577.08</v>
          </cell>
          <cell r="BA52">
            <v>5437.93</v>
          </cell>
        </row>
        <row r="53">
          <cell r="A53" t="str">
            <v>V2000H25B25</v>
          </cell>
          <cell r="B53">
            <v>2000</v>
          </cell>
          <cell r="C53">
            <v>2500</v>
          </cell>
          <cell r="D53">
            <v>2500</v>
          </cell>
          <cell r="E53">
            <v>26</v>
          </cell>
          <cell r="F53">
            <v>4</v>
          </cell>
          <cell r="G53">
            <v>1</v>
          </cell>
          <cell r="H53">
            <v>300</v>
          </cell>
          <cell r="I53">
            <v>50</v>
          </cell>
          <cell r="J53">
            <v>2041.8</v>
          </cell>
          <cell r="K53" t="str">
            <v>Q-11002900</v>
          </cell>
          <cell r="L53" t="str">
            <v>\\hokukon-net2\hop\Program\01_MVPシステム_容量別組立図\.\01_余裕高0_0m\pdf\FB0_2000m3-MVP-2500-組-B2500_Q-11002900.pdf</v>
          </cell>
          <cell r="M53">
            <v>7009.04</v>
          </cell>
          <cell r="N53">
            <v>7084.19</v>
          </cell>
          <cell r="O53">
            <v>6914.91</v>
          </cell>
          <cell r="P53">
            <v>6917.58</v>
          </cell>
          <cell r="Q53">
            <v>7047.74</v>
          </cell>
          <cell r="R53">
            <v>6991.69</v>
          </cell>
          <cell r="S53">
            <v>6975.7</v>
          </cell>
          <cell r="T53">
            <v>6978.9</v>
          </cell>
          <cell r="U53">
            <v>6970.13</v>
          </cell>
          <cell r="V53">
            <v>6939.68</v>
          </cell>
          <cell r="W53">
            <v>6978.5</v>
          </cell>
          <cell r="X53">
            <v>7007.34</v>
          </cell>
          <cell r="Y53">
            <v>7011.81</v>
          </cell>
          <cell r="Z53">
            <v>7185.83</v>
          </cell>
          <cell r="AA53">
            <v>7041.23</v>
          </cell>
          <cell r="AB53">
            <v>7049.91</v>
          </cell>
          <cell r="AC53">
            <v>7262.77</v>
          </cell>
          <cell r="AD53">
            <v>6955.76</v>
          </cell>
          <cell r="AE53">
            <v>7031.94</v>
          </cell>
          <cell r="AF53">
            <v>7235.56</v>
          </cell>
          <cell r="AG53">
            <v>6976.75</v>
          </cell>
          <cell r="AH53">
            <v>7032.63</v>
          </cell>
          <cell r="AI53">
            <v>6932.39</v>
          </cell>
          <cell r="AJ53">
            <v>7040.75</v>
          </cell>
          <cell r="AK53">
            <v>6811.42</v>
          </cell>
          <cell r="AL53">
            <v>7024.7</v>
          </cell>
          <cell r="AM53">
            <v>7270.51</v>
          </cell>
          <cell r="AN53">
            <v>7092.91</v>
          </cell>
          <cell r="AO53">
            <v>7150.64</v>
          </cell>
          <cell r="AP53">
            <v>7144.1</v>
          </cell>
          <cell r="AQ53">
            <v>7199.11</v>
          </cell>
          <cell r="AR53">
            <v>6984.94</v>
          </cell>
          <cell r="AS53">
            <v>7279.24</v>
          </cell>
          <cell r="AT53">
            <v>7121.48</v>
          </cell>
          <cell r="AU53">
            <v>7146.85</v>
          </cell>
          <cell r="AV53">
            <v>7212.12</v>
          </cell>
          <cell r="AW53">
            <v>7067.63</v>
          </cell>
          <cell r="AX53">
            <v>6794.24</v>
          </cell>
          <cell r="AY53">
            <v>6968.16</v>
          </cell>
          <cell r="AZ53">
            <v>6715.66</v>
          </cell>
          <cell r="BA53">
            <v>5571.24</v>
          </cell>
        </row>
        <row r="54">
          <cell r="A54" t="str">
            <v>V2000H25B20</v>
          </cell>
          <cell r="B54">
            <v>2000</v>
          </cell>
          <cell r="C54">
            <v>2500</v>
          </cell>
          <cell r="D54">
            <v>2000</v>
          </cell>
          <cell r="E54">
            <v>29</v>
          </cell>
          <cell r="F54">
            <v>4</v>
          </cell>
          <cell r="G54">
            <v>2</v>
          </cell>
          <cell r="H54">
            <v>300</v>
          </cell>
          <cell r="I54">
            <v>50</v>
          </cell>
          <cell r="J54">
            <v>2049.1999999999998</v>
          </cell>
          <cell r="K54" t="str">
            <v>Q-11002899</v>
          </cell>
          <cell r="L54" t="str">
            <v>\\hokukon-net2\hop\Program\01_MVPシステム_容量別組立図\.\01_余裕高0_0m\pdf\FB0_2000m3-MVP-2500-組-B2000_Q-11002899.pdf</v>
          </cell>
          <cell r="M54">
            <v>7329.83</v>
          </cell>
          <cell r="N54">
            <v>7405.67</v>
          </cell>
          <cell r="O54">
            <v>7235.99</v>
          </cell>
          <cell r="P54">
            <v>7238.68</v>
          </cell>
          <cell r="Q54">
            <v>7368.28</v>
          </cell>
          <cell r="R54">
            <v>7311.69</v>
          </cell>
          <cell r="S54">
            <v>7294.67</v>
          </cell>
          <cell r="T54">
            <v>7297.92</v>
          </cell>
          <cell r="U54">
            <v>7293.22</v>
          </cell>
          <cell r="V54">
            <v>7261.91</v>
          </cell>
          <cell r="W54">
            <v>7301.5</v>
          </cell>
          <cell r="X54">
            <v>7332.07</v>
          </cell>
          <cell r="Y54">
            <v>7336.67</v>
          </cell>
          <cell r="Z54">
            <v>7513.7</v>
          </cell>
          <cell r="AA54">
            <v>7368.3</v>
          </cell>
          <cell r="AB54">
            <v>7375.54</v>
          </cell>
          <cell r="AC54">
            <v>7588.53</v>
          </cell>
          <cell r="AD54">
            <v>7277.08</v>
          </cell>
          <cell r="AE54">
            <v>7355.41</v>
          </cell>
          <cell r="AF54">
            <v>7561.9</v>
          </cell>
          <cell r="AG54">
            <v>7301.58</v>
          </cell>
          <cell r="AH54">
            <v>7358.04</v>
          </cell>
          <cell r="AI54">
            <v>7257.57</v>
          </cell>
          <cell r="AJ54">
            <v>7365.48</v>
          </cell>
          <cell r="AK54">
            <v>7133.15</v>
          </cell>
          <cell r="AL54">
            <v>7347.73</v>
          </cell>
          <cell r="AM54">
            <v>7596.46</v>
          </cell>
          <cell r="AN54">
            <v>7417.39</v>
          </cell>
          <cell r="AO54">
            <v>7474.55</v>
          </cell>
          <cell r="AP54">
            <v>7468.8</v>
          </cell>
          <cell r="AQ54">
            <v>7524.69</v>
          </cell>
          <cell r="AR54">
            <v>7305.08</v>
          </cell>
          <cell r="AS54">
            <v>7602.76</v>
          </cell>
          <cell r="AT54">
            <v>7445.26</v>
          </cell>
          <cell r="AU54">
            <v>7471.11</v>
          </cell>
          <cell r="AV54">
            <v>7535.51</v>
          </cell>
          <cell r="AW54">
            <v>7389.78</v>
          </cell>
          <cell r="AX54">
            <v>7114.92</v>
          </cell>
          <cell r="AY54">
            <v>7288.87</v>
          </cell>
          <cell r="AZ54">
            <v>7034.63</v>
          </cell>
          <cell r="BA54">
            <v>5857.01</v>
          </cell>
        </row>
        <row r="55">
          <cell r="A55" t="str">
            <v>V2000H30B30</v>
          </cell>
          <cell r="B55">
            <v>2000</v>
          </cell>
          <cell r="C55">
            <v>3000</v>
          </cell>
          <cell r="D55">
            <v>3000</v>
          </cell>
          <cell r="E55">
            <v>20</v>
          </cell>
          <cell r="F55">
            <v>4</v>
          </cell>
          <cell r="G55">
            <v>1</v>
          </cell>
          <cell r="H55">
            <v>300</v>
          </cell>
          <cell r="I55">
            <v>50</v>
          </cell>
          <cell r="J55">
            <v>2093</v>
          </cell>
          <cell r="K55" t="str">
            <v>Q-11002904</v>
          </cell>
          <cell r="L55" t="str">
            <v>\\hokukon-net2\hop\Program\01_MVPシステム_容量別組立図\.\01_余裕高0_0m\pdf\FB0_2000m3-MVP-3000-組-B3000_Q-11002904.pdf</v>
          </cell>
          <cell r="M55">
            <v>6231.59</v>
          </cell>
          <cell r="N55">
            <v>6296.37</v>
          </cell>
          <cell r="O55">
            <v>6152.99</v>
          </cell>
          <cell r="P55">
            <v>6155.27</v>
          </cell>
          <cell r="Q55">
            <v>6264.22</v>
          </cell>
          <cell r="R55">
            <v>6215.75</v>
          </cell>
          <cell r="S55">
            <v>6201.1</v>
          </cell>
          <cell r="T55">
            <v>6203.85</v>
          </cell>
          <cell r="U55">
            <v>6202.81</v>
          </cell>
          <cell r="V55">
            <v>6176.17</v>
          </cell>
          <cell r="W55">
            <v>6208.53</v>
          </cell>
          <cell r="X55">
            <v>6235.4</v>
          </cell>
          <cell r="Y55">
            <v>6240.07</v>
          </cell>
          <cell r="Z55">
            <v>6389.76</v>
          </cell>
          <cell r="AA55">
            <v>6266.73</v>
          </cell>
          <cell r="AB55">
            <v>6272.07</v>
          </cell>
          <cell r="AC55">
            <v>6450.71</v>
          </cell>
          <cell r="AD55">
            <v>6186.66</v>
          </cell>
          <cell r="AE55">
            <v>6253.67</v>
          </cell>
          <cell r="AF55">
            <v>6427.92</v>
          </cell>
          <cell r="AG55">
            <v>6209.11</v>
          </cell>
          <cell r="AH55">
            <v>6256.64</v>
          </cell>
          <cell r="AI55">
            <v>6172.33</v>
          </cell>
          <cell r="AJ55">
            <v>6262.2</v>
          </cell>
          <cell r="AK55">
            <v>6067.15</v>
          </cell>
          <cell r="AL55">
            <v>6247.98</v>
          </cell>
          <cell r="AM55">
            <v>6458.11</v>
          </cell>
          <cell r="AN55">
            <v>6308.13</v>
          </cell>
          <cell r="AO55">
            <v>6355.62</v>
          </cell>
          <cell r="AP55">
            <v>6350.29</v>
          </cell>
          <cell r="AQ55">
            <v>6397.73</v>
          </cell>
          <cell r="AR55">
            <v>6210.47</v>
          </cell>
          <cell r="AS55">
            <v>6460.7</v>
          </cell>
          <cell r="AT55">
            <v>6329.14</v>
          </cell>
          <cell r="AU55">
            <v>6350.84</v>
          </cell>
          <cell r="AV55">
            <v>6404.59</v>
          </cell>
          <cell r="AW55">
            <v>6281.63</v>
          </cell>
          <cell r="AX55">
            <v>6048.97</v>
          </cell>
          <cell r="AY55">
            <v>6196.23</v>
          </cell>
          <cell r="AZ55">
            <v>5981.92</v>
          </cell>
          <cell r="BA55">
            <v>4948.32</v>
          </cell>
        </row>
        <row r="56">
          <cell r="A56" t="str">
            <v>V2000H30B25</v>
          </cell>
          <cell r="B56">
            <v>2000</v>
          </cell>
          <cell r="C56">
            <v>3000</v>
          </cell>
          <cell r="D56">
            <v>2500</v>
          </cell>
          <cell r="E56">
            <v>22</v>
          </cell>
          <cell r="F56">
            <v>4</v>
          </cell>
          <cell r="G56">
            <v>1</v>
          </cell>
          <cell r="H56">
            <v>300</v>
          </cell>
          <cell r="I56">
            <v>50</v>
          </cell>
          <cell r="J56">
            <v>2091.8000000000002</v>
          </cell>
          <cell r="K56" t="str">
            <v>Q-11002903</v>
          </cell>
          <cell r="L56" t="str">
            <v>\\hokukon-net2\hop\Program\01_MVPシステム_容量別組立図\.\01_余裕高0_0m\pdf\FB0_2000m3-MVP-3000-組-B2500_Q-11002903.pdf</v>
          </cell>
          <cell r="M56">
            <v>6437.21</v>
          </cell>
          <cell r="N56">
            <v>6502.12</v>
          </cell>
          <cell r="O56">
            <v>6359.04</v>
          </cell>
          <cell r="P56">
            <v>6361.32</v>
          </cell>
          <cell r="Q56">
            <v>6469.69</v>
          </cell>
          <cell r="R56">
            <v>6421.05</v>
          </cell>
          <cell r="S56">
            <v>6405.9</v>
          </cell>
          <cell r="T56">
            <v>6408.64</v>
          </cell>
          <cell r="U56">
            <v>6410.08</v>
          </cell>
          <cell r="V56">
            <v>6383.02</v>
          </cell>
          <cell r="W56">
            <v>6415.75</v>
          </cell>
          <cell r="X56">
            <v>6443.59</v>
          </cell>
          <cell r="Y56">
            <v>6448.33</v>
          </cell>
          <cell r="Z56">
            <v>6599.37</v>
          </cell>
          <cell r="AA56">
            <v>6476.27</v>
          </cell>
          <cell r="AB56">
            <v>6480.66</v>
          </cell>
          <cell r="AC56">
            <v>6658.8</v>
          </cell>
          <cell r="AD56">
            <v>6393.03</v>
          </cell>
          <cell r="AE56">
            <v>6461.02</v>
          </cell>
          <cell r="AF56">
            <v>6636.45</v>
          </cell>
          <cell r="AG56">
            <v>6417.45</v>
          </cell>
          <cell r="AH56">
            <v>6465.24</v>
          </cell>
          <cell r="AI56">
            <v>6381.06</v>
          </cell>
          <cell r="AJ56">
            <v>6470.35</v>
          </cell>
          <cell r="AK56">
            <v>6274.14</v>
          </cell>
          <cell r="AL56">
            <v>6455.09</v>
          </cell>
          <cell r="AM56">
            <v>6666.18</v>
          </cell>
          <cell r="AN56">
            <v>6515.79</v>
          </cell>
          <cell r="AO56">
            <v>6562.75</v>
          </cell>
          <cell r="AP56">
            <v>6557.94</v>
          </cell>
          <cell r="AQ56">
            <v>6605.71</v>
          </cell>
          <cell r="AR56">
            <v>6415.95</v>
          </cell>
          <cell r="AS56">
            <v>6667.36</v>
          </cell>
          <cell r="AT56">
            <v>6536.43</v>
          </cell>
          <cell r="AU56">
            <v>6558.39</v>
          </cell>
          <cell r="AV56">
            <v>6611.4</v>
          </cell>
          <cell r="AW56">
            <v>6488.13</v>
          </cell>
          <cell r="AX56">
            <v>6255.51</v>
          </cell>
          <cell r="AY56">
            <v>6402.16</v>
          </cell>
          <cell r="AZ56">
            <v>6187.61</v>
          </cell>
          <cell r="BA56">
            <v>5133.4799999999996</v>
          </cell>
        </row>
        <row r="57">
          <cell r="A57" t="str">
            <v>V2000H30B20</v>
          </cell>
          <cell r="B57">
            <v>2000</v>
          </cell>
          <cell r="C57">
            <v>3000</v>
          </cell>
          <cell r="D57">
            <v>2000</v>
          </cell>
          <cell r="E57">
            <v>24</v>
          </cell>
          <cell r="F57">
            <v>4</v>
          </cell>
          <cell r="G57">
            <v>1</v>
          </cell>
          <cell r="H57">
            <v>300</v>
          </cell>
          <cell r="I57">
            <v>50</v>
          </cell>
          <cell r="J57">
            <v>2054.6</v>
          </cell>
          <cell r="K57" t="str">
            <v>Q-11002902</v>
          </cell>
          <cell r="L57" t="str">
            <v>\\hokukon-net2\hop\Program\01_MVPシステム_容量別組立図\.\01_余裕高0_0m\pdf\FB0_2000m3-MVP-3000-組-B2000_Q-11002902.pdf</v>
          </cell>
          <cell r="M57">
            <v>6596.55</v>
          </cell>
          <cell r="N57">
            <v>6660.66</v>
          </cell>
          <cell r="O57">
            <v>6520.36</v>
          </cell>
          <cell r="P57">
            <v>6522.6</v>
          </cell>
          <cell r="Q57">
            <v>6628.25</v>
          </cell>
          <cell r="R57">
            <v>6580.09</v>
          </cell>
          <cell r="S57">
            <v>6564.4</v>
          </cell>
          <cell r="T57">
            <v>6567.11</v>
          </cell>
          <cell r="U57">
            <v>6572.42</v>
          </cell>
          <cell r="V57">
            <v>6545.16</v>
          </cell>
          <cell r="W57">
            <v>6577.79</v>
          </cell>
          <cell r="X57">
            <v>6606.66</v>
          </cell>
          <cell r="Y57">
            <v>6611.55</v>
          </cell>
          <cell r="Z57">
            <v>6762.07</v>
          </cell>
          <cell r="AA57">
            <v>6640.89</v>
          </cell>
          <cell r="AB57">
            <v>6643.73</v>
          </cell>
          <cell r="AC57">
            <v>6818.08</v>
          </cell>
          <cell r="AD57">
            <v>6554.12</v>
          </cell>
          <cell r="AE57">
            <v>6622.54</v>
          </cell>
          <cell r="AF57">
            <v>6796.79</v>
          </cell>
          <cell r="AG57">
            <v>6581.23</v>
          </cell>
          <cell r="AH57">
            <v>6628.53</v>
          </cell>
          <cell r="AI57">
            <v>6546.03</v>
          </cell>
          <cell r="AJ57">
            <v>6632.82</v>
          </cell>
          <cell r="AK57">
            <v>6438.31</v>
          </cell>
          <cell r="AL57">
            <v>6616.34</v>
          </cell>
          <cell r="AM57">
            <v>6825.39</v>
          </cell>
          <cell r="AN57">
            <v>6677.04</v>
          </cell>
          <cell r="AO57">
            <v>6722.37</v>
          </cell>
          <cell r="AP57">
            <v>6718.32</v>
          </cell>
          <cell r="AQ57">
            <v>6765.83</v>
          </cell>
          <cell r="AR57">
            <v>6575.39</v>
          </cell>
          <cell r="AS57">
            <v>6824.21</v>
          </cell>
          <cell r="AT57">
            <v>6696.57</v>
          </cell>
          <cell r="AU57">
            <v>6718.5</v>
          </cell>
          <cell r="AV57">
            <v>6769.46</v>
          </cell>
          <cell r="AW57">
            <v>6647.83</v>
          </cell>
          <cell r="AX57">
            <v>6419.05</v>
          </cell>
          <cell r="AY57">
            <v>6562.44</v>
          </cell>
          <cell r="AZ57">
            <v>6351.2</v>
          </cell>
          <cell r="BA57">
            <v>5285.73</v>
          </cell>
        </row>
        <row r="58">
          <cell r="A58" t="str">
            <v>V2000H35B30</v>
          </cell>
          <cell r="B58">
            <v>2000</v>
          </cell>
          <cell r="C58">
            <v>3500</v>
          </cell>
          <cell r="D58">
            <v>3000</v>
          </cell>
          <cell r="E58">
            <v>22</v>
          </cell>
          <cell r="F58">
            <v>3</v>
          </cell>
          <cell r="G58">
            <v>1</v>
          </cell>
          <cell r="H58">
            <v>300</v>
          </cell>
          <cell r="I58">
            <v>50</v>
          </cell>
          <cell r="J58">
            <v>2073.4</v>
          </cell>
          <cell r="K58" t="str">
            <v>Q-11002907</v>
          </cell>
          <cell r="L58" t="str">
            <v>\\hokukon-net2\hop\Program\01_MVPシステム_容量別組立図\.\01_余裕高0_0m\pdf\FB0_2000m3-MVP-3500-組-B3000_Q-11002907.pdf</v>
          </cell>
          <cell r="M58">
            <v>5636.58</v>
          </cell>
          <cell r="N58">
            <v>5692.11</v>
          </cell>
          <cell r="O58">
            <v>5570.17</v>
          </cell>
          <cell r="P58">
            <v>5572.11</v>
          </cell>
          <cell r="Q58">
            <v>5664.28</v>
          </cell>
          <cell r="R58">
            <v>5622.97</v>
          </cell>
          <cell r="S58">
            <v>5610.15</v>
          </cell>
          <cell r="T58">
            <v>5612.5</v>
          </cell>
          <cell r="U58">
            <v>5613.53</v>
          </cell>
          <cell r="V58">
            <v>5590.54</v>
          </cell>
          <cell r="W58">
            <v>5618.22</v>
          </cell>
          <cell r="X58">
            <v>5641.78</v>
          </cell>
          <cell r="Y58">
            <v>5645.79</v>
          </cell>
          <cell r="Z58">
            <v>5774.07</v>
          </cell>
          <cell r="AA58">
            <v>5669.13</v>
          </cell>
          <cell r="AB58">
            <v>5673.13</v>
          </cell>
          <cell r="AC58">
            <v>5824.64</v>
          </cell>
          <cell r="AD58">
            <v>5598.42</v>
          </cell>
          <cell r="AE58">
            <v>5656.16</v>
          </cell>
          <cell r="AF58">
            <v>5805.2</v>
          </cell>
          <cell r="AG58">
            <v>5619.01</v>
          </cell>
          <cell r="AH58">
            <v>5659.83</v>
          </cell>
          <cell r="AI58">
            <v>5588.01</v>
          </cell>
          <cell r="AJ58">
            <v>5664.07</v>
          </cell>
          <cell r="AK58">
            <v>5497.53</v>
          </cell>
          <cell r="AL58">
            <v>5651.71</v>
          </cell>
          <cell r="AM58">
            <v>5831.17</v>
          </cell>
          <cell r="AN58">
            <v>5703.55</v>
          </cell>
          <cell r="AO58">
            <v>5743.51</v>
          </cell>
          <cell r="AP58">
            <v>5739.37</v>
          </cell>
          <cell r="AQ58">
            <v>5779.97</v>
          </cell>
          <cell r="AR58">
            <v>5618.57</v>
          </cell>
          <cell r="AS58">
            <v>5832.11</v>
          </cell>
          <cell r="AT58">
            <v>5720.56</v>
          </cell>
          <cell r="AU58">
            <v>5739.12</v>
          </cell>
          <cell r="AV58">
            <v>5784.53</v>
          </cell>
          <cell r="AW58">
            <v>5679.49</v>
          </cell>
          <cell r="AX58">
            <v>5481.17</v>
          </cell>
          <cell r="AY58">
            <v>5606.38</v>
          </cell>
          <cell r="AZ58">
            <v>5423.71</v>
          </cell>
          <cell r="BA58">
            <v>4474.03</v>
          </cell>
        </row>
        <row r="59">
          <cell r="A59" t="str">
            <v>V2000H35B25</v>
          </cell>
          <cell r="B59">
            <v>2000</v>
          </cell>
          <cell r="C59">
            <v>3500</v>
          </cell>
          <cell r="D59">
            <v>2500</v>
          </cell>
          <cell r="E59">
            <v>24</v>
          </cell>
          <cell r="F59">
            <v>3</v>
          </cell>
          <cell r="G59">
            <v>1</v>
          </cell>
          <cell r="H59">
            <v>300</v>
          </cell>
          <cell r="I59">
            <v>50</v>
          </cell>
          <cell r="J59">
            <v>2062.3000000000002</v>
          </cell>
          <cell r="K59" t="str">
            <v>Q-11002906</v>
          </cell>
          <cell r="L59" t="str">
            <v>\\hokukon-net2\hop\Program\01_MVPシステム_容量別組立図\.\01_余裕高0_0m\pdf\FB0_2000m3-MVP-3500-組-B2500_Q-11002906.pdf</v>
          </cell>
          <cell r="M59">
            <v>5814.68</v>
          </cell>
          <cell r="N59">
            <v>5870.15</v>
          </cell>
          <cell r="O59">
            <v>5748.99</v>
          </cell>
          <cell r="P59">
            <v>5750.93</v>
          </cell>
          <cell r="Q59">
            <v>5842.08</v>
          </cell>
          <cell r="R59">
            <v>5800.74</v>
          </cell>
          <cell r="S59">
            <v>5787.42</v>
          </cell>
          <cell r="T59">
            <v>5789.76</v>
          </cell>
          <cell r="U59">
            <v>5793.47</v>
          </cell>
          <cell r="V59">
            <v>5770.15</v>
          </cell>
          <cell r="W59">
            <v>5798</v>
          </cell>
          <cell r="X59">
            <v>5822.51</v>
          </cell>
          <cell r="Y59">
            <v>5826.66</v>
          </cell>
          <cell r="Z59">
            <v>5955.78</v>
          </cell>
          <cell r="AA59">
            <v>5851.18</v>
          </cell>
          <cell r="AB59">
            <v>5854.13</v>
          </cell>
          <cell r="AC59">
            <v>6004.47</v>
          </cell>
          <cell r="AD59">
            <v>5777.41</v>
          </cell>
          <cell r="AE59">
            <v>5835.95</v>
          </cell>
          <cell r="AF59">
            <v>5985.58</v>
          </cell>
          <cell r="AG59">
            <v>5799.99</v>
          </cell>
          <cell r="AH59">
            <v>5840.87</v>
          </cell>
          <cell r="AI59">
            <v>5769.54</v>
          </cell>
          <cell r="AJ59">
            <v>5844.59</v>
          </cell>
          <cell r="AK59">
            <v>5677.68</v>
          </cell>
          <cell r="AL59">
            <v>5831.27</v>
          </cell>
          <cell r="AM59">
            <v>6011</v>
          </cell>
          <cell r="AN59">
            <v>5883.58</v>
          </cell>
          <cell r="AO59">
            <v>5922.81</v>
          </cell>
          <cell r="AP59">
            <v>5919.14</v>
          </cell>
          <cell r="AQ59">
            <v>5959.94</v>
          </cell>
          <cell r="AR59">
            <v>5796.57</v>
          </cell>
          <cell r="AS59">
            <v>6010.35</v>
          </cell>
          <cell r="AT59">
            <v>5900.01</v>
          </cell>
          <cell r="AU59">
            <v>5918.73</v>
          </cell>
          <cell r="AV59">
            <v>5963.14</v>
          </cell>
          <cell r="AW59">
            <v>5858.25</v>
          </cell>
          <cell r="AX59">
            <v>5660.72</v>
          </cell>
          <cell r="AY59">
            <v>5784.86</v>
          </cell>
          <cell r="AZ59">
            <v>5602.73</v>
          </cell>
          <cell r="BA59">
            <v>4634.72</v>
          </cell>
        </row>
        <row r="60">
          <cell r="A60" t="str">
            <v>V2000H35B20</v>
          </cell>
          <cell r="B60">
            <v>2000</v>
          </cell>
          <cell r="C60">
            <v>3500</v>
          </cell>
          <cell r="D60">
            <v>2000</v>
          </cell>
          <cell r="E60">
            <v>20</v>
          </cell>
          <cell r="F60">
            <v>4</v>
          </cell>
          <cell r="G60">
            <v>1</v>
          </cell>
          <cell r="H60">
            <v>300</v>
          </cell>
          <cell r="I60">
            <v>50</v>
          </cell>
          <cell r="J60">
            <v>2015</v>
          </cell>
          <cell r="K60" t="str">
            <v>Q-11002905</v>
          </cell>
          <cell r="L60" t="str">
            <v>\\hokukon-net2\hop\Program\01_MVPシステム_容量別組立図\.\01_余裕高0_0m\pdf\FB0_2000m3-MVP-3500-組-B2000_Q-11002905.pdf</v>
          </cell>
          <cell r="M60">
            <v>5949.83</v>
          </cell>
          <cell r="N60">
            <v>6004.69</v>
          </cell>
          <cell r="O60">
            <v>5887.51</v>
          </cell>
          <cell r="P60">
            <v>5889.4</v>
          </cell>
          <cell r="Q60">
            <v>5976.48</v>
          </cell>
          <cell r="R60">
            <v>5935.78</v>
          </cell>
          <cell r="S60">
            <v>5921.63</v>
          </cell>
          <cell r="T60">
            <v>5923.92</v>
          </cell>
          <cell r="U60">
            <v>5934.1</v>
          </cell>
          <cell r="V60">
            <v>5910.56</v>
          </cell>
          <cell r="W60">
            <v>5937.75</v>
          </cell>
          <cell r="X60">
            <v>5964.11</v>
          </cell>
          <cell r="Y60">
            <v>5968.5</v>
          </cell>
          <cell r="Z60">
            <v>6096.75</v>
          </cell>
          <cell r="AA60">
            <v>5994.62</v>
          </cell>
          <cell r="AB60">
            <v>5995.51</v>
          </cell>
          <cell r="AC60">
            <v>6139.73</v>
          </cell>
          <cell r="AD60">
            <v>5914.15</v>
          </cell>
          <cell r="AE60">
            <v>5973.58</v>
          </cell>
          <cell r="AF60">
            <v>6121.52</v>
          </cell>
          <cell r="AG60">
            <v>5941.43</v>
          </cell>
          <cell r="AH60">
            <v>5982.15</v>
          </cell>
          <cell r="AI60">
            <v>5912.72</v>
          </cell>
          <cell r="AJ60">
            <v>5984.28</v>
          </cell>
          <cell r="AK60">
            <v>5819.93</v>
          </cell>
          <cell r="AL60">
            <v>5969.93</v>
          </cell>
          <cell r="AM60">
            <v>6146.62</v>
          </cell>
          <cell r="AN60">
            <v>6022.52</v>
          </cell>
          <cell r="AO60">
            <v>6059.32</v>
          </cell>
          <cell r="AP60">
            <v>6056.95</v>
          </cell>
          <cell r="AQ60">
            <v>6097.18</v>
          </cell>
          <cell r="AR60">
            <v>5931.86</v>
          </cell>
          <cell r="AS60">
            <v>6141.55</v>
          </cell>
          <cell r="AT60">
            <v>6036.19</v>
          </cell>
          <cell r="AU60">
            <v>6054.41</v>
          </cell>
          <cell r="AV60">
            <v>6096.35</v>
          </cell>
          <cell r="AW60">
            <v>5993.37</v>
          </cell>
          <cell r="AX60">
            <v>5800.9</v>
          </cell>
          <cell r="AY60">
            <v>5920.95</v>
          </cell>
          <cell r="AZ60">
            <v>5742.95</v>
          </cell>
          <cell r="BA60">
            <v>4769.8900000000003</v>
          </cell>
        </row>
        <row r="61">
          <cell r="A61" t="str">
            <v>V2000H40B30</v>
          </cell>
          <cell r="B61">
            <v>2000</v>
          </cell>
          <cell r="C61">
            <v>4000</v>
          </cell>
          <cell r="D61">
            <v>3000</v>
          </cell>
          <cell r="E61">
            <v>19</v>
          </cell>
          <cell r="F61">
            <v>3</v>
          </cell>
          <cell r="G61">
            <v>1</v>
          </cell>
          <cell r="H61">
            <v>350</v>
          </cell>
          <cell r="I61">
            <v>70</v>
          </cell>
          <cell r="J61">
            <v>2075.6</v>
          </cell>
          <cell r="K61" t="str">
            <v>Q-11002910</v>
          </cell>
          <cell r="L61" t="str">
            <v>\\hokukon-net2\hop\Program\01_MVPシステム_容量別組立図\.\01_余裕高0_0m\pdf\FB0_2000m3-MVP-4000-組-B3000_Q-11002910.pdf</v>
          </cell>
          <cell r="M61">
            <v>5951.72</v>
          </cell>
          <cell r="N61">
            <v>6006.92</v>
          </cell>
          <cell r="O61">
            <v>5889.09</v>
          </cell>
          <cell r="P61">
            <v>5890.93</v>
          </cell>
          <cell r="Q61">
            <v>5978.96</v>
          </cell>
          <cell r="R61">
            <v>5938.96</v>
          </cell>
          <cell r="S61">
            <v>5925.96</v>
          </cell>
          <cell r="T61">
            <v>5928.18</v>
          </cell>
          <cell r="U61">
            <v>5928.11</v>
          </cell>
          <cell r="V61">
            <v>5906.63</v>
          </cell>
          <cell r="W61">
            <v>5932.91</v>
          </cell>
          <cell r="X61">
            <v>5954.84</v>
          </cell>
          <cell r="Y61">
            <v>5957.65</v>
          </cell>
          <cell r="Z61">
            <v>6081.5</v>
          </cell>
          <cell r="AA61">
            <v>5980.36</v>
          </cell>
          <cell r="AB61">
            <v>5985.2</v>
          </cell>
          <cell r="AC61">
            <v>6130.19</v>
          </cell>
          <cell r="AD61">
            <v>5907.46</v>
          </cell>
          <cell r="AE61">
            <v>5964.86</v>
          </cell>
          <cell r="AF61">
            <v>6107.89</v>
          </cell>
          <cell r="AG61">
            <v>5925.22</v>
          </cell>
          <cell r="AH61">
            <v>5965.59</v>
          </cell>
          <cell r="AI61">
            <v>5896.39</v>
          </cell>
          <cell r="AJ61">
            <v>5968.38</v>
          </cell>
          <cell r="AK61">
            <v>5820.54</v>
          </cell>
          <cell r="AL61">
            <v>5970.71</v>
          </cell>
          <cell r="AM61">
            <v>6142.91</v>
          </cell>
          <cell r="AN61">
            <v>6020.49</v>
          </cell>
          <cell r="AO61">
            <v>6059.31</v>
          </cell>
          <cell r="AP61">
            <v>6055.32</v>
          </cell>
          <cell r="AQ61">
            <v>6095.25</v>
          </cell>
          <cell r="AR61">
            <v>5926.78</v>
          </cell>
          <cell r="AS61">
            <v>6132.34</v>
          </cell>
          <cell r="AT61">
            <v>6026.84</v>
          </cell>
          <cell r="AU61">
            <v>6044.23</v>
          </cell>
          <cell r="AV61">
            <v>6086.77</v>
          </cell>
          <cell r="AW61">
            <v>5984.29</v>
          </cell>
          <cell r="AX61">
            <v>5791.62</v>
          </cell>
          <cell r="AY61">
            <v>5912.82</v>
          </cell>
          <cell r="AZ61">
            <v>5735.85</v>
          </cell>
          <cell r="BA61">
            <v>4728.2299999999996</v>
          </cell>
        </row>
        <row r="62">
          <cell r="A62" t="str">
            <v>V2000H40B25</v>
          </cell>
          <cell r="B62">
            <v>2000</v>
          </cell>
          <cell r="C62">
            <v>4000</v>
          </cell>
          <cell r="D62">
            <v>2500</v>
          </cell>
          <cell r="E62">
            <v>16</v>
          </cell>
          <cell r="F62">
            <v>4</v>
          </cell>
          <cell r="G62">
            <v>1</v>
          </cell>
          <cell r="H62">
            <v>350</v>
          </cell>
          <cell r="I62">
            <v>70</v>
          </cell>
          <cell r="J62">
            <v>2078.6999999999998</v>
          </cell>
          <cell r="K62" t="str">
            <v>Q-11002909</v>
          </cell>
          <cell r="L62" t="str">
            <v>\\hokukon-net2\hop\Program\01_MVPシステム_容量別組立図\.\01_余裕高0_0m\pdf\FB0_2000m3-MVP-4000-組-B2500_Q-11002909.pdf</v>
          </cell>
          <cell r="M62">
            <v>6230.87</v>
          </cell>
          <cell r="N62">
            <v>6287.1</v>
          </cell>
          <cell r="O62">
            <v>6169.98</v>
          </cell>
          <cell r="P62">
            <v>6171.83</v>
          </cell>
          <cell r="Q62">
            <v>6258.14</v>
          </cell>
          <cell r="R62">
            <v>6217.7</v>
          </cell>
          <cell r="S62">
            <v>6203.64</v>
          </cell>
          <cell r="T62">
            <v>6205.88</v>
          </cell>
          <cell r="U62">
            <v>6211.9</v>
          </cell>
          <cell r="V62">
            <v>6189.61</v>
          </cell>
          <cell r="W62">
            <v>6215.77</v>
          </cell>
          <cell r="X62">
            <v>6240.09</v>
          </cell>
          <cell r="Y62">
            <v>6243.28</v>
          </cell>
          <cell r="Z62">
            <v>6369.31</v>
          </cell>
          <cell r="AA62">
            <v>6268.01</v>
          </cell>
          <cell r="AB62">
            <v>6270.93</v>
          </cell>
          <cell r="AC62">
            <v>6413.67</v>
          </cell>
          <cell r="AD62">
            <v>6186.5</v>
          </cell>
          <cell r="AE62">
            <v>6246.24</v>
          </cell>
          <cell r="AF62">
            <v>6391.06</v>
          </cell>
          <cell r="AG62">
            <v>6209.07</v>
          </cell>
          <cell r="AH62">
            <v>6250.31</v>
          </cell>
          <cell r="AI62">
            <v>6181.22</v>
          </cell>
          <cell r="AJ62">
            <v>6251.57</v>
          </cell>
          <cell r="AK62">
            <v>6103.36</v>
          </cell>
          <cell r="AL62">
            <v>6253.96</v>
          </cell>
          <cell r="AM62">
            <v>6427.54</v>
          </cell>
          <cell r="AN62">
            <v>6305.22</v>
          </cell>
          <cell r="AO62">
            <v>6342.73</v>
          </cell>
          <cell r="AP62">
            <v>6339.88</v>
          </cell>
          <cell r="AQ62">
            <v>6380.19</v>
          </cell>
          <cell r="AR62">
            <v>6205.08</v>
          </cell>
          <cell r="AS62">
            <v>6411.75</v>
          </cell>
          <cell r="AT62">
            <v>6308.3</v>
          </cell>
          <cell r="AU62">
            <v>6325.69</v>
          </cell>
          <cell r="AV62">
            <v>6366.89</v>
          </cell>
          <cell r="AW62">
            <v>6263.49</v>
          </cell>
          <cell r="AX62">
            <v>6070.72</v>
          </cell>
          <cell r="AY62">
            <v>6191.18</v>
          </cell>
          <cell r="AZ62">
            <v>6013.65</v>
          </cell>
          <cell r="BA62">
            <v>4977.5200000000004</v>
          </cell>
        </row>
        <row r="63">
          <cell r="A63" t="str">
            <v>V2000H40B20</v>
          </cell>
          <cell r="B63">
            <v>2000</v>
          </cell>
          <cell r="C63">
            <v>4000</v>
          </cell>
          <cell r="D63">
            <v>2000</v>
          </cell>
          <cell r="E63">
            <v>23</v>
          </cell>
          <cell r="F63">
            <v>3</v>
          </cell>
          <cell r="G63">
            <v>1</v>
          </cell>
          <cell r="H63">
            <v>350</v>
          </cell>
          <cell r="I63">
            <v>70</v>
          </cell>
          <cell r="J63">
            <v>2072.4</v>
          </cell>
          <cell r="K63" t="str">
            <v>Q-11002908</v>
          </cell>
          <cell r="L63" t="str">
            <v>\\hokukon-net2\hop\Program\01_MVPシステム_容量別組立図\.\01_余裕高0_0m\pdf\FB0_2000m3-MVP-4000-組-B2000_Q-11002908.pdf</v>
          </cell>
          <cell r="M63">
            <v>6478.64</v>
          </cell>
          <cell r="N63">
            <v>6534.41</v>
          </cell>
          <cell r="O63">
            <v>6416.73</v>
          </cell>
          <cell r="P63">
            <v>6418.6</v>
          </cell>
          <cell r="Q63">
            <v>6505.71</v>
          </cell>
          <cell r="R63">
            <v>6465.2</v>
          </cell>
          <cell r="S63">
            <v>6451.17</v>
          </cell>
          <cell r="T63">
            <v>6453.42</v>
          </cell>
          <cell r="U63">
            <v>6458</v>
          </cell>
          <cell r="V63">
            <v>6435.71</v>
          </cell>
          <cell r="W63">
            <v>6462.66</v>
          </cell>
          <cell r="X63">
            <v>6486.47</v>
          </cell>
          <cell r="Y63">
            <v>6489.57</v>
          </cell>
          <cell r="Z63">
            <v>6616.28</v>
          </cell>
          <cell r="AA63">
            <v>6514.72</v>
          </cell>
          <cell r="AB63">
            <v>6517.76</v>
          </cell>
          <cell r="AC63">
            <v>6661.9</v>
          </cell>
          <cell r="AD63">
            <v>6434.63</v>
          </cell>
          <cell r="AE63">
            <v>6494.14</v>
          </cell>
          <cell r="AF63">
            <v>6639.64</v>
          </cell>
          <cell r="AG63">
            <v>6455.95</v>
          </cell>
          <cell r="AH63">
            <v>6496.9</v>
          </cell>
          <cell r="AI63">
            <v>6427.91</v>
          </cell>
          <cell r="AJ63">
            <v>6498.73</v>
          </cell>
          <cell r="AK63">
            <v>6350.49</v>
          </cell>
          <cell r="AL63">
            <v>6501.14</v>
          </cell>
          <cell r="AM63">
            <v>6675.51</v>
          </cell>
          <cell r="AN63">
            <v>6552.23</v>
          </cell>
          <cell r="AO63">
            <v>6590.09</v>
          </cell>
          <cell r="AP63">
            <v>6587.04</v>
          </cell>
          <cell r="AQ63">
            <v>6627.76</v>
          </cell>
          <cell r="AR63">
            <v>6452.37</v>
          </cell>
          <cell r="AS63">
            <v>6660.45</v>
          </cell>
          <cell r="AT63">
            <v>6555.96</v>
          </cell>
          <cell r="AU63">
            <v>6573.91</v>
          </cell>
          <cell r="AV63">
            <v>6615.04</v>
          </cell>
          <cell r="AW63">
            <v>6511.31</v>
          </cell>
          <cell r="AX63">
            <v>6318.22</v>
          </cell>
          <cell r="AY63">
            <v>6438.57</v>
          </cell>
          <cell r="AZ63">
            <v>6260.75</v>
          </cell>
          <cell r="BA63">
            <v>5179.3500000000004</v>
          </cell>
        </row>
        <row r="64">
          <cell r="A64" t="str">
            <v>V2000H45B30</v>
          </cell>
          <cell r="B64">
            <v>2000</v>
          </cell>
          <cell r="C64">
            <v>4500</v>
          </cell>
          <cell r="D64">
            <v>3000</v>
          </cell>
          <cell r="E64">
            <v>17</v>
          </cell>
          <cell r="F64">
            <v>3</v>
          </cell>
          <cell r="G64">
            <v>1</v>
          </cell>
          <cell r="H64">
            <v>350</v>
          </cell>
          <cell r="I64">
            <v>70</v>
          </cell>
          <cell r="J64">
            <v>2101</v>
          </cell>
          <cell r="K64" t="str">
            <v>Q-11002913</v>
          </cell>
          <cell r="L64" t="str">
            <v>\\hokukon-net2\hop\Program\01_MVPシステム_容量別組立図\.\01_余裕高0_0m\pdf\FB0_2000m3-MVP-4500-組-B3000_Q-11002913.pdf</v>
          </cell>
          <cell r="M64">
            <v>5726.98</v>
          </cell>
          <cell r="N64">
            <v>5776.97</v>
          </cell>
          <cell r="O64">
            <v>5671.73</v>
          </cell>
          <cell r="P64">
            <v>5673.4</v>
          </cell>
          <cell r="Q64">
            <v>5751.16</v>
          </cell>
          <cell r="R64">
            <v>5714.54</v>
          </cell>
          <cell r="S64">
            <v>5701.83</v>
          </cell>
          <cell r="T64">
            <v>5703.84</v>
          </cell>
          <cell r="U64">
            <v>5709.19</v>
          </cell>
          <cell r="V64">
            <v>5689.44</v>
          </cell>
          <cell r="W64">
            <v>5713.2</v>
          </cell>
          <cell r="X64">
            <v>5734.84</v>
          </cell>
          <cell r="Y64">
            <v>5737.57</v>
          </cell>
          <cell r="Z64">
            <v>5851.01</v>
          </cell>
          <cell r="AA64">
            <v>5759.75</v>
          </cell>
          <cell r="AB64">
            <v>5762.75</v>
          </cell>
          <cell r="AC64">
            <v>5890.93</v>
          </cell>
          <cell r="AD64">
            <v>5686.99</v>
          </cell>
          <cell r="AE64">
            <v>5740.41</v>
          </cell>
          <cell r="AF64">
            <v>5870.93</v>
          </cell>
          <cell r="AG64">
            <v>5707.17</v>
          </cell>
          <cell r="AH64">
            <v>5743.7</v>
          </cell>
          <cell r="AI64">
            <v>5681.77</v>
          </cell>
          <cell r="AJ64">
            <v>5745.28</v>
          </cell>
          <cell r="AK64">
            <v>5612.23</v>
          </cell>
          <cell r="AL64">
            <v>5746.92</v>
          </cell>
          <cell r="AM64">
            <v>5903.11</v>
          </cell>
          <cell r="AN64">
            <v>5793.52</v>
          </cell>
          <cell r="AO64">
            <v>5827.34</v>
          </cell>
          <cell r="AP64">
            <v>5824.34</v>
          </cell>
          <cell r="AQ64">
            <v>5860.87</v>
          </cell>
          <cell r="AR64">
            <v>5703.07</v>
          </cell>
          <cell r="AS64">
            <v>5888.94</v>
          </cell>
          <cell r="AT64">
            <v>5795.97</v>
          </cell>
          <cell r="AU64">
            <v>5811.48</v>
          </cell>
          <cell r="AV64">
            <v>5848.81</v>
          </cell>
          <cell r="AW64">
            <v>5756.01</v>
          </cell>
          <cell r="AX64">
            <v>5582.79</v>
          </cell>
          <cell r="AY64">
            <v>5690.72</v>
          </cell>
          <cell r="AZ64">
            <v>5531.52</v>
          </cell>
          <cell r="BA64">
            <v>4558.96</v>
          </cell>
        </row>
        <row r="65">
          <cell r="A65" t="str">
            <v>V2000H45B25</v>
          </cell>
          <cell r="B65">
            <v>2000</v>
          </cell>
          <cell r="C65">
            <v>4500</v>
          </cell>
          <cell r="D65">
            <v>2500</v>
          </cell>
          <cell r="E65">
            <v>18</v>
          </cell>
          <cell r="F65">
            <v>3</v>
          </cell>
          <cell r="G65">
            <v>1</v>
          </cell>
          <cell r="H65">
            <v>350</v>
          </cell>
          <cell r="I65">
            <v>70</v>
          </cell>
          <cell r="J65">
            <v>2031.1</v>
          </cell>
          <cell r="K65" t="str">
            <v>Q-11002912</v>
          </cell>
          <cell r="L65" t="str">
            <v>\\hokukon-net2\hop\Program\01_MVPシステム_容量別組立図\.\01_余裕高0_0m\pdf\FB0_2000m3-MVP-4500-組-B2500_Q-11002912.pdf</v>
          </cell>
          <cell r="M65">
            <v>5782.65</v>
          </cell>
          <cell r="N65">
            <v>5831.39</v>
          </cell>
          <cell r="O65">
            <v>5729.71</v>
          </cell>
          <cell r="P65">
            <v>5731.34</v>
          </cell>
          <cell r="Q65">
            <v>5806.01</v>
          </cell>
          <cell r="R65">
            <v>5770.35</v>
          </cell>
          <cell r="S65">
            <v>5757.52</v>
          </cell>
          <cell r="T65">
            <v>5759.48</v>
          </cell>
          <cell r="U65">
            <v>5767.17</v>
          </cell>
          <cell r="V65">
            <v>5747.64</v>
          </cell>
          <cell r="W65">
            <v>5770.85</v>
          </cell>
          <cell r="X65">
            <v>5792.81</v>
          </cell>
          <cell r="Y65">
            <v>5795.59</v>
          </cell>
          <cell r="Z65">
            <v>5906.69</v>
          </cell>
          <cell r="AA65">
            <v>5818.19</v>
          </cell>
          <cell r="AB65">
            <v>5820.18</v>
          </cell>
          <cell r="AC65">
            <v>5943.6</v>
          </cell>
          <cell r="AD65">
            <v>5744.02</v>
          </cell>
          <cell r="AE65">
            <v>5796.84</v>
          </cell>
          <cell r="AF65">
            <v>5924.22</v>
          </cell>
          <cell r="AG65">
            <v>5765.5</v>
          </cell>
          <cell r="AH65">
            <v>5801.2</v>
          </cell>
          <cell r="AI65">
            <v>5741.35</v>
          </cell>
          <cell r="AJ65">
            <v>5802.15</v>
          </cell>
          <cell r="AK65">
            <v>5673.21</v>
          </cell>
          <cell r="AL65">
            <v>5803.82</v>
          </cell>
          <cell r="AM65">
            <v>5955.88</v>
          </cell>
          <cell r="AN65">
            <v>5849.56</v>
          </cell>
          <cell r="AO65">
            <v>5881.76</v>
          </cell>
          <cell r="AP65">
            <v>5879.36</v>
          </cell>
          <cell r="AQ65">
            <v>5915.04</v>
          </cell>
          <cell r="AR65">
            <v>5758.98</v>
          </cell>
          <cell r="AS65">
            <v>5939.86</v>
          </cell>
          <cell r="AT65">
            <v>5850.56</v>
          </cell>
          <cell r="AU65">
            <v>5865.77</v>
          </cell>
          <cell r="AV65">
            <v>5901.19</v>
          </cell>
          <cell r="AW65">
            <v>5810.81</v>
          </cell>
          <cell r="AX65">
            <v>5643.01</v>
          </cell>
          <cell r="AY65">
            <v>5747.06</v>
          </cell>
          <cell r="AZ65">
            <v>5592.63</v>
          </cell>
          <cell r="BA65">
            <v>4618.4799999999996</v>
          </cell>
        </row>
        <row r="66">
          <cell r="A66" t="str">
            <v>V2000H45B20</v>
          </cell>
          <cell r="B66">
            <v>2000</v>
          </cell>
          <cell r="C66">
            <v>4500</v>
          </cell>
          <cell r="D66">
            <v>2000</v>
          </cell>
          <cell r="E66">
            <v>16</v>
          </cell>
          <cell r="F66">
            <v>4</v>
          </cell>
          <cell r="G66">
            <v>1</v>
          </cell>
          <cell r="H66">
            <v>350</v>
          </cell>
          <cell r="I66">
            <v>70</v>
          </cell>
          <cell r="J66">
            <v>2118.1</v>
          </cell>
          <cell r="K66" t="str">
            <v>Q-11002911</v>
          </cell>
          <cell r="L66" t="str">
            <v>\\hokukon-net2\hop\Program\01_MVPシステム_容量別組立図\.\01_余裕高0_0m\pdf\FB0_2000m3-MVP-4500-組-B2000_Q-11002911.pdf</v>
          </cell>
          <cell r="M66">
            <v>6313.92</v>
          </cell>
          <cell r="N66">
            <v>6365.45</v>
          </cell>
          <cell r="O66">
            <v>6260.61</v>
          </cell>
          <cell r="P66">
            <v>6262.3</v>
          </cell>
          <cell r="Q66">
            <v>6338.11</v>
          </cell>
          <cell r="R66">
            <v>6300.49</v>
          </cell>
          <cell r="S66">
            <v>6286</v>
          </cell>
          <cell r="T66">
            <v>6288.04</v>
          </cell>
          <cell r="U66">
            <v>6302.38</v>
          </cell>
          <cell r="V66">
            <v>6281.26</v>
          </cell>
          <cell r="W66">
            <v>6305.42</v>
          </cell>
          <cell r="X66">
            <v>6330.69</v>
          </cell>
          <cell r="Y66">
            <v>6333.98</v>
          </cell>
          <cell r="Z66">
            <v>6451.75</v>
          </cell>
          <cell r="AA66">
            <v>6359.7</v>
          </cell>
          <cell r="AB66">
            <v>6359.76</v>
          </cell>
          <cell r="AC66">
            <v>6485.55</v>
          </cell>
          <cell r="AD66">
            <v>6273.7</v>
          </cell>
          <cell r="AE66">
            <v>6330.99</v>
          </cell>
          <cell r="AF66">
            <v>6465.29</v>
          </cell>
          <cell r="AG66">
            <v>6301.01</v>
          </cell>
          <cell r="AH66">
            <v>6338.81</v>
          </cell>
          <cell r="AI66">
            <v>6276.88</v>
          </cell>
          <cell r="AJ66">
            <v>6338.31</v>
          </cell>
          <cell r="AK66">
            <v>6204.14</v>
          </cell>
          <cell r="AL66">
            <v>6339.99</v>
          </cell>
          <cell r="AM66">
            <v>6499.42</v>
          </cell>
          <cell r="AN66">
            <v>6389.12</v>
          </cell>
          <cell r="AO66">
            <v>6421.2</v>
          </cell>
          <cell r="AP66">
            <v>6419.83</v>
          </cell>
          <cell r="AQ66">
            <v>6457.39</v>
          </cell>
          <cell r="AR66">
            <v>6288.05</v>
          </cell>
          <cell r="AS66">
            <v>6477.23</v>
          </cell>
          <cell r="AT66">
            <v>6386.61</v>
          </cell>
          <cell r="AU66">
            <v>6402.54</v>
          </cell>
          <cell r="AV66">
            <v>6437.83</v>
          </cell>
          <cell r="AW66">
            <v>6343.06</v>
          </cell>
          <cell r="AX66">
            <v>6168.83</v>
          </cell>
          <cell r="AY66">
            <v>6275.87</v>
          </cell>
          <cell r="AZ66">
            <v>6115.07</v>
          </cell>
          <cell r="BA66">
            <v>5069.97</v>
          </cell>
        </row>
        <row r="67">
          <cell r="A67" t="str">
            <v>V3000H15B30</v>
          </cell>
          <cell r="B67">
            <v>3000</v>
          </cell>
          <cell r="C67">
            <v>1500</v>
          </cell>
          <cell r="D67">
            <v>3000</v>
          </cell>
          <cell r="E67">
            <v>37</v>
          </cell>
          <cell r="F67">
            <v>4</v>
          </cell>
          <cell r="G67">
            <v>2</v>
          </cell>
          <cell r="H67">
            <v>350</v>
          </cell>
          <cell r="I67">
            <v>50</v>
          </cell>
          <cell r="J67">
            <v>3066</v>
          </cell>
          <cell r="K67" t="str">
            <v>Q-12001267</v>
          </cell>
          <cell r="L67" t="str">
            <v>\\hokukon-net2\hop\Program\01_MVPシステム_容量別組立図\.\01_余裕高0_0m\pdf\FB0_3000m3-MVP-1500-組-B3000_Q-12001267.pdf</v>
          </cell>
          <cell r="M67">
            <v>12585.95</v>
          </cell>
          <cell r="N67">
            <v>12779.27</v>
          </cell>
          <cell r="O67">
            <v>12315.13</v>
          </cell>
          <cell r="P67">
            <v>12322</v>
          </cell>
          <cell r="Q67">
            <v>12688.67</v>
          </cell>
          <cell r="R67">
            <v>12541.2</v>
          </cell>
          <cell r="S67">
            <v>12512.39</v>
          </cell>
          <cell r="T67">
            <v>12520.68</v>
          </cell>
          <cell r="U67">
            <v>12408.01</v>
          </cell>
          <cell r="V67">
            <v>12339.2</v>
          </cell>
          <cell r="W67">
            <v>12437.07</v>
          </cell>
          <cell r="X67">
            <v>12477.94</v>
          </cell>
          <cell r="Y67">
            <v>12482.63</v>
          </cell>
          <cell r="Z67">
            <v>12913.29</v>
          </cell>
          <cell r="AA67">
            <v>12535.31</v>
          </cell>
          <cell r="AB67">
            <v>12586.13</v>
          </cell>
          <cell r="AC67">
            <v>13185.39</v>
          </cell>
          <cell r="AD67">
            <v>12426.19</v>
          </cell>
          <cell r="AE67">
            <v>12603.57</v>
          </cell>
          <cell r="AF67">
            <v>13116.64</v>
          </cell>
          <cell r="AG67">
            <v>12408.28</v>
          </cell>
          <cell r="AH67">
            <v>12544.99</v>
          </cell>
          <cell r="AI67">
            <v>12277.64</v>
          </cell>
          <cell r="AJ67">
            <v>12585.19</v>
          </cell>
          <cell r="AK67">
            <v>11997.49</v>
          </cell>
          <cell r="AL67">
            <v>12568.16</v>
          </cell>
          <cell r="AM67">
            <v>13203</v>
          </cell>
          <cell r="AN67">
            <v>12730.24</v>
          </cell>
          <cell r="AO67">
            <v>12903.54</v>
          </cell>
          <cell r="AP67">
            <v>12867.03</v>
          </cell>
          <cell r="AQ67">
            <v>13010.58</v>
          </cell>
          <cell r="AR67">
            <v>12512.43</v>
          </cell>
          <cell r="AS67">
            <v>13280.03</v>
          </cell>
          <cell r="AT67">
            <v>12837.37</v>
          </cell>
          <cell r="AU67">
            <v>12903.91</v>
          </cell>
          <cell r="AV67">
            <v>13092.48</v>
          </cell>
          <cell r="AW67">
            <v>12726.01</v>
          </cell>
          <cell r="AX67">
            <v>11987.59</v>
          </cell>
          <cell r="AY67">
            <v>12468.63</v>
          </cell>
          <cell r="AZ67">
            <v>11801.23</v>
          </cell>
          <cell r="BA67">
            <v>9866.0300000000007</v>
          </cell>
        </row>
        <row r="68">
          <cell r="A68" t="str">
            <v>V3000H15B25</v>
          </cell>
          <cell r="B68">
            <v>3000</v>
          </cell>
          <cell r="C68">
            <v>1500</v>
          </cell>
          <cell r="D68">
            <v>2500</v>
          </cell>
          <cell r="E68">
            <v>40</v>
          </cell>
          <cell r="F68">
            <v>4</v>
          </cell>
          <cell r="G68">
            <v>2</v>
          </cell>
          <cell r="H68">
            <v>350</v>
          </cell>
          <cell r="I68">
            <v>50</v>
          </cell>
          <cell r="J68">
            <v>3065.3</v>
          </cell>
          <cell r="K68" t="str">
            <v>Q-12001266</v>
          </cell>
          <cell r="L68" t="str">
            <v>\\hokukon-net2\hop\Program\01_MVPシステム_容量別組立図\.\01_余裕高0_0m\pdf\FB0_3000m3-MVP-1500-組-B2500_Q-12001266.pdf</v>
          </cell>
          <cell r="M68">
            <v>12835.22</v>
          </cell>
          <cell r="N68">
            <v>13029.24</v>
          </cell>
          <cell r="O68">
            <v>12564.53</v>
          </cell>
          <cell r="P68">
            <v>12571.42</v>
          </cell>
          <cell r="Q68">
            <v>12937.82</v>
          </cell>
          <cell r="R68">
            <v>12789.66</v>
          </cell>
          <cell r="S68">
            <v>12759.87</v>
          </cell>
          <cell r="T68">
            <v>12768.21</v>
          </cell>
          <cell r="U68">
            <v>12659.68</v>
          </cell>
          <cell r="V68">
            <v>12589.94</v>
          </cell>
          <cell r="W68">
            <v>12688.59</v>
          </cell>
          <cell r="X68">
            <v>12731.22</v>
          </cell>
          <cell r="Y68">
            <v>12736.15</v>
          </cell>
          <cell r="Z68">
            <v>13170.07</v>
          </cell>
          <cell r="AA68">
            <v>12791.17</v>
          </cell>
          <cell r="AB68">
            <v>12840.39</v>
          </cell>
          <cell r="AC68">
            <v>13440.09</v>
          </cell>
          <cell r="AD68">
            <v>12676.34</v>
          </cell>
          <cell r="AE68">
            <v>12855.88</v>
          </cell>
          <cell r="AF68">
            <v>13372.07</v>
          </cell>
          <cell r="AG68">
            <v>12661.83</v>
          </cell>
          <cell r="AH68">
            <v>12799.15</v>
          </cell>
          <cell r="AI68">
            <v>12531.58</v>
          </cell>
          <cell r="AJ68">
            <v>12838.64</v>
          </cell>
          <cell r="AK68">
            <v>12247.83</v>
          </cell>
          <cell r="AL68">
            <v>12819.82</v>
          </cell>
          <cell r="AM68">
            <v>13457.77</v>
          </cell>
          <cell r="AN68">
            <v>12983.39</v>
          </cell>
          <cell r="AO68">
            <v>13156.1</v>
          </cell>
          <cell r="AP68">
            <v>13120.27</v>
          </cell>
          <cell r="AQ68">
            <v>13264.81</v>
          </cell>
          <cell r="AR68">
            <v>12761.21</v>
          </cell>
          <cell r="AS68">
            <v>13532.39</v>
          </cell>
          <cell r="AT68">
            <v>13089.98</v>
          </cell>
          <cell r="AU68">
            <v>13157.14</v>
          </cell>
          <cell r="AV68">
            <v>13344.71</v>
          </cell>
          <cell r="AW68">
            <v>12977.03</v>
          </cell>
          <cell r="AX68">
            <v>12236.95</v>
          </cell>
          <cell r="AY68">
            <v>12718.07</v>
          </cell>
          <cell r="AZ68">
            <v>12048.89</v>
          </cell>
          <cell r="BA68">
            <v>10121.51</v>
          </cell>
        </row>
        <row r="69">
          <cell r="A69" t="str">
            <v>V3000H15B20</v>
          </cell>
          <cell r="B69">
            <v>3000</v>
          </cell>
          <cell r="C69">
            <v>1500</v>
          </cell>
          <cell r="D69">
            <v>2000</v>
          </cell>
          <cell r="E69">
            <v>43</v>
          </cell>
          <cell r="F69">
            <v>4</v>
          </cell>
          <cell r="G69">
            <v>2</v>
          </cell>
          <cell r="H69">
            <v>350</v>
          </cell>
          <cell r="I69">
            <v>50</v>
          </cell>
          <cell r="J69">
            <v>3028.5</v>
          </cell>
          <cell r="K69" t="str">
            <v>Q-12001265</v>
          </cell>
          <cell r="L69" t="str">
            <v>\\hokukon-net2\hop\Program\01_MVPシステム_容量別組立図\.\01_余裕高0_0m\pdf\FB0_3000m3-MVP-1500-組-B2000_Q-12001265.pdf</v>
          </cell>
          <cell r="M69">
            <v>12987.73</v>
          </cell>
          <cell r="N69">
            <v>13180.39</v>
          </cell>
          <cell r="O69">
            <v>12720.35</v>
          </cell>
          <cell r="P69">
            <v>12727.21</v>
          </cell>
          <cell r="Q69">
            <v>13089</v>
          </cell>
          <cell r="R69">
            <v>12941.72</v>
          </cell>
          <cell r="S69">
            <v>12911.14</v>
          </cell>
          <cell r="T69">
            <v>12919.42</v>
          </cell>
          <cell r="U69">
            <v>12817.2</v>
          </cell>
          <cell r="V69">
            <v>12747.17</v>
          </cell>
          <cell r="W69">
            <v>12845.57</v>
          </cell>
          <cell r="X69">
            <v>12889.87</v>
          </cell>
          <cell r="Y69">
            <v>12895.04</v>
          </cell>
          <cell r="Z69">
            <v>13327.85</v>
          </cell>
          <cell r="AA69">
            <v>12952.19</v>
          </cell>
          <cell r="AB69">
            <v>12998.92</v>
          </cell>
          <cell r="AC69">
            <v>13592.16</v>
          </cell>
          <cell r="AD69">
            <v>12831.68</v>
          </cell>
          <cell r="AE69">
            <v>13011.79</v>
          </cell>
          <cell r="AF69">
            <v>13525.7</v>
          </cell>
          <cell r="AG69">
            <v>12821.49</v>
          </cell>
          <cell r="AH69">
            <v>12957.97</v>
          </cell>
          <cell r="AI69">
            <v>12693.21</v>
          </cell>
          <cell r="AJ69">
            <v>12996.16</v>
          </cell>
          <cell r="AK69">
            <v>12408.41</v>
          </cell>
          <cell r="AL69">
            <v>12975.45</v>
          </cell>
          <cell r="AM69">
            <v>13609.78</v>
          </cell>
          <cell r="AN69">
            <v>13138.97</v>
          </cell>
          <cell r="AO69">
            <v>13308.98</v>
          </cell>
          <cell r="AP69">
            <v>13274.42</v>
          </cell>
          <cell r="AQ69">
            <v>13418.42</v>
          </cell>
          <cell r="AR69">
            <v>12913.99</v>
          </cell>
          <cell r="AS69">
            <v>13680.56</v>
          </cell>
          <cell r="AT69">
            <v>13243.58</v>
          </cell>
          <cell r="AU69">
            <v>13310.63</v>
          </cell>
          <cell r="AV69">
            <v>13494.9</v>
          </cell>
          <cell r="AW69">
            <v>13129.92</v>
          </cell>
          <cell r="AX69">
            <v>12396.36</v>
          </cell>
          <cell r="AY69">
            <v>12872.09</v>
          </cell>
          <cell r="AZ69">
            <v>12208.45</v>
          </cell>
          <cell r="BA69">
            <v>10300.42</v>
          </cell>
        </row>
        <row r="70">
          <cell r="A70" t="str">
            <v>V3000H20B30</v>
          </cell>
          <cell r="B70">
            <v>3000</v>
          </cell>
          <cell r="C70">
            <v>2000</v>
          </cell>
          <cell r="D70">
            <v>3000</v>
          </cell>
          <cell r="E70">
            <v>35</v>
          </cell>
          <cell r="F70">
            <v>3</v>
          </cell>
          <cell r="G70">
            <v>2</v>
          </cell>
          <cell r="H70">
            <v>350</v>
          </cell>
          <cell r="I70">
            <v>50</v>
          </cell>
          <cell r="J70">
            <v>3028.9</v>
          </cell>
          <cell r="K70" t="str">
            <v>Q-12001270</v>
          </cell>
          <cell r="L70" t="str">
            <v>\\hokukon-net2\hop\Program\01_MVPシステム_容量別組立図\.\01_余裕高0_0m\pdf\FB0_3000m3-MVP-2000-組-B3000_Q-12001270.pdf</v>
          </cell>
          <cell r="M70">
            <v>9836.7199999999993</v>
          </cell>
          <cell r="N70">
            <v>9980.98</v>
          </cell>
          <cell r="O70">
            <v>9637.16</v>
          </cell>
          <cell r="P70">
            <v>9642.26</v>
          </cell>
          <cell r="Q70">
            <v>9912.6</v>
          </cell>
          <cell r="R70">
            <v>9803.09</v>
          </cell>
          <cell r="S70">
            <v>9780.8799999999992</v>
          </cell>
          <cell r="T70">
            <v>9787.06</v>
          </cell>
          <cell r="U70">
            <v>9708.4599999999991</v>
          </cell>
          <cell r="V70">
            <v>9656.7999999999993</v>
          </cell>
          <cell r="W70">
            <v>9729.43</v>
          </cell>
          <cell r="X70">
            <v>9761.6</v>
          </cell>
          <cell r="Y70">
            <v>9765.23</v>
          </cell>
          <cell r="Z70">
            <v>10086.379999999999</v>
          </cell>
          <cell r="AA70">
            <v>9805.3799999999992</v>
          </cell>
          <cell r="AB70">
            <v>9842.06</v>
          </cell>
          <cell r="AC70">
            <v>10284.790000000001</v>
          </cell>
          <cell r="AD70">
            <v>9717.84</v>
          </cell>
          <cell r="AE70">
            <v>9851.3700000000008</v>
          </cell>
          <cell r="AF70">
            <v>10233.42</v>
          </cell>
          <cell r="AG70">
            <v>9708.61</v>
          </cell>
          <cell r="AH70">
            <v>9810.68</v>
          </cell>
          <cell r="AI70">
            <v>9612.42</v>
          </cell>
          <cell r="AJ70">
            <v>9839.49</v>
          </cell>
          <cell r="AK70">
            <v>9402.4699999999993</v>
          </cell>
          <cell r="AL70">
            <v>9826.51</v>
          </cell>
          <cell r="AM70">
            <v>10298.879999999999</v>
          </cell>
          <cell r="AN70">
            <v>9948.35</v>
          </cell>
          <cell r="AO70">
            <v>10075.98</v>
          </cell>
          <cell r="AP70">
            <v>10049.68</v>
          </cell>
          <cell r="AQ70">
            <v>10156.6</v>
          </cell>
          <cell r="AR70">
            <v>9781.94</v>
          </cell>
          <cell r="AS70">
            <v>10352.209999999999</v>
          </cell>
          <cell r="AT70">
            <v>10025.34</v>
          </cell>
          <cell r="AU70">
            <v>10074.35</v>
          </cell>
          <cell r="AV70">
            <v>10213.48</v>
          </cell>
          <cell r="AW70">
            <v>9940.76</v>
          </cell>
          <cell r="AX70">
            <v>9392.3799999999992</v>
          </cell>
          <cell r="AY70">
            <v>9749.15</v>
          </cell>
          <cell r="AZ70">
            <v>9253.0499999999993</v>
          </cell>
          <cell r="BA70">
            <v>7723.42</v>
          </cell>
        </row>
        <row r="71">
          <cell r="A71" t="str">
            <v>V3000H20B25</v>
          </cell>
          <cell r="B71">
            <v>3000</v>
          </cell>
          <cell r="C71">
            <v>2000</v>
          </cell>
          <cell r="D71">
            <v>2500</v>
          </cell>
          <cell r="E71">
            <v>38</v>
          </cell>
          <cell r="F71">
            <v>3</v>
          </cell>
          <cell r="G71">
            <v>2</v>
          </cell>
          <cell r="H71">
            <v>350</v>
          </cell>
          <cell r="I71">
            <v>50</v>
          </cell>
          <cell r="J71">
            <v>3050.7</v>
          </cell>
          <cell r="K71" t="str">
            <v>Q-12001269</v>
          </cell>
          <cell r="L71" t="str">
            <v>\\hokukon-net2\hop\Program\01_MVPシステム_容量別組立図\.\01_余裕高0_0m\pdf\FB0_3000m3-MVP-2000-組-B2500_Q-12001269.pdf</v>
          </cell>
          <cell r="M71">
            <v>10110.32</v>
          </cell>
          <cell r="N71">
            <v>10256.15</v>
          </cell>
          <cell r="O71">
            <v>9909.41</v>
          </cell>
          <cell r="P71">
            <v>9914.56</v>
          </cell>
          <cell r="Q71">
            <v>10186.65</v>
          </cell>
          <cell r="R71">
            <v>10075.89</v>
          </cell>
          <cell r="S71">
            <v>10052.82</v>
          </cell>
          <cell r="T71">
            <v>10059.049999999999</v>
          </cell>
          <cell r="U71">
            <v>9982.9</v>
          </cell>
          <cell r="V71">
            <v>9930.2199999999993</v>
          </cell>
          <cell r="W71">
            <v>10003.93</v>
          </cell>
          <cell r="X71">
            <v>10037.64</v>
          </cell>
          <cell r="Y71">
            <v>10041.450000000001</v>
          </cell>
          <cell r="Z71">
            <v>10367.32</v>
          </cell>
          <cell r="AA71">
            <v>10083.56</v>
          </cell>
          <cell r="AB71">
            <v>10119.35</v>
          </cell>
          <cell r="AC71">
            <v>10565.65</v>
          </cell>
          <cell r="AD71">
            <v>9991.23</v>
          </cell>
          <cell r="AE71">
            <v>10127.290000000001</v>
          </cell>
          <cell r="AF71">
            <v>10514.38</v>
          </cell>
          <cell r="AG71">
            <v>9984.41</v>
          </cell>
          <cell r="AH71">
            <v>10087.69</v>
          </cell>
          <cell r="AI71">
            <v>9887.7900000000009</v>
          </cell>
          <cell r="AJ71">
            <v>10116.19</v>
          </cell>
          <cell r="AK71">
            <v>9673.69</v>
          </cell>
          <cell r="AL71">
            <v>10101.83</v>
          </cell>
          <cell r="AM71">
            <v>10579.92</v>
          </cell>
          <cell r="AN71">
            <v>10225.64</v>
          </cell>
          <cell r="AO71">
            <v>10353.780000000001</v>
          </cell>
          <cell r="AP71">
            <v>10327.790000000001</v>
          </cell>
          <cell r="AQ71">
            <v>10436.18</v>
          </cell>
          <cell r="AR71">
            <v>10054.83</v>
          </cell>
          <cell r="AS71">
            <v>10631.84</v>
          </cell>
          <cell r="AT71">
            <v>10302.77</v>
          </cell>
          <cell r="AU71">
            <v>10352.57</v>
          </cell>
          <cell r="AV71">
            <v>10492</v>
          </cell>
          <cell r="AW71">
            <v>10216.379999999999</v>
          </cell>
          <cell r="AX71">
            <v>9662.7800000000007</v>
          </cell>
          <cell r="AY71">
            <v>10022.25</v>
          </cell>
          <cell r="AZ71">
            <v>9631.0499999999993</v>
          </cell>
          <cell r="BA71">
            <v>7981.19</v>
          </cell>
        </row>
        <row r="72">
          <cell r="A72" t="str">
            <v>V3000H20B20</v>
          </cell>
          <cell r="B72">
            <v>3000</v>
          </cell>
          <cell r="C72">
            <v>2000</v>
          </cell>
          <cell r="D72">
            <v>2000</v>
          </cell>
          <cell r="E72">
            <v>32</v>
          </cell>
          <cell r="F72">
            <v>4</v>
          </cell>
          <cell r="G72">
            <v>2</v>
          </cell>
          <cell r="H72">
            <v>350</v>
          </cell>
          <cell r="I72">
            <v>50</v>
          </cell>
          <cell r="J72">
            <v>3045.7</v>
          </cell>
          <cell r="K72" t="str">
            <v>Q-12001268</v>
          </cell>
          <cell r="L72" t="str">
            <v>\\hokukon-net2\hop\Program\01_MVPシステム_容量別組立図\.\01_余裕高0_0m\pdf\FB0_3000m3-MVP-2000-組-B2000_Q-12001268.pdf</v>
          </cell>
          <cell r="M72">
            <v>10348.370000000001</v>
          </cell>
          <cell r="N72">
            <v>10494.34</v>
          </cell>
          <cell r="O72">
            <v>10149.879999999999</v>
          </cell>
          <cell r="P72">
            <v>10155.040000000001</v>
          </cell>
          <cell r="Q72">
            <v>10424.290000000001</v>
          </cell>
          <cell r="R72">
            <v>10313.43</v>
          </cell>
          <cell r="S72">
            <v>10289.219999999999</v>
          </cell>
          <cell r="T72">
            <v>10295.450000000001</v>
          </cell>
          <cell r="U72">
            <v>10226.469999999999</v>
          </cell>
          <cell r="V72">
            <v>10173.049999999999</v>
          </cell>
          <cell r="W72">
            <v>10246.64</v>
          </cell>
          <cell r="X72">
            <v>10282.799999999999</v>
          </cell>
          <cell r="Y72">
            <v>10287.01</v>
          </cell>
          <cell r="Z72">
            <v>10614.26</v>
          </cell>
          <cell r="AA72">
            <v>10331.530000000001</v>
          </cell>
          <cell r="AB72">
            <v>10364.9</v>
          </cell>
          <cell r="AC72">
            <v>10807.27</v>
          </cell>
          <cell r="AD72">
            <v>10230.83</v>
          </cell>
          <cell r="AE72">
            <v>10368.85</v>
          </cell>
          <cell r="AF72">
            <v>10756.69</v>
          </cell>
          <cell r="AG72">
            <v>10229.49</v>
          </cell>
          <cell r="AH72">
            <v>10333.07</v>
          </cell>
          <cell r="AI72">
            <v>10134.209999999999</v>
          </cell>
          <cell r="AJ72">
            <v>10359.950000000001</v>
          </cell>
          <cell r="AK72">
            <v>9917.35</v>
          </cell>
          <cell r="AL72">
            <v>10343.9</v>
          </cell>
          <cell r="AM72">
            <v>10821.83</v>
          </cell>
          <cell r="AN72">
            <v>10468.91</v>
          </cell>
          <cell r="AO72">
            <v>10595.03</v>
          </cell>
          <cell r="AP72">
            <v>10570.35</v>
          </cell>
          <cell r="AQ72">
            <v>10678.88</v>
          </cell>
          <cell r="AR72">
            <v>10292.700000000001</v>
          </cell>
          <cell r="AS72">
            <v>10869.01</v>
          </cell>
          <cell r="AT72">
            <v>10543.61</v>
          </cell>
          <cell r="AU72">
            <v>10593.34</v>
          </cell>
          <cell r="AV72">
            <v>10730.59</v>
          </cell>
          <cell r="AW72">
            <v>10455.41</v>
          </cell>
          <cell r="AX72">
            <v>9904.15</v>
          </cell>
          <cell r="AY72">
            <v>10261</v>
          </cell>
          <cell r="AZ72">
            <v>9761.61</v>
          </cell>
          <cell r="BA72">
            <v>8212.99</v>
          </cell>
        </row>
        <row r="73">
          <cell r="A73" t="str">
            <v>V3000H25B30</v>
          </cell>
          <cell r="B73">
            <v>3000</v>
          </cell>
          <cell r="C73">
            <v>2500</v>
          </cell>
          <cell r="D73">
            <v>3000</v>
          </cell>
          <cell r="E73">
            <v>29</v>
          </cell>
          <cell r="F73">
            <v>5</v>
          </cell>
          <cell r="G73">
            <v>1</v>
          </cell>
          <cell r="H73">
            <v>300</v>
          </cell>
          <cell r="I73">
            <v>50</v>
          </cell>
          <cell r="J73">
            <v>3063.1</v>
          </cell>
          <cell r="K73" t="str">
            <v>Q-12001273</v>
          </cell>
          <cell r="L73" t="str">
            <v>\\hokukon-net2\hop\Program\01_MVPシステム_容量別組立図\.\01_余裕高0_0m\pdf\FB0_3000m3-MVP-2500-組-B3000_Q-12001273.pdf</v>
          </cell>
          <cell r="M73">
            <v>9835.8799999999992</v>
          </cell>
          <cell r="N73">
            <v>9946.01</v>
          </cell>
          <cell r="O73">
            <v>9693.93</v>
          </cell>
          <cell r="P73">
            <v>9697.84</v>
          </cell>
          <cell r="Q73">
            <v>9893.82</v>
          </cell>
          <cell r="R73">
            <v>9811.33</v>
          </cell>
          <cell r="S73">
            <v>9789.7900000000009</v>
          </cell>
          <cell r="T73">
            <v>9794.5</v>
          </cell>
          <cell r="U73">
            <v>9769.92</v>
          </cell>
          <cell r="V73">
            <v>9726.4500000000007</v>
          </cell>
          <cell r="W73">
            <v>9783.36</v>
          </cell>
          <cell r="X73">
            <v>9821.69</v>
          </cell>
          <cell r="Y73">
            <v>9827.7800000000007</v>
          </cell>
          <cell r="Z73">
            <v>10080.74</v>
          </cell>
          <cell r="AA73">
            <v>9867.3799999999992</v>
          </cell>
          <cell r="AB73">
            <v>9883.73</v>
          </cell>
          <cell r="AC73">
            <v>10202.5</v>
          </cell>
          <cell r="AD73">
            <v>9755.51</v>
          </cell>
          <cell r="AE73">
            <v>9864</v>
          </cell>
          <cell r="AF73">
            <v>10161.48</v>
          </cell>
          <cell r="AG73">
            <v>9777.4500000000007</v>
          </cell>
          <cell r="AH73">
            <v>9858.9</v>
          </cell>
          <cell r="AI73">
            <v>9709.94</v>
          </cell>
          <cell r="AJ73">
            <v>9873.24</v>
          </cell>
          <cell r="AK73">
            <v>9536.9599999999991</v>
          </cell>
          <cell r="AL73">
            <v>9852.23</v>
          </cell>
          <cell r="AM73">
            <v>10212.76</v>
          </cell>
          <cell r="AN73">
            <v>9950.06</v>
          </cell>
          <cell r="AO73">
            <v>10038.01</v>
          </cell>
          <cell r="AP73">
            <v>10026.4</v>
          </cell>
          <cell r="AQ73">
            <v>10106.719999999999</v>
          </cell>
          <cell r="AR73">
            <v>9800.5400000000009</v>
          </cell>
          <cell r="AS73">
            <v>10233.469999999999</v>
          </cell>
          <cell r="AT73">
            <v>9996.2999999999993</v>
          </cell>
          <cell r="AU73">
            <v>10033.700000000001</v>
          </cell>
          <cell r="AV73">
            <v>10133.02</v>
          </cell>
          <cell r="AW73">
            <v>9920.52</v>
          </cell>
          <cell r="AX73">
            <v>9515.98</v>
          </cell>
          <cell r="AY73">
            <v>9775.08</v>
          </cell>
          <cell r="AZ73">
            <v>9402.2800000000007</v>
          </cell>
          <cell r="BA73">
            <v>7754.43</v>
          </cell>
        </row>
        <row r="74">
          <cell r="A74" t="str">
            <v>V3000H25B25</v>
          </cell>
          <cell r="B74">
            <v>3000</v>
          </cell>
          <cell r="C74">
            <v>2500</v>
          </cell>
          <cell r="D74">
            <v>2500</v>
          </cell>
          <cell r="E74">
            <v>32</v>
          </cell>
          <cell r="F74">
            <v>5</v>
          </cell>
          <cell r="G74">
            <v>2</v>
          </cell>
          <cell r="H74">
            <v>300</v>
          </cell>
          <cell r="I74">
            <v>50</v>
          </cell>
          <cell r="J74">
            <v>3066.9</v>
          </cell>
          <cell r="K74" t="str">
            <v>Q-12001272</v>
          </cell>
          <cell r="L74" t="str">
            <v>\\hokukon-net2\hop\Program\01_MVPシステム_容量別組立図\.\01_余裕高0_0m\pdf\FB0_3000m3-MVP-2500-組-B2500_Q-12001272.pdf</v>
          </cell>
          <cell r="M74">
            <v>10208.94</v>
          </cell>
          <cell r="N74">
            <v>10319.68</v>
          </cell>
          <cell r="O74">
            <v>10067.65</v>
          </cell>
          <cell r="P74">
            <v>10071.6</v>
          </cell>
          <cell r="Q74">
            <v>10266.459999999999</v>
          </cell>
          <cell r="R74">
            <v>10183.450000000001</v>
          </cell>
          <cell r="S74">
            <v>10160.709999999999</v>
          </cell>
          <cell r="T74">
            <v>10165.459999999999</v>
          </cell>
          <cell r="U74">
            <v>10145.86</v>
          </cell>
          <cell r="V74">
            <v>10101.450000000001</v>
          </cell>
          <cell r="W74">
            <v>10159.18</v>
          </cell>
          <cell r="X74">
            <v>10199.49</v>
          </cell>
          <cell r="Y74">
            <v>10205.709999999999</v>
          </cell>
          <cell r="Z74">
            <v>10461.790000000001</v>
          </cell>
          <cell r="AA74">
            <v>10247.959999999999</v>
          </cell>
          <cell r="AB74">
            <v>10262.56</v>
          </cell>
          <cell r="AC74">
            <v>10580.77</v>
          </cell>
          <cell r="AD74">
            <v>10129.35</v>
          </cell>
          <cell r="AE74">
            <v>10240.26</v>
          </cell>
          <cell r="AF74">
            <v>10540.57</v>
          </cell>
          <cell r="AG74">
            <v>10155.530000000001</v>
          </cell>
          <cell r="AH74">
            <v>10237.49</v>
          </cell>
          <cell r="AI74">
            <v>10088.57</v>
          </cell>
          <cell r="AJ74">
            <v>10250.969999999999</v>
          </cell>
          <cell r="AK74">
            <v>9911.75</v>
          </cell>
          <cell r="AL74">
            <v>10227.94</v>
          </cell>
          <cell r="AM74">
            <v>10591.24</v>
          </cell>
          <cell r="AN74">
            <v>10327.33</v>
          </cell>
          <cell r="AO74">
            <v>10414.4</v>
          </cell>
          <cell r="AP74">
            <v>10403.780000000001</v>
          </cell>
          <cell r="AQ74">
            <v>10484.969999999999</v>
          </cell>
          <cell r="AR74">
            <v>10172.83</v>
          </cell>
          <cell r="AS74">
            <v>10608.96</v>
          </cell>
          <cell r="AT74">
            <v>10372.61</v>
          </cell>
          <cell r="AU74">
            <v>10410.530000000001</v>
          </cell>
          <cell r="AV74">
            <v>10508.57</v>
          </cell>
          <cell r="AW74">
            <v>10295.030000000001</v>
          </cell>
          <cell r="AX74">
            <v>9889.6</v>
          </cell>
          <cell r="AY74">
            <v>10148.18</v>
          </cell>
          <cell r="AZ74">
            <v>9774.0300000000007</v>
          </cell>
          <cell r="BA74">
            <v>8091.54</v>
          </cell>
        </row>
        <row r="75">
          <cell r="A75" t="str">
            <v>V3000H25B20</v>
          </cell>
          <cell r="B75">
            <v>3000</v>
          </cell>
          <cell r="C75">
            <v>2500</v>
          </cell>
          <cell r="D75">
            <v>2000</v>
          </cell>
          <cell r="E75">
            <v>30</v>
          </cell>
          <cell r="F75">
            <v>6</v>
          </cell>
          <cell r="G75">
            <v>2</v>
          </cell>
          <cell r="H75">
            <v>300</v>
          </cell>
          <cell r="I75">
            <v>50</v>
          </cell>
          <cell r="J75">
            <v>3064.6</v>
          </cell>
          <cell r="K75" t="str">
            <v>Q-12001271</v>
          </cell>
          <cell r="L75" t="str">
            <v>\\hokukon-net2\hop\Program\01_MVPシステム_容量別組立図\.\01_余裕高0_0m\pdf\FB0_3000m3-MVP-2500-組-B2000_Q-12001271.pdf</v>
          </cell>
          <cell r="M75">
            <v>10661.5</v>
          </cell>
          <cell r="N75">
            <v>10772.9</v>
          </cell>
          <cell r="O75">
            <v>10522.03</v>
          </cell>
          <cell r="P75">
            <v>10525.99</v>
          </cell>
          <cell r="Q75">
            <v>10718.82</v>
          </cell>
          <cell r="R75">
            <v>10635.39</v>
          </cell>
          <cell r="S75">
            <v>10611.17</v>
          </cell>
          <cell r="T75">
            <v>10615.95</v>
          </cell>
          <cell r="U75">
            <v>10604.27</v>
          </cell>
          <cell r="V75">
            <v>10558.78</v>
          </cell>
          <cell r="W75">
            <v>10617.03</v>
          </cell>
          <cell r="X75">
            <v>10660.39</v>
          </cell>
          <cell r="Y75">
            <v>10666.92</v>
          </cell>
          <cell r="Z75">
            <v>10926.37</v>
          </cell>
          <cell r="AA75">
            <v>10712.29</v>
          </cell>
          <cell r="AB75">
            <v>10724.3</v>
          </cell>
          <cell r="AC75">
            <v>11040.13</v>
          </cell>
          <cell r="AD75">
            <v>10583.4</v>
          </cell>
          <cell r="AE75">
            <v>10697.21</v>
          </cell>
          <cell r="AF75">
            <v>11000.56</v>
          </cell>
          <cell r="AG75">
            <v>10615.97</v>
          </cell>
          <cell r="AH75">
            <v>10699</v>
          </cell>
          <cell r="AI75">
            <v>10550.23</v>
          </cell>
          <cell r="AJ75">
            <v>10710.78</v>
          </cell>
          <cell r="AK75">
            <v>10368.85</v>
          </cell>
          <cell r="AL75">
            <v>10685.35</v>
          </cell>
          <cell r="AM75">
            <v>11050.96</v>
          </cell>
          <cell r="AN75">
            <v>10786.54</v>
          </cell>
          <cell r="AO75">
            <v>10871.96</v>
          </cell>
          <cell r="AP75">
            <v>10862.97</v>
          </cell>
          <cell r="AQ75">
            <v>10944.83</v>
          </cell>
          <cell r="AR75">
            <v>10625.16</v>
          </cell>
          <cell r="AS75">
            <v>11063.68</v>
          </cell>
          <cell r="AT75">
            <v>10829.78</v>
          </cell>
          <cell r="AU75">
            <v>10867.88</v>
          </cell>
          <cell r="AV75">
            <v>10964.11</v>
          </cell>
          <cell r="AW75">
            <v>10749.52</v>
          </cell>
          <cell r="AX75">
            <v>10344.32</v>
          </cell>
          <cell r="AY75">
            <v>10601.44</v>
          </cell>
          <cell r="AZ75">
            <v>10226.58</v>
          </cell>
          <cell r="BA75">
            <v>8500.61</v>
          </cell>
        </row>
        <row r="76">
          <cell r="A76" t="str">
            <v>V3000H30B30</v>
          </cell>
          <cell r="B76">
            <v>3000</v>
          </cell>
          <cell r="C76">
            <v>3000</v>
          </cell>
          <cell r="D76">
            <v>3000</v>
          </cell>
          <cell r="E76">
            <v>29</v>
          </cell>
          <cell r="F76">
            <v>4</v>
          </cell>
          <cell r="G76">
            <v>1</v>
          </cell>
          <cell r="H76">
            <v>300</v>
          </cell>
          <cell r="I76">
            <v>50</v>
          </cell>
          <cell r="J76">
            <v>3005.5</v>
          </cell>
          <cell r="K76" t="str">
            <v>Q-12001276</v>
          </cell>
          <cell r="L76" t="str">
            <v>\\hokukon-net2\hop\Program\01_MVPシステム_容量別組立図\.\01_余裕高0_0m\pdf\FB0_3000m3-MVP-3000-組-B3000_Q-12001276.pdf</v>
          </cell>
          <cell r="M76">
            <v>8620.93</v>
          </cell>
          <cell r="N76">
            <v>8711.7199999999993</v>
          </cell>
          <cell r="O76">
            <v>8506.73</v>
          </cell>
          <cell r="P76">
            <v>8509.9500000000007</v>
          </cell>
          <cell r="Q76">
            <v>8667.3700000000008</v>
          </cell>
          <cell r="R76">
            <v>8598.69</v>
          </cell>
          <cell r="S76">
            <v>8579.32</v>
          </cell>
          <cell r="T76">
            <v>8583.2000000000007</v>
          </cell>
          <cell r="U76">
            <v>8573.02</v>
          </cell>
          <cell r="V76">
            <v>8536.07</v>
          </cell>
          <cell r="W76">
            <v>8582.4500000000007</v>
          </cell>
          <cell r="X76">
            <v>8617.3700000000008</v>
          </cell>
          <cell r="Y76">
            <v>8623.58</v>
          </cell>
          <cell r="Z76">
            <v>8833.9</v>
          </cell>
          <cell r="AA76">
            <v>8659.77</v>
          </cell>
          <cell r="AB76">
            <v>8669.33</v>
          </cell>
          <cell r="AC76">
            <v>8926.7999999999993</v>
          </cell>
          <cell r="AD76">
            <v>8557.15</v>
          </cell>
          <cell r="AE76">
            <v>8649.43</v>
          </cell>
          <cell r="AF76">
            <v>8895</v>
          </cell>
          <cell r="AG76">
            <v>8582.17</v>
          </cell>
          <cell r="AH76">
            <v>8648.42</v>
          </cell>
          <cell r="AI76">
            <v>8528.5499999999993</v>
          </cell>
          <cell r="AJ76">
            <v>8658.34</v>
          </cell>
          <cell r="AK76">
            <v>8382.3700000000008</v>
          </cell>
          <cell r="AL76">
            <v>8638.84</v>
          </cell>
          <cell r="AM76">
            <v>8935.8700000000008</v>
          </cell>
          <cell r="AN76">
            <v>8721.9699999999993</v>
          </cell>
          <cell r="AO76">
            <v>8791.24</v>
          </cell>
          <cell r="AP76">
            <v>8782.2900000000009</v>
          </cell>
          <cell r="AQ76">
            <v>8849.32</v>
          </cell>
          <cell r="AR76">
            <v>8590.94</v>
          </cell>
          <cell r="AS76">
            <v>8945.99</v>
          </cell>
          <cell r="AT76">
            <v>8755.98</v>
          </cell>
          <cell r="AU76">
            <v>8787.43</v>
          </cell>
          <cell r="AV76">
            <v>8865.1200000000008</v>
          </cell>
          <cell r="AW76">
            <v>8691.5400000000009</v>
          </cell>
          <cell r="AX76">
            <v>8361.14</v>
          </cell>
          <cell r="AY76">
            <v>8570.9500000000007</v>
          </cell>
          <cell r="AZ76">
            <v>8267.27</v>
          </cell>
          <cell r="BA76">
            <v>6819.9</v>
          </cell>
        </row>
        <row r="77">
          <cell r="A77" t="str">
            <v>V3000H30B25</v>
          </cell>
          <cell r="B77">
            <v>3000</v>
          </cell>
          <cell r="C77">
            <v>3000</v>
          </cell>
          <cell r="D77">
            <v>2500</v>
          </cell>
          <cell r="E77">
            <v>32</v>
          </cell>
          <cell r="F77">
            <v>4</v>
          </cell>
          <cell r="G77">
            <v>2</v>
          </cell>
          <cell r="H77">
            <v>300</v>
          </cell>
          <cell r="I77">
            <v>50</v>
          </cell>
          <cell r="J77">
            <v>3015.7</v>
          </cell>
          <cell r="K77" t="str">
            <v>Q-12001275</v>
          </cell>
          <cell r="L77" t="str">
            <v>\\hokukon-net2\hop\Program\01_MVPシステム_容量別組立図\.\01_余裕高0_0m\pdf\FB0_3000m3-MVP-3000-組-B2500_Q-12001275.pdf</v>
          </cell>
          <cell r="M77">
            <v>8974.82</v>
          </cell>
          <cell r="N77">
            <v>9066.31</v>
          </cell>
          <cell r="O77">
            <v>8860.92</v>
          </cell>
          <cell r="P77">
            <v>8864.17</v>
          </cell>
          <cell r="Q77">
            <v>9021</v>
          </cell>
          <cell r="R77">
            <v>8951.74</v>
          </cell>
          <cell r="S77">
            <v>8931.35</v>
          </cell>
          <cell r="T77">
            <v>8935.26</v>
          </cell>
          <cell r="U77">
            <v>8929.31</v>
          </cell>
          <cell r="V77">
            <v>8891.4699999999993</v>
          </cell>
          <cell r="W77">
            <v>8938.64</v>
          </cell>
          <cell r="X77">
            <v>8975.33</v>
          </cell>
          <cell r="Y77">
            <v>8981.65</v>
          </cell>
          <cell r="Z77">
            <v>9195.06</v>
          </cell>
          <cell r="AA77">
            <v>9020.11</v>
          </cell>
          <cell r="AB77">
            <v>9028.2199999999993</v>
          </cell>
          <cell r="AC77">
            <v>9285.77</v>
          </cell>
          <cell r="AD77">
            <v>8911.57</v>
          </cell>
          <cell r="AE77">
            <v>9006.08</v>
          </cell>
          <cell r="AF77">
            <v>9254.5300000000007</v>
          </cell>
          <cell r="AG77">
            <v>8940.2000000000007</v>
          </cell>
          <cell r="AH77">
            <v>9007.0400000000009</v>
          </cell>
          <cell r="AI77">
            <v>8886.9599999999991</v>
          </cell>
          <cell r="AJ77">
            <v>9016.25</v>
          </cell>
          <cell r="AK77">
            <v>8737.25</v>
          </cell>
          <cell r="AL77">
            <v>8995.0400000000009</v>
          </cell>
          <cell r="AM77">
            <v>9295.06</v>
          </cell>
          <cell r="AN77">
            <v>9079.67</v>
          </cell>
          <cell r="AO77">
            <v>9148.36</v>
          </cell>
          <cell r="AP77">
            <v>9140.2000000000007</v>
          </cell>
          <cell r="AQ77">
            <v>9208.1200000000008</v>
          </cell>
          <cell r="AR77">
            <v>8944.16</v>
          </cell>
          <cell r="AS77">
            <v>9302.6299999999992</v>
          </cell>
          <cell r="AT77">
            <v>9112.92</v>
          </cell>
          <cell r="AU77">
            <v>9144.86</v>
          </cell>
          <cell r="AV77">
            <v>9221.64</v>
          </cell>
          <cell r="AW77">
            <v>9046.7999999999993</v>
          </cell>
          <cell r="AX77">
            <v>8714.9</v>
          </cell>
          <cell r="AY77">
            <v>8924.76</v>
          </cell>
          <cell r="AZ77">
            <v>8619.26</v>
          </cell>
          <cell r="BA77">
            <v>7133.75</v>
          </cell>
        </row>
        <row r="78">
          <cell r="A78" t="str">
            <v>V3000H30B20</v>
          </cell>
          <cell r="B78">
            <v>3000</v>
          </cell>
          <cell r="C78">
            <v>3000</v>
          </cell>
          <cell r="D78">
            <v>2000</v>
          </cell>
          <cell r="E78">
            <v>29</v>
          </cell>
          <cell r="F78">
            <v>5</v>
          </cell>
          <cell r="G78">
            <v>1</v>
          </cell>
          <cell r="H78">
            <v>300</v>
          </cell>
          <cell r="I78">
            <v>50</v>
          </cell>
          <cell r="J78">
            <v>3023.6</v>
          </cell>
          <cell r="K78" t="str">
            <v>Q-12001274</v>
          </cell>
          <cell r="L78" t="str">
            <v>\\hokukon-net2\hop\Program\01_MVPシステム_容量別組立図\.\01_余裕高0_0m\pdf\FB0_3000m3-MVP-3000-組-B2000_Q-12001274.pdf</v>
          </cell>
          <cell r="M78">
            <v>9391.25</v>
          </cell>
          <cell r="N78">
            <v>9483.5400000000009</v>
          </cell>
          <cell r="O78">
            <v>9278.84</v>
          </cell>
          <cell r="P78">
            <v>9282.1</v>
          </cell>
          <cell r="Q78">
            <v>9437.51</v>
          </cell>
          <cell r="R78">
            <v>9367.5400000000009</v>
          </cell>
          <cell r="S78">
            <v>9345.73</v>
          </cell>
          <cell r="T78">
            <v>9349.67</v>
          </cell>
          <cell r="U78">
            <v>9351.3799999999992</v>
          </cell>
          <cell r="V78">
            <v>9312.43</v>
          </cell>
          <cell r="W78">
            <v>9359.98</v>
          </cell>
          <cell r="X78">
            <v>9399.69</v>
          </cell>
          <cell r="Y78">
            <v>9406.57</v>
          </cell>
          <cell r="Z78">
            <v>9623.52</v>
          </cell>
          <cell r="AA78">
            <v>9448.1200000000008</v>
          </cell>
          <cell r="AB78">
            <v>9453.5</v>
          </cell>
          <cell r="AC78">
            <v>9709.27</v>
          </cell>
          <cell r="AD78">
            <v>9329.69</v>
          </cell>
          <cell r="AE78">
            <v>9427.06</v>
          </cell>
          <cell r="AF78">
            <v>9678.74</v>
          </cell>
          <cell r="AG78">
            <v>9364.35</v>
          </cell>
          <cell r="AH78">
            <v>9432.17</v>
          </cell>
          <cell r="AI78">
            <v>9312.2199999999993</v>
          </cell>
          <cell r="AJ78">
            <v>9439.74</v>
          </cell>
          <cell r="AK78">
            <v>9158.02</v>
          </cell>
          <cell r="AL78">
            <v>9416.24</v>
          </cell>
          <cell r="AM78">
            <v>9718.75</v>
          </cell>
          <cell r="AN78">
            <v>9502.76</v>
          </cell>
          <cell r="AO78">
            <v>9569.83</v>
          </cell>
          <cell r="AP78">
            <v>9563.01</v>
          </cell>
          <cell r="AQ78">
            <v>9631.7099999999991</v>
          </cell>
          <cell r="AR78">
            <v>9360.42</v>
          </cell>
          <cell r="AS78">
            <v>9721.48</v>
          </cell>
          <cell r="AT78">
            <v>9534.0400000000009</v>
          </cell>
          <cell r="AU78">
            <v>9566.33</v>
          </cell>
          <cell r="AV78">
            <v>9641.27</v>
          </cell>
          <cell r="AW78">
            <v>9465.4</v>
          </cell>
          <cell r="AX78">
            <v>9133.26</v>
          </cell>
          <cell r="AY78">
            <v>9341.9599999999991</v>
          </cell>
          <cell r="AZ78">
            <v>9035.69</v>
          </cell>
          <cell r="BA78">
            <v>7505.54</v>
          </cell>
        </row>
        <row r="79">
          <cell r="A79" t="str">
            <v>V3000H35B30</v>
          </cell>
          <cell r="B79">
            <v>3000</v>
          </cell>
          <cell r="C79">
            <v>3500</v>
          </cell>
          <cell r="D79">
            <v>3000</v>
          </cell>
          <cell r="E79">
            <v>25</v>
          </cell>
          <cell r="F79">
            <v>4</v>
          </cell>
          <cell r="G79">
            <v>1</v>
          </cell>
          <cell r="H79">
            <v>300</v>
          </cell>
          <cell r="I79">
            <v>50</v>
          </cell>
          <cell r="J79">
            <v>3042.2</v>
          </cell>
          <cell r="K79" t="str">
            <v>Q-12001279</v>
          </cell>
          <cell r="L79" t="str">
            <v>\\hokukon-net2\hop\Program\01_MVPシステム_容量別組立図\.\01_余裕高0_0m\pdf\FB0_3000m3-MVP-3500-組-B3000_Q-12001279.pdf</v>
          </cell>
          <cell r="M79">
            <v>7947.4</v>
          </cell>
          <cell r="N79">
            <v>8027.09</v>
          </cell>
          <cell r="O79">
            <v>7850.02</v>
          </cell>
          <cell r="P79">
            <v>7852.81</v>
          </cell>
          <cell r="Q79">
            <v>7987.71</v>
          </cell>
          <cell r="R79">
            <v>7927.93</v>
          </cell>
          <cell r="S79">
            <v>7910.24</v>
          </cell>
          <cell r="T79">
            <v>7913.61</v>
          </cell>
          <cell r="U79">
            <v>7910.23</v>
          </cell>
          <cell r="V79">
            <v>7877.58</v>
          </cell>
          <cell r="W79">
            <v>7917.58</v>
          </cell>
          <cell r="X79">
            <v>7949.89</v>
          </cell>
          <cell r="Y79">
            <v>7955.52</v>
          </cell>
          <cell r="Z79">
            <v>8139.57</v>
          </cell>
          <cell r="AA79">
            <v>7988.28</v>
          </cell>
          <cell r="AB79">
            <v>7995.15</v>
          </cell>
          <cell r="AC79">
            <v>8216.2099999999991</v>
          </cell>
          <cell r="AD79">
            <v>7892.15</v>
          </cell>
          <cell r="AE79">
            <v>7973.96</v>
          </cell>
          <cell r="AF79">
            <v>8188.35</v>
          </cell>
          <cell r="AG79">
            <v>7918.11</v>
          </cell>
          <cell r="AH79">
            <v>7976.49</v>
          </cell>
          <cell r="AI79">
            <v>7872.44</v>
          </cell>
          <cell r="AJ79">
            <v>7983.64</v>
          </cell>
          <cell r="AK79">
            <v>7743.54</v>
          </cell>
          <cell r="AL79">
            <v>7966.26</v>
          </cell>
          <cell r="AM79">
            <v>8224.7900000000009</v>
          </cell>
          <cell r="AN79">
            <v>8039.88</v>
          </cell>
          <cell r="AO79">
            <v>8098.69</v>
          </cell>
          <cell r="AP79">
            <v>8091.91</v>
          </cell>
          <cell r="AQ79">
            <v>8150.33</v>
          </cell>
          <cell r="AR79">
            <v>7921.27</v>
          </cell>
          <cell r="AS79">
            <v>8229.68</v>
          </cell>
          <cell r="AT79">
            <v>8066.74</v>
          </cell>
          <cell r="AU79">
            <v>8093.83</v>
          </cell>
          <cell r="AV79">
            <v>8160.34</v>
          </cell>
          <cell r="AW79">
            <v>8009.09</v>
          </cell>
          <cell r="AX79">
            <v>7722.41</v>
          </cell>
          <cell r="AY79">
            <v>7903.91</v>
          </cell>
          <cell r="AZ79">
            <v>7640.15</v>
          </cell>
          <cell r="BA79">
            <v>6290.87</v>
          </cell>
        </row>
        <row r="80">
          <cell r="A80" t="str">
            <v>V3000H35B25</v>
          </cell>
          <cell r="B80">
            <v>3000</v>
          </cell>
          <cell r="C80">
            <v>3500</v>
          </cell>
          <cell r="D80">
            <v>2500</v>
          </cell>
          <cell r="E80">
            <v>28</v>
          </cell>
          <cell r="F80">
            <v>4</v>
          </cell>
          <cell r="G80">
            <v>1</v>
          </cell>
          <cell r="H80">
            <v>300</v>
          </cell>
          <cell r="I80">
            <v>50</v>
          </cell>
          <cell r="J80">
            <v>3097.1</v>
          </cell>
          <cell r="K80" t="str">
            <v>Q-12001278</v>
          </cell>
          <cell r="L80" t="str">
            <v>\\hokukon-net2\hop\Program\01_MVPシステム_容量別組立図\.\01_余裕高0_0m\pdf\FB0_3000m3-MVP-3500-組-B2500_Q-12001278.pdf</v>
          </cell>
          <cell r="M80">
            <v>8377.4500000000007</v>
          </cell>
          <cell r="N80">
            <v>8458.76</v>
          </cell>
          <cell r="O80">
            <v>8278.81</v>
          </cell>
          <cell r="P80">
            <v>8281.67</v>
          </cell>
          <cell r="Q80">
            <v>8418.24</v>
          </cell>
          <cell r="R80">
            <v>8357.07</v>
          </cell>
          <cell r="S80">
            <v>8338.32</v>
          </cell>
          <cell r="T80">
            <v>8341.7800000000007</v>
          </cell>
          <cell r="U80">
            <v>8341.7800000000007</v>
          </cell>
          <cell r="V80">
            <v>8307.91</v>
          </cell>
          <cell r="W80">
            <v>8349.15</v>
          </cell>
          <cell r="X80">
            <v>8383.34</v>
          </cell>
          <cell r="Y80">
            <v>8389.2900000000009</v>
          </cell>
          <cell r="Z80">
            <v>8578.56</v>
          </cell>
          <cell r="AA80">
            <v>8424.4699999999993</v>
          </cell>
          <cell r="AB80">
            <v>8430.06</v>
          </cell>
          <cell r="AC80">
            <v>8654.5300000000007</v>
          </cell>
          <cell r="AD80">
            <v>8322.2999999999993</v>
          </cell>
          <cell r="AE80">
            <v>8407.01</v>
          </cell>
          <cell r="AF80">
            <v>8626.9</v>
          </cell>
          <cell r="AG80">
            <v>8351.42</v>
          </cell>
          <cell r="AH80">
            <v>8411.1</v>
          </cell>
          <cell r="AI80">
            <v>8305.4500000000007</v>
          </cell>
          <cell r="AJ80">
            <v>8417.77</v>
          </cell>
          <cell r="AK80">
            <v>8171.78</v>
          </cell>
          <cell r="AL80">
            <v>8398.59</v>
          </cell>
          <cell r="AM80">
            <v>8663.2099999999991</v>
          </cell>
          <cell r="AN80">
            <v>8474.4</v>
          </cell>
          <cell r="AO80">
            <v>8533.5400000000009</v>
          </cell>
          <cell r="AP80">
            <v>8527.2199999999993</v>
          </cell>
          <cell r="AQ80">
            <v>8587.23</v>
          </cell>
          <cell r="AR80">
            <v>8350.61</v>
          </cell>
          <cell r="AS80">
            <v>8666.2099999999991</v>
          </cell>
          <cell r="AT80">
            <v>8501.26</v>
          </cell>
          <cell r="AU80">
            <v>8529.26</v>
          </cell>
          <cell r="AV80">
            <v>8595.84</v>
          </cell>
          <cell r="AW80">
            <v>8441.49</v>
          </cell>
          <cell r="AX80">
            <v>8149.62</v>
          </cell>
          <cell r="AY80">
            <v>8333.59</v>
          </cell>
          <cell r="AZ80">
            <v>8064.81</v>
          </cell>
          <cell r="BA80">
            <v>6658.73</v>
          </cell>
        </row>
        <row r="81">
          <cell r="A81" t="str">
            <v>V3000H35B20</v>
          </cell>
          <cell r="B81">
            <v>3000</v>
          </cell>
          <cell r="C81">
            <v>3500</v>
          </cell>
          <cell r="D81">
            <v>2000</v>
          </cell>
          <cell r="E81">
            <v>31</v>
          </cell>
          <cell r="F81">
            <v>4</v>
          </cell>
          <cell r="G81">
            <v>2</v>
          </cell>
          <cell r="H81">
            <v>300</v>
          </cell>
          <cell r="I81">
            <v>50</v>
          </cell>
          <cell r="J81">
            <v>3089</v>
          </cell>
          <cell r="K81" t="str">
            <v>Q-12001277</v>
          </cell>
          <cell r="L81" t="str">
            <v>\\hokukon-net2\hop\Program\01_MVPシステム_容量別組立図\.\01_余裕高0_0m\pdf\FB0_3000m3-MVP-3500-組-B2000_Q-12001277.pdf</v>
          </cell>
          <cell r="M81">
            <v>8732.36</v>
          </cell>
          <cell r="N81">
            <v>8813.9</v>
          </cell>
          <cell r="O81">
            <v>8634.77</v>
          </cell>
          <cell r="P81">
            <v>8637.64</v>
          </cell>
          <cell r="Q81">
            <v>8772.6299999999992</v>
          </cell>
          <cell r="R81">
            <v>8711.25</v>
          </cell>
          <cell r="S81">
            <v>8691.51</v>
          </cell>
          <cell r="T81">
            <v>8694.9699999999993</v>
          </cell>
          <cell r="U81">
            <v>8699.7199999999993</v>
          </cell>
          <cell r="V81">
            <v>8665.1200000000008</v>
          </cell>
          <cell r="W81">
            <v>8706.89</v>
          </cell>
          <cell r="X81">
            <v>8742.82</v>
          </cell>
          <cell r="Y81">
            <v>8748.91</v>
          </cell>
          <cell r="Z81">
            <v>8940.23</v>
          </cell>
          <cell r="AA81">
            <v>8786.2800000000007</v>
          </cell>
          <cell r="AB81">
            <v>8790.2099999999991</v>
          </cell>
          <cell r="AC81">
            <v>9013.17</v>
          </cell>
          <cell r="AD81">
            <v>8678.2000000000007</v>
          </cell>
          <cell r="AE81">
            <v>8764.75</v>
          </cell>
          <cell r="AF81">
            <v>8986.31</v>
          </cell>
          <cell r="AG81">
            <v>8711.15</v>
          </cell>
          <cell r="AH81">
            <v>8771.1</v>
          </cell>
          <cell r="AI81">
            <v>8665.94</v>
          </cell>
          <cell r="AJ81">
            <v>8776.91</v>
          </cell>
          <cell r="AK81">
            <v>8529.33</v>
          </cell>
          <cell r="AL81">
            <v>8756.01</v>
          </cell>
          <cell r="AM81">
            <v>9022.02</v>
          </cell>
          <cell r="AN81">
            <v>8832.94</v>
          </cell>
          <cell r="AO81">
            <v>8891</v>
          </cell>
          <cell r="AP81">
            <v>8885.61</v>
          </cell>
          <cell r="AQ81">
            <v>8946.18</v>
          </cell>
          <cell r="AR81">
            <v>8705.07</v>
          </cell>
          <cell r="AS81">
            <v>9022.18</v>
          </cell>
          <cell r="AT81">
            <v>8858.73</v>
          </cell>
          <cell r="AU81">
            <v>8887.0499999999993</v>
          </cell>
          <cell r="AV81">
            <v>8952.18</v>
          </cell>
          <cell r="AW81">
            <v>8797.51</v>
          </cell>
          <cell r="AX81">
            <v>8506.02</v>
          </cell>
          <cell r="AY81">
            <v>8688.75</v>
          </cell>
          <cell r="AZ81">
            <v>8419.92</v>
          </cell>
          <cell r="BA81">
            <v>6971.87</v>
          </cell>
        </row>
        <row r="82">
          <cell r="A82" t="str">
            <v>V3000H40B30</v>
          </cell>
          <cell r="B82">
            <v>3000</v>
          </cell>
          <cell r="C82">
            <v>4000</v>
          </cell>
          <cell r="D82">
            <v>3000</v>
          </cell>
          <cell r="E82">
            <v>22</v>
          </cell>
          <cell r="F82">
            <v>4</v>
          </cell>
          <cell r="G82">
            <v>1</v>
          </cell>
          <cell r="H82">
            <v>350</v>
          </cell>
          <cell r="I82">
            <v>70</v>
          </cell>
          <cell r="J82">
            <v>3100.5</v>
          </cell>
          <cell r="K82" t="str">
            <v>Q-12001282</v>
          </cell>
          <cell r="L82" t="str">
            <v>\\hokukon-net2\hop\Program\01_MVPシステム_容量別組立図\.\01_余裕高0_0m\pdf\FB0_3000m3-MVP-4000-組-B3000_Q-12001282.pdf</v>
          </cell>
          <cell r="M82">
            <v>8479.06</v>
          </cell>
          <cell r="N82">
            <v>8559.58</v>
          </cell>
          <cell r="O82">
            <v>8385.49</v>
          </cell>
          <cell r="P82">
            <v>8388.18</v>
          </cell>
          <cell r="Q82">
            <v>8519.44</v>
          </cell>
          <cell r="R82">
            <v>8460.77</v>
          </cell>
          <cell r="S82">
            <v>8442.7000000000007</v>
          </cell>
          <cell r="T82">
            <v>8445.9599999999991</v>
          </cell>
          <cell r="U82">
            <v>8440.06</v>
          </cell>
          <cell r="V82">
            <v>8409.1</v>
          </cell>
          <cell r="W82">
            <v>8447.66</v>
          </cell>
          <cell r="X82">
            <v>8477.76</v>
          </cell>
          <cell r="Y82">
            <v>8481.74</v>
          </cell>
          <cell r="Z82">
            <v>8661.89</v>
          </cell>
          <cell r="AA82">
            <v>8513.82</v>
          </cell>
          <cell r="AB82">
            <v>8522.19</v>
          </cell>
          <cell r="AC82">
            <v>8737.67</v>
          </cell>
          <cell r="AD82">
            <v>8414.25</v>
          </cell>
          <cell r="AE82">
            <v>8496.61</v>
          </cell>
          <cell r="AF82">
            <v>8705.26</v>
          </cell>
          <cell r="AG82">
            <v>8435.77</v>
          </cell>
          <cell r="AH82">
            <v>8494.4599999999991</v>
          </cell>
          <cell r="AI82">
            <v>8392.57</v>
          </cell>
          <cell r="AJ82">
            <v>8499.76</v>
          </cell>
          <cell r="AK82">
            <v>8282.83</v>
          </cell>
          <cell r="AL82">
            <v>8503.4</v>
          </cell>
          <cell r="AM82">
            <v>8755.27</v>
          </cell>
          <cell r="AN82">
            <v>8574.83</v>
          </cell>
          <cell r="AO82">
            <v>8633.1</v>
          </cell>
          <cell r="AP82">
            <v>8626.34</v>
          </cell>
          <cell r="AQ82">
            <v>8684.57</v>
          </cell>
          <cell r="AR82">
            <v>8442.9500000000007</v>
          </cell>
          <cell r="AS82">
            <v>8744.4699999999993</v>
          </cell>
          <cell r="AT82">
            <v>8587.34</v>
          </cell>
          <cell r="AU82">
            <v>8613.23</v>
          </cell>
          <cell r="AV82">
            <v>8676.77</v>
          </cell>
          <cell r="AW82">
            <v>8527.0300000000007</v>
          </cell>
          <cell r="AX82">
            <v>8243.92</v>
          </cell>
          <cell r="AY82">
            <v>8422.69</v>
          </cell>
          <cell r="AZ82">
            <v>8163.04</v>
          </cell>
          <cell r="BA82">
            <v>6717.88</v>
          </cell>
        </row>
        <row r="83">
          <cell r="A83" t="str">
            <v>V3000H40B25</v>
          </cell>
          <cell r="B83">
            <v>3000</v>
          </cell>
          <cell r="C83">
            <v>4000</v>
          </cell>
          <cell r="D83">
            <v>2500</v>
          </cell>
          <cell r="E83">
            <v>24</v>
          </cell>
          <cell r="F83">
            <v>4</v>
          </cell>
          <cell r="G83">
            <v>1</v>
          </cell>
          <cell r="H83">
            <v>350</v>
          </cell>
          <cell r="I83">
            <v>70</v>
          </cell>
          <cell r="J83">
            <v>3078.5</v>
          </cell>
          <cell r="K83" t="str">
            <v>Q-12001281</v>
          </cell>
          <cell r="L83" t="str">
            <v>\\hokukon-net2\hop\Program\01_MVPシステム_容量別組立図\.\01_余裕高0_0m\pdf\FB0_3000m3-MVP-4000-組-B2500_Q-12001281.pdf</v>
          </cell>
          <cell r="M83">
            <v>8778.11</v>
          </cell>
          <cell r="N83">
            <v>8858.5</v>
          </cell>
          <cell r="O83">
            <v>8685.7800000000007</v>
          </cell>
          <cell r="P83">
            <v>8688.4699999999993</v>
          </cell>
          <cell r="Q83">
            <v>8818.09</v>
          </cell>
          <cell r="R83">
            <v>8759.44</v>
          </cell>
          <cell r="S83">
            <v>8740.7800000000007</v>
          </cell>
          <cell r="T83">
            <v>8744.02</v>
          </cell>
          <cell r="U83">
            <v>8741.5300000000007</v>
          </cell>
          <cell r="V83">
            <v>8710.17</v>
          </cell>
          <cell r="W83">
            <v>8748.9500000000007</v>
          </cell>
          <cell r="X83">
            <v>8780.2099999999991</v>
          </cell>
          <cell r="Y83">
            <v>8784.34</v>
          </cell>
          <cell r="Z83">
            <v>8965.25</v>
          </cell>
          <cell r="AA83">
            <v>8817.99</v>
          </cell>
          <cell r="AB83">
            <v>8824.9599999999991</v>
          </cell>
          <cell r="AC83">
            <v>9038.26</v>
          </cell>
          <cell r="AD83">
            <v>8713.92</v>
          </cell>
          <cell r="AE83">
            <v>8797.26</v>
          </cell>
          <cell r="AF83">
            <v>9006.16</v>
          </cell>
          <cell r="AG83">
            <v>8737.9</v>
          </cell>
          <cell r="AH83">
            <v>8796.59</v>
          </cell>
          <cell r="AI83">
            <v>8695.57</v>
          </cell>
          <cell r="AJ83">
            <v>8801.09</v>
          </cell>
          <cell r="AK83">
            <v>8585.48</v>
          </cell>
          <cell r="AL83">
            <v>8804.83</v>
          </cell>
          <cell r="AM83">
            <v>9056.39</v>
          </cell>
          <cell r="AN83">
            <v>8876.66</v>
          </cell>
          <cell r="AO83">
            <v>8933.7999999999993</v>
          </cell>
          <cell r="AP83">
            <v>8927.7800000000007</v>
          </cell>
          <cell r="AQ83">
            <v>8986.16</v>
          </cell>
          <cell r="AR83">
            <v>8741.26</v>
          </cell>
          <cell r="AS83">
            <v>9042.42</v>
          </cell>
          <cell r="AT83">
            <v>8887.2000000000007</v>
          </cell>
          <cell r="AU83">
            <v>8913.36</v>
          </cell>
          <cell r="AV83">
            <v>8975.33</v>
          </cell>
          <cell r="AW83">
            <v>8825.7900000000009</v>
          </cell>
          <cell r="AX83">
            <v>8544.43</v>
          </cell>
          <cell r="AY83">
            <v>8721.32</v>
          </cell>
          <cell r="AZ83">
            <v>8462.94</v>
          </cell>
          <cell r="BA83">
            <v>6979.32</v>
          </cell>
        </row>
        <row r="84">
          <cell r="A84" t="str">
            <v>V3000H40B20</v>
          </cell>
          <cell r="B84">
            <v>3000</v>
          </cell>
          <cell r="C84">
            <v>4000</v>
          </cell>
          <cell r="D84">
            <v>2000</v>
          </cell>
          <cell r="E84">
            <v>26</v>
          </cell>
          <cell r="F84">
            <v>4</v>
          </cell>
          <cell r="G84">
            <v>1</v>
          </cell>
          <cell r="H84">
            <v>350</v>
          </cell>
          <cell r="I84">
            <v>70</v>
          </cell>
          <cell r="J84">
            <v>3008.4</v>
          </cell>
          <cell r="K84" t="str">
            <v>Q-12001280</v>
          </cell>
          <cell r="L84" t="str">
            <v>\\hokukon-net2\hop\Program\01_MVPシステム_容量別組立図\.\01_余裕高0_0m\pdf\FB0_3000m3-MVP-4000-組-B2000_Q-12001280.pdf</v>
          </cell>
          <cell r="M84">
            <v>9018.85</v>
          </cell>
          <cell r="N84">
            <v>9098.02</v>
          </cell>
          <cell r="O84">
            <v>8929.16</v>
          </cell>
          <cell r="P84">
            <v>8931.81</v>
          </cell>
          <cell r="Q84">
            <v>9057.82</v>
          </cell>
          <cell r="R84">
            <v>9000.06</v>
          </cell>
          <cell r="S84">
            <v>8980.93</v>
          </cell>
          <cell r="T84">
            <v>8984.1299999999992</v>
          </cell>
          <cell r="U84">
            <v>8985.66</v>
          </cell>
          <cell r="V84">
            <v>8954.2999999999993</v>
          </cell>
          <cell r="W84">
            <v>8992.69</v>
          </cell>
          <cell r="X84">
            <v>9024.9</v>
          </cell>
          <cell r="Y84">
            <v>9029.2099999999991</v>
          </cell>
          <cell r="Z84">
            <v>9208.49</v>
          </cell>
          <cell r="AA84">
            <v>9064.0499999999993</v>
          </cell>
          <cell r="AB84">
            <v>9069.42</v>
          </cell>
          <cell r="AC84">
            <v>9277.2999999999993</v>
          </cell>
          <cell r="AD84">
            <v>8956.2099999999991</v>
          </cell>
          <cell r="AE84">
            <v>9039.5</v>
          </cell>
          <cell r="AF84">
            <v>9245.8700000000008</v>
          </cell>
          <cell r="AG84">
            <v>8982.67</v>
          </cell>
          <cell r="AH84">
            <v>9040.6</v>
          </cell>
          <cell r="AI84">
            <v>8941.92</v>
          </cell>
          <cell r="AJ84">
            <v>9044.2199999999993</v>
          </cell>
          <cell r="AK84">
            <v>8832.8700000000008</v>
          </cell>
          <cell r="AL84">
            <v>9047.9</v>
          </cell>
          <cell r="AM84">
            <v>9295.7900000000009</v>
          </cell>
          <cell r="AN84">
            <v>9119.27</v>
          </cell>
          <cell r="AO84">
            <v>9174.39</v>
          </cell>
          <cell r="AP84">
            <v>9169.31</v>
          </cell>
          <cell r="AQ84">
            <v>9227.0300000000007</v>
          </cell>
          <cell r="AR84">
            <v>8981.7900000000009</v>
          </cell>
          <cell r="AS84">
            <v>9278.39</v>
          </cell>
          <cell r="AT84">
            <v>9127.3799999999992</v>
          </cell>
          <cell r="AU84">
            <v>9153.3700000000008</v>
          </cell>
          <cell r="AV84">
            <v>9212.89</v>
          </cell>
          <cell r="AW84">
            <v>9065.56</v>
          </cell>
          <cell r="AX84">
            <v>8789.92</v>
          </cell>
          <cell r="AY84">
            <v>8962.34</v>
          </cell>
          <cell r="AZ84">
            <v>8708.82</v>
          </cell>
          <cell r="BA84">
            <v>7195.68</v>
          </cell>
        </row>
        <row r="85">
          <cell r="A85" t="str">
            <v>V3000H45B30</v>
          </cell>
          <cell r="B85">
            <v>3000</v>
          </cell>
          <cell r="C85">
            <v>4500</v>
          </cell>
          <cell r="D85">
            <v>3000</v>
          </cell>
          <cell r="E85">
            <v>19</v>
          </cell>
          <cell r="F85">
            <v>4</v>
          </cell>
          <cell r="G85">
            <v>1</v>
          </cell>
          <cell r="H85">
            <v>350</v>
          </cell>
          <cell r="I85">
            <v>70</v>
          </cell>
          <cell r="J85">
            <v>3031.2</v>
          </cell>
          <cell r="K85" t="str">
            <v>Q-12001283</v>
          </cell>
          <cell r="L85" t="str">
            <v>\\hokukon-net2\hop\Program\01_MVPシステム_容量別組立図\.\01_余裕高0_0m\pdf\FB0_3000m3-MVP-4500-組-B3000_Q-12001283.pdf</v>
          </cell>
          <cell r="M85">
            <v>7893.8</v>
          </cell>
          <cell r="N85">
            <v>7964.21</v>
          </cell>
          <cell r="O85">
            <v>7814.04</v>
          </cell>
          <cell r="P85">
            <v>7816.39</v>
          </cell>
          <cell r="Q85">
            <v>7928.36</v>
          </cell>
          <cell r="R85">
            <v>7876.35</v>
          </cell>
          <cell r="S85">
            <v>7859.05</v>
          </cell>
          <cell r="T85">
            <v>7861.9</v>
          </cell>
          <cell r="U85">
            <v>7864.99</v>
          </cell>
          <cell r="V85">
            <v>7837.43</v>
          </cell>
          <cell r="W85">
            <v>7871.24</v>
          </cell>
          <cell r="X85">
            <v>7900.3</v>
          </cell>
          <cell r="Y85">
            <v>7904.03</v>
          </cell>
          <cell r="Z85">
            <v>8063.78</v>
          </cell>
          <cell r="AA85">
            <v>7934.56</v>
          </cell>
          <cell r="AB85">
            <v>7939.84</v>
          </cell>
          <cell r="AC85">
            <v>8123.76</v>
          </cell>
          <cell r="AD85">
            <v>7837.14</v>
          </cell>
          <cell r="AE85">
            <v>7911.43</v>
          </cell>
          <cell r="AF85">
            <v>8095.71</v>
          </cell>
          <cell r="AG85">
            <v>7862.23</v>
          </cell>
          <cell r="AH85">
            <v>7913.53</v>
          </cell>
          <cell r="AI85">
            <v>7825.45</v>
          </cell>
          <cell r="AJ85">
            <v>7916.75</v>
          </cell>
          <cell r="AK85">
            <v>7728.1</v>
          </cell>
          <cell r="AL85">
            <v>7919.18</v>
          </cell>
          <cell r="AM85">
            <v>8140.12</v>
          </cell>
          <cell r="AN85">
            <v>7984.11</v>
          </cell>
          <cell r="AO85">
            <v>8033.09</v>
          </cell>
          <cell r="AP85">
            <v>8028.1</v>
          </cell>
          <cell r="AQ85">
            <v>8079.66</v>
          </cell>
          <cell r="AR85">
            <v>7860.03</v>
          </cell>
          <cell r="AS85">
            <v>8123.61</v>
          </cell>
          <cell r="AT85">
            <v>7990.01</v>
          </cell>
          <cell r="AU85">
            <v>8012.31</v>
          </cell>
          <cell r="AV85">
            <v>8066.1</v>
          </cell>
          <cell r="AW85">
            <v>7935</v>
          </cell>
          <cell r="AX85">
            <v>7689.05</v>
          </cell>
          <cell r="AY85">
            <v>7842.79</v>
          </cell>
          <cell r="AZ85">
            <v>7617.07</v>
          </cell>
          <cell r="BA85">
            <v>6271.04</v>
          </cell>
        </row>
        <row r="86">
          <cell r="A86" t="str">
            <v>V3000H45B25</v>
          </cell>
          <cell r="B86">
            <v>3000</v>
          </cell>
          <cell r="C86">
            <v>4500</v>
          </cell>
          <cell r="D86">
            <v>2500</v>
          </cell>
          <cell r="E86">
            <v>21</v>
          </cell>
          <cell r="F86">
            <v>4</v>
          </cell>
          <cell r="G86">
            <v>1</v>
          </cell>
          <cell r="H86">
            <v>350</v>
          </cell>
          <cell r="I86">
            <v>70</v>
          </cell>
          <cell r="J86">
            <v>3047.5</v>
          </cell>
          <cell r="K86" t="str">
            <v>Q-12001282</v>
          </cell>
          <cell r="L86" t="str">
            <v>\\hokukon-net2\hop\Program\01_MVPシステム_容量別組立図\.\01_余裕高0_0m\pdf\FB0_3000m3-MVP-4500-組-B2500_Q-12001282.pdf</v>
          </cell>
          <cell r="M86">
            <v>8251.4699999999993</v>
          </cell>
          <cell r="N86">
            <v>8322.59</v>
          </cell>
          <cell r="O86">
            <v>8171.79</v>
          </cell>
          <cell r="P86">
            <v>8174.17</v>
          </cell>
          <cell r="Q86">
            <v>8286.14</v>
          </cell>
          <cell r="R86">
            <v>8233.59</v>
          </cell>
          <cell r="S86">
            <v>8215.64</v>
          </cell>
          <cell r="T86">
            <v>8218.5</v>
          </cell>
          <cell r="U86">
            <v>8224.2199999999993</v>
          </cell>
          <cell r="V86">
            <v>8196.02</v>
          </cell>
          <cell r="W86">
            <v>8230.3799999999992</v>
          </cell>
          <cell r="X86">
            <v>8260.66</v>
          </cell>
          <cell r="Y86">
            <v>8264.57</v>
          </cell>
          <cell r="Z86">
            <v>8426.68</v>
          </cell>
          <cell r="AA86">
            <v>8296.7000000000007</v>
          </cell>
          <cell r="AB86">
            <v>8300.89</v>
          </cell>
          <cell r="AC86">
            <v>8485.2099999999991</v>
          </cell>
          <cell r="AD86">
            <v>8194.74</v>
          </cell>
          <cell r="AE86">
            <v>8270.6200000000008</v>
          </cell>
          <cell r="AF86">
            <v>8457.11</v>
          </cell>
          <cell r="AG86">
            <v>8221.9599999999991</v>
          </cell>
          <cell r="AH86">
            <v>8273.82</v>
          </cell>
          <cell r="AI86">
            <v>8185.47</v>
          </cell>
          <cell r="AJ86">
            <v>8276.4699999999993</v>
          </cell>
          <cell r="AK86">
            <v>8086.77</v>
          </cell>
          <cell r="AL86">
            <v>8279.0400000000009</v>
          </cell>
          <cell r="AM86">
            <v>8502.17</v>
          </cell>
          <cell r="AN86">
            <v>8344.92</v>
          </cell>
          <cell r="AO86">
            <v>8393.59</v>
          </cell>
          <cell r="AP86">
            <v>8389.11</v>
          </cell>
          <cell r="AQ86">
            <v>8441.39</v>
          </cell>
          <cell r="AR86">
            <v>8216.7900000000009</v>
          </cell>
          <cell r="AS86">
            <v>8483.07</v>
          </cell>
          <cell r="AT86">
            <v>8349.4</v>
          </cell>
          <cell r="AU86">
            <v>8372.2199999999993</v>
          </cell>
          <cell r="AV86">
            <v>8425.35</v>
          </cell>
          <cell r="AW86">
            <v>8292.93</v>
          </cell>
          <cell r="AX86">
            <v>8045.67</v>
          </cell>
          <cell r="AY86">
            <v>8199.59</v>
          </cell>
          <cell r="AZ86">
            <v>7972.38</v>
          </cell>
          <cell r="BA86">
            <v>6574.76</v>
          </cell>
        </row>
        <row r="87">
          <cell r="A87" t="str">
            <v>V3000H45B20</v>
          </cell>
          <cell r="B87">
            <v>3000</v>
          </cell>
          <cell r="C87">
            <v>4500</v>
          </cell>
          <cell r="D87">
            <v>2000</v>
          </cell>
          <cell r="E87">
            <v>23</v>
          </cell>
          <cell r="F87">
            <v>4</v>
          </cell>
          <cell r="G87">
            <v>1</v>
          </cell>
          <cell r="H87">
            <v>350</v>
          </cell>
          <cell r="I87">
            <v>70</v>
          </cell>
          <cell r="J87">
            <v>3009.7</v>
          </cell>
          <cell r="K87" t="str">
            <v>Q-12001281</v>
          </cell>
          <cell r="L87" t="str">
            <v>\\hokukon-net2\hop\Program\01_MVPシステム_容量別組立図\.\01_余裕高0_0m\pdf\FB0_3000m3-MVP-4500-組-B2000_Q-12001281.pdf</v>
          </cell>
          <cell r="M87">
            <v>8563.01</v>
          </cell>
          <cell r="N87">
            <v>8633.7000000000007</v>
          </cell>
          <cell r="O87">
            <v>8484.99</v>
          </cell>
          <cell r="P87">
            <v>8487.35</v>
          </cell>
          <cell r="Q87">
            <v>8597.07</v>
          </cell>
          <cell r="R87">
            <v>8544.68</v>
          </cell>
          <cell r="S87">
            <v>8526.08</v>
          </cell>
          <cell r="T87">
            <v>8528.93</v>
          </cell>
          <cell r="U87">
            <v>8538.59</v>
          </cell>
          <cell r="V87">
            <v>8510.08</v>
          </cell>
          <cell r="W87">
            <v>8544.58</v>
          </cell>
          <cell r="X87">
            <v>8576.09</v>
          </cell>
          <cell r="Y87">
            <v>8580.17</v>
          </cell>
          <cell r="Z87">
            <v>8742.6</v>
          </cell>
          <cell r="AA87">
            <v>8613.94</v>
          </cell>
          <cell r="AB87">
            <v>8616.5499999999993</v>
          </cell>
          <cell r="AC87">
            <v>8797.67</v>
          </cell>
          <cell r="AD87">
            <v>8507.15</v>
          </cell>
          <cell r="AE87">
            <v>8583.8799999999992</v>
          </cell>
          <cell r="AF87">
            <v>8770.0300000000007</v>
          </cell>
          <cell r="AG87">
            <v>8537.15</v>
          </cell>
          <cell r="AH87">
            <v>8588.76</v>
          </cell>
          <cell r="AI87">
            <v>8501.73</v>
          </cell>
          <cell r="AJ87">
            <v>8590.56</v>
          </cell>
          <cell r="AK87">
            <v>8403.0300000000007</v>
          </cell>
          <cell r="AL87">
            <v>8593.1200000000008</v>
          </cell>
          <cell r="AM87">
            <v>8815.14</v>
          </cell>
          <cell r="AN87">
            <v>8659.34</v>
          </cell>
          <cell r="AO87">
            <v>8706.51</v>
          </cell>
          <cell r="AP87">
            <v>8702.8700000000008</v>
          </cell>
          <cell r="AQ87">
            <v>8755.17</v>
          </cell>
          <cell r="AR87">
            <v>8527.52</v>
          </cell>
          <cell r="AS87">
            <v>8792.42</v>
          </cell>
          <cell r="AT87">
            <v>8661.4599999999991</v>
          </cell>
          <cell r="AU87">
            <v>8684.44</v>
          </cell>
          <cell r="AV87">
            <v>8735.66</v>
          </cell>
          <cell r="AW87">
            <v>8603.9699999999993</v>
          </cell>
          <cell r="AX87">
            <v>8359.5499999999993</v>
          </cell>
          <cell r="AY87">
            <v>8510.75</v>
          </cell>
          <cell r="AZ87">
            <v>8285.7999999999993</v>
          </cell>
          <cell r="BA87">
            <v>6846.17</v>
          </cell>
        </row>
        <row r="88">
          <cell r="A88" t="str">
            <v>V5000H15B30</v>
          </cell>
          <cell r="B88">
            <v>5000</v>
          </cell>
          <cell r="C88">
            <v>1500</v>
          </cell>
          <cell r="D88">
            <v>3000</v>
          </cell>
          <cell r="E88">
            <v>50</v>
          </cell>
          <cell r="F88">
            <v>5</v>
          </cell>
          <cell r="G88">
            <v>3</v>
          </cell>
          <cell r="H88">
            <v>350</v>
          </cell>
          <cell r="I88">
            <v>50</v>
          </cell>
          <cell r="J88">
            <v>5040</v>
          </cell>
          <cell r="K88" t="str">
            <v>Q-11002916</v>
          </cell>
          <cell r="L88" t="str">
            <v>\\hokukon-net2\hop\Program\01_MVPシステム_容量別組立図\.\01_余裕高0_0m\pdf\FB0_5000m3-MVP-1500-組-B3000_Q-11002916.pdf</v>
          </cell>
          <cell r="M88">
            <v>20298.59</v>
          </cell>
          <cell r="N88">
            <v>20612.12</v>
          </cell>
          <cell r="O88">
            <v>19854.54</v>
          </cell>
          <cell r="P88">
            <v>19865.71</v>
          </cell>
          <cell r="Q88">
            <v>20466.46</v>
          </cell>
          <cell r="R88">
            <v>20226.27</v>
          </cell>
          <cell r="S88">
            <v>20181.099999999999</v>
          </cell>
          <cell r="T88">
            <v>20194.599999999999</v>
          </cell>
          <cell r="U88">
            <v>20000.669999999998</v>
          </cell>
          <cell r="V88">
            <v>19889.759999999998</v>
          </cell>
          <cell r="W88">
            <v>20049.400000000001</v>
          </cell>
          <cell r="X88">
            <v>20112.05</v>
          </cell>
          <cell r="Y88">
            <v>20119.36</v>
          </cell>
          <cell r="Z88">
            <v>20817.79</v>
          </cell>
          <cell r="AA88">
            <v>20203.14</v>
          </cell>
          <cell r="AB88">
            <v>20288.150000000001</v>
          </cell>
          <cell r="AC88">
            <v>21268.61</v>
          </cell>
          <cell r="AD88">
            <v>20038.669999999998</v>
          </cell>
          <cell r="AE88">
            <v>20323.96</v>
          </cell>
          <cell r="AF88">
            <v>21157.13</v>
          </cell>
          <cell r="AG88">
            <v>20001.21</v>
          </cell>
          <cell r="AH88">
            <v>20222.46</v>
          </cell>
          <cell r="AI88">
            <v>19786.73</v>
          </cell>
          <cell r="AJ88">
            <v>20290.14</v>
          </cell>
          <cell r="AK88">
            <v>19334.560000000001</v>
          </cell>
          <cell r="AL88">
            <v>20263.34</v>
          </cell>
          <cell r="AM88">
            <v>21295.22</v>
          </cell>
          <cell r="AN88">
            <v>20524.36</v>
          </cell>
          <cell r="AO88">
            <v>20808.82</v>
          </cell>
          <cell r="AP88">
            <v>20747.650000000001</v>
          </cell>
          <cell r="AQ88">
            <v>20980.93</v>
          </cell>
          <cell r="AR88">
            <v>20179.009999999998</v>
          </cell>
          <cell r="AS88">
            <v>21428.49</v>
          </cell>
          <cell r="AT88">
            <v>20703.95</v>
          </cell>
          <cell r="AU88">
            <v>20813.03</v>
          </cell>
          <cell r="AV88">
            <v>21121.85</v>
          </cell>
          <cell r="AW88">
            <v>20526.32</v>
          </cell>
          <cell r="AX88">
            <v>19323.96</v>
          </cell>
          <cell r="AY88">
            <v>20108.150000000001</v>
          </cell>
          <cell r="AZ88">
            <v>19022.150000000001</v>
          </cell>
          <cell r="BA88">
            <v>15862.5</v>
          </cell>
        </row>
        <row r="89">
          <cell r="A89" t="str">
            <v>V5000H15B25</v>
          </cell>
          <cell r="B89">
            <v>5000</v>
          </cell>
          <cell r="C89">
            <v>1500</v>
          </cell>
          <cell r="D89">
            <v>2500</v>
          </cell>
          <cell r="E89">
            <v>46</v>
          </cell>
          <cell r="F89">
            <v>6</v>
          </cell>
          <cell r="G89">
            <v>3</v>
          </cell>
          <cell r="H89">
            <v>350</v>
          </cell>
          <cell r="I89">
            <v>50</v>
          </cell>
          <cell r="J89">
            <v>5067.2</v>
          </cell>
          <cell r="K89" t="str">
            <v>Q-11002915</v>
          </cell>
          <cell r="L89" t="str">
            <v>\\hokukon-net2\hop\Program\01_MVPシステム_容量別組立図\.\01_余裕高0_0m\pdf\FB0_5000m3-MVP-1500-組-B2500_Q-11002915.pdf</v>
          </cell>
          <cell r="M89">
            <v>20857.240000000002</v>
          </cell>
          <cell r="N89">
            <v>21173.5</v>
          </cell>
          <cell r="O89">
            <v>20412.650000000001</v>
          </cell>
          <cell r="P89">
            <v>20423.91</v>
          </cell>
          <cell r="Q89">
            <v>21025.77</v>
          </cell>
          <cell r="R89">
            <v>20783.38</v>
          </cell>
          <cell r="S89">
            <v>20736.060000000001</v>
          </cell>
          <cell r="T89">
            <v>20749.650000000001</v>
          </cell>
          <cell r="U89">
            <v>20564.52</v>
          </cell>
          <cell r="V89">
            <v>20451.5</v>
          </cell>
          <cell r="W89">
            <v>20612.73</v>
          </cell>
          <cell r="X89">
            <v>20679.490000000002</v>
          </cell>
          <cell r="Y89">
            <v>20687.439999999999</v>
          </cell>
          <cell r="Z89">
            <v>21394.42</v>
          </cell>
          <cell r="AA89">
            <v>20775.900000000001</v>
          </cell>
          <cell r="AB89">
            <v>20857.96</v>
          </cell>
          <cell r="AC89">
            <v>21841.52</v>
          </cell>
          <cell r="AD89">
            <v>20597.95</v>
          </cell>
          <cell r="AE89">
            <v>20888.66</v>
          </cell>
          <cell r="AF89">
            <v>21730.58</v>
          </cell>
          <cell r="AG89">
            <v>20568.14</v>
          </cell>
          <cell r="AH89">
            <v>20791.64</v>
          </cell>
          <cell r="AI89">
            <v>20353.830000000002</v>
          </cell>
          <cell r="AJ89">
            <v>20857.669999999998</v>
          </cell>
          <cell r="AK89">
            <v>19893.12</v>
          </cell>
          <cell r="AL89">
            <v>20827.580000000002</v>
          </cell>
          <cell r="AM89">
            <v>21868.63</v>
          </cell>
          <cell r="AN89">
            <v>21092.61</v>
          </cell>
          <cell r="AO89">
            <v>21376.57</v>
          </cell>
          <cell r="AP89">
            <v>21316.75</v>
          </cell>
          <cell r="AQ89">
            <v>21552.47</v>
          </cell>
          <cell r="AR89">
            <v>20736.419999999998</v>
          </cell>
          <cell r="AS89">
            <v>21996.44</v>
          </cell>
          <cell r="AT89">
            <v>21270.76</v>
          </cell>
          <cell r="AU89">
            <v>21381</v>
          </cell>
          <cell r="AV89">
            <v>21689.02</v>
          </cell>
          <cell r="AW89">
            <v>21088.92</v>
          </cell>
          <cell r="AX89">
            <v>19879.580000000002</v>
          </cell>
          <cell r="AY89">
            <v>20666.53</v>
          </cell>
          <cell r="AZ89">
            <v>19573.52</v>
          </cell>
          <cell r="BA89">
            <v>16401.36</v>
          </cell>
        </row>
        <row r="90">
          <cell r="A90" t="str">
            <v>V5000H15B20</v>
          </cell>
          <cell r="B90">
            <v>5000</v>
          </cell>
          <cell r="C90">
            <v>1500</v>
          </cell>
          <cell r="D90">
            <v>2000</v>
          </cell>
          <cell r="E90">
            <v>50</v>
          </cell>
          <cell r="F90">
            <v>6</v>
          </cell>
          <cell r="G90">
            <v>3</v>
          </cell>
          <cell r="H90">
            <v>350</v>
          </cell>
          <cell r="I90">
            <v>50</v>
          </cell>
          <cell r="J90">
            <v>5044.2</v>
          </cell>
          <cell r="K90" t="str">
            <v>Q-11002914</v>
          </cell>
          <cell r="L90" t="str">
            <v>\\hokukon-net2\hop\Program\01_MVPシステム_容量別組立図\.\01_余裕高0_0m\pdf\FB0_5000m3-MVP-1500-組-B2000_Q-11002914.pdf</v>
          </cell>
          <cell r="M90">
            <v>21267.95</v>
          </cell>
          <cell r="N90">
            <v>21584.12</v>
          </cell>
          <cell r="O90">
            <v>20825.57</v>
          </cell>
          <cell r="P90">
            <v>20836.830000000002</v>
          </cell>
          <cell r="Q90">
            <v>21435.5</v>
          </cell>
          <cell r="R90">
            <v>21192.86</v>
          </cell>
          <cell r="S90">
            <v>21143.9</v>
          </cell>
          <cell r="T90">
            <v>21157.51</v>
          </cell>
          <cell r="U90">
            <v>20981.32</v>
          </cell>
          <cell r="V90">
            <v>20867.04</v>
          </cell>
          <cell r="W90">
            <v>21029.03</v>
          </cell>
          <cell r="X90">
            <v>21098.98</v>
          </cell>
          <cell r="Y90">
            <v>21107.39</v>
          </cell>
          <cell r="Z90">
            <v>21817.56</v>
          </cell>
          <cell r="AA90">
            <v>21200.09</v>
          </cell>
          <cell r="AB90">
            <v>21278.54</v>
          </cell>
          <cell r="AC90">
            <v>22258.52</v>
          </cell>
          <cell r="AD90">
            <v>21011.69</v>
          </cell>
          <cell r="AE90">
            <v>21305.33</v>
          </cell>
          <cell r="AF90">
            <v>22149.51</v>
          </cell>
          <cell r="AG90">
            <v>20988.66</v>
          </cell>
          <cell r="AH90">
            <v>21212.37</v>
          </cell>
          <cell r="AI90">
            <v>20776.099999999999</v>
          </cell>
          <cell r="AJ90">
            <v>21276.71</v>
          </cell>
          <cell r="AK90">
            <v>20310.38</v>
          </cell>
          <cell r="AL90">
            <v>21243.18</v>
          </cell>
          <cell r="AM90">
            <v>22285.58</v>
          </cell>
          <cell r="AN90">
            <v>21509.89</v>
          </cell>
          <cell r="AO90">
            <v>21791.39</v>
          </cell>
          <cell r="AP90">
            <v>21733.25</v>
          </cell>
          <cell r="AQ90">
            <v>21969.77</v>
          </cell>
          <cell r="AR90">
            <v>21146.75</v>
          </cell>
          <cell r="AS90">
            <v>22408.1</v>
          </cell>
          <cell r="AT90">
            <v>21686.22</v>
          </cell>
          <cell r="AU90">
            <v>21797.19</v>
          </cell>
          <cell r="AV90">
            <v>22101.85</v>
          </cell>
          <cell r="AW90">
            <v>21502.04</v>
          </cell>
          <cell r="AX90">
            <v>20295.03</v>
          </cell>
          <cell r="AY90">
            <v>21078.53</v>
          </cell>
          <cell r="AZ90">
            <v>19987.03</v>
          </cell>
          <cell r="BA90">
            <v>16822.57</v>
          </cell>
        </row>
        <row r="91">
          <cell r="A91" t="str">
            <v>V5000H20B30</v>
          </cell>
          <cell r="B91">
            <v>5000</v>
          </cell>
          <cell r="C91">
            <v>2000</v>
          </cell>
          <cell r="D91">
            <v>3000</v>
          </cell>
          <cell r="E91">
            <v>46</v>
          </cell>
          <cell r="F91">
            <v>4</v>
          </cell>
          <cell r="G91">
            <v>3</v>
          </cell>
          <cell r="H91">
            <v>350</v>
          </cell>
          <cell r="I91">
            <v>50</v>
          </cell>
          <cell r="J91">
            <v>5096.3999999999996</v>
          </cell>
          <cell r="K91" t="str">
            <v>Q-11002919</v>
          </cell>
          <cell r="L91" t="str">
            <v>\\hokukon-net2\hop\Program\01_MVPシステム_容量別組立図\.\01_余裕高0_0m\pdf\FB0_5000m3-MVP-2000-組-B3000_Q-11002919.pdf</v>
          </cell>
          <cell r="M91">
            <v>16128.31</v>
          </cell>
          <cell r="N91">
            <v>16366.92</v>
          </cell>
          <cell r="O91">
            <v>15793.85</v>
          </cell>
          <cell r="P91">
            <v>15802.33</v>
          </cell>
          <cell r="Q91">
            <v>16255.09</v>
          </cell>
          <cell r="R91">
            <v>16073.05</v>
          </cell>
          <cell r="S91">
            <v>16037.71</v>
          </cell>
          <cell r="T91">
            <v>16047.95</v>
          </cell>
          <cell r="U91">
            <v>15907.88</v>
          </cell>
          <cell r="V91">
            <v>15823.06</v>
          </cell>
          <cell r="W91">
            <v>15943.93</v>
          </cell>
          <cell r="X91">
            <v>15993.91</v>
          </cell>
          <cell r="Y91">
            <v>15999.64</v>
          </cell>
          <cell r="Z91">
            <v>16530.830000000002</v>
          </cell>
          <cell r="AA91">
            <v>16064.49</v>
          </cell>
          <cell r="AB91">
            <v>16127.51</v>
          </cell>
          <cell r="AC91">
            <v>16867.52</v>
          </cell>
          <cell r="AD91">
            <v>15931.03</v>
          </cell>
          <cell r="AE91">
            <v>16149.65</v>
          </cell>
          <cell r="AF91">
            <v>16782.55</v>
          </cell>
          <cell r="AG91">
            <v>15908.18</v>
          </cell>
          <cell r="AH91">
            <v>16076.67</v>
          </cell>
          <cell r="AI91">
            <v>15746.72</v>
          </cell>
          <cell r="AJ91">
            <v>16126.49</v>
          </cell>
          <cell r="AK91">
            <v>15401.4</v>
          </cell>
          <cell r="AL91">
            <v>16105.72</v>
          </cell>
          <cell r="AM91">
            <v>16889.04</v>
          </cell>
          <cell r="AN91">
            <v>16305.54</v>
          </cell>
          <cell r="AO91">
            <v>16519.66</v>
          </cell>
          <cell r="AP91">
            <v>16474.419999999998</v>
          </cell>
          <cell r="AQ91">
            <v>16651.599999999999</v>
          </cell>
          <cell r="AR91">
            <v>16037.47</v>
          </cell>
          <cell r="AS91">
            <v>16984.73</v>
          </cell>
          <cell r="AT91">
            <v>16438.16</v>
          </cell>
          <cell r="AU91">
            <v>16520.259999999998</v>
          </cell>
          <cell r="AV91">
            <v>16753.12</v>
          </cell>
          <cell r="AW91">
            <v>16300.96</v>
          </cell>
          <cell r="AX91">
            <v>15389.68</v>
          </cell>
          <cell r="AY91">
            <v>15983.44</v>
          </cell>
          <cell r="AZ91">
            <v>15159.7</v>
          </cell>
          <cell r="BA91">
            <v>12618.1</v>
          </cell>
        </row>
        <row r="92">
          <cell r="A92" t="str">
            <v>V5000H20B25</v>
          </cell>
          <cell r="B92">
            <v>5000</v>
          </cell>
          <cell r="C92">
            <v>2000</v>
          </cell>
          <cell r="D92">
            <v>2500</v>
          </cell>
          <cell r="E92">
            <v>40</v>
          </cell>
          <cell r="F92">
            <v>5</v>
          </cell>
          <cell r="G92">
            <v>2</v>
          </cell>
          <cell r="H92">
            <v>350</v>
          </cell>
          <cell r="I92">
            <v>50</v>
          </cell>
          <cell r="J92">
            <v>5023.8999999999996</v>
          </cell>
          <cell r="K92" t="str">
            <v>Q-11002918</v>
          </cell>
          <cell r="L92" t="str">
            <v>\\hokukon-net2\hop\Program\01_MVPシステム_容量別組立図\.\01_余裕高0_0m\pdf\FB0_5000m3-MVP-2000-組-B2500_Q-11002918.pdf</v>
          </cell>
          <cell r="M92">
            <v>16253.71</v>
          </cell>
          <cell r="N92">
            <v>16489.57</v>
          </cell>
          <cell r="O92">
            <v>15925.92</v>
          </cell>
          <cell r="P92">
            <v>15934.28</v>
          </cell>
          <cell r="Q92">
            <v>16378.66</v>
          </cell>
          <cell r="R92">
            <v>16198.59</v>
          </cell>
          <cell r="S92">
            <v>16162.38</v>
          </cell>
          <cell r="T92">
            <v>16172.48</v>
          </cell>
          <cell r="U92">
            <v>16042.59</v>
          </cell>
          <cell r="V92">
            <v>15957.89</v>
          </cell>
          <cell r="W92">
            <v>16077.3</v>
          </cell>
          <cell r="X92">
            <v>16129.61</v>
          </cell>
          <cell r="Y92">
            <v>16135.86</v>
          </cell>
          <cell r="Z92">
            <v>16662.64</v>
          </cell>
          <cell r="AA92">
            <v>16202.92</v>
          </cell>
          <cell r="AB92">
            <v>16262.13</v>
          </cell>
          <cell r="AC92">
            <v>16989.05</v>
          </cell>
          <cell r="AD92">
            <v>16061.17</v>
          </cell>
          <cell r="AE92">
            <v>16279.44</v>
          </cell>
          <cell r="AF92">
            <v>16906.04</v>
          </cell>
          <cell r="AG92">
            <v>16044.93</v>
          </cell>
          <cell r="AH92">
            <v>16211.93</v>
          </cell>
          <cell r="AI92">
            <v>15887.05</v>
          </cell>
          <cell r="AJ92">
            <v>16259.23</v>
          </cell>
          <cell r="AK92">
            <v>15542.39</v>
          </cell>
          <cell r="AL92">
            <v>16236.48</v>
          </cell>
          <cell r="AM92">
            <v>17010.47</v>
          </cell>
          <cell r="AN92">
            <v>16435.22</v>
          </cell>
          <cell r="AO92">
            <v>16644.45</v>
          </cell>
          <cell r="AP92">
            <v>16601.259999999998</v>
          </cell>
          <cell r="AQ92">
            <v>16776.55</v>
          </cell>
          <cell r="AR92">
            <v>16164.05</v>
          </cell>
          <cell r="AS92">
            <v>17099.57</v>
          </cell>
          <cell r="AT92">
            <v>16563.740000000002</v>
          </cell>
          <cell r="AU92">
            <v>16644.939999999999</v>
          </cell>
          <cell r="AV92">
            <v>16872.400000000001</v>
          </cell>
          <cell r="AW92">
            <v>16426.03</v>
          </cell>
          <cell r="AX92">
            <v>15528.28</v>
          </cell>
          <cell r="AY92">
            <v>16111.85</v>
          </cell>
          <cell r="AZ92">
            <v>15299.81</v>
          </cell>
          <cell r="BA92">
            <v>12789.3</v>
          </cell>
        </row>
        <row r="93">
          <cell r="A93" t="str">
            <v>V5000H20B20</v>
          </cell>
          <cell r="B93">
            <v>5000</v>
          </cell>
          <cell r="C93">
            <v>2000</v>
          </cell>
          <cell r="D93">
            <v>2000</v>
          </cell>
          <cell r="E93">
            <v>44</v>
          </cell>
          <cell r="F93">
            <v>5</v>
          </cell>
          <cell r="G93">
            <v>2</v>
          </cell>
          <cell r="H93">
            <v>350</v>
          </cell>
          <cell r="I93">
            <v>50</v>
          </cell>
          <cell r="J93">
            <v>5069.8</v>
          </cell>
          <cell r="K93" t="str">
            <v>Q-11002917</v>
          </cell>
          <cell r="L93" t="str">
            <v>\\hokukon-net2\hop\Program\01_MVPシステム_容量別組立図\.\01_余裕高0_0m\pdf\FB0_5000m3-MVP-2000-組-B2000_Q-11002917.pdf</v>
          </cell>
          <cell r="M93">
            <v>16802.36</v>
          </cell>
          <cell r="N93">
            <v>17041.18</v>
          </cell>
          <cell r="O93">
            <v>16471.919999999998</v>
          </cell>
          <cell r="P93">
            <v>16480.400000000001</v>
          </cell>
          <cell r="Q93">
            <v>16928.22</v>
          </cell>
          <cell r="R93">
            <v>16745.66</v>
          </cell>
          <cell r="S93">
            <v>16707.79</v>
          </cell>
          <cell r="T93">
            <v>16718.03</v>
          </cell>
          <cell r="U93">
            <v>16592.900000000001</v>
          </cell>
          <cell r="V93">
            <v>16506.18</v>
          </cell>
          <cell r="W93">
            <v>16627.71</v>
          </cell>
          <cell r="X93">
            <v>16682.97</v>
          </cell>
          <cell r="Y93">
            <v>16689.63</v>
          </cell>
          <cell r="Z93">
            <v>17225.54</v>
          </cell>
          <cell r="AA93">
            <v>16760.62</v>
          </cell>
          <cell r="AB93">
            <v>16818.02</v>
          </cell>
          <cell r="AC93">
            <v>17551.79</v>
          </cell>
          <cell r="AD93">
            <v>16609.599999999999</v>
          </cell>
          <cell r="AE93">
            <v>16832.75</v>
          </cell>
          <cell r="AF93">
            <v>17469.09</v>
          </cell>
          <cell r="AG93">
            <v>16598.03</v>
          </cell>
          <cell r="AH93">
            <v>16767.28</v>
          </cell>
          <cell r="AI93">
            <v>16439.349999999999</v>
          </cell>
          <cell r="AJ93">
            <v>16813.990000000002</v>
          </cell>
          <cell r="AK93">
            <v>16086.58</v>
          </cell>
          <cell r="AL93">
            <v>16788.439999999999</v>
          </cell>
          <cell r="AM93">
            <v>17573.43</v>
          </cell>
          <cell r="AN93">
            <v>16990.96</v>
          </cell>
          <cell r="AO93">
            <v>17201.11</v>
          </cell>
          <cell r="AP93">
            <v>17395.240000000002</v>
          </cell>
          <cell r="AQ93">
            <v>17336.7</v>
          </cell>
          <cell r="AR93">
            <v>16711.310000000001</v>
          </cell>
          <cell r="AS93">
            <v>17659.900000000001</v>
          </cell>
          <cell r="AT93">
            <v>17119.87</v>
          </cell>
          <cell r="AU93">
            <v>17202.669999999998</v>
          </cell>
          <cell r="AV93">
            <v>17430.62</v>
          </cell>
          <cell r="AW93">
            <v>16978.71</v>
          </cell>
          <cell r="AX93">
            <v>16071.06</v>
          </cell>
          <cell r="AY93">
            <v>16659.62</v>
          </cell>
          <cell r="AZ93">
            <v>15838.21</v>
          </cell>
          <cell r="BA93">
            <v>13291.19</v>
          </cell>
        </row>
        <row r="94">
          <cell r="A94" t="str">
            <v>V5000H25B30</v>
          </cell>
          <cell r="B94">
            <v>5000</v>
          </cell>
          <cell r="C94">
            <v>2500</v>
          </cell>
          <cell r="D94">
            <v>3000</v>
          </cell>
          <cell r="E94">
            <v>41</v>
          </cell>
          <cell r="F94">
            <v>6</v>
          </cell>
          <cell r="G94">
            <v>2</v>
          </cell>
          <cell r="H94">
            <v>300</v>
          </cell>
          <cell r="I94">
            <v>50</v>
          </cell>
          <cell r="J94">
            <v>5102.2</v>
          </cell>
          <cell r="K94" t="str">
            <v>Q-11002922</v>
          </cell>
          <cell r="L94" t="str">
            <v>\\hokukon-net2\hop\Program\01_MVPシステム_容量別組立図\.\01_余裕高0_0m\pdf\FB0_5000m3-MVP-2500-組-B3000_Q-11002922.pdf</v>
          </cell>
          <cell r="M94">
            <v>15835.94</v>
          </cell>
          <cell r="N94">
            <v>16015.6</v>
          </cell>
          <cell r="O94">
            <v>15598.87</v>
          </cell>
          <cell r="P94">
            <v>15605.3</v>
          </cell>
          <cell r="Q94">
            <v>15931.44</v>
          </cell>
          <cell r="R94">
            <v>15795.8</v>
          </cell>
          <cell r="S94">
            <v>15762.32</v>
          </cell>
          <cell r="T94">
            <v>15770.08</v>
          </cell>
          <cell r="U94">
            <v>15716.85</v>
          </cell>
          <cell r="V94">
            <v>15646.73</v>
          </cell>
          <cell r="W94">
            <v>15740.76</v>
          </cell>
          <cell r="X94">
            <v>15799.08</v>
          </cell>
          <cell r="Y94">
            <v>15808.42</v>
          </cell>
          <cell r="Z94">
            <v>16220.91</v>
          </cell>
          <cell r="AA94">
            <v>15871.02</v>
          </cell>
          <cell r="AB94">
            <v>15901.07</v>
          </cell>
          <cell r="AC94">
            <v>16430.689999999999</v>
          </cell>
          <cell r="AD94">
            <v>15702.88</v>
          </cell>
          <cell r="AE94">
            <v>15877.45</v>
          </cell>
          <cell r="AF94">
            <v>16363.82</v>
          </cell>
          <cell r="AG94">
            <v>15729.26</v>
          </cell>
          <cell r="AH94">
            <v>15861.4</v>
          </cell>
          <cell r="AI94">
            <v>15615.94</v>
          </cell>
          <cell r="AJ94">
            <v>15887.93</v>
          </cell>
          <cell r="AK94">
            <v>15336.16</v>
          </cell>
          <cell r="AL94">
            <v>15854.61</v>
          </cell>
          <cell r="AM94">
            <v>16445.64</v>
          </cell>
          <cell r="AN94">
            <v>16012.25</v>
          </cell>
          <cell r="AO94">
            <v>16159.75</v>
          </cell>
          <cell r="AP94">
            <v>16138.69</v>
          </cell>
          <cell r="AQ94">
            <v>16270.29</v>
          </cell>
          <cell r="AR94">
            <v>15777.13</v>
          </cell>
          <cell r="AS94">
            <v>16489</v>
          </cell>
          <cell r="AT94">
            <v>16094.09</v>
          </cell>
          <cell r="AU94">
            <v>16156.35</v>
          </cell>
          <cell r="AV94">
            <v>16322</v>
          </cell>
          <cell r="AW94">
            <v>15973.86</v>
          </cell>
          <cell r="AX94">
            <v>15308.23</v>
          </cell>
          <cell r="AY94">
            <v>15735.74</v>
          </cell>
          <cell r="AZ94">
            <v>15123.01</v>
          </cell>
          <cell r="BA94">
            <v>12440.49</v>
          </cell>
        </row>
        <row r="95">
          <cell r="A95" t="str">
            <v>V5000H25B25</v>
          </cell>
          <cell r="B95">
            <v>5000</v>
          </cell>
          <cell r="C95">
            <v>2500</v>
          </cell>
          <cell r="D95">
            <v>2500</v>
          </cell>
          <cell r="E95">
            <v>39</v>
          </cell>
          <cell r="F95">
            <v>7</v>
          </cell>
          <cell r="G95">
            <v>2</v>
          </cell>
          <cell r="H95">
            <v>300</v>
          </cell>
          <cell r="I95">
            <v>50</v>
          </cell>
          <cell r="J95">
            <v>5097.3999999999996</v>
          </cell>
          <cell r="K95" t="str">
            <v>Q-11002921</v>
          </cell>
          <cell r="L95" t="str">
            <v>\\hokukon-net2\hop\Program\01_MVPシステム_容量別組立図\.\01_余裕高0_0m\pdf\FB0_5000m3-MVP-2500-組-B2500_Q-11002921.pdf</v>
          </cell>
          <cell r="M95">
            <v>16434.93</v>
          </cell>
          <cell r="N95">
            <v>16615.37</v>
          </cell>
          <cell r="O95">
            <v>16200.04</v>
          </cell>
          <cell r="P95">
            <v>16206.5</v>
          </cell>
          <cell r="Q95">
            <v>16530.13</v>
          </cell>
          <cell r="R95">
            <v>16394.03</v>
          </cell>
          <cell r="S95">
            <v>16358.68</v>
          </cell>
          <cell r="T95">
            <v>16366.46</v>
          </cell>
          <cell r="U95">
            <v>16322.89</v>
          </cell>
          <cell r="V95">
            <v>16251.39</v>
          </cell>
          <cell r="W95">
            <v>16346.19</v>
          </cell>
          <cell r="X95">
            <v>16408.189999999999</v>
          </cell>
          <cell r="Y95">
            <v>16417.88</v>
          </cell>
          <cell r="Z95">
            <v>16834.64</v>
          </cell>
          <cell r="AA95">
            <v>16484.53</v>
          </cell>
          <cell r="AB95">
            <v>16511.330000000002</v>
          </cell>
          <cell r="AC95">
            <v>17038.11</v>
          </cell>
          <cell r="AD95">
            <v>16303.92</v>
          </cell>
          <cell r="AE95">
            <v>16482.05</v>
          </cell>
          <cell r="AF95">
            <v>16972.2</v>
          </cell>
          <cell r="AG95">
            <v>16338.1</v>
          </cell>
          <cell r="AH95">
            <v>16471.48</v>
          </cell>
          <cell r="AI95">
            <v>16226.27</v>
          </cell>
          <cell r="AJ95">
            <v>16495.96</v>
          </cell>
          <cell r="AK95">
            <v>15940.76</v>
          </cell>
          <cell r="AL95">
            <v>16459.53</v>
          </cell>
          <cell r="AM95">
            <v>17053.39</v>
          </cell>
          <cell r="AN95">
            <v>16619.29</v>
          </cell>
          <cell r="AO95">
            <v>16764.75</v>
          </cell>
          <cell r="AP95">
            <v>16745.68</v>
          </cell>
          <cell r="AQ95">
            <v>16878.14</v>
          </cell>
          <cell r="AR95">
            <v>16375.84</v>
          </cell>
          <cell r="AS95">
            <v>17090.77</v>
          </cell>
          <cell r="AT95">
            <v>16698.84</v>
          </cell>
          <cell r="AU95">
            <v>16761.47</v>
          </cell>
          <cell r="AV95">
            <v>16924.73</v>
          </cell>
          <cell r="AW95">
            <v>16575.419999999998</v>
          </cell>
          <cell r="AX95">
            <v>15910.18</v>
          </cell>
          <cell r="AY95">
            <v>16335.72</v>
          </cell>
          <cell r="AZ95">
            <v>15722.23</v>
          </cell>
          <cell r="BA95">
            <v>12984.59</v>
          </cell>
        </row>
        <row r="96">
          <cell r="A96" t="str">
            <v>V5000H25B20</v>
          </cell>
          <cell r="B96">
            <v>5000</v>
          </cell>
          <cell r="C96">
            <v>2500</v>
          </cell>
          <cell r="D96">
            <v>2000</v>
          </cell>
          <cell r="E96">
            <v>43</v>
          </cell>
          <cell r="F96">
            <v>7</v>
          </cell>
          <cell r="G96">
            <v>2</v>
          </cell>
          <cell r="H96">
            <v>300</v>
          </cell>
          <cell r="I96">
            <v>50</v>
          </cell>
          <cell r="J96">
            <v>5038.6000000000004</v>
          </cell>
          <cell r="K96" t="str">
            <v>Q-11002920</v>
          </cell>
          <cell r="L96" t="str">
            <v>\\hokukon-net2\hop\Program\01_MVPシステム_容量別組立図\.\01_余裕高0_0m\pdf\FB0_5000m3-MVP-2500-組-B2000_Q-11002920.pdf</v>
          </cell>
          <cell r="M96">
            <v>16968.080000000002</v>
          </cell>
          <cell r="N96">
            <v>17147.310000000001</v>
          </cell>
          <cell r="O96">
            <v>16737.03</v>
          </cell>
          <cell r="P96">
            <v>16743.45</v>
          </cell>
          <cell r="Q96">
            <v>17061.84</v>
          </cell>
          <cell r="R96">
            <v>16926.39</v>
          </cell>
          <cell r="S96">
            <v>16889.48</v>
          </cell>
          <cell r="T96">
            <v>16897.23</v>
          </cell>
          <cell r="U96">
            <v>16863.2</v>
          </cell>
          <cell r="V96">
            <v>16790.82</v>
          </cell>
          <cell r="W96">
            <v>16886.02</v>
          </cell>
          <cell r="X96">
            <v>16950.93</v>
          </cell>
          <cell r="Y96">
            <v>16960.900000000001</v>
          </cell>
          <cell r="Z96">
            <v>17378.53</v>
          </cell>
          <cell r="AA96">
            <v>17031.59</v>
          </cell>
          <cell r="AB96">
            <v>17054.64</v>
          </cell>
          <cell r="AC96">
            <v>17574.46</v>
          </cell>
          <cell r="AD96">
            <v>16841</v>
          </cell>
          <cell r="AE96">
            <v>17021.060000000001</v>
          </cell>
          <cell r="AF96">
            <v>17510.78</v>
          </cell>
          <cell r="AG96">
            <v>16882.189999999999</v>
          </cell>
          <cell r="AH96">
            <v>17015.189999999999</v>
          </cell>
          <cell r="AI96">
            <v>16772.830000000002</v>
          </cell>
          <cell r="AJ96">
            <v>17037.73</v>
          </cell>
          <cell r="AK96">
            <v>16483.7</v>
          </cell>
          <cell r="AL96">
            <v>16997.82</v>
          </cell>
          <cell r="AM96">
            <v>17589.490000000002</v>
          </cell>
          <cell r="AN96">
            <v>17430.490000000002</v>
          </cell>
          <cell r="AO96">
            <v>17300.27</v>
          </cell>
          <cell r="AP96">
            <v>17283.29</v>
          </cell>
          <cell r="AQ96">
            <v>17415.650000000001</v>
          </cell>
          <cell r="AR96">
            <v>16909.009999999998</v>
          </cell>
          <cell r="AS96">
            <v>17621.32</v>
          </cell>
          <cell r="AT96">
            <v>17235.55</v>
          </cell>
          <cell r="AU96">
            <v>17298.48</v>
          </cell>
          <cell r="AV96">
            <v>17457.47</v>
          </cell>
          <cell r="AW96">
            <v>17110.349999999999</v>
          </cell>
          <cell r="AX96">
            <v>16451.689999999999</v>
          </cell>
          <cell r="AY96">
            <v>16870.98</v>
          </cell>
          <cell r="AZ96">
            <v>16262.53</v>
          </cell>
          <cell r="BA96">
            <v>13479.48</v>
          </cell>
        </row>
        <row r="97">
          <cell r="A97" t="str">
            <v>V5000H30B30</v>
          </cell>
          <cell r="B97">
            <v>5000</v>
          </cell>
          <cell r="C97">
            <v>3000</v>
          </cell>
          <cell r="D97">
            <v>3000</v>
          </cell>
          <cell r="E97">
            <v>34</v>
          </cell>
          <cell r="F97">
            <v>6</v>
          </cell>
          <cell r="G97">
            <v>2</v>
          </cell>
          <cell r="H97">
            <v>300</v>
          </cell>
          <cell r="I97">
            <v>50</v>
          </cell>
          <cell r="J97">
            <v>5114.8</v>
          </cell>
          <cell r="K97" t="str">
            <v>Q-11002925</v>
          </cell>
          <cell r="L97" t="str">
            <v>\\hokukon-net2\hop\Program\01_MVPシステム_容量別組立図\.\01_余裕高0_0m\pdf\FB0_5000m3-MVP-3000-組-B3000_Q-11002925.pdf</v>
          </cell>
          <cell r="M97">
            <v>14113.87</v>
          </cell>
          <cell r="N97">
            <v>14265.07</v>
          </cell>
          <cell r="O97">
            <v>13920.29</v>
          </cell>
          <cell r="P97">
            <v>13925.68</v>
          </cell>
          <cell r="Q97">
            <v>14191.9</v>
          </cell>
          <cell r="R97">
            <v>14076.68</v>
          </cell>
          <cell r="S97">
            <v>14045.52</v>
          </cell>
          <cell r="T97">
            <v>14052</v>
          </cell>
          <cell r="U97">
            <v>14026.58</v>
          </cell>
          <cell r="V97">
            <v>13965.57</v>
          </cell>
          <cell r="W97">
            <v>14043.43</v>
          </cell>
          <cell r="X97">
            <v>14098.83</v>
          </cell>
          <cell r="Y97">
            <v>14108.86</v>
          </cell>
          <cell r="Z97">
            <v>14458.74</v>
          </cell>
          <cell r="AA97">
            <v>14167.95</v>
          </cell>
          <cell r="AB97">
            <v>14185.9</v>
          </cell>
          <cell r="AC97">
            <v>14620.63</v>
          </cell>
          <cell r="AD97">
            <v>14006.37</v>
          </cell>
          <cell r="AE97">
            <v>14158.42</v>
          </cell>
          <cell r="AF97">
            <v>14567.78</v>
          </cell>
          <cell r="AG97">
            <v>14042.01</v>
          </cell>
          <cell r="AH97">
            <v>14151.7</v>
          </cell>
          <cell r="AI97">
            <v>13950.57</v>
          </cell>
          <cell r="AJ97">
            <v>14170.13</v>
          </cell>
          <cell r="AK97">
            <v>13708.82</v>
          </cell>
          <cell r="AL97">
            <v>14138.25</v>
          </cell>
          <cell r="AM97">
            <v>14634.43</v>
          </cell>
          <cell r="AN97">
            <v>14275.42</v>
          </cell>
          <cell r="AO97">
            <v>14393.27</v>
          </cell>
          <cell r="AP97">
            <v>14376.95</v>
          </cell>
          <cell r="AQ97">
            <v>14488.86</v>
          </cell>
          <cell r="AR97">
            <v>14062.92</v>
          </cell>
          <cell r="AS97">
            <v>14657.4</v>
          </cell>
          <cell r="AT97">
            <v>14336.14</v>
          </cell>
          <cell r="AU97">
            <v>14389.3</v>
          </cell>
          <cell r="AV97">
            <v>14520.92</v>
          </cell>
          <cell r="AW97">
            <v>14231.21</v>
          </cell>
          <cell r="AX97">
            <v>13677.57</v>
          </cell>
          <cell r="AY97">
            <v>14029.98</v>
          </cell>
          <cell r="AZ97">
            <v>13521.65</v>
          </cell>
          <cell r="BA97">
            <v>11133.96</v>
          </cell>
        </row>
        <row r="98">
          <cell r="A98" t="str">
            <v>V5000H30B25</v>
          </cell>
          <cell r="B98">
            <v>5000</v>
          </cell>
          <cell r="C98">
            <v>3000</v>
          </cell>
          <cell r="D98">
            <v>2500</v>
          </cell>
          <cell r="E98">
            <v>37</v>
          </cell>
          <cell r="F98">
            <v>6</v>
          </cell>
          <cell r="G98">
            <v>2</v>
          </cell>
          <cell r="H98">
            <v>300</v>
          </cell>
          <cell r="I98">
            <v>50</v>
          </cell>
          <cell r="J98">
            <v>5049.3</v>
          </cell>
          <cell r="K98" t="str">
            <v>Q-11002924</v>
          </cell>
          <cell r="L98" t="str">
            <v>\\hokukon-net2\hop\Program\01_MVPシステム_容量別組立図\.\01_余裕高0_0m\pdf\FB0_5000m3-MVP-3000-組-B2500_Q-11002924.pdf</v>
          </cell>
          <cell r="M98">
            <v>14470.63</v>
          </cell>
          <cell r="N98">
            <v>14620.46</v>
          </cell>
          <cell r="O98">
            <v>14280.52</v>
          </cell>
          <cell r="P98">
            <v>14285.85</v>
          </cell>
          <cell r="Q98">
            <v>14547.33</v>
          </cell>
          <cell r="R98">
            <v>14432.98</v>
          </cell>
          <cell r="S98">
            <v>14400.81</v>
          </cell>
          <cell r="T98">
            <v>14407.24</v>
          </cell>
          <cell r="U98">
            <v>14388.9</v>
          </cell>
          <cell r="V98">
            <v>14327.46</v>
          </cell>
          <cell r="W98">
            <v>14405.27</v>
          </cell>
          <cell r="X98">
            <v>14462.62</v>
          </cell>
          <cell r="Y98">
            <v>14472.82</v>
          </cell>
          <cell r="Z98">
            <v>14822.08</v>
          </cell>
          <cell r="AA98">
            <v>14534.6</v>
          </cell>
          <cell r="AB98">
            <v>14549.73</v>
          </cell>
          <cell r="AC98">
            <v>14977.88</v>
          </cell>
          <cell r="AD98">
            <v>14366.35</v>
          </cell>
          <cell r="AE98">
            <v>14519.26</v>
          </cell>
          <cell r="AF98">
            <v>14926.83</v>
          </cell>
          <cell r="AG98">
            <v>14406.94</v>
          </cell>
          <cell r="AH98">
            <v>14515.93</v>
          </cell>
          <cell r="AI98">
            <v>14317.62</v>
          </cell>
          <cell r="AJ98">
            <v>14532.91</v>
          </cell>
          <cell r="AK98">
            <v>14074.17</v>
          </cell>
          <cell r="AL98">
            <v>14498.68</v>
          </cell>
          <cell r="AM98">
            <v>14991.46</v>
          </cell>
          <cell r="AN98">
            <v>14635.8</v>
          </cell>
          <cell r="AO98">
            <v>14750.8</v>
          </cell>
          <cell r="AP98">
            <v>14735.98</v>
          </cell>
          <cell r="AQ98">
            <v>14847.46</v>
          </cell>
          <cell r="AR98">
            <v>14419.93</v>
          </cell>
          <cell r="AS98">
            <v>15010.25</v>
          </cell>
          <cell r="AT98">
            <v>14694.66</v>
          </cell>
          <cell r="AU98">
            <v>14747.84</v>
          </cell>
          <cell r="AV98">
            <v>14875.87</v>
          </cell>
          <cell r="AW98">
            <v>14588.82</v>
          </cell>
          <cell r="AX98">
            <v>14041.87</v>
          </cell>
          <cell r="AY98">
            <v>14388.54</v>
          </cell>
          <cell r="AZ98">
            <v>13885.7</v>
          </cell>
          <cell r="BA98">
            <v>11470.65</v>
          </cell>
        </row>
        <row r="99">
          <cell r="A99" t="str">
            <v>V5000H30B20</v>
          </cell>
          <cell r="B99">
            <v>5000</v>
          </cell>
          <cell r="C99">
            <v>3000</v>
          </cell>
          <cell r="D99">
            <v>2000</v>
          </cell>
          <cell r="E99">
            <v>41</v>
          </cell>
          <cell r="F99">
            <v>6</v>
          </cell>
          <cell r="G99">
            <v>2</v>
          </cell>
          <cell r="H99">
            <v>300</v>
          </cell>
          <cell r="I99">
            <v>50</v>
          </cell>
          <cell r="J99">
            <v>5023.3999999999996</v>
          </cell>
          <cell r="K99" t="str">
            <v>Q-11002923</v>
          </cell>
          <cell r="L99" t="str">
            <v>\\hokukon-net2\hop\Program\01_MVPシステム_容量別組立図\.\01_余裕高0_0m\pdf\FB0_5000m3-MVP-3000-組-B2000_Q-11002923.pdf</v>
          </cell>
          <cell r="M99">
            <v>15055.11</v>
          </cell>
          <cell r="N99">
            <v>15204.83</v>
          </cell>
          <cell r="O99">
            <v>14867.2</v>
          </cell>
          <cell r="P99">
            <v>14872.55</v>
          </cell>
          <cell r="Q99">
            <v>15130.91</v>
          </cell>
          <cell r="R99">
            <v>15016.21</v>
          </cell>
          <cell r="S99">
            <v>14982.37</v>
          </cell>
          <cell r="T99">
            <v>14988.81</v>
          </cell>
          <cell r="U99">
            <v>14979.36</v>
          </cell>
          <cell r="V99">
            <v>14916.68</v>
          </cell>
          <cell r="W99">
            <v>14995.26</v>
          </cell>
          <cell r="X99">
            <v>15055.75</v>
          </cell>
          <cell r="Y99">
            <v>15066.43</v>
          </cell>
          <cell r="Z99">
            <v>15418.86</v>
          </cell>
          <cell r="AA99">
            <v>15132.47</v>
          </cell>
          <cell r="AB99">
            <v>15144.03</v>
          </cell>
          <cell r="AC99">
            <v>15568.63</v>
          </cell>
          <cell r="AD99">
            <v>14953.83</v>
          </cell>
          <cell r="AE99">
            <v>15109.64</v>
          </cell>
          <cell r="AF99">
            <v>15519.5</v>
          </cell>
          <cell r="AG99">
            <v>15001.19</v>
          </cell>
          <cell r="AH99">
            <v>15110.38</v>
          </cell>
          <cell r="AI99">
            <v>14913.59</v>
          </cell>
          <cell r="AJ99">
            <v>15125.64</v>
          </cell>
          <cell r="AK99">
            <v>14665.14</v>
          </cell>
          <cell r="AL99">
            <v>15087.97</v>
          </cell>
          <cell r="AM99">
            <v>15582.13</v>
          </cell>
          <cell r="AN99">
            <v>15226.76</v>
          </cell>
          <cell r="AO99">
            <v>15339.31</v>
          </cell>
          <cell r="AP99">
            <v>15326.14</v>
          </cell>
          <cell r="AQ99">
            <v>15438.39</v>
          </cell>
          <cell r="AR99">
            <v>15003.98</v>
          </cell>
          <cell r="AS99">
            <v>15595.66</v>
          </cell>
          <cell r="AT99">
            <v>15283.83</v>
          </cell>
          <cell r="AU99">
            <v>15337.75</v>
          </cell>
          <cell r="AV99">
            <v>15462.46</v>
          </cell>
          <cell r="AW99">
            <v>15175.7</v>
          </cell>
          <cell r="AX99">
            <v>14631.05</v>
          </cell>
          <cell r="AY99">
            <v>14974.27</v>
          </cell>
          <cell r="AZ99">
            <v>14472.97</v>
          </cell>
          <cell r="BA99">
            <v>11995.5</v>
          </cell>
        </row>
        <row r="100">
          <cell r="A100" t="str">
            <v>V5000H35B30</v>
          </cell>
          <cell r="B100">
            <v>5000</v>
          </cell>
          <cell r="C100">
            <v>3500</v>
          </cell>
          <cell r="D100">
            <v>3000</v>
          </cell>
          <cell r="E100">
            <v>34</v>
          </cell>
          <cell r="F100">
            <v>5</v>
          </cell>
          <cell r="G100">
            <v>2</v>
          </cell>
          <cell r="H100">
            <v>300</v>
          </cell>
          <cell r="I100">
            <v>50</v>
          </cell>
          <cell r="J100">
            <v>5047.5</v>
          </cell>
          <cell r="K100" t="str">
            <v>Q-11002928</v>
          </cell>
          <cell r="L100" t="str">
            <v>\\hokukon-net2\hop\Program\01_MVPシステム_容量別組立図\.\01_余裕高0_0m\pdf\FB0_5000m3-MVP-3500-組-B3000_Q-11002928.pdf</v>
          </cell>
          <cell r="M100">
            <v>12611.76</v>
          </cell>
          <cell r="N100">
            <v>12740.62</v>
          </cell>
          <cell r="O100">
            <v>12449.37</v>
          </cell>
          <cell r="P100">
            <v>12453.92</v>
          </cell>
          <cell r="Q100">
            <v>12677.73</v>
          </cell>
          <cell r="R100">
            <v>12580.1</v>
          </cell>
          <cell r="S100">
            <v>12552.9</v>
          </cell>
          <cell r="T100">
            <v>12558.39</v>
          </cell>
          <cell r="U100">
            <v>12541.76</v>
          </cell>
          <cell r="V100">
            <v>12489.53</v>
          </cell>
          <cell r="W100">
            <v>12555.37</v>
          </cell>
          <cell r="X100">
            <v>12604.05</v>
          </cell>
          <cell r="Y100">
            <v>12612.73</v>
          </cell>
          <cell r="Z100">
            <v>12910.54</v>
          </cell>
          <cell r="AA100">
            <v>12664.07</v>
          </cell>
          <cell r="AB100">
            <v>12677.96</v>
          </cell>
          <cell r="AC100">
            <v>13044.06</v>
          </cell>
          <cell r="AD100">
            <v>12520.91</v>
          </cell>
          <cell r="AE100">
            <v>12651.24</v>
          </cell>
          <cell r="AF100">
            <v>12999.12</v>
          </cell>
          <cell r="AG100">
            <v>12554.86</v>
          </cell>
          <cell r="AH100">
            <v>12648.55</v>
          </cell>
          <cell r="AI100">
            <v>12478.26</v>
          </cell>
          <cell r="AJ100">
            <v>12662.87</v>
          </cell>
          <cell r="AK100">
            <v>12271.61</v>
          </cell>
          <cell r="AL100">
            <v>12635.41</v>
          </cell>
          <cell r="AM100">
            <v>13056.33</v>
          </cell>
          <cell r="AN100">
            <v>12752.9</v>
          </cell>
          <cell r="AO100">
            <v>12851.53</v>
          </cell>
          <cell r="AP100">
            <v>12838.61</v>
          </cell>
          <cell r="AQ100">
            <v>12933.68</v>
          </cell>
          <cell r="AR100">
            <v>12568.61</v>
          </cell>
          <cell r="AS100">
            <v>13072.41</v>
          </cell>
          <cell r="AT100">
            <v>12802</v>
          </cell>
          <cell r="AU100">
            <v>12846.98</v>
          </cell>
          <cell r="AV100">
            <v>12957.53</v>
          </cell>
          <cell r="AW100">
            <v>12711.6</v>
          </cell>
          <cell r="AX100">
            <v>12242.78</v>
          </cell>
          <cell r="AY100">
            <v>12540.63</v>
          </cell>
          <cell r="AZ100">
            <v>12110.01</v>
          </cell>
          <cell r="BA100">
            <v>9947.49</v>
          </cell>
        </row>
        <row r="101">
          <cell r="A101" t="str">
            <v>V5000H35B25</v>
          </cell>
          <cell r="B101">
            <v>5000</v>
          </cell>
          <cell r="C101">
            <v>3500</v>
          </cell>
          <cell r="D101">
            <v>2500</v>
          </cell>
          <cell r="E101">
            <v>32</v>
          </cell>
          <cell r="F101">
            <v>6</v>
          </cell>
          <cell r="G101">
            <v>2</v>
          </cell>
          <cell r="H101">
            <v>300</v>
          </cell>
          <cell r="I101">
            <v>50</v>
          </cell>
          <cell r="J101">
            <v>5125.1000000000004</v>
          </cell>
          <cell r="K101" t="str">
            <v>Q-11002927</v>
          </cell>
          <cell r="L101" t="str">
            <v>\\hokukon-net2\hop\Program\01_MVPシステム_容量別組立図\.\01_余裕高0_0m\pdf\FB0_5000m3-MVP-3500-組-B2500_Q-11002927.pdf</v>
          </cell>
          <cell r="M101">
            <v>13315.31</v>
          </cell>
          <cell r="N101">
            <v>13446.86</v>
          </cell>
          <cell r="O101">
            <v>13152.66</v>
          </cell>
          <cell r="P101">
            <v>13157.3</v>
          </cell>
          <cell r="Q101">
            <v>13381.83</v>
          </cell>
          <cell r="R101">
            <v>13282.05</v>
          </cell>
          <cell r="S101">
            <v>13252.68</v>
          </cell>
          <cell r="T101">
            <v>13258.28</v>
          </cell>
          <cell r="U101">
            <v>13250.84</v>
          </cell>
          <cell r="V101">
            <v>13196.51</v>
          </cell>
          <cell r="W101">
            <v>13263.76</v>
          </cell>
          <cell r="X101">
            <v>13316.69</v>
          </cell>
          <cell r="Y101">
            <v>13326.06</v>
          </cell>
          <cell r="Z101">
            <v>13632.05</v>
          </cell>
          <cell r="AA101">
            <v>13382.01</v>
          </cell>
          <cell r="AB101">
            <v>13392.81</v>
          </cell>
          <cell r="AC101">
            <v>13761.32</v>
          </cell>
          <cell r="AD101">
            <v>13224.91</v>
          </cell>
          <cell r="AE101">
            <v>13360.57</v>
          </cell>
          <cell r="AF101">
            <v>13716.8</v>
          </cell>
          <cell r="AG101">
            <v>13266.77</v>
          </cell>
          <cell r="AH101">
            <v>13362.66</v>
          </cell>
          <cell r="AI101">
            <v>13190.46</v>
          </cell>
          <cell r="AJ101">
            <v>13375.22</v>
          </cell>
          <cell r="AK101">
            <v>12975.54</v>
          </cell>
          <cell r="AL101">
            <v>13344.59</v>
          </cell>
          <cell r="AM101">
            <v>13774.17</v>
          </cell>
          <cell r="AN101">
            <v>13466.14</v>
          </cell>
          <cell r="AO101">
            <v>13564.02</v>
          </cell>
          <cell r="AP101">
            <v>13552.55</v>
          </cell>
          <cell r="AQ101">
            <v>13649.94</v>
          </cell>
          <cell r="AR101">
            <v>13270.87</v>
          </cell>
          <cell r="AS101">
            <v>13784.41</v>
          </cell>
          <cell r="AT101">
            <v>13513.24</v>
          </cell>
          <cell r="AU101">
            <v>13559.28</v>
          </cell>
          <cell r="AV101">
            <v>13668.94</v>
          </cell>
          <cell r="AW101">
            <v>13418.65</v>
          </cell>
          <cell r="AX101">
            <v>12943.39</v>
          </cell>
          <cell r="AY101">
            <v>13243.66</v>
          </cell>
          <cell r="AZ101">
            <v>12806.49</v>
          </cell>
          <cell r="BA101">
            <v>10557.91</v>
          </cell>
        </row>
        <row r="102">
          <cell r="A102" t="str">
            <v>V5000H35B20</v>
          </cell>
          <cell r="B102">
            <v>5000</v>
          </cell>
          <cell r="C102">
            <v>3500</v>
          </cell>
          <cell r="D102">
            <v>2000</v>
          </cell>
          <cell r="E102">
            <v>35</v>
          </cell>
          <cell r="F102">
            <v>6</v>
          </cell>
          <cell r="G102">
            <v>2</v>
          </cell>
          <cell r="H102">
            <v>300</v>
          </cell>
          <cell r="I102">
            <v>50</v>
          </cell>
          <cell r="J102">
            <v>5034.3999999999996</v>
          </cell>
          <cell r="K102" t="str">
            <v>Q-11002926</v>
          </cell>
          <cell r="L102" t="str">
            <v>\\hokukon-net2\hop\Program\01_MVPシステム_容量別組立図\.\01_余裕高0_0m\pdf\FB0_5000m3-MVP-3500-組-B2000_Q-11002926.pdf</v>
          </cell>
          <cell r="M102">
            <v>13687.18</v>
          </cell>
          <cell r="N102">
            <v>13816.98</v>
          </cell>
          <cell r="O102">
            <v>13528.57</v>
          </cell>
          <cell r="P102">
            <v>13533.16</v>
          </cell>
          <cell r="Q102">
            <v>13752.2</v>
          </cell>
          <cell r="R102">
            <v>13653.55</v>
          </cell>
          <cell r="S102">
            <v>13623.17</v>
          </cell>
          <cell r="T102">
            <v>13628.71</v>
          </cell>
          <cell r="U102">
            <v>13628.72</v>
          </cell>
          <cell r="V102">
            <v>13574.12</v>
          </cell>
          <cell r="W102">
            <v>13641.13</v>
          </cell>
          <cell r="X102">
            <v>13695.99</v>
          </cell>
          <cell r="Y102">
            <v>13705.54</v>
          </cell>
          <cell r="Z102">
            <v>14010.13</v>
          </cell>
          <cell r="AA102">
            <v>13764.14</v>
          </cell>
          <cell r="AB102">
            <v>13771.99</v>
          </cell>
          <cell r="AC102">
            <v>14132.7</v>
          </cell>
          <cell r="AD102">
            <v>13600.34</v>
          </cell>
          <cell r="AE102">
            <v>13736.62</v>
          </cell>
          <cell r="AF102">
            <v>14090.12</v>
          </cell>
          <cell r="AG102">
            <v>13647.34</v>
          </cell>
          <cell r="AH102">
            <v>13742.33</v>
          </cell>
          <cell r="AI102">
            <v>13573.44</v>
          </cell>
          <cell r="AJ102">
            <v>13753.26</v>
          </cell>
          <cell r="AK102">
            <v>13357.25</v>
          </cell>
          <cell r="AL102">
            <v>13720.29</v>
          </cell>
          <cell r="AM102">
            <v>14145.36</v>
          </cell>
          <cell r="AN102">
            <v>13841.54</v>
          </cell>
          <cell r="AO102">
            <v>13936.21</v>
          </cell>
          <cell r="AP102">
            <v>13926.34</v>
          </cell>
          <cell r="AQ102">
            <v>14023.03</v>
          </cell>
          <cell r="AR102">
            <v>13643.1</v>
          </cell>
          <cell r="AS102">
            <v>14151.12</v>
          </cell>
          <cell r="AT102">
            <v>13886.53</v>
          </cell>
          <cell r="AU102">
            <v>13932.46</v>
          </cell>
          <cell r="AV102">
            <v>14038.11</v>
          </cell>
          <cell r="AW102">
            <v>13791.16</v>
          </cell>
          <cell r="AX102">
            <v>13323.99</v>
          </cell>
          <cell r="AY102">
            <v>13617.59</v>
          </cell>
          <cell r="AZ102">
            <v>13187.19</v>
          </cell>
          <cell r="BA102">
            <v>10902.73</v>
          </cell>
        </row>
        <row r="103">
          <cell r="A103" t="str">
            <v>V5000H40B30</v>
          </cell>
          <cell r="B103">
            <v>5000</v>
          </cell>
          <cell r="C103">
            <v>4000</v>
          </cell>
          <cell r="D103">
            <v>3000</v>
          </cell>
          <cell r="E103">
            <v>29</v>
          </cell>
          <cell r="F103">
            <v>5</v>
          </cell>
          <cell r="G103">
            <v>2</v>
          </cell>
          <cell r="H103">
            <v>350</v>
          </cell>
          <cell r="I103">
            <v>70</v>
          </cell>
          <cell r="J103">
            <v>4986.1000000000004</v>
          </cell>
          <cell r="K103" t="str">
            <v>Q-11002931</v>
          </cell>
          <cell r="L103" t="str">
            <v>\\hokukon-net2\hop\Program\01_MVPシステム_容量別組立図\.\01_余裕高0_0m\pdf\FB0_5000m3-MVP-4000-組-B3000_Q-11002931.pdf</v>
          </cell>
          <cell r="M103">
            <v>13000.96</v>
          </cell>
          <cell r="N103">
            <v>13127.19</v>
          </cell>
          <cell r="O103">
            <v>12849.73</v>
          </cell>
          <cell r="P103">
            <v>12854</v>
          </cell>
          <cell r="Q103">
            <v>13065.04</v>
          </cell>
          <cell r="R103">
            <v>12972.41</v>
          </cell>
          <cell r="S103">
            <v>12945.57</v>
          </cell>
          <cell r="T103">
            <v>12950.72</v>
          </cell>
          <cell r="U103">
            <v>12930.53</v>
          </cell>
          <cell r="V103">
            <v>12882.59</v>
          </cell>
          <cell r="W103">
            <v>12943.93</v>
          </cell>
          <cell r="X103">
            <v>12987.61</v>
          </cell>
          <cell r="Y103">
            <v>12993.37</v>
          </cell>
          <cell r="Z103">
            <v>13275.41</v>
          </cell>
          <cell r="AA103">
            <v>13041.83</v>
          </cell>
          <cell r="AB103">
            <v>13057.71</v>
          </cell>
          <cell r="AC103">
            <v>13403.52</v>
          </cell>
          <cell r="AD103">
            <v>12898.45</v>
          </cell>
          <cell r="AE103">
            <v>13025.29</v>
          </cell>
          <cell r="AF103">
            <v>13353.08</v>
          </cell>
          <cell r="AG103">
            <v>12924.07</v>
          </cell>
          <cell r="AH103">
            <v>13015.48</v>
          </cell>
          <cell r="AI103">
            <v>12853.96</v>
          </cell>
          <cell r="AJ103">
            <v>13026.35</v>
          </cell>
          <cell r="AK103">
            <v>12683.33</v>
          </cell>
          <cell r="AL103">
            <v>13032.41</v>
          </cell>
          <cell r="AM103">
            <v>13429.45</v>
          </cell>
          <cell r="AN103">
            <v>13142.61</v>
          </cell>
          <cell r="AO103">
            <v>13237.21</v>
          </cell>
          <cell r="AP103">
            <v>13224.79</v>
          </cell>
          <cell r="AQ103">
            <v>13316.46</v>
          </cell>
          <cell r="AR103">
            <v>12944.27</v>
          </cell>
          <cell r="AS103">
            <v>13421.16</v>
          </cell>
          <cell r="AT103">
            <v>13168.24</v>
          </cell>
          <cell r="AU103">
            <v>13209.96</v>
          </cell>
          <cell r="AV103">
            <v>13312.34</v>
          </cell>
          <cell r="AW103">
            <v>13076.69</v>
          </cell>
          <cell r="AX103">
            <v>12628.29</v>
          </cell>
          <cell r="AY103">
            <v>12912.61</v>
          </cell>
          <cell r="AZ103">
            <v>12502.06</v>
          </cell>
          <cell r="BA103">
            <v>10264.69</v>
          </cell>
        </row>
        <row r="104">
          <cell r="A104" t="str">
            <v>V5000H40B25</v>
          </cell>
          <cell r="B104">
            <v>5000</v>
          </cell>
          <cell r="C104">
            <v>4000</v>
          </cell>
          <cell r="D104">
            <v>2500</v>
          </cell>
          <cell r="E104">
            <v>27</v>
          </cell>
          <cell r="F104">
            <v>6</v>
          </cell>
          <cell r="G104">
            <v>2</v>
          </cell>
          <cell r="H104">
            <v>350</v>
          </cell>
          <cell r="I104">
            <v>70</v>
          </cell>
          <cell r="J104">
            <v>5015.8999999999996</v>
          </cell>
          <cell r="K104" t="str">
            <v>Q-11002930</v>
          </cell>
          <cell r="L104" t="str">
            <v>\\hokukon-net2\hop\Program\01_MVPシステム_容量別組立図\.\01_余裕高0_0m\pdf\FB0_5000m3-MVP-4000-組-B2500_Q-11002930.pdf</v>
          </cell>
          <cell r="M104">
            <v>13670.2</v>
          </cell>
          <cell r="N104">
            <v>13798.46</v>
          </cell>
          <cell r="O104">
            <v>13520.44</v>
          </cell>
          <cell r="P104">
            <v>13524.75</v>
          </cell>
          <cell r="Q104">
            <v>13734.5</v>
          </cell>
          <cell r="R104">
            <v>13640.67</v>
          </cell>
          <cell r="S104">
            <v>13612</v>
          </cell>
          <cell r="T104">
            <v>13617.2</v>
          </cell>
          <cell r="U104">
            <v>13605.67</v>
          </cell>
          <cell r="V104">
            <v>13556.18</v>
          </cell>
          <cell r="W104">
            <v>13618.13</v>
          </cell>
          <cell r="X104">
            <v>13665.55</v>
          </cell>
          <cell r="Y104">
            <v>13671.87</v>
          </cell>
          <cell r="Z104">
            <v>13959.19</v>
          </cell>
          <cell r="AA104">
            <v>13724.17</v>
          </cell>
          <cell r="AB104">
            <v>13737.05</v>
          </cell>
          <cell r="AC104">
            <v>14081.8</v>
          </cell>
          <cell r="AD104">
            <v>13567.18</v>
          </cell>
          <cell r="AE104">
            <v>13698.37</v>
          </cell>
          <cell r="AF104">
            <v>14030.93</v>
          </cell>
          <cell r="AG104">
            <v>13599.87</v>
          </cell>
          <cell r="AH104">
            <v>13692.92</v>
          </cell>
          <cell r="AI104">
            <v>13530.86</v>
          </cell>
          <cell r="AJ104">
            <v>13701.71</v>
          </cell>
          <cell r="AK104">
            <v>13356.45</v>
          </cell>
          <cell r="AL104">
            <v>13707.97</v>
          </cell>
          <cell r="AM104">
            <v>14109.58</v>
          </cell>
          <cell r="AN104">
            <v>13820.89</v>
          </cell>
          <cell r="AO104">
            <v>13914.04</v>
          </cell>
          <cell r="AP104">
            <v>13903.31</v>
          </cell>
          <cell r="AQ104">
            <v>13996.28</v>
          </cell>
          <cell r="AR104">
            <v>13611.45</v>
          </cell>
          <cell r="AS104">
            <v>14093.35</v>
          </cell>
          <cell r="AT104">
            <v>13841.79</v>
          </cell>
          <cell r="AU104">
            <v>13884.26</v>
          </cell>
          <cell r="AV104">
            <v>13984.75</v>
          </cell>
          <cell r="AW104">
            <v>13746.34</v>
          </cell>
          <cell r="AX104">
            <v>13295.47</v>
          </cell>
          <cell r="AY104">
            <v>13579.88</v>
          </cell>
          <cell r="AZ104">
            <v>13166.28</v>
          </cell>
          <cell r="BA104">
            <v>10844.49</v>
          </cell>
        </row>
        <row r="105">
          <cell r="A105" t="str">
            <v>V5000H40B20</v>
          </cell>
          <cell r="B105">
            <v>5000</v>
          </cell>
          <cell r="C105">
            <v>4000</v>
          </cell>
          <cell r="D105">
            <v>2000</v>
          </cell>
          <cell r="E105">
            <v>30</v>
          </cell>
          <cell r="F105">
            <v>6</v>
          </cell>
          <cell r="G105">
            <v>2</v>
          </cell>
          <cell r="H105">
            <v>350</v>
          </cell>
          <cell r="I105">
            <v>70</v>
          </cell>
          <cell r="J105">
            <v>5008.3999999999996</v>
          </cell>
          <cell r="K105" t="str">
            <v>Q-11002929</v>
          </cell>
          <cell r="L105" t="str">
            <v>\\hokukon-net2\hop\Program\01_MVPシステム_容量別組立図\.\01_余裕高0_0m\pdf\FB0_5000m3-MVP-4000-組-B2000_Q-11002929.pdf</v>
          </cell>
          <cell r="M105">
            <v>14337.76</v>
          </cell>
          <cell r="N105">
            <v>14466.53</v>
          </cell>
          <cell r="O105">
            <v>14189.05</v>
          </cell>
          <cell r="P105">
            <v>14193.36</v>
          </cell>
          <cell r="Q105">
            <v>14401.81</v>
          </cell>
          <cell r="R105">
            <v>14307.51</v>
          </cell>
          <cell r="S105">
            <v>14277.63</v>
          </cell>
          <cell r="T105">
            <v>14282.86</v>
          </cell>
          <cell r="U105">
            <v>14276.82</v>
          </cell>
          <cell r="V105">
            <v>14226.38</v>
          </cell>
          <cell r="W105">
            <v>14289.06</v>
          </cell>
          <cell r="X105">
            <v>14338.65</v>
          </cell>
          <cell r="Y105">
            <v>14345.37</v>
          </cell>
          <cell r="Z105">
            <v>14635.74</v>
          </cell>
          <cell r="AA105">
            <v>14400.61</v>
          </cell>
          <cell r="AB105">
            <v>14411.28</v>
          </cell>
          <cell r="AC105">
            <v>14754.55</v>
          </cell>
          <cell r="AD105">
            <v>14235.31</v>
          </cell>
          <cell r="AE105">
            <v>14368.81</v>
          </cell>
          <cell r="AF105">
            <v>14703.85</v>
          </cell>
          <cell r="AG105">
            <v>14272.07</v>
          </cell>
          <cell r="AH105">
            <v>14365.68</v>
          </cell>
          <cell r="AI105">
            <v>14204.11</v>
          </cell>
          <cell r="AJ105">
            <v>14373.34</v>
          </cell>
          <cell r="AK105">
            <v>14028.11</v>
          </cell>
          <cell r="AL105">
            <v>14379.68</v>
          </cell>
          <cell r="AM105">
            <v>14783.33</v>
          </cell>
          <cell r="AN105">
            <v>14493.9</v>
          </cell>
          <cell r="AO105">
            <v>14585.78</v>
          </cell>
          <cell r="AP105">
            <v>14576.27</v>
          </cell>
          <cell r="AQ105">
            <v>14670.01</v>
          </cell>
          <cell r="AR105">
            <v>14277.49</v>
          </cell>
          <cell r="AS105">
            <v>14761.76</v>
          </cell>
          <cell r="AT105">
            <v>14511.73</v>
          </cell>
          <cell r="AU105">
            <v>14554.88</v>
          </cell>
          <cell r="AV105">
            <v>14653.45</v>
          </cell>
          <cell r="AW105">
            <v>14413.91</v>
          </cell>
          <cell r="AX105">
            <v>13963.26</v>
          </cell>
          <cell r="AY105">
            <v>14246.18</v>
          </cell>
          <cell r="AZ105">
            <v>13832.18</v>
          </cell>
          <cell r="BA105">
            <v>11414.6</v>
          </cell>
        </row>
        <row r="106">
          <cell r="A106" t="str">
            <v>V5000H45B30</v>
          </cell>
          <cell r="B106">
            <v>5000</v>
          </cell>
          <cell r="C106">
            <v>4500</v>
          </cell>
          <cell r="D106">
            <v>3000</v>
          </cell>
          <cell r="E106">
            <v>26</v>
          </cell>
          <cell r="F106">
            <v>5</v>
          </cell>
          <cell r="G106">
            <v>2</v>
          </cell>
          <cell r="H106">
            <v>350</v>
          </cell>
          <cell r="I106">
            <v>70</v>
          </cell>
          <cell r="J106">
            <v>5050.6000000000004</v>
          </cell>
          <cell r="K106" t="str">
            <v>Q-11002934</v>
          </cell>
          <cell r="L106" t="str">
            <v>\\hokukon-net2\hop\Program\01_MVPシステム_容量別組立図\.\01_余裕高0_0m\pdf\FB0_5000m3-MVP-4500-組-B3000_Q-11002934.pdf</v>
          </cell>
          <cell r="M106">
            <v>12433.35</v>
          </cell>
          <cell r="N106">
            <v>12546.92</v>
          </cell>
          <cell r="O106">
            <v>12299.03</v>
          </cell>
          <cell r="P106">
            <v>12302.88</v>
          </cell>
          <cell r="Q106">
            <v>12489.96</v>
          </cell>
          <cell r="R106">
            <v>12405.13</v>
          </cell>
          <cell r="S106">
            <v>12378.81</v>
          </cell>
          <cell r="T106">
            <v>12383.47</v>
          </cell>
          <cell r="U106">
            <v>12375.96</v>
          </cell>
          <cell r="V106">
            <v>12332.15</v>
          </cell>
          <cell r="W106">
            <v>12388.05</v>
          </cell>
          <cell r="X106">
            <v>12430.9</v>
          </cell>
          <cell r="Y106">
            <v>12436.39</v>
          </cell>
          <cell r="Z106">
            <v>12694.36</v>
          </cell>
          <cell r="AA106">
            <v>12483.69</v>
          </cell>
          <cell r="AB106">
            <v>12495.38</v>
          </cell>
          <cell r="AC106">
            <v>12801.86</v>
          </cell>
          <cell r="AD106">
            <v>12340.76</v>
          </cell>
          <cell r="AE106">
            <v>12458.23</v>
          </cell>
          <cell r="AF106">
            <v>12757.08</v>
          </cell>
          <cell r="AG106">
            <v>12372.07</v>
          </cell>
          <cell r="AH106">
            <v>12454.17</v>
          </cell>
          <cell r="AI106">
            <v>12309.83</v>
          </cell>
          <cell r="AJ106">
            <v>12462.44</v>
          </cell>
          <cell r="AK106">
            <v>12154.19</v>
          </cell>
          <cell r="AL106">
            <v>12466.64</v>
          </cell>
          <cell r="AM106">
            <v>12826.36</v>
          </cell>
          <cell r="AN106">
            <v>12569.71</v>
          </cell>
          <cell r="AO106">
            <v>12652.57</v>
          </cell>
          <cell r="AP106">
            <v>12642.36</v>
          </cell>
          <cell r="AQ106">
            <v>12726.26</v>
          </cell>
          <cell r="AR106">
            <v>12378.45</v>
          </cell>
          <cell r="AS106">
            <v>12809.46</v>
          </cell>
          <cell r="AT106">
            <v>12586.05</v>
          </cell>
          <cell r="AU106">
            <v>12623.37</v>
          </cell>
          <cell r="AV106">
            <v>12713.46</v>
          </cell>
          <cell r="AW106">
            <v>12500.49</v>
          </cell>
          <cell r="AX106">
            <v>12097.73</v>
          </cell>
          <cell r="AY106">
            <v>12350.81</v>
          </cell>
          <cell r="AZ106">
            <v>11981.94</v>
          </cell>
          <cell r="BA106">
            <v>9842.02</v>
          </cell>
        </row>
        <row r="107">
          <cell r="A107" t="str">
            <v>V5000H45B25</v>
          </cell>
          <cell r="B107">
            <v>5000</v>
          </cell>
          <cell r="C107">
            <v>4500</v>
          </cell>
          <cell r="D107">
            <v>2500</v>
          </cell>
          <cell r="E107">
            <v>29</v>
          </cell>
          <cell r="F107">
            <v>5</v>
          </cell>
          <cell r="G107">
            <v>2</v>
          </cell>
          <cell r="H107">
            <v>350</v>
          </cell>
          <cell r="I107">
            <v>70</v>
          </cell>
          <cell r="J107">
            <v>5118.8</v>
          </cell>
          <cell r="K107" t="str">
            <v>Q-11002933</v>
          </cell>
          <cell r="L107" t="str">
            <v>\\hokukon-net2\hop\Program\01_MVPシステム_容量別組立図\.\01_余裕高0_0m\pdf\FB0_5000m3-MVP-4500-組-B2500_Q-11002933.pdf</v>
          </cell>
          <cell r="M107">
            <v>13133.29</v>
          </cell>
          <cell r="N107">
            <v>13248.85</v>
          </cell>
          <cell r="O107">
            <v>12997.89</v>
          </cell>
          <cell r="P107">
            <v>13001.8</v>
          </cell>
          <cell r="Q107">
            <v>13190.49</v>
          </cell>
          <cell r="R107">
            <v>13104.07</v>
          </cell>
          <cell r="S107">
            <v>13076.46</v>
          </cell>
          <cell r="T107">
            <v>13081.18</v>
          </cell>
          <cell r="U107">
            <v>13077.77</v>
          </cell>
          <cell r="V107">
            <v>13032.6</v>
          </cell>
          <cell r="W107">
            <v>13089.93</v>
          </cell>
          <cell r="X107">
            <v>13135.07</v>
          </cell>
          <cell r="Y107">
            <v>13140.92</v>
          </cell>
          <cell r="Z107">
            <v>13404.94</v>
          </cell>
          <cell r="AA107">
            <v>13191.27</v>
          </cell>
          <cell r="AB107">
            <v>13201.28</v>
          </cell>
          <cell r="AC107">
            <v>13511.01</v>
          </cell>
          <cell r="AD107">
            <v>13039.83</v>
          </cell>
          <cell r="AE107">
            <v>13160.84</v>
          </cell>
          <cell r="AF107">
            <v>13465.79</v>
          </cell>
          <cell r="AG107">
            <v>13074.8</v>
          </cell>
          <cell r="AH107">
            <v>13158.44</v>
          </cell>
          <cell r="AI107">
            <v>13012.49</v>
          </cell>
          <cell r="AJ107">
            <v>13165.91</v>
          </cell>
          <cell r="AK107">
            <v>12853.49</v>
          </cell>
          <cell r="AL107">
            <v>13170.31</v>
          </cell>
          <cell r="AM107">
            <v>13536.61</v>
          </cell>
          <cell r="AN107">
            <v>13275.82</v>
          </cell>
          <cell r="AO107">
            <v>13358.79</v>
          </cell>
          <cell r="AP107">
            <v>13349.35</v>
          </cell>
          <cell r="AQ107">
            <v>13435.13</v>
          </cell>
          <cell r="AR107">
            <v>13076.35</v>
          </cell>
          <cell r="AS107">
            <v>13515.33</v>
          </cell>
          <cell r="AT107">
            <v>13289.99</v>
          </cell>
          <cell r="AU107">
            <v>13328.48</v>
          </cell>
          <cell r="AV107">
            <v>13418.23</v>
          </cell>
          <cell r="AW107">
            <v>13201.39</v>
          </cell>
          <cell r="AX107">
            <v>12793.22</v>
          </cell>
          <cell r="AY107">
            <v>13048.62</v>
          </cell>
          <cell r="AZ107">
            <v>12674.3</v>
          </cell>
          <cell r="BA107">
            <v>10428.61</v>
          </cell>
        </row>
        <row r="108">
          <cell r="A108" t="str">
            <v>V5000H45B20</v>
          </cell>
          <cell r="B108">
            <v>5000</v>
          </cell>
          <cell r="C108">
            <v>4500</v>
          </cell>
          <cell r="D108">
            <v>2000</v>
          </cell>
          <cell r="E108">
            <v>27</v>
          </cell>
          <cell r="F108">
            <v>6</v>
          </cell>
          <cell r="G108">
            <v>2</v>
          </cell>
          <cell r="H108">
            <v>350</v>
          </cell>
          <cell r="I108">
            <v>70</v>
          </cell>
          <cell r="J108">
            <v>5093.8</v>
          </cell>
          <cell r="K108" t="str">
            <v>Q-11002932</v>
          </cell>
          <cell r="L108" t="str">
            <v>\\hokukon-net2\hop\Program\01_MVPシステム_容量別組立図\.\01_余裕高0_0m\pdf\FB0_5000m3-MVP-4500-組-B2000_Q-11002932.pdf</v>
          </cell>
          <cell r="M108">
            <v>13786.7</v>
          </cell>
          <cell r="N108">
            <v>13902.98</v>
          </cell>
          <cell r="O108">
            <v>13654.71</v>
          </cell>
          <cell r="P108">
            <v>13658.62</v>
          </cell>
          <cell r="Q108">
            <v>13843.29</v>
          </cell>
          <cell r="R108">
            <v>13756.28</v>
          </cell>
          <cell r="S108">
            <v>13726.71</v>
          </cell>
          <cell r="T108">
            <v>13731.44</v>
          </cell>
          <cell r="U108">
            <v>13738.9</v>
          </cell>
          <cell r="V108">
            <v>13692.49</v>
          </cell>
          <cell r="W108">
            <v>13749.99</v>
          </cell>
          <cell r="X108">
            <v>13799.07</v>
          </cell>
          <cell r="Y108">
            <v>13805.52</v>
          </cell>
          <cell r="Z108">
            <v>14072.71</v>
          </cell>
          <cell r="AA108">
            <v>13860.04</v>
          </cell>
          <cell r="AB108">
            <v>13866.29</v>
          </cell>
          <cell r="AC108">
            <v>14170.52</v>
          </cell>
          <cell r="AD108">
            <v>13693.85</v>
          </cell>
          <cell r="AE108">
            <v>13818.54</v>
          </cell>
          <cell r="AF108">
            <v>14125.56</v>
          </cell>
          <cell r="AG108">
            <v>13737.11</v>
          </cell>
          <cell r="AH108">
            <v>13821.35</v>
          </cell>
          <cell r="AI108">
            <v>13676.83</v>
          </cell>
          <cell r="AJ108">
            <v>13826.34</v>
          </cell>
          <cell r="AK108">
            <v>13515.5</v>
          </cell>
          <cell r="AL108">
            <v>13830.71</v>
          </cell>
          <cell r="AM108">
            <v>14197.85</v>
          </cell>
          <cell r="AN108">
            <v>13938.43</v>
          </cell>
          <cell r="AO108">
            <v>14018.54</v>
          </cell>
          <cell r="AP108">
            <v>14011.14</v>
          </cell>
          <cell r="AQ108">
            <v>14097.57</v>
          </cell>
          <cell r="AR108">
            <v>13727.47</v>
          </cell>
          <cell r="AS108">
            <v>14166.9</v>
          </cell>
          <cell r="AT108">
            <v>13946.41</v>
          </cell>
          <cell r="AU108">
            <v>13985.2</v>
          </cell>
          <cell r="AV108">
            <v>14071.49</v>
          </cell>
          <cell r="AW108">
            <v>13854.22</v>
          </cell>
          <cell r="AX108">
            <v>13448.49</v>
          </cell>
          <cell r="AY108">
            <v>13700.38</v>
          </cell>
          <cell r="AZ108">
            <v>13327.49</v>
          </cell>
          <cell r="BA108">
            <v>11001.95</v>
          </cell>
        </row>
      </sheetData>
      <sheetData sheetId="5" refreshError="1">
        <row r="3">
          <cell r="B3" t="str">
            <v>容量</v>
          </cell>
          <cell r="C3" t="str">
            <v>規格高</v>
          </cell>
          <cell r="D3" t="str">
            <v>ふた幅</v>
          </cell>
          <cell r="E3" t="str">
            <v>列当り本体数</v>
          </cell>
          <cell r="F3" t="str">
            <v>ふた列数</v>
          </cell>
          <cell r="G3" t="str">
            <v>連通管数</v>
          </cell>
          <cell r="H3" t="str">
            <v>底版厚</v>
          </cell>
          <cell r="I3" t="str">
            <v>レッカー</v>
          </cell>
          <cell r="J3" t="str">
            <v>実容量m3</v>
          </cell>
          <cell r="K3" t="str">
            <v>新図番</v>
          </cell>
          <cell r="L3" t="str">
            <v>pdf</v>
          </cell>
          <cell r="M3" t="str">
            <v>青森</v>
          </cell>
          <cell r="N3" t="str">
            <v>岩手</v>
          </cell>
          <cell r="O3" t="str">
            <v>宮城</v>
          </cell>
          <cell r="P3" t="str">
            <v>宮城(豪雪地)</v>
          </cell>
          <cell r="Q3" t="str">
            <v>秋田</v>
          </cell>
          <cell r="R3" t="str">
            <v>山形</v>
          </cell>
          <cell r="S3" t="str">
            <v>福島</v>
          </cell>
          <cell r="T3" t="str">
            <v>福島(豪雪地)</v>
          </cell>
          <cell r="U3" t="str">
            <v>茨城</v>
          </cell>
          <cell r="V3" t="str">
            <v>栃木</v>
          </cell>
          <cell r="W3" t="str">
            <v>群馬</v>
          </cell>
          <cell r="X3" t="str">
            <v>埼玉</v>
          </cell>
          <cell r="Y3" t="str">
            <v>千葉</v>
          </cell>
          <cell r="Z3" t="str">
            <v>東京</v>
          </cell>
          <cell r="AA3" t="str">
            <v>神奈川</v>
          </cell>
          <cell r="AB3" t="str">
            <v>山梨</v>
          </cell>
          <cell r="AC3" t="str">
            <v>長野</v>
          </cell>
          <cell r="AD3" t="str">
            <v>新潟</v>
          </cell>
          <cell r="AE3" t="str">
            <v>富山</v>
          </cell>
          <cell r="AF3" t="str">
            <v>石川</v>
          </cell>
          <cell r="AG3" t="str">
            <v>岐阜</v>
          </cell>
          <cell r="AH3" t="str">
            <v>静岡</v>
          </cell>
          <cell r="AI3" t="str">
            <v>愛知</v>
          </cell>
          <cell r="AJ3" t="str">
            <v>三重</v>
          </cell>
          <cell r="AK3" t="str">
            <v>福井</v>
          </cell>
          <cell r="AL3" t="str">
            <v>滋賀</v>
          </cell>
          <cell r="AM3" t="str">
            <v>京都</v>
          </cell>
          <cell r="AN3" t="str">
            <v>大阪</v>
          </cell>
          <cell r="AO3" t="str">
            <v>兵庫</v>
          </cell>
          <cell r="AP3" t="str">
            <v>奈良</v>
          </cell>
          <cell r="AQ3" t="str">
            <v>和歌山</v>
          </cell>
          <cell r="AR3" t="str">
            <v>鳥取</v>
          </cell>
          <cell r="AS3" t="str">
            <v>島根</v>
          </cell>
          <cell r="AT3" t="str">
            <v>岡山</v>
          </cell>
          <cell r="AU3" t="str">
            <v>広島</v>
          </cell>
          <cell r="AV3" t="str">
            <v>山口</v>
          </cell>
          <cell r="AW3" t="str">
            <v>徳島</v>
          </cell>
          <cell r="AX3" t="str">
            <v>香川</v>
          </cell>
          <cell r="AY3" t="str">
            <v>愛媛</v>
          </cell>
          <cell r="AZ3" t="str">
            <v>高知</v>
          </cell>
        </row>
        <row r="4">
          <cell r="A4" t="str">
            <v>V0500H15B30</v>
          </cell>
          <cell r="B4">
            <v>500</v>
          </cell>
          <cell r="C4">
            <v>1500</v>
          </cell>
          <cell r="D4">
            <v>3000</v>
          </cell>
          <cell r="E4">
            <v>18</v>
          </cell>
          <cell r="F4">
            <v>2</v>
          </cell>
          <cell r="G4">
            <v>0</v>
          </cell>
          <cell r="H4">
            <v>350</v>
          </cell>
          <cell r="I4">
            <v>50</v>
          </cell>
          <cell r="J4">
            <v>518.1</v>
          </cell>
          <cell r="K4" t="str">
            <v>Q-11002937</v>
          </cell>
          <cell r="L4" t="str">
            <v>\\hokukon-net2\hop\Program\01_MVPシステム_容量別組立図\.\02_余裕高0_6m\pdf\FB600_0500m3-MVP-1500-組-B3000_Q-11002937.pdf</v>
          </cell>
          <cell r="M4">
            <v>3731.29</v>
          </cell>
          <cell r="N4">
            <v>3787.47</v>
          </cell>
          <cell r="O4">
            <v>3655.65</v>
          </cell>
          <cell r="P4">
            <v>3657.62</v>
          </cell>
          <cell r="Q4">
            <v>3760.27</v>
          </cell>
          <cell r="R4">
            <v>3718.07</v>
          </cell>
          <cell r="S4">
            <v>3708.7</v>
          </cell>
          <cell r="T4">
            <v>3711.08</v>
          </cell>
          <cell r="U4">
            <v>3685.47</v>
          </cell>
          <cell r="V4">
            <v>3665</v>
          </cell>
          <cell r="W4">
            <v>3692.89</v>
          </cell>
          <cell r="X4">
            <v>3707.11</v>
          </cell>
          <cell r="Y4">
            <v>3708.66</v>
          </cell>
          <cell r="Z4">
            <v>3833.85</v>
          </cell>
          <cell r="AA4">
            <v>3725.07</v>
          </cell>
          <cell r="AB4">
            <v>3738.15</v>
          </cell>
          <cell r="AC4">
            <v>3906.9</v>
          </cell>
          <cell r="AD4">
            <v>3685.37</v>
          </cell>
          <cell r="AE4">
            <v>3738.48</v>
          </cell>
          <cell r="AF4">
            <v>3886.93</v>
          </cell>
          <cell r="AG4">
            <v>3685.54</v>
          </cell>
          <cell r="AH4">
            <v>3725.51</v>
          </cell>
          <cell r="AI4">
            <v>3649.23</v>
          </cell>
          <cell r="AJ4">
            <v>3735.65</v>
          </cell>
          <cell r="AK4">
            <v>3566.41</v>
          </cell>
          <cell r="AL4">
            <v>3730.17</v>
          </cell>
          <cell r="AM4">
            <v>3913.24</v>
          </cell>
          <cell r="AN4">
            <v>3778.48</v>
          </cell>
          <cell r="AO4">
            <v>3826.66</v>
          </cell>
          <cell r="AP4">
            <v>3817.31</v>
          </cell>
          <cell r="AQ4">
            <v>3858.77</v>
          </cell>
          <cell r="AR4">
            <v>3710.12</v>
          </cell>
          <cell r="AS4">
            <v>3930.34</v>
          </cell>
          <cell r="AT4">
            <v>3805.88</v>
          </cell>
          <cell r="AU4">
            <v>3824.51</v>
          </cell>
          <cell r="AV4">
            <v>3877.38</v>
          </cell>
          <cell r="AW4">
            <v>3771.65</v>
          </cell>
          <cell r="AX4">
            <v>3560.05</v>
          </cell>
          <cell r="AY4">
            <v>3697.26</v>
          </cell>
          <cell r="AZ4">
            <v>3505.57</v>
          </cell>
          <cell r="BA4">
            <v>3505.57</v>
          </cell>
        </row>
        <row r="5">
          <cell r="A5" t="str">
            <v>V0500H15B25</v>
          </cell>
          <cell r="B5">
            <v>500</v>
          </cell>
          <cell r="C5">
            <v>1500</v>
          </cell>
          <cell r="D5">
            <v>2500</v>
          </cell>
          <cell r="E5">
            <v>19</v>
          </cell>
          <cell r="F5">
            <v>2</v>
          </cell>
          <cell r="G5">
            <v>0</v>
          </cell>
          <cell r="H5">
            <v>350</v>
          </cell>
          <cell r="I5">
            <v>50</v>
          </cell>
          <cell r="J5">
            <v>510.2</v>
          </cell>
          <cell r="K5" t="str">
            <v>Q-11002936</v>
          </cell>
          <cell r="L5" t="str">
            <v>\\hokukon-net2\hop\Program\01_MVPシステム_容量別組立図\.\02_余裕高0_6m\pdf\FB600_0500m3-MVP-1500-組-B2500_Q-11002936.pdf</v>
          </cell>
          <cell r="M5">
            <v>3734.86</v>
          </cell>
          <cell r="N5">
            <v>3790.34</v>
          </cell>
          <cell r="O5">
            <v>3660.5</v>
          </cell>
          <cell r="P5">
            <v>3662.46</v>
          </cell>
          <cell r="Q5">
            <v>3763.31</v>
          </cell>
          <cell r="R5">
            <v>3721.59</v>
          </cell>
          <cell r="S5">
            <v>3712.09</v>
          </cell>
          <cell r="T5">
            <v>3714.46</v>
          </cell>
          <cell r="U5">
            <v>3690.49</v>
          </cell>
          <cell r="V5">
            <v>3670.09</v>
          </cell>
          <cell r="W5">
            <v>3697.73</v>
          </cell>
          <cell r="X5">
            <v>3712.24</v>
          </cell>
          <cell r="Y5">
            <v>3713.83</v>
          </cell>
          <cell r="Z5">
            <v>3837.95</v>
          </cell>
          <cell r="AA5">
            <v>3730.65</v>
          </cell>
          <cell r="AB5">
            <v>3743.07</v>
          </cell>
          <cell r="AC5">
            <v>3909.15</v>
          </cell>
          <cell r="AD5">
            <v>3689.84</v>
          </cell>
          <cell r="AE5">
            <v>3742.75</v>
          </cell>
          <cell r="AF5">
            <v>3889.69</v>
          </cell>
          <cell r="AG5">
            <v>3691.04</v>
          </cell>
          <cell r="AH5">
            <v>3730.56</v>
          </cell>
          <cell r="AI5">
            <v>3655.43</v>
          </cell>
          <cell r="AJ5">
            <v>3740.32</v>
          </cell>
          <cell r="AK5">
            <v>3572.9</v>
          </cell>
          <cell r="AL5">
            <v>3734.45</v>
          </cell>
          <cell r="AM5">
            <v>3915.49</v>
          </cell>
          <cell r="AN5">
            <v>3782.44</v>
          </cell>
          <cell r="AO5">
            <v>3829.67</v>
          </cell>
          <cell r="AP5">
            <v>3820.68</v>
          </cell>
          <cell r="AQ5">
            <v>3861.75</v>
          </cell>
          <cell r="AR5">
            <v>3713.86</v>
          </cell>
          <cell r="AS5">
            <v>3931.55</v>
          </cell>
          <cell r="AT5">
            <v>3809.17</v>
          </cell>
          <cell r="AU5">
            <v>3827.63</v>
          </cell>
          <cell r="AV5">
            <v>3879.4</v>
          </cell>
          <cell r="AW5">
            <v>3774.99</v>
          </cell>
          <cell r="AX5">
            <v>3566.29</v>
          </cell>
          <cell r="AY5">
            <v>3701.34</v>
          </cell>
          <cell r="AZ5">
            <v>3512.2</v>
          </cell>
          <cell r="BA5">
            <v>3512.2</v>
          </cell>
        </row>
        <row r="6">
          <cell r="A6" t="str">
            <v>V0500H15B20</v>
          </cell>
          <cell r="B6">
            <v>500</v>
          </cell>
          <cell r="C6">
            <v>1500</v>
          </cell>
          <cell r="D6">
            <v>2000</v>
          </cell>
          <cell r="E6">
            <v>21</v>
          </cell>
          <cell r="F6">
            <v>2</v>
          </cell>
          <cell r="G6">
            <v>0</v>
          </cell>
          <cell r="H6">
            <v>350</v>
          </cell>
          <cell r="I6">
            <v>50</v>
          </cell>
          <cell r="J6">
            <v>522.79999999999995</v>
          </cell>
          <cell r="K6" t="str">
            <v>Q-11002935</v>
          </cell>
          <cell r="L6" t="str">
            <v>\\hokukon-net2\hop\Program\01_MVPシステム_容量別組立図\.\02_余裕高0_6m\pdf\FB600_0500m3-MVP-1500-組-B2000_Q-11002935.pdf</v>
          </cell>
          <cell r="M6">
            <v>3890.94</v>
          </cell>
          <cell r="N6">
            <v>3947.89</v>
          </cell>
          <cell r="O6">
            <v>3814.85</v>
          </cell>
          <cell r="P6">
            <v>3816.86</v>
          </cell>
          <cell r="Q6">
            <v>3919.98</v>
          </cell>
          <cell r="R6">
            <v>3877.12</v>
          </cell>
          <cell r="S6">
            <v>3867.12</v>
          </cell>
          <cell r="T6">
            <v>3869.54</v>
          </cell>
          <cell r="U6">
            <v>3846.12</v>
          </cell>
          <cell r="V6">
            <v>3824.99</v>
          </cell>
          <cell r="W6">
            <v>3853.51</v>
          </cell>
          <cell r="X6">
            <v>3868.83</v>
          </cell>
          <cell r="Y6">
            <v>3870.51</v>
          </cell>
          <cell r="Z6">
            <v>3998.42</v>
          </cell>
          <cell r="AA6">
            <v>3888.37</v>
          </cell>
          <cell r="AB6">
            <v>3900.64</v>
          </cell>
          <cell r="AC6">
            <v>4070.76</v>
          </cell>
          <cell r="AD6">
            <v>3845.1</v>
          </cell>
          <cell r="AE6">
            <v>3899.86</v>
          </cell>
          <cell r="AF6">
            <v>4051.07</v>
          </cell>
          <cell r="AG6">
            <v>3847.23</v>
          </cell>
          <cell r="AH6">
            <v>3887.83</v>
          </cell>
          <cell r="AI6">
            <v>3810.91</v>
          </cell>
          <cell r="AJ6">
            <v>3897.64</v>
          </cell>
          <cell r="AK6">
            <v>3725.45</v>
          </cell>
          <cell r="AL6">
            <v>3891.12</v>
          </cell>
          <cell r="AM6">
            <v>4077.26</v>
          </cell>
          <cell r="AN6">
            <v>3940.63</v>
          </cell>
          <cell r="AO6">
            <v>3988.83</v>
          </cell>
          <cell r="AP6">
            <v>3979.81</v>
          </cell>
          <cell r="AQ6">
            <v>4022.11</v>
          </cell>
          <cell r="AR6">
            <v>3869.27</v>
          </cell>
          <cell r="AS6">
            <v>4093.07</v>
          </cell>
          <cell r="AT6">
            <v>3967.86</v>
          </cell>
          <cell r="AU6">
            <v>3986.96</v>
          </cell>
          <cell r="AV6">
            <v>4039.63</v>
          </cell>
          <cell r="AW6">
            <v>3932.46</v>
          </cell>
          <cell r="AX6">
            <v>3718.43</v>
          </cell>
          <cell r="AY6">
            <v>3856.66</v>
          </cell>
          <cell r="AZ6">
            <v>3662.62</v>
          </cell>
          <cell r="BA6">
            <v>3662.62</v>
          </cell>
        </row>
        <row r="7">
          <cell r="A7" t="str">
            <v>V0500H20B30</v>
          </cell>
          <cell r="B7">
            <v>500</v>
          </cell>
          <cell r="C7">
            <v>2000</v>
          </cell>
          <cell r="D7">
            <v>3000</v>
          </cell>
          <cell r="E7">
            <v>19</v>
          </cell>
          <cell r="F7">
            <v>1</v>
          </cell>
          <cell r="G7">
            <v>0</v>
          </cell>
          <cell r="H7">
            <v>350</v>
          </cell>
          <cell r="I7">
            <v>50</v>
          </cell>
          <cell r="J7">
            <v>507.7</v>
          </cell>
          <cell r="K7" t="str">
            <v>Q-11002940</v>
          </cell>
          <cell r="L7" t="str">
            <v>\\hokukon-net2\hop\Program\01_MVPシステム_容量別組立図\.\02_余裕高0_6m\pdf\FB600_0500m3-MVP-2000-組-B3000_Q-11002940.pdf</v>
          </cell>
          <cell r="M7">
            <v>2599.64</v>
          </cell>
          <cell r="N7">
            <v>2636.45</v>
          </cell>
          <cell r="O7">
            <v>2551.08</v>
          </cell>
          <cell r="P7">
            <v>2552.37</v>
          </cell>
          <cell r="Q7">
            <v>2618.08</v>
          </cell>
          <cell r="R7">
            <v>2590.7199999999998</v>
          </cell>
          <cell r="S7">
            <v>2584.21</v>
          </cell>
          <cell r="T7">
            <v>2585.7600000000002</v>
          </cell>
          <cell r="U7">
            <v>2571.3000000000002</v>
          </cell>
          <cell r="V7">
            <v>2557.69</v>
          </cell>
          <cell r="W7">
            <v>2575.94</v>
          </cell>
          <cell r="X7">
            <v>2585.9899999999998</v>
          </cell>
          <cell r="Y7">
            <v>2586.96</v>
          </cell>
          <cell r="Z7">
            <v>2669.05</v>
          </cell>
          <cell r="AA7">
            <v>2598.14</v>
          </cell>
          <cell r="AB7">
            <v>2606.23</v>
          </cell>
          <cell r="AC7">
            <v>2715.03</v>
          </cell>
          <cell r="AD7">
            <v>2569.5300000000002</v>
          </cell>
          <cell r="AE7">
            <v>2604.98</v>
          </cell>
          <cell r="AF7">
            <v>2702.01</v>
          </cell>
          <cell r="AG7">
            <v>2571.42</v>
          </cell>
          <cell r="AH7">
            <v>2597.58</v>
          </cell>
          <cell r="AI7">
            <v>2548.1999999999998</v>
          </cell>
          <cell r="AJ7">
            <v>2603.83</v>
          </cell>
          <cell r="AK7">
            <v>2493.37</v>
          </cell>
          <cell r="AL7">
            <v>2600.0700000000002</v>
          </cell>
          <cell r="AM7">
            <v>2719.74</v>
          </cell>
          <cell r="AN7">
            <v>2632.24</v>
          </cell>
          <cell r="AO7">
            <v>2663.12</v>
          </cell>
          <cell r="AP7">
            <v>2657.4</v>
          </cell>
          <cell r="AQ7">
            <v>2684.59</v>
          </cell>
          <cell r="AR7">
            <v>2585.67</v>
          </cell>
          <cell r="AS7">
            <v>2729.16</v>
          </cell>
          <cell r="AT7">
            <v>2648.91</v>
          </cell>
          <cell r="AU7">
            <v>2660.89</v>
          </cell>
          <cell r="AV7">
            <v>2694.81</v>
          </cell>
          <cell r="AW7">
            <v>2625.8</v>
          </cell>
          <cell r="AX7">
            <v>2488.02</v>
          </cell>
          <cell r="AY7">
            <v>2577.11</v>
          </cell>
          <cell r="AZ7">
            <v>2452.12</v>
          </cell>
          <cell r="BA7">
            <v>2452.12</v>
          </cell>
        </row>
        <row r="8">
          <cell r="A8" t="str">
            <v>V0500H20B25</v>
          </cell>
          <cell r="B8">
            <v>500</v>
          </cell>
          <cell r="C8">
            <v>2000</v>
          </cell>
          <cell r="D8">
            <v>2500</v>
          </cell>
          <cell r="E8">
            <v>12</v>
          </cell>
          <cell r="F8">
            <v>2</v>
          </cell>
          <cell r="G8">
            <v>0</v>
          </cell>
          <cell r="H8">
            <v>350</v>
          </cell>
          <cell r="I8">
            <v>50</v>
          </cell>
          <cell r="J8">
            <v>512.5</v>
          </cell>
          <cell r="K8" t="str">
            <v>Q-11002939</v>
          </cell>
          <cell r="L8" t="str">
            <v>\\hokukon-net2\hop\Program\01_MVPシステム_容量別組立図\.\02_余裕高0_6m\pdf\FB600_0500m3-MVP-2000-組-B2500_Q-11002939.pdf</v>
          </cell>
          <cell r="M8">
            <v>2677.27</v>
          </cell>
          <cell r="N8">
            <v>2714.36</v>
          </cell>
          <cell r="O8">
            <v>2630.05</v>
          </cell>
          <cell r="P8">
            <v>2631.32</v>
          </cell>
          <cell r="Q8">
            <v>2695.79</v>
          </cell>
          <cell r="R8">
            <v>2668.34</v>
          </cell>
          <cell r="S8">
            <v>2661.33</v>
          </cell>
          <cell r="T8">
            <v>2662.88</v>
          </cell>
          <cell r="U8">
            <v>2652.09</v>
          </cell>
          <cell r="V8">
            <v>2638.21</v>
          </cell>
          <cell r="W8">
            <v>2656.09</v>
          </cell>
          <cell r="X8">
            <v>2667.43</v>
          </cell>
          <cell r="Y8">
            <v>2668.68</v>
          </cell>
          <cell r="Z8">
            <v>2751.28</v>
          </cell>
          <cell r="AA8">
            <v>2680.7</v>
          </cell>
          <cell r="AB8">
            <v>2687.71</v>
          </cell>
          <cell r="AC8">
            <v>2794.41</v>
          </cell>
          <cell r="AD8">
            <v>2647.61</v>
          </cell>
          <cell r="AE8">
            <v>2683.97</v>
          </cell>
          <cell r="AF8">
            <v>2781.32</v>
          </cell>
          <cell r="AG8">
            <v>2652.37</v>
          </cell>
          <cell r="AH8">
            <v>2678.89</v>
          </cell>
          <cell r="AI8">
            <v>2629.73</v>
          </cell>
          <cell r="AJ8">
            <v>2684.16</v>
          </cell>
          <cell r="AK8">
            <v>2573.87</v>
          </cell>
          <cell r="AL8">
            <v>2680</v>
          </cell>
          <cell r="AM8">
            <v>2799.41</v>
          </cell>
          <cell r="AN8">
            <v>2712.77</v>
          </cell>
          <cell r="AO8">
            <v>2742.7</v>
          </cell>
          <cell r="AP8">
            <v>2737.61</v>
          </cell>
          <cell r="AQ8">
            <v>2764.73</v>
          </cell>
          <cell r="AR8">
            <v>2663.32</v>
          </cell>
          <cell r="AS8">
            <v>2806.17</v>
          </cell>
          <cell r="AT8">
            <v>2727.83</v>
          </cell>
          <cell r="AU8">
            <v>2739.55</v>
          </cell>
          <cell r="AV8">
            <v>2772.7</v>
          </cell>
          <cell r="AW8">
            <v>2703.7</v>
          </cell>
          <cell r="AX8">
            <v>2566.92</v>
          </cell>
          <cell r="AY8">
            <v>2655.01</v>
          </cell>
          <cell r="AZ8">
            <v>2530.65</v>
          </cell>
          <cell r="BA8">
            <v>2530.65</v>
          </cell>
        </row>
        <row r="9">
          <cell r="A9" t="str">
            <v>V0500H20B20</v>
          </cell>
          <cell r="B9">
            <v>500</v>
          </cell>
          <cell r="C9">
            <v>2000</v>
          </cell>
          <cell r="D9">
            <v>2000</v>
          </cell>
          <cell r="E9">
            <v>13</v>
          </cell>
          <cell r="F9">
            <v>2</v>
          </cell>
          <cell r="G9">
            <v>0</v>
          </cell>
          <cell r="H9">
            <v>350</v>
          </cell>
          <cell r="I9">
            <v>50</v>
          </cell>
          <cell r="J9">
            <v>514.20000000000005</v>
          </cell>
          <cell r="K9" t="str">
            <v>Q-11002938</v>
          </cell>
          <cell r="L9" t="str">
            <v>\\hokukon-net2\hop\Program\01_MVPシステム_容量別組立図\.\02_余裕高0_6m\pdf\FB600_0500m3-MVP-2000-組-B2000_Q-11002938.pdf</v>
          </cell>
          <cell r="M9">
            <v>2729.11</v>
          </cell>
          <cell r="N9">
            <v>2766.37</v>
          </cell>
          <cell r="O9">
            <v>2681.85</v>
          </cell>
          <cell r="P9">
            <v>2683.14</v>
          </cell>
          <cell r="Q9">
            <v>2747.61</v>
          </cell>
          <cell r="R9">
            <v>2719.99</v>
          </cell>
          <cell r="S9">
            <v>2712.8</v>
          </cell>
          <cell r="T9">
            <v>2714.35</v>
          </cell>
          <cell r="U9">
            <v>2704.35</v>
          </cell>
          <cell r="V9">
            <v>2690.28</v>
          </cell>
          <cell r="W9">
            <v>2708.33</v>
          </cell>
          <cell r="X9">
            <v>2720.02</v>
          </cell>
          <cell r="Y9">
            <v>2721.3</v>
          </cell>
          <cell r="Z9">
            <v>2804.63</v>
          </cell>
          <cell r="AA9">
            <v>2733.8</v>
          </cell>
          <cell r="AB9">
            <v>2740.5</v>
          </cell>
          <cell r="AC9">
            <v>2847.42</v>
          </cell>
          <cell r="AD9">
            <v>2699.56</v>
          </cell>
          <cell r="AE9">
            <v>2736.39</v>
          </cell>
          <cell r="AF9">
            <v>2834.43</v>
          </cell>
          <cell r="AG9">
            <v>2704.97</v>
          </cell>
          <cell r="AH9">
            <v>2764.34</v>
          </cell>
          <cell r="AI9">
            <v>2682.4</v>
          </cell>
          <cell r="AJ9">
            <v>2736.79</v>
          </cell>
          <cell r="AK9">
            <v>2625.74</v>
          </cell>
          <cell r="AL9">
            <v>2732.29</v>
          </cell>
          <cell r="AM9">
            <v>2852.46</v>
          </cell>
          <cell r="AN9">
            <v>2765.39</v>
          </cell>
          <cell r="AO9">
            <v>2795.23</v>
          </cell>
          <cell r="AP9">
            <v>2790.27</v>
          </cell>
          <cell r="AQ9">
            <v>2817.61</v>
          </cell>
          <cell r="AR9">
            <v>2715.03</v>
          </cell>
          <cell r="AS9">
            <v>2858.76</v>
          </cell>
          <cell r="AT9">
            <v>2780.36</v>
          </cell>
          <cell r="AU9">
            <v>2792.21</v>
          </cell>
          <cell r="AV9">
            <v>2825.2</v>
          </cell>
          <cell r="AW9">
            <v>2755.89</v>
          </cell>
          <cell r="AX9">
            <v>2618.62</v>
          </cell>
          <cell r="AY9">
            <v>2706.84</v>
          </cell>
          <cell r="AZ9">
            <v>2581.98</v>
          </cell>
          <cell r="BA9">
            <v>2581.98</v>
          </cell>
        </row>
        <row r="10">
          <cell r="A10" t="str">
            <v>V0500H25B30</v>
          </cell>
          <cell r="B10">
            <v>500</v>
          </cell>
          <cell r="C10">
            <v>2500</v>
          </cell>
          <cell r="D10">
            <v>3000</v>
          </cell>
          <cell r="E10">
            <v>14</v>
          </cell>
          <cell r="F10">
            <v>2</v>
          </cell>
          <cell r="G10">
            <v>0</v>
          </cell>
          <cell r="H10">
            <v>300</v>
          </cell>
          <cell r="I10">
            <v>50</v>
          </cell>
          <cell r="J10">
            <v>520.4</v>
          </cell>
          <cell r="K10" t="str">
            <v>Q-11002943</v>
          </cell>
          <cell r="L10" t="str">
            <v>\\hokukon-net2\hop\Program\01_MVPシステム_容量別組立図\.\02_余裕高0_6m\pdf\FB600_0500m3-MVP-2500-組-B3000_Q-11002943.pdf</v>
          </cell>
          <cell r="M10">
            <v>2509.4499999999998</v>
          </cell>
          <cell r="N10">
            <v>2535.9499999999998</v>
          </cell>
          <cell r="O10">
            <v>2478.2800000000002</v>
          </cell>
          <cell r="P10">
            <v>2479.1999999999998</v>
          </cell>
          <cell r="Q10">
            <v>2522.5700000000002</v>
          </cell>
          <cell r="R10">
            <v>2503.2399999999998</v>
          </cell>
          <cell r="S10">
            <v>2497.02</v>
          </cell>
          <cell r="T10">
            <v>2498.13</v>
          </cell>
          <cell r="U10">
            <v>2499.6799999999998</v>
          </cell>
          <cell r="V10">
            <v>2488.69</v>
          </cell>
          <cell r="W10">
            <v>2501.86</v>
          </cell>
          <cell r="X10">
            <v>2513.5</v>
          </cell>
          <cell r="Y10">
            <v>2515.2800000000002</v>
          </cell>
          <cell r="Z10">
            <v>2576.48</v>
          </cell>
          <cell r="AA10">
            <v>2526.19</v>
          </cell>
          <cell r="AB10">
            <v>2528.14</v>
          </cell>
          <cell r="AC10">
            <v>2599.59</v>
          </cell>
          <cell r="AD10">
            <v>2491.1</v>
          </cell>
          <cell r="AE10">
            <v>2518.8200000000002</v>
          </cell>
          <cell r="AF10">
            <v>2589.96</v>
          </cell>
          <cell r="AG10">
            <v>2501.8000000000002</v>
          </cell>
          <cell r="AH10">
            <v>2521.62</v>
          </cell>
          <cell r="AI10">
            <v>2487.33</v>
          </cell>
          <cell r="AJ10">
            <v>2523.4299999999998</v>
          </cell>
          <cell r="AK10">
            <v>2444.04</v>
          </cell>
          <cell r="AL10">
            <v>2517.64</v>
          </cell>
          <cell r="AM10">
            <v>2603.16</v>
          </cell>
          <cell r="AN10">
            <v>2542.5100000000002</v>
          </cell>
          <cell r="AO10">
            <v>2561.38</v>
          </cell>
          <cell r="AP10">
            <v>2559.73</v>
          </cell>
          <cell r="AQ10">
            <v>2578.9499999999998</v>
          </cell>
          <cell r="AR10">
            <v>2501.27</v>
          </cell>
          <cell r="AS10">
            <v>2602.69</v>
          </cell>
          <cell r="AT10">
            <v>2550.0100000000002</v>
          </cell>
          <cell r="AU10">
            <v>2558.44</v>
          </cell>
          <cell r="AV10">
            <v>2580.13</v>
          </cell>
          <cell r="AW10">
            <v>2529.83</v>
          </cell>
          <cell r="AX10">
            <v>2435.4699999999998</v>
          </cell>
          <cell r="AY10">
            <v>2495.11</v>
          </cell>
          <cell r="AZ10">
            <v>2407.87</v>
          </cell>
          <cell r="BA10">
            <v>2407.87</v>
          </cell>
        </row>
        <row r="11">
          <cell r="A11" t="str">
            <v>V0500H25B25</v>
          </cell>
          <cell r="B11">
            <v>500</v>
          </cell>
          <cell r="C11">
            <v>2500</v>
          </cell>
          <cell r="D11">
            <v>2500</v>
          </cell>
          <cell r="E11">
            <v>15</v>
          </cell>
          <cell r="F11">
            <v>2</v>
          </cell>
          <cell r="G11">
            <v>0</v>
          </cell>
          <cell r="H11">
            <v>300</v>
          </cell>
          <cell r="I11">
            <v>50</v>
          </cell>
          <cell r="J11">
            <v>511.4</v>
          </cell>
          <cell r="K11" t="str">
            <v>Q-11002942</v>
          </cell>
          <cell r="L11" t="str">
            <v>\\hokukon-net2\hop\Program\01_MVPシステム_容量別組立図\.\02_余裕高0_6m\pdf\FB600_0500m3-MVP-2500-組-B2500_Q-11002942.pdf</v>
          </cell>
          <cell r="M11">
            <v>2544.0300000000002</v>
          </cell>
          <cell r="N11">
            <v>2570.16</v>
          </cell>
          <cell r="O11">
            <v>2513.63</v>
          </cell>
          <cell r="P11">
            <v>2514.5300000000002</v>
          </cell>
          <cell r="Q11">
            <v>2556.84</v>
          </cell>
          <cell r="R11">
            <v>2537.75</v>
          </cell>
          <cell r="S11">
            <v>2531.4</v>
          </cell>
          <cell r="T11">
            <v>2532.4899999999998</v>
          </cell>
          <cell r="U11">
            <v>2535.25</v>
          </cell>
          <cell r="V11">
            <v>2524.2399999999998</v>
          </cell>
          <cell r="W11">
            <v>2537.34</v>
          </cell>
          <cell r="X11">
            <v>2549.2399999999998</v>
          </cell>
          <cell r="Y11">
            <v>2551.0500000000002</v>
          </cell>
          <cell r="Z11">
            <v>2611.81</v>
          </cell>
          <cell r="AA11">
            <v>2562.36</v>
          </cell>
          <cell r="AB11">
            <v>2563.81</v>
          </cell>
          <cell r="AC11">
            <v>2633.73</v>
          </cell>
          <cell r="AD11">
            <v>2526.27</v>
          </cell>
          <cell r="AE11">
            <v>2554.02</v>
          </cell>
          <cell r="AF11">
            <v>2624.45</v>
          </cell>
          <cell r="AG11">
            <v>2537.79</v>
          </cell>
          <cell r="AH11">
            <v>2557.38</v>
          </cell>
          <cell r="AI11">
            <v>2523.7399999999998</v>
          </cell>
          <cell r="AJ11">
            <v>2558.92</v>
          </cell>
          <cell r="AK11">
            <v>2480.41</v>
          </cell>
          <cell r="AL11">
            <v>2552.79</v>
          </cell>
          <cell r="AM11">
            <v>2637.29</v>
          </cell>
          <cell r="AN11">
            <v>2577.54</v>
          </cell>
          <cell r="AO11">
            <v>2595.84</v>
          </cell>
          <cell r="AP11">
            <v>2594.4499999999998</v>
          </cell>
          <cell r="AQ11">
            <v>2613.4899999999998</v>
          </cell>
          <cell r="AR11">
            <v>2535.9</v>
          </cell>
          <cell r="AS11">
            <v>2636.08</v>
          </cell>
          <cell r="AT11">
            <v>2584.63</v>
          </cell>
          <cell r="AU11">
            <v>2593.02</v>
          </cell>
          <cell r="AV11">
            <v>2613.9899999999998</v>
          </cell>
          <cell r="AW11">
            <v>2564.4</v>
          </cell>
          <cell r="AX11">
            <v>2471.66</v>
          </cell>
          <cell r="AY11">
            <v>2530.0300000000002</v>
          </cell>
          <cell r="AZ11">
            <v>2444.16</v>
          </cell>
          <cell r="BA11">
            <v>2444.16</v>
          </cell>
        </row>
        <row r="12">
          <cell r="A12" t="str">
            <v>V0500H25B20</v>
          </cell>
          <cell r="B12">
            <v>500</v>
          </cell>
          <cell r="C12">
            <v>2500</v>
          </cell>
          <cell r="D12">
            <v>2000</v>
          </cell>
          <cell r="E12">
            <v>17</v>
          </cell>
          <cell r="F12">
            <v>2</v>
          </cell>
          <cell r="G12">
            <v>0</v>
          </cell>
          <cell r="H12">
            <v>300</v>
          </cell>
          <cell r="I12">
            <v>50</v>
          </cell>
          <cell r="J12">
            <v>526.4</v>
          </cell>
          <cell r="K12" t="str">
            <v>Q-11002941</v>
          </cell>
          <cell r="L12" t="str">
            <v>\\hokukon-net2\hop\Program\01_MVPシステム_容量別組立図\.\02_余裕高0_6m\pdf\FB600_0500m3-MVP-2500-組-B2000_Q-11002941.pdf</v>
          </cell>
          <cell r="M12">
            <v>2696.1</v>
          </cell>
          <cell r="N12">
            <v>2723.01</v>
          </cell>
          <cell r="O12">
            <v>2664.97</v>
          </cell>
          <cell r="P12">
            <v>2665.91</v>
          </cell>
          <cell r="Q12">
            <v>2709.16</v>
          </cell>
          <cell r="R12">
            <v>2689.43</v>
          </cell>
          <cell r="S12">
            <v>2682.65</v>
          </cell>
          <cell r="T12">
            <v>2683.78</v>
          </cell>
          <cell r="U12">
            <v>2687.73</v>
          </cell>
          <cell r="V12">
            <v>2676.19</v>
          </cell>
          <cell r="W12">
            <v>2689.83</v>
          </cell>
          <cell r="X12">
            <v>2702.5</v>
          </cell>
          <cell r="Y12">
            <v>2704.42</v>
          </cell>
          <cell r="Z12">
            <v>2767.53</v>
          </cell>
          <cell r="AA12">
            <v>2716.64</v>
          </cell>
          <cell r="AB12">
            <v>2717.7</v>
          </cell>
          <cell r="AC12">
            <v>2789.44</v>
          </cell>
          <cell r="AD12">
            <v>2678.15</v>
          </cell>
          <cell r="AE12">
            <v>2707.14</v>
          </cell>
          <cell r="AF12">
            <v>2780.13</v>
          </cell>
          <cell r="AG12">
            <v>2690.86</v>
          </cell>
          <cell r="AH12">
            <v>2711.08</v>
          </cell>
          <cell r="AI12">
            <v>2676.58</v>
          </cell>
          <cell r="AJ12">
            <v>2712.48</v>
          </cell>
          <cell r="AK12">
            <v>2631.2</v>
          </cell>
          <cell r="AL12">
            <v>2705.69</v>
          </cell>
          <cell r="AM12">
            <v>2793.08</v>
          </cell>
          <cell r="AN12">
            <v>2731.42</v>
          </cell>
          <cell r="AO12">
            <v>2749.99</v>
          </cell>
          <cell r="AP12">
            <v>2748.79</v>
          </cell>
          <cell r="AQ12">
            <v>2814.08</v>
          </cell>
          <cell r="AR12">
            <v>2687.62</v>
          </cell>
          <cell r="AS12">
            <v>2791.22</v>
          </cell>
          <cell r="AT12">
            <v>2738.57</v>
          </cell>
          <cell r="AU12">
            <v>2747.34</v>
          </cell>
          <cell r="AV12">
            <v>2768.54</v>
          </cell>
          <cell r="AW12">
            <v>2717.42</v>
          </cell>
          <cell r="AX12">
            <v>2622.02</v>
          </cell>
          <cell r="AY12">
            <v>2681.8</v>
          </cell>
          <cell r="AZ12">
            <v>2593.37</v>
          </cell>
          <cell r="BA12">
            <v>2593.37</v>
          </cell>
        </row>
        <row r="13">
          <cell r="A13" t="str">
            <v>V0500H30B30</v>
          </cell>
          <cell r="B13">
            <v>500</v>
          </cell>
          <cell r="C13">
            <v>3000</v>
          </cell>
          <cell r="D13">
            <v>3000</v>
          </cell>
          <cell r="E13">
            <v>11</v>
          </cell>
          <cell r="F13">
            <v>2</v>
          </cell>
          <cell r="G13">
            <v>0</v>
          </cell>
          <cell r="H13">
            <v>300</v>
          </cell>
          <cell r="I13">
            <v>50</v>
          </cell>
          <cell r="J13">
            <v>522.9</v>
          </cell>
          <cell r="K13" t="str">
            <v>Q-11002946</v>
          </cell>
          <cell r="L13" t="str">
            <v>\\hokukon-net2\hop\Program\01_MVPシステム_容量別組立図\.\02_余裕高0_6m\pdf\FB600_0500m3-MVP-3000-組-B3000_Q-11002946.pdf</v>
          </cell>
          <cell r="M13">
            <v>2220.34</v>
          </cell>
          <cell r="N13">
            <v>2242.09</v>
          </cell>
          <cell r="O13">
            <v>2196.4499999999998</v>
          </cell>
          <cell r="P13">
            <v>2197.19</v>
          </cell>
          <cell r="Q13">
            <v>2230.77</v>
          </cell>
          <cell r="R13">
            <v>2214.85</v>
          </cell>
          <cell r="S13">
            <v>2209.36</v>
          </cell>
          <cell r="T13">
            <v>2210.25</v>
          </cell>
          <cell r="U13">
            <v>2215.42</v>
          </cell>
          <cell r="V13">
            <v>2206.15</v>
          </cell>
          <cell r="W13">
            <v>2216.54</v>
          </cell>
          <cell r="X13">
            <v>2227.37</v>
          </cell>
          <cell r="Y13">
            <v>2229.1</v>
          </cell>
          <cell r="Z13">
            <v>2279.38</v>
          </cell>
          <cell r="AA13">
            <v>2238.87</v>
          </cell>
          <cell r="AB13">
            <v>2239.33</v>
          </cell>
          <cell r="AC13">
            <v>2295.0300000000002</v>
          </cell>
          <cell r="AD13">
            <v>2205.71</v>
          </cell>
          <cell r="AE13">
            <v>2229.1999999999998</v>
          </cell>
          <cell r="AF13">
            <v>2287.1799999999998</v>
          </cell>
          <cell r="AG13">
            <v>2217.17</v>
          </cell>
          <cell r="AH13">
            <v>2233.41</v>
          </cell>
          <cell r="AI13">
            <v>2206.0300000000002</v>
          </cell>
          <cell r="AJ13">
            <v>2234.0300000000002</v>
          </cell>
          <cell r="AK13">
            <v>2169.69</v>
          </cell>
          <cell r="AL13">
            <v>2228.48</v>
          </cell>
          <cell r="AM13">
            <v>2297.84</v>
          </cell>
          <cell r="AN13">
            <v>2249.5300000000002</v>
          </cell>
          <cell r="AO13">
            <v>2263.77</v>
          </cell>
          <cell r="AP13">
            <v>2262.9299999999998</v>
          </cell>
          <cell r="AQ13">
            <v>2278.64</v>
          </cell>
          <cell r="AR13">
            <v>2213.86</v>
          </cell>
          <cell r="AS13">
            <v>2295.6</v>
          </cell>
          <cell r="AT13">
            <v>2254.17</v>
          </cell>
          <cell r="AU13">
            <v>2260.89</v>
          </cell>
          <cell r="AV13">
            <v>2277.61</v>
          </cell>
          <cell r="AW13">
            <v>2236.7600000000002</v>
          </cell>
          <cell r="AX13">
            <v>2161.17</v>
          </cell>
          <cell r="AY13">
            <v>2208.4299999999998</v>
          </cell>
          <cell r="AZ13">
            <v>2138.31</v>
          </cell>
          <cell r="BA13">
            <v>2138.31</v>
          </cell>
        </row>
        <row r="14">
          <cell r="A14" t="str">
            <v>V0500H30B25</v>
          </cell>
          <cell r="B14">
            <v>500</v>
          </cell>
          <cell r="C14">
            <v>3000</v>
          </cell>
          <cell r="D14">
            <v>2500</v>
          </cell>
          <cell r="E14">
            <v>12</v>
          </cell>
          <cell r="F14">
            <v>2</v>
          </cell>
          <cell r="G14">
            <v>0</v>
          </cell>
          <cell r="H14">
            <v>300</v>
          </cell>
          <cell r="I14">
            <v>50</v>
          </cell>
          <cell r="J14">
            <v>522.20000000000005</v>
          </cell>
          <cell r="K14" t="str">
            <v>Q-11002945</v>
          </cell>
          <cell r="L14" t="str">
            <v>\\hokukon-net2\hop\Program\01_MVPシステム_容量別組立図\.\02_余裕高0_6m\pdf\FB600_0500m3-MVP-3000-組-B2500_Q-11002945.pdf</v>
          </cell>
          <cell r="M14">
            <v>2276.7399999999998</v>
          </cell>
          <cell r="N14">
            <v>2298.5</v>
          </cell>
          <cell r="O14">
            <v>2253.0300000000002</v>
          </cell>
          <cell r="P14">
            <v>2253.7800000000002</v>
          </cell>
          <cell r="Q14">
            <v>2287.14</v>
          </cell>
          <cell r="R14">
            <v>2271.1999999999998</v>
          </cell>
          <cell r="S14">
            <v>2265.5500000000002</v>
          </cell>
          <cell r="T14">
            <v>2266.4499999999998</v>
          </cell>
          <cell r="U14">
            <v>2272.3200000000002</v>
          </cell>
          <cell r="V14">
            <v>2262.96</v>
          </cell>
          <cell r="W14">
            <v>2273.4299999999998</v>
          </cell>
          <cell r="X14">
            <v>2284.5100000000002</v>
          </cell>
          <cell r="Y14">
            <v>2286.25</v>
          </cell>
          <cell r="Z14">
            <v>2336.85</v>
          </cell>
          <cell r="AA14">
            <v>2296.35</v>
          </cell>
          <cell r="AB14">
            <v>2296.5700000000002</v>
          </cell>
          <cell r="AC14">
            <v>2352.02</v>
          </cell>
          <cell r="AD14">
            <v>2262.31</v>
          </cell>
          <cell r="AE14">
            <v>2286.06</v>
          </cell>
          <cell r="AF14">
            <v>2344.3000000000002</v>
          </cell>
          <cell r="AG14">
            <v>2274.33</v>
          </cell>
          <cell r="AH14">
            <v>2290.63</v>
          </cell>
          <cell r="AI14">
            <v>2263.3000000000002</v>
          </cell>
          <cell r="AJ14">
            <v>2291.11</v>
          </cell>
          <cell r="AK14">
            <v>2226.5500000000002</v>
          </cell>
          <cell r="AL14">
            <v>2285.31</v>
          </cell>
          <cell r="AM14">
            <v>2354.84</v>
          </cell>
          <cell r="AN14">
            <v>2306.48</v>
          </cell>
          <cell r="AO14">
            <v>2320.56</v>
          </cell>
          <cell r="AP14">
            <v>2319.89</v>
          </cell>
          <cell r="AQ14">
            <v>2335.65</v>
          </cell>
          <cell r="AR14">
            <v>2270.25</v>
          </cell>
          <cell r="AS14">
            <v>2352.21</v>
          </cell>
          <cell r="AT14">
            <v>2311.0100000000002</v>
          </cell>
          <cell r="AU14">
            <v>2317.7600000000002</v>
          </cell>
          <cell r="AV14">
            <v>2334.27</v>
          </cell>
          <cell r="AW14">
            <v>2293.38</v>
          </cell>
          <cell r="AX14">
            <v>2217.9</v>
          </cell>
          <cell r="AY14">
            <v>2264.94</v>
          </cell>
          <cell r="AZ14">
            <v>2194.8200000000002</v>
          </cell>
          <cell r="BA14">
            <v>2194.8200000000002</v>
          </cell>
        </row>
        <row r="15">
          <cell r="A15" t="str">
            <v>V0500H30B20</v>
          </cell>
          <cell r="B15">
            <v>500</v>
          </cell>
          <cell r="C15">
            <v>3000</v>
          </cell>
          <cell r="D15">
            <v>2000</v>
          </cell>
          <cell r="E15">
            <v>13</v>
          </cell>
          <cell r="F15">
            <v>2</v>
          </cell>
          <cell r="G15">
            <v>0</v>
          </cell>
          <cell r="H15">
            <v>300</v>
          </cell>
          <cell r="I15">
            <v>50</v>
          </cell>
          <cell r="J15">
            <v>514.4</v>
          </cell>
          <cell r="K15" t="str">
            <v>Q-11002944</v>
          </cell>
          <cell r="L15" t="str">
            <v>\\hokukon-net2\hop\Program\01_MVPシステム_容量別組立図\.\02_余裕高0_6m\pdf\FB600_0500m3-MVP-3000-組-B2000_Q-11002944.pdf</v>
          </cell>
          <cell r="M15">
            <v>2319.34</v>
          </cell>
          <cell r="N15">
            <v>2340.87</v>
          </cell>
          <cell r="O15">
            <v>2296.21</v>
          </cell>
          <cell r="P15">
            <v>2296.9499999999998</v>
          </cell>
          <cell r="Q15">
            <v>2329.5</v>
          </cell>
          <cell r="R15">
            <v>2313.6999999999998</v>
          </cell>
          <cell r="S15">
            <v>2307.89</v>
          </cell>
          <cell r="T15">
            <v>2308.7800000000002</v>
          </cell>
          <cell r="U15">
            <v>2315.83</v>
          </cell>
          <cell r="V15">
            <v>2306.4</v>
          </cell>
          <cell r="W15">
            <v>2316.84</v>
          </cell>
          <cell r="X15">
            <v>2328.2399999999998</v>
          </cell>
          <cell r="Y15">
            <v>2330.02</v>
          </cell>
          <cell r="Z15">
            <v>2380.46</v>
          </cell>
          <cell r="AA15">
            <v>2340.54</v>
          </cell>
          <cell r="AB15">
            <v>2340.29</v>
          </cell>
          <cell r="AC15">
            <v>2394.62</v>
          </cell>
          <cell r="AD15">
            <v>2305.4299999999998</v>
          </cell>
          <cell r="AE15">
            <v>2329.31</v>
          </cell>
          <cell r="AF15">
            <v>2387.19</v>
          </cell>
          <cell r="AG15">
            <v>2318.2399999999998</v>
          </cell>
          <cell r="AH15">
            <v>2334.42</v>
          </cell>
          <cell r="AI15">
            <v>2307.6</v>
          </cell>
          <cell r="AJ15">
            <v>2334.67</v>
          </cell>
          <cell r="AK15">
            <v>2270.6</v>
          </cell>
          <cell r="AL15">
            <v>2328.5</v>
          </cell>
          <cell r="AM15">
            <v>2397.44</v>
          </cell>
          <cell r="AN15">
            <v>2349.66</v>
          </cell>
          <cell r="AO15">
            <v>2363.2800000000002</v>
          </cell>
          <cell r="AP15">
            <v>2362.84</v>
          </cell>
          <cell r="AQ15">
            <v>2378.5300000000002</v>
          </cell>
          <cell r="AR15">
            <v>2312.87</v>
          </cell>
          <cell r="AS15">
            <v>2394.06</v>
          </cell>
          <cell r="AT15">
            <v>2353.86</v>
          </cell>
          <cell r="AU15">
            <v>2360.6</v>
          </cell>
          <cell r="AV15">
            <v>2376.48</v>
          </cell>
          <cell r="AW15">
            <v>2336.08</v>
          </cell>
          <cell r="AX15">
            <v>2261.73</v>
          </cell>
          <cell r="AY15">
            <v>2307.81</v>
          </cell>
          <cell r="AZ15">
            <v>2238.66</v>
          </cell>
          <cell r="BA15">
            <v>2238.66</v>
          </cell>
        </row>
        <row r="16">
          <cell r="A16" t="str">
            <v>V0500H35B30</v>
          </cell>
          <cell r="B16">
            <v>500</v>
          </cell>
          <cell r="C16">
            <v>3500</v>
          </cell>
          <cell r="D16">
            <v>3000</v>
          </cell>
          <cell r="E16">
            <v>9</v>
          </cell>
          <cell r="F16">
            <v>2</v>
          </cell>
          <cell r="G16">
            <v>0</v>
          </cell>
          <cell r="H16">
            <v>300</v>
          </cell>
          <cell r="I16">
            <v>50</v>
          </cell>
          <cell r="J16">
            <v>523.5</v>
          </cell>
          <cell r="K16" t="str">
            <v>Q-11002949</v>
          </cell>
          <cell r="L16" t="str">
            <v>\\hokukon-net2\hop\Program\01_MVPシステム_容量別組立図\.\02_余裕高0_6m\pdf\FB600_0500m3-MVP-3500-組-B3000_Q-11002949.pdf</v>
          </cell>
          <cell r="M16">
            <v>2035.42</v>
          </cell>
          <cell r="N16">
            <v>2054.16</v>
          </cell>
          <cell r="O16">
            <v>2016.39</v>
          </cell>
          <cell r="P16">
            <v>2017.02</v>
          </cell>
          <cell r="Q16">
            <v>2044.16</v>
          </cell>
          <cell r="R16">
            <v>2030.71</v>
          </cell>
          <cell r="S16">
            <v>2025.59</v>
          </cell>
          <cell r="T16">
            <v>2026.34</v>
          </cell>
          <cell r="U16">
            <v>2033.74</v>
          </cell>
          <cell r="V16">
            <v>2025.65</v>
          </cell>
          <cell r="W16">
            <v>2034.22</v>
          </cell>
          <cell r="X16">
            <v>2044.41</v>
          </cell>
          <cell r="Y16">
            <v>2046.02</v>
          </cell>
          <cell r="Z16">
            <v>2089.0100000000002</v>
          </cell>
          <cell r="AA16">
            <v>2054.9499999999998</v>
          </cell>
          <cell r="AB16">
            <v>2054.5500000000002</v>
          </cell>
          <cell r="AC16">
            <v>2099.88</v>
          </cell>
          <cell r="AD16">
            <v>2023.22</v>
          </cell>
          <cell r="AE16">
            <v>2043.88</v>
          </cell>
          <cell r="AF16">
            <v>2093.1799999999998</v>
          </cell>
          <cell r="AG16">
            <v>2035.21</v>
          </cell>
          <cell r="AH16">
            <v>2049.29</v>
          </cell>
          <cell r="AI16">
            <v>2026.34</v>
          </cell>
          <cell r="AJ16">
            <v>2049</v>
          </cell>
          <cell r="AK16">
            <v>1994.74</v>
          </cell>
          <cell r="AL16">
            <v>2044.09</v>
          </cell>
          <cell r="AM16">
            <v>2102.62</v>
          </cell>
          <cell r="AN16">
            <v>2062.54</v>
          </cell>
          <cell r="AO16">
            <v>2073.7600000000002</v>
          </cell>
          <cell r="AP16">
            <v>2073.61</v>
          </cell>
          <cell r="AQ16">
            <v>2086.92</v>
          </cell>
          <cell r="AR16">
            <v>2029.9</v>
          </cell>
          <cell r="AS16">
            <v>2098.56</v>
          </cell>
          <cell r="AT16">
            <v>2064.9499999999998</v>
          </cell>
          <cell r="AU16">
            <v>2070.48</v>
          </cell>
          <cell r="AV16">
            <v>2083.94</v>
          </cell>
          <cell r="AW16">
            <v>2049.41</v>
          </cell>
          <cell r="AX16">
            <v>1986.1</v>
          </cell>
          <cell r="AY16">
            <v>2025.36</v>
          </cell>
          <cell r="AZ16">
            <v>1966.49</v>
          </cell>
          <cell r="BA16">
            <v>1966.49</v>
          </cell>
        </row>
        <row r="17">
          <cell r="A17" t="str">
            <v>V0500H35B25</v>
          </cell>
          <cell r="B17">
            <v>500</v>
          </cell>
          <cell r="C17">
            <v>3500</v>
          </cell>
          <cell r="D17">
            <v>2500</v>
          </cell>
          <cell r="E17">
            <v>10</v>
          </cell>
          <cell r="F17">
            <v>2</v>
          </cell>
          <cell r="G17">
            <v>0</v>
          </cell>
          <cell r="H17">
            <v>300</v>
          </cell>
          <cell r="I17">
            <v>50</v>
          </cell>
          <cell r="J17">
            <v>531.4</v>
          </cell>
          <cell r="K17" t="str">
            <v>Q-11002948</v>
          </cell>
          <cell r="L17" t="str">
            <v>\\hokukon-net2\hop\Program\01_MVPシステム_容量別組立図\.\02_余裕高0_6m\pdf\FB600_0500m3-MVP-3500-組-B2500_Q-11002948.pdf</v>
          </cell>
          <cell r="M17">
            <v>2108.8000000000002</v>
          </cell>
          <cell r="N17">
            <v>2127.77</v>
          </cell>
          <cell r="O17">
            <v>2089.61</v>
          </cell>
          <cell r="P17">
            <v>2090.25</v>
          </cell>
          <cell r="Q17">
            <v>2117.5700000000002</v>
          </cell>
          <cell r="R17">
            <v>2103.89</v>
          </cell>
          <cell r="S17">
            <v>2098.56</v>
          </cell>
          <cell r="T17">
            <v>2099.34</v>
          </cell>
          <cell r="U17">
            <v>2107.48</v>
          </cell>
          <cell r="V17">
            <v>2099.15</v>
          </cell>
          <cell r="W17">
            <v>2107.94</v>
          </cell>
          <cell r="X17">
            <v>2118.4899999999998</v>
          </cell>
          <cell r="Y17">
            <v>2120.16</v>
          </cell>
          <cell r="Z17">
            <v>2164.0300000000002</v>
          </cell>
          <cell r="AA17">
            <v>2129.5700000000002</v>
          </cell>
          <cell r="AB17">
            <v>2128.89</v>
          </cell>
          <cell r="AC17">
            <v>2174.66</v>
          </cell>
          <cell r="AD17">
            <v>2096.64</v>
          </cell>
          <cell r="AE17">
            <v>2117.83</v>
          </cell>
          <cell r="AF17">
            <v>2168.04</v>
          </cell>
          <cell r="AG17">
            <v>2109.29</v>
          </cell>
          <cell r="AH17">
            <v>2123.58</v>
          </cell>
          <cell r="AI17">
            <v>2100.42</v>
          </cell>
          <cell r="AJ17">
            <v>2123.1799999999998</v>
          </cell>
          <cell r="AK17">
            <v>2067.9499999999998</v>
          </cell>
          <cell r="AL17">
            <v>2117.9</v>
          </cell>
          <cell r="AM17">
            <v>2177.41</v>
          </cell>
          <cell r="AN17">
            <v>2136.73</v>
          </cell>
          <cell r="AO17">
            <v>2147.9499999999998</v>
          </cell>
          <cell r="AP17">
            <v>2147.91</v>
          </cell>
          <cell r="AQ17">
            <v>2161.48</v>
          </cell>
          <cell r="AR17">
            <v>2103.15</v>
          </cell>
          <cell r="AS17">
            <v>2172.9499999999998</v>
          </cell>
          <cell r="AT17">
            <v>2139.11</v>
          </cell>
          <cell r="AU17">
            <v>2144.79</v>
          </cell>
          <cell r="AV17">
            <v>2158.19</v>
          </cell>
          <cell r="AW17">
            <v>2123.1799999999998</v>
          </cell>
          <cell r="AX17">
            <v>2059.11</v>
          </cell>
          <cell r="AY17">
            <v>2098.6799999999998</v>
          </cell>
          <cell r="AZ17">
            <v>2039.05</v>
          </cell>
          <cell r="BA17">
            <v>2039.05</v>
          </cell>
        </row>
        <row r="18">
          <cell r="A18" t="str">
            <v>V0500H35B20</v>
          </cell>
          <cell r="B18">
            <v>500</v>
          </cell>
          <cell r="C18">
            <v>3500</v>
          </cell>
          <cell r="D18">
            <v>2000</v>
          </cell>
          <cell r="E18">
            <v>11</v>
          </cell>
          <cell r="F18">
            <v>2</v>
          </cell>
          <cell r="G18">
            <v>0</v>
          </cell>
          <cell r="H18">
            <v>300</v>
          </cell>
          <cell r="I18">
            <v>50</v>
          </cell>
          <cell r="J18">
            <v>530.5</v>
          </cell>
          <cell r="K18" t="str">
            <v>Q-11002947</v>
          </cell>
          <cell r="L18" t="str">
            <v>\\hokukon-net2\hop\Program\01_MVPシステム_容量別組立図\.\02_余裕高0_6m\pdf\FB600_0500m3-MVP-3500-組-B2000_Q-11002947.pdf</v>
          </cell>
          <cell r="M18">
            <v>2166.64</v>
          </cell>
          <cell r="N18">
            <v>2185.62</v>
          </cell>
          <cell r="O18">
            <v>2147.66</v>
          </cell>
          <cell r="P18">
            <v>2148.3000000000002</v>
          </cell>
          <cell r="Q18">
            <v>2175.36</v>
          </cell>
          <cell r="R18">
            <v>2161.71</v>
          </cell>
          <cell r="S18">
            <v>2156.23</v>
          </cell>
          <cell r="T18">
            <v>2157</v>
          </cell>
          <cell r="U18">
            <v>2165.87</v>
          </cell>
          <cell r="V18">
            <v>2157.4499999999998</v>
          </cell>
          <cell r="W18">
            <v>2166.33</v>
          </cell>
          <cell r="X18">
            <v>2177.14</v>
          </cell>
          <cell r="Y18">
            <v>2178.8200000000002</v>
          </cell>
          <cell r="Z18">
            <v>2222.9699999999998</v>
          </cell>
          <cell r="AA18">
            <v>2188.56</v>
          </cell>
          <cell r="AB18">
            <v>2187.62</v>
          </cell>
          <cell r="AC18">
            <v>2233.08</v>
          </cell>
          <cell r="AD18">
            <v>2154.7199999999998</v>
          </cell>
          <cell r="AE18">
            <v>2176.15</v>
          </cell>
          <cell r="AF18">
            <v>2226.59</v>
          </cell>
          <cell r="AG18">
            <v>2167.9499999999998</v>
          </cell>
          <cell r="AH18">
            <v>2182.31</v>
          </cell>
          <cell r="AI18">
            <v>2159.2199999999998</v>
          </cell>
          <cell r="AJ18">
            <v>2181.7600000000002</v>
          </cell>
          <cell r="AK18">
            <v>2126.33</v>
          </cell>
          <cell r="AL18">
            <v>2176.21</v>
          </cell>
          <cell r="AM18">
            <v>2235.86</v>
          </cell>
          <cell r="AN18">
            <v>2195.16</v>
          </cell>
          <cell r="AO18">
            <v>2206.19</v>
          </cell>
          <cell r="AP18">
            <v>2206.33</v>
          </cell>
          <cell r="AQ18">
            <v>2219.9499999999998</v>
          </cell>
          <cell r="AR18">
            <v>2161</v>
          </cell>
          <cell r="AS18">
            <v>2230.9699999999998</v>
          </cell>
          <cell r="AT18">
            <v>2197.4</v>
          </cell>
          <cell r="AU18">
            <v>2203.1</v>
          </cell>
          <cell r="AV18">
            <v>2216.2800000000002</v>
          </cell>
          <cell r="AW18">
            <v>2181.25</v>
          </cell>
          <cell r="AX18">
            <v>2117.35</v>
          </cell>
          <cell r="AY18">
            <v>2156.65</v>
          </cell>
          <cell r="AZ18">
            <v>2097.08</v>
          </cell>
          <cell r="BA18">
            <v>2097.08</v>
          </cell>
        </row>
        <row r="19">
          <cell r="A19" t="str">
            <v>V0500H40B30</v>
          </cell>
          <cell r="B19">
            <v>500</v>
          </cell>
          <cell r="C19">
            <v>4000</v>
          </cell>
          <cell r="D19">
            <v>3000</v>
          </cell>
          <cell r="E19">
            <v>8</v>
          </cell>
          <cell r="F19">
            <v>2</v>
          </cell>
          <cell r="G19">
            <v>0</v>
          </cell>
          <cell r="H19">
            <v>350</v>
          </cell>
          <cell r="I19">
            <v>70</v>
          </cell>
          <cell r="J19">
            <v>554.1</v>
          </cell>
          <cell r="K19" t="str">
            <v>Q-11002952</v>
          </cell>
          <cell r="L19" t="str">
            <v>\\hokukon-net2\hop\Program\01_MVPシステム_容量別組立図\.\02_余裕高0_6m\pdf\FB600_0500m3-MVP-4000-組-B3000_Q-11002952.pdf</v>
          </cell>
          <cell r="M19">
            <v>2244.16</v>
          </cell>
          <cell r="N19">
            <v>2263.4899999999998</v>
          </cell>
          <cell r="O19">
            <v>2225.65</v>
          </cell>
          <cell r="P19">
            <v>2226.2800000000002</v>
          </cell>
          <cell r="Q19">
            <v>2253.02</v>
          </cell>
          <cell r="R19">
            <v>2239.4</v>
          </cell>
          <cell r="S19">
            <v>2233.96</v>
          </cell>
          <cell r="T19">
            <v>2234.71</v>
          </cell>
          <cell r="U19">
            <v>2242.19</v>
          </cell>
          <cell r="V19">
            <v>2234.2600000000002</v>
          </cell>
          <cell r="W19">
            <v>2242.7399999999998</v>
          </cell>
          <cell r="X19">
            <v>2252.81</v>
          </cell>
          <cell r="Y19">
            <v>2254.08</v>
          </cell>
          <cell r="Z19">
            <v>2297.34</v>
          </cell>
          <cell r="AA19">
            <v>2263.2600000000002</v>
          </cell>
          <cell r="AB19">
            <v>2263.08</v>
          </cell>
          <cell r="AC19">
            <v>2307.91</v>
          </cell>
          <cell r="AD19">
            <v>2229.0700000000002</v>
          </cell>
          <cell r="AE19">
            <v>2250.58</v>
          </cell>
          <cell r="AF19">
            <v>2299.83</v>
          </cell>
          <cell r="AG19">
            <v>2240.79</v>
          </cell>
          <cell r="AH19">
            <v>2255.16</v>
          </cell>
          <cell r="AI19">
            <v>2232.2399999999998</v>
          </cell>
          <cell r="AJ19">
            <v>2254.38</v>
          </cell>
          <cell r="AK19">
            <v>2204.73</v>
          </cell>
          <cell r="AL19">
            <v>2254.66</v>
          </cell>
          <cell r="AM19">
            <v>2313.12</v>
          </cell>
          <cell r="AN19">
            <v>2273.2199999999998</v>
          </cell>
          <cell r="AO19">
            <v>2284.52</v>
          </cell>
          <cell r="AP19">
            <v>2284.41</v>
          </cell>
          <cell r="AQ19">
            <v>2298.04</v>
          </cell>
          <cell r="AR19">
            <v>2235.59</v>
          </cell>
          <cell r="AS19">
            <v>2304.2800000000002</v>
          </cell>
          <cell r="AT19">
            <v>2271.62</v>
          </cell>
          <cell r="AU19">
            <v>2276.87</v>
          </cell>
          <cell r="AV19">
            <v>2289.89</v>
          </cell>
          <cell r="AW19">
            <v>2254.77</v>
          </cell>
          <cell r="AX19">
            <v>2190.87</v>
          </cell>
          <cell r="AY19">
            <v>2230.2600000000002</v>
          </cell>
          <cell r="AZ19">
            <v>2171</v>
          </cell>
          <cell r="BA19">
            <v>2171</v>
          </cell>
        </row>
        <row r="20">
          <cell r="A20" t="str">
            <v>V0500H40B25</v>
          </cell>
          <cell r="B20">
            <v>500</v>
          </cell>
          <cell r="C20">
            <v>4000</v>
          </cell>
          <cell r="D20">
            <v>2500</v>
          </cell>
          <cell r="E20">
            <v>8</v>
          </cell>
          <cell r="F20">
            <v>2</v>
          </cell>
          <cell r="G20">
            <v>0</v>
          </cell>
          <cell r="H20">
            <v>350</v>
          </cell>
          <cell r="I20">
            <v>70</v>
          </cell>
          <cell r="J20">
            <v>509.9</v>
          </cell>
          <cell r="K20" t="str">
            <v>Q-11002951</v>
          </cell>
          <cell r="L20" t="str">
            <v>\\hokukon-net2\hop\Program\01_MVPシステム_容量別組立図\.\02_余裕高0_6m\pdf\FB600_0500m3-MVP-4000-組-B2500_Q-11002951.pdf</v>
          </cell>
          <cell r="M20">
            <v>2163.2199999999998</v>
          </cell>
          <cell r="N20">
            <v>2181.2800000000002</v>
          </cell>
          <cell r="O20">
            <v>2146.5300000000002</v>
          </cell>
          <cell r="P20">
            <v>2147.11</v>
          </cell>
          <cell r="Q20">
            <v>2171.36</v>
          </cell>
          <cell r="R20">
            <v>2158.67</v>
          </cell>
          <cell r="S20">
            <v>2153.35</v>
          </cell>
          <cell r="T20">
            <v>2154.04</v>
          </cell>
          <cell r="U20">
            <v>2162.54</v>
          </cell>
          <cell r="V20">
            <v>2155.02</v>
          </cell>
          <cell r="W20">
            <v>2162.89</v>
          </cell>
          <cell r="X20">
            <v>2172.81</v>
          </cell>
          <cell r="Y20">
            <v>2174.0700000000002</v>
          </cell>
          <cell r="Z20">
            <v>2214.66</v>
          </cell>
          <cell r="AA20">
            <v>2183.1</v>
          </cell>
          <cell r="AB20">
            <v>2182.4499999999998</v>
          </cell>
          <cell r="AC20">
            <v>2223.29</v>
          </cell>
          <cell r="AD20">
            <v>2149.2600000000002</v>
          </cell>
          <cell r="AE20">
            <v>2169.7600000000002</v>
          </cell>
          <cell r="AF20">
            <v>2215.77</v>
          </cell>
          <cell r="AG20">
            <v>2161.35</v>
          </cell>
          <cell r="AH20">
            <v>2174.81</v>
          </cell>
          <cell r="AI20">
            <v>2153.6999999999998</v>
          </cell>
          <cell r="AJ20">
            <v>2173.73</v>
          </cell>
          <cell r="AK20">
            <v>2127.8000000000002</v>
          </cell>
          <cell r="AL20">
            <v>2173.9699999999998</v>
          </cell>
          <cell r="AM20">
            <v>2228.37</v>
          </cell>
          <cell r="AN20">
            <v>2191.56</v>
          </cell>
          <cell r="AO20">
            <v>2201.63</v>
          </cell>
          <cell r="AP20">
            <v>2201.8200000000002</v>
          </cell>
          <cell r="AQ20">
            <v>2214.56</v>
          </cell>
          <cell r="AR20">
            <v>2155.02</v>
          </cell>
          <cell r="AS20">
            <v>2218.83</v>
          </cell>
          <cell r="AT20">
            <v>2189.17</v>
          </cell>
          <cell r="AU20">
            <v>2194.08</v>
          </cell>
          <cell r="AV20">
            <v>2205.71</v>
          </cell>
          <cell r="AW20">
            <v>2173</v>
          </cell>
          <cell r="AX20">
            <v>2113.96</v>
          </cell>
          <cell r="AY20">
            <v>2150.11</v>
          </cell>
          <cell r="AZ20">
            <v>2095.2199999999998</v>
          </cell>
          <cell r="BA20">
            <v>2095.2199999999998</v>
          </cell>
        </row>
        <row r="21">
          <cell r="A21" t="str">
            <v>V0500H40B20</v>
          </cell>
          <cell r="B21">
            <v>500</v>
          </cell>
          <cell r="C21">
            <v>4000</v>
          </cell>
          <cell r="D21">
            <v>2000</v>
          </cell>
          <cell r="E21">
            <v>9</v>
          </cell>
          <cell r="F21">
            <v>2</v>
          </cell>
          <cell r="G21">
            <v>0</v>
          </cell>
          <cell r="H21">
            <v>350</v>
          </cell>
          <cell r="I21">
            <v>70</v>
          </cell>
          <cell r="J21">
            <v>519.70000000000005</v>
          </cell>
          <cell r="K21" t="str">
            <v>Q-11002950</v>
          </cell>
          <cell r="L21" t="str">
            <v>\\hokukon-net2\hop\Program\01_MVPシステム_容量別組立図\.\02_余裕高0_6m\pdf\FB600_0500m3-MVP-4000-組-B2000_Q-11002950.pdf</v>
          </cell>
          <cell r="M21">
            <v>2263.39</v>
          </cell>
          <cell r="N21">
            <v>2281.75</v>
          </cell>
          <cell r="O21">
            <v>2246.44</v>
          </cell>
          <cell r="P21">
            <v>2247.04</v>
          </cell>
          <cell r="Q21">
            <v>2271.61</v>
          </cell>
          <cell r="R21">
            <v>2258.69</v>
          </cell>
          <cell r="S21">
            <v>2253.1799999999998</v>
          </cell>
          <cell r="T21">
            <v>2253.89</v>
          </cell>
          <cell r="U21">
            <v>2262.94</v>
          </cell>
          <cell r="V21">
            <v>2255.1999999999998</v>
          </cell>
          <cell r="W21">
            <v>2263.29</v>
          </cell>
          <cell r="X21">
            <v>2273.52</v>
          </cell>
          <cell r="Y21">
            <v>2274.85</v>
          </cell>
          <cell r="Z21">
            <v>2316.38</v>
          </cell>
          <cell r="AA21">
            <v>2284.27</v>
          </cell>
          <cell r="AB21">
            <v>2283.46</v>
          </cell>
          <cell r="AC21">
            <v>2324.9</v>
          </cell>
          <cell r="AD21">
            <v>2249.27</v>
          </cell>
          <cell r="AE21">
            <v>2270.27</v>
          </cell>
          <cell r="AF21">
            <v>2317.2800000000002</v>
          </cell>
          <cell r="AG21">
            <v>2261.8000000000002</v>
          </cell>
          <cell r="AH21">
            <v>2275.5300000000002</v>
          </cell>
          <cell r="AI21">
            <v>2254.1</v>
          </cell>
          <cell r="AJ21">
            <v>2274.4</v>
          </cell>
          <cell r="AK21">
            <v>2227.66</v>
          </cell>
          <cell r="AL21">
            <v>2274.63</v>
          </cell>
          <cell r="AM21">
            <v>2330.15</v>
          </cell>
          <cell r="AN21">
            <v>2292.59</v>
          </cell>
          <cell r="AO21">
            <v>2302.77</v>
          </cell>
          <cell r="AP21">
            <v>2303.04</v>
          </cell>
          <cell r="AQ21">
            <v>2316.08</v>
          </cell>
          <cell r="AR21">
            <v>2254.91</v>
          </cell>
          <cell r="AS21">
            <v>2320.0300000000002</v>
          </cell>
          <cell r="AT21">
            <v>2289.96</v>
          </cell>
          <cell r="AU21">
            <v>2294.9899999999998</v>
          </cell>
          <cell r="AV21">
            <v>2306.69</v>
          </cell>
          <cell r="AW21">
            <v>2273.34</v>
          </cell>
          <cell r="AX21">
            <v>2213.3200000000002</v>
          </cell>
          <cell r="AY21">
            <v>2249.94</v>
          </cell>
          <cell r="AZ21">
            <v>2194.09</v>
          </cell>
          <cell r="BA21">
            <v>2194.09</v>
          </cell>
        </row>
        <row r="22">
          <cell r="A22" t="str">
            <v>V0500H45B30</v>
          </cell>
          <cell r="B22">
            <v>500</v>
          </cell>
          <cell r="C22">
            <v>4500</v>
          </cell>
          <cell r="D22">
            <v>3000</v>
          </cell>
          <cell r="E22">
            <v>7</v>
          </cell>
          <cell r="F22">
            <v>2</v>
          </cell>
          <cell r="G22">
            <v>0</v>
          </cell>
          <cell r="H22">
            <v>350</v>
          </cell>
          <cell r="I22">
            <v>70</v>
          </cell>
          <cell r="J22">
            <v>562.1</v>
          </cell>
          <cell r="K22" t="str">
            <v>Q-11002955</v>
          </cell>
          <cell r="L22" t="str">
            <v>\\hokukon-net2\hop\Program\01_MVPシステム_容量別組立図\.\02_余裕高0_6m\pdf\FB600_0500m3-MVP-4500-組-B3000_Q-11002955.pdf</v>
          </cell>
          <cell r="M22">
            <v>2174.9299999999998</v>
          </cell>
          <cell r="N22">
            <v>2192.52</v>
          </cell>
          <cell r="O22">
            <v>2159.27</v>
          </cell>
          <cell r="P22">
            <v>2159.83</v>
          </cell>
          <cell r="Q22">
            <v>2182.73</v>
          </cell>
          <cell r="R22">
            <v>2170.36</v>
          </cell>
          <cell r="S22">
            <v>2164.96</v>
          </cell>
          <cell r="T22">
            <v>2165.63</v>
          </cell>
          <cell r="U22">
            <v>2175.42</v>
          </cell>
          <cell r="V22">
            <v>2168.04</v>
          </cell>
          <cell r="W22">
            <v>2175.52</v>
          </cell>
          <cell r="X22">
            <v>2185.66</v>
          </cell>
          <cell r="Y22">
            <v>2186.92</v>
          </cell>
          <cell r="Z22">
            <v>2226.44</v>
          </cell>
          <cell r="AA22">
            <v>2196.02</v>
          </cell>
          <cell r="AB22">
            <v>2195.0300000000002</v>
          </cell>
          <cell r="AC22">
            <v>2233.59</v>
          </cell>
          <cell r="AD22">
            <v>2161.38</v>
          </cell>
          <cell r="AE22">
            <v>2181.62</v>
          </cell>
          <cell r="AF22">
            <v>2226.31</v>
          </cell>
          <cell r="AG22">
            <v>2174.27</v>
          </cell>
          <cell r="AH22">
            <v>2187.35</v>
          </cell>
          <cell r="AI22">
            <v>2167.04</v>
          </cell>
          <cell r="AJ22">
            <v>2186.0100000000002</v>
          </cell>
          <cell r="AK22">
            <v>2141.6799999999998</v>
          </cell>
          <cell r="AL22">
            <v>2186.08</v>
          </cell>
          <cell r="AM22">
            <v>2238.7399999999998</v>
          </cell>
          <cell r="AN22">
            <v>2203.5100000000002</v>
          </cell>
          <cell r="AO22">
            <v>2212.94</v>
          </cell>
          <cell r="AP22">
            <v>2213.2600000000002</v>
          </cell>
          <cell r="AQ22">
            <v>2225.64</v>
          </cell>
          <cell r="AR22">
            <v>2166.73</v>
          </cell>
          <cell r="AS22">
            <v>2228.2600000000002</v>
          </cell>
          <cell r="AT22">
            <v>2200.27</v>
          </cell>
          <cell r="AU22">
            <v>2204.89</v>
          </cell>
          <cell r="AV22">
            <v>2215.9</v>
          </cell>
          <cell r="AW22">
            <v>2184.3000000000002</v>
          </cell>
          <cell r="AX22">
            <v>2127.4699999999998</v>
          </cell>
          <cell r="AY22">
            <v>2161.9699999999998</v>
          </cell>
          <cell r="AZ22">
            <v>2109.19</v>
          </cell>
          <cell r="BA22">
            <v>2109.19</v>
          </cell>
        </row>
        <row r="23">
          <cell r="A23" t="str">
            <v>V0500H45B25</v>
          </cell>
          <cell r="B23">
            <v>500</v>
          </cell>
          <cell r="C23">
            <v>4500</v>
          </cell>
          <cell r="D23">
            <v>2500</v>
          </cell>
          <cell r="E23">
            <v>7</v>
          </cell>
          <cell r="F23">
            <v>2</v>
          </cell>
          <cell r="G23">
            <v>0</v>
          </cell>
          <cell r="H23">
            <v>350</v>
          </cell>
          <cell r="I23">
            <v>70</v>
          </cell>
          <cell r="J23">
            <v>517.29999999999995</v>
          </cell>
          <cell r="K23" t="str">
            <v>Q-11002954</v>
          </cell>
          <cell r="L23" t="str">
            <v>\\hokukon-net2\hop\Program\01_MVPシステム_容量別組立図\.\02_余裕高0_6m\pdf\FB600_0500m3-MVP-4500-組-B2500_Q-11002954.pdf</v>
          </cell>
          <cell r="M23">
            <v>2094.9699999999998</v>
          </cell>
          <cell r="N23">
            <v>2111.44</v>
          </cell>
          <cell r="O23">
            <v>2080.92</v>
          </cell>
          <cell r="P23">
            <v>2081.4499999999998</v>
          </cell>
          <cell r="Q23">
            <v>2102.16</v>
          </cell>
          <cell r="R23">
            <v>2090.65</v>
          </cell>
          <cell r="S23">
            <v>2085.41</v>
          </cell>
          <cell r="T23">
            <v>2086.02</v>
          </cell>
          <cell r="U23">
            <v>2096.5500000000002</v>
          </cell>
          <cell r="V23">
            <v>2089.54</v>
          </cell>
          <cell r="W23">
            <v>2096.4299999999998</v>
          </cell>
          <cell r="X23">
            <v>2106.38</v>
          </cell>
          <cell r="Y23">
            <v>2107.63</v>
          </cell>
          <cell r="Z23">
            <v>2144.6999999999998</v>
          </cell>
          <cell r="AA23">
            <v>2116.5100000000002</v>
          </cell>
          <cell r="AB23">
            <v>2115.16</v>
          </cell>
          <cell r="AC23">
            <v>2150.2399999999998</v>
          </cell>
          <cell r="AD23">
            <v>2082.42</v>
          </cell>
          <cell r="AE23">
            <v>2101.71</v>
          </cell>
          <cell r="AF23">
            <v>2143.44</v>
          </cell>
          <cell r="AG23">
            <v>2095.4899999999998</v>
          </cell>
          <cell r="AH23">
            <v>2107.8000000000002</v>
          </cell>
          <cell r="AI23">
            <v>2089.08</v>
          </cell>
          <cell r="AJ23">
            <v>2106.1999999999998</v>
          </cell>
          <cell r="AK23">
            <v>2065.15</v>
          </cell>
          <cell r="AL23">
            <v>2106.29</v>
          </cell>
          <cell r="AM23">
            <v>2155.29</v>
          </cell>
          <cell r="AN23">
            <v>2122.75</v>
          </cell>
          <cell r="AO23">
            <v>2131.14</v>
          </cell>
          <cell r="AP23">
            <v>2131.7199999999998</v>
          </cell>
          <cell r="AQ23">
            <v>2143.2600000000002</v>
          </cell>
          <cell r="AR23">
            <v>2087.21</v>
          </cell>
          <cell r="AS23">
            <v>2144.35</v>
          </cell>
          <cell r="AT23">
            <v>2118.96</v>
          </cell>
          <cell r="AU23">
            <v>2123.2399999999998</v>
          </cell>
          <cell r="AV23">
            <v>2133.08</v>
          </cell>
          <cell r="AW23">
            <v>2103.63</v>
          </cell>
          <cell r="AX23">
            <v>2051.09</v>
          </cell>
          <cell r="AY23">
            <v>2082.7800000000002</v>
          </cell>
          <cell r="AZ23">
            <v>2033.88</v>
          </cell>
          <cell r="BA23">
            <v>2033.88</v>
          </cell>
        </row>
        <row r="24">
          <cell r="A24" t="str">
            <v>V0500H45B20</v>
          </cell>
          <cell r="B24">
            <v>500</v>
          </cell>
          <cell r="C24">
            <v>4500</v>
          </cell>
          <cell r="D24">
            <v>2000</v>
          </cell>
          <cell r="E24">
            <v>8</v>
          </cell>
          <cell r="F24">
            <v>2</v>
          </cell>
          <cell r="G24">
            <v>0</v>
          </cell>
          <cell r="H24">
            <v>350</v>
          </cell>
          <cell r="I24">
            <v>70</v>
          </cell>
          <cell r="J24">
            <v>534.29999999999995</v>
          </cell>
          <cell r="K24" t="str">
            <v>Q-11002953</v>
          </cell>
          <cell r="L24" t="str">
            <v>\\hokukon-net2\hop\Program\01_MVPシステム_容量別組立図\.\02_余裕高0_6m\pdf\FB600_0500m3-MVP-4500-組-B2000_Q-11002953.pdf</v>
          </cell>
          <cell r="M24">
            <v>2214.4499999999998</v>
          </cell>
          <cell r="N24">
            <v>2231.39</v>
          </cell>
          <cell r="O24">
            <v>2200.0300000000002</v>
          </cell>
          <cell r="P24">
            <v>2200.56</v>
          </cell>
          <cell r="Q24">
            <v>2221.8000000000002</v>
          </cell>
          <cell r="R24">
            <v>2209.9</v>
          </cell>
          <cell r="S24">
            <v>2204.4</v>
          </cell>
          <cell r="T24">
            <v>2205.0500000000002</v>
          </cell>
          <cell r="U24">
            <v>2216.23</v>
          </cell>
          <cell r="V24">
            <v>2208.94</v>
          </cell>
          <cell r="W24">
            <v>2216.15</v>
          </cell>
          <cell r="X24">
            <v>2226.5300000000002</v>
          </cell>
          <cell r="Y24">
            <v>2227.84</v>
          </cell>
          <cell r="Z24">
            <v>2266.25</v>
          </cell>
          <cell r="AA24">
            <v>2237.27</v>
          </cell>
          <cell r="AB24">
            <v>2235.6799999999998</v>
          </cell>
          <cell r="AC24">
            <v>2271.71</v>
          </cell>
          <cell r="AD24">
            <v>2201.61</v>
          </cell>
          <cell r="AE24">
            <v>2221.64</v>
          </cell>
          <cell r="AF24">
            <v>2264.7800000000002</v>
          </cell>
          <cell r="AG24">
            <v>2215.33</v>
          </cell>
          <cell r="AH24">
            <v>2227.9699999999998</v>
          </cell>
          <cell r="AI24">
            <v>2208.8000000000002</v>
          </cell>
          <cell r="AJ24">
            <v>2226.2800000000002</v>
          </cell>
          <cell r="AK24">
            <v>2184.13</v>
          </cell>
          <cell r="AL24">
            <v>2226.39</v>
          </cell>
          <cell r="AM24">
            <v>2276.96</v>
          </cell>
          <cell r="AN24">
            <v>2243.4</v>
          </cell>
          <cell r="AO24">
            <v>2251.94</v>
          </cell>
          <cell r="AP24">
            <v>2252.61</v>
          </cell>
          <cell r="AQ24">
            <v>2264.58</v>
          </cell>
          <cell r="AR24">
            <v>2206.27</v>
          </cell>
          <cell r="AS24">
            <v>2265.31</v>
          </cell>
          <cell r="AT24">
            <v>2239.3000000000002</v>
          </cell>
          <cell r="AU24">
            <v>2243.79</v>
          </cell>
          <cell r="AV24">
            <v>2253.7199999999998</v>
          </cell>
          <cell r="AW24">
            <v>2223.35</v>
          </cell>
          <cell r="AX24">
            <v>2169.37</v>
          </cell>
          <cell r="AY24">
            <v>2201.7800000000002</v>
          </cell>
          <cell r="AZ24">
            <v>2151.48</v>
          </cell>
          <cell r="BA24">
            <v>2151.48</v>
          </cell>
        </row>
        <row r="25">
          <cell r="A25" t="str">
            <v>V1000H15B30</v>
          </cell>
          <cell r="B25">
            <v>1000</v>
          </cell>
          <cell r="C25">
            <v>1500</v>
          </cell>
          <cell r="D25">
            <v>3000</v>
          </cell>
          <cell r="E25">
            <v>26</v>
          </cell>
          <cell r="F25">
            <v>3</v>
          </cell>
          <cell r="G25">
            <v>0</v>
          </cell>
          <cell r="H25">
            <v>350</v>
          </cell>
          <cell r="I25">
            <v>50</v>
          </cell>
          <cell r="J25">
            <v>1036.8</v>
          </cell>
          <cell r="K25" t="str">
            <v>Q-11002958</v>
          </cell>
          <cell r="L25" t="str">
            <v>\\hokukon-net2\hop\Program\01_MVPシステム_容量別組立図\.\02_余裕高0_6m\pdf\FB600_1000m3-MVP-1500-組-B3000_Q-11002958.pdf</v>
          </cell>
          <cell r="M25">
            <v>7128.51</v>
          </cell>
          <cell r="N25">
            <v>7237.19</v>
          </cell>
          <cell r="O25">
            <v>6978.51</v>
          </cell>
          <cell r="P25">
            <v>6982.36</v>
          </cell>
          <cell r="Q25">
            <v>7185.84</v>
          </cell>
          <cell r="R25">
            <v>7103.4</v>
          </cell>
          <cell r="S25">
            <v>7086.54</v>
          </cell>
          <cell r="T25">
            <v>7091.18</v>
          </cell>
          <cell r="U25">
            <v>7033.17</v>
          </cell>
          <cell r="V25">
            <v>6994.13</v>
          </cell>
          <cell r="W25">
            <v>7048.68</v>
          </cell>
          <cell r="X25">
            <v>7073.43</v>
          </cell>
          <cell r="Y25">
            <v>7076.28</v>
          </cell>
          <cell r="Z25">
            <v>7318.46</v>
          </cell>
          <cell r="AA25">
            <v>7106.64</v>
          </cell>
          <cell r="AB25">
            <v>7133.88</v>
          </cell>
          <cell r="AC25">
            <v>7466.84</v>
          </cell>
          <cell r="AD25">
            <v>7039.35</v>
          </cell>
          <cell r="AE25">
            <v>7140.11</v>
          </cell>
          <cell r="AF25">
            <v>7428.14</v>
          </cell>
          <cell r="AG25">
            <v>7033.18</v>
          </cell>
          <cell r="AH25">
            <v>7110.38</v>
          </cell>
          <cell r="AI25">
            <v>6961.02</v>
          </cell>
          <cell r="AJ25">
            <v>7131.76</v>
          </cell>
          <cell r="AK25">
            <v>6802.55</v>
          </cell>
          <cell r="AL25">
            <v>7121.8</v>
          </cell>
          <cell r="AM25">
            <v>7477.56</v>
          </cell>
          <cell r="AN25">
            <v>7213.72</v>
          </cell>
          <cell r="AO25">
            <v>7309.54</v>
          </cell>
          <cell r="AP25">
            <v>7289.94</v>
          </cell>
          <cell r="AQ25">
            <v>7370.39</v>
          </cell>
          <cell r="AR25">
            <v>7087.64</v>
          </cell>
          <cell r="AS25">
            <v>7516.98</v>
          </cell>
          <cell r="AT25">
            <v>7271.26</v>
          </cell>
          <cell r="AU25">
            <v>7308.13</v>
          </cell>
          <cell r="AV25">
            <v>7412.77</v>
          </cell>
          <cell r="AW25">
            <v>7286.05</v>
          </cell>
          <cell r="AX25">
            <v>6794.39</v>
          </cell>
          <cell r="AY25">
            <v>7062.9</v>
          </cell>
          <cell r="AZ25">
            <v>6689.43</v>
          </cell>
          <cell r="BA25">
            <v>6689.43</v>
          </cell>
        </row>
        <row r="26">
          <cell r="A26" t="str">
            <v>V1000H15B25</v>
          </cell>
          <cell r="B26">
            <v>1000</v>
          </cell>
          <cell r="C26">
            <v>1500</v>
          </cell>
          <cell r="D26">
            <v>2500</v>
          </cell>
          <cell r="E26">
            <v>27</v>
          </cell>
          <cell r="F26">
            <v>3</v>
          </cell>
          <cell r="G26">
            <v>0</v>
          </cell>
          <cell r="H26">
            <v>350</v>
          </cell>
          <cell r="I26">
            <v>50</v>
          </cell>
          <cell r="J26">
            <v>1000.6</v>
          </cell>
          <cell r="K26" t="str">
            <v>Q-11002957</v>
          </cell>
          <cell r="L26" t="str">
            <v>\\hokukon-net2\hop\Program\01_MVPシステム_容量別組立図\.\02_余裕高0_6m\pdf\FB600_1000m3-MVP-1500-組-B2500_Q-11002957.pdf</v>
          </cell>
          <cell r="M26">
            <v>7015.89</v>
          </cell>
          <cell r="N26">
            <v>7121.15</v>
          </cell>
          <cell r="O26">
            <v>6871.45</v>
          </cell>
          <cell r="P26">
            <v>6875.17</v>
          </cell>
          <cell r="Q26">
            <v>7071.07</v>
          </cell>
          <cell r="R26">
            <v>6991.18</v>
          </cell>
          <cell r="S26">
            <v>6974.32</v>
          </cell>
          <cell r="T26">
            <v>6978.81</v>
          </cell>
          <cell r="U26">
            <v>6925.6</v>
          </cell>
          <cell r="V26">
            <v>6887.42</v>
          </cell>
          <cell r="W26">
            <v>6940.42</v>
          </cell>
          <cell r="X26">
            <v>6965.4</v>
          </cell>
          <cell r="Y26">
            <v>6968.29</v>
          </cell>
          <cell r="Z26">
            <v>7203.71</v>
          </cell>
          <cell r="AA26">
            <v>6998.92</v>
          </cell>
          <cell r="AB26">
            <v>7024.23</v>
          </cell>
          <cell r="AC26">
            <v>7345.33</v>
          </cell>
          <cell r="AD26">
            <v>6930.29</v>
          </cell>
          <cell r="AE26">
            <v>7028.81</v>
          </cell>
          <cell r="AF26">
            <v>7308.34</v>
          </cell>
          <cell r="AG26">
            <v>6926.57</v>
          </cell>
          <cell r="AH26">
            <v>7001.42</v>
          </cell>
          <cell r="AI26">
            <v>6857.26</v>
          </cell>
          <cell r="AJ26">
            <v>7021.56</v>
          </cell>
          <cell r="AK26">
            <v>6702.33</v>
          </cell>
          <cell r="AL26">
            <v>7010.98</v>
          </cell>
          <cell r="AM26">
            <v>7355.83</v>
          </cell>
          <cell r="AN26">
            <v>7100.57</v>
          </cell>
          <cell r="AO26">
            <v>7192.56</v>
          </cell>
          <cell r="AP26">
            <v>7174.11</v>
          </cell>
          <cell r="AQ26">
            <v>7252.24</v>
          </cell>
          <cell r="AR26">
            <v>6976.16</v>
          </cell>
          <cell r="AS26">
            <v>7392.16</v>
          </cell>
          <cell r="AT26">
            <v>7155.5</v>
          </cell>
          <cell r="AU26">
            <v>7191.32</v>
          </cell>
          <cell r="AV26">
            <v>7291.65</v>
          </cell>
          <cell r="AW26">
            <v>7092.71</v>
          </cell>
          <cell r="AX26">
            <v>6693.65</v>
          </cell>
          <cell r="AY26">
            <v>6952.62</v>
          </cell>
          <cell r="AZ26">
            <v>6591.43</v>
          </cell>
          <cell r="BA26">
            <v>6591.43</v>
          </cell>
        </row>
        <row r="27">
          <cell r="A27" t="str">
            <v>V1000H15B20</v>
          </cell>
          <cell r="B27">
            <v>1000</v>
          </cell>
          <cell r="C27">
            <v>1500</v>
          </cell>
          <cell r="D27">
            <v>2000</v>
          </cell>
          <cell r="E27">
            <v>30</v>
          </cell>
          <cell r="F27">
            <v>3</v>
          </cell>
          <cell r="G27">
            <v>0</v>
          </cell>
          <cell r="H27">
            <v>350</v>
          </cell>
          <cell r="I27">
            <v>50</v>
          </cell>
          <cell r="J27">
            <v>1025.8</v>
          </cell>
          <cell r="K27" t="str">
            <v>Q-11002956</v>
          </cell>
          <cell r="L27" t="str">
            <v>\\hokukon-net2\hop\Program\01_MVPシステム_容量別組立図\.\02_余裕高0_6m\pdf\FB600_1000m3-MVP-1500-組-B2000_Q-11002956.pdf</v>
          </cell>
          <cell r="M27">
            <v>7327.5</v>
          </cell>
          <cell r="N27">
            <v>7435.59</v>
          </cell>
          <cell r="O27">
            <v>7179.73</v>
          </cell>
          <cell r="P27">
            <v>7183.55</v>
          </cell>
          <cell r="Q27">
            <v>7383.85</v>
          </cell>
          <cell r="R27">
            <v>7301.7</v>
          </cell>
          <cell r="S27">
            <v>7283.87</v>
          </cell>
          <cell r="T27">
            <v>7288.49</v>
          </cell>
          <cell r="U27">
            <v>7236.36</v>
          </cell>
          <cell r="V27">
            <v>7196.76</v>
          </cell>
          <cell r="W27">
            <v>7251.48</v>
          </cell>
          <cell r="X27">
            <v>7278.05</v>
          </cell>
          <cell r="Y27">
            <v>7281.13</v>
          </cell>
          <cell r="Z27">
            <v>7523.97</v>
          </cell>
          <cell r="AA27">
            <v>7313.89</v>
          </cell>
          <cell r="AB27">
            <v>7338.86</v>
          </cell>
          <cell r="AC27">
            <v>7667.77</v>
          </cell>
          <cell r="AD27">
            <v>7240.42</v>
          </cell>
          <cell r="AE27">
            <v>7342.51</v>
          </cell>
          <cell r="AF27">
            <v>7630.38</v>
          </cell>
          <cell r="AG27">
            <v>7238.54</v>
          </cell>
          <cell r="AH27">
            <v>7315.45</v>
          </cell>
          <cell r="AI27">
            <v>7167.82</v>
          </cell>
          <cell r="AJ27">
            <v>7335.69</v>
          </cell>
          <cell r="AK27">
            <v>7007.12</v>
          </cell>
          <cell r="AL27">
            <v>7323.77</v>
          </cell>
          <cell r="AM27">
            <v>7678.54</v>
          </cell>
          <cell r="AN27">
            <v>7416.33</v>
          </cell>
          <cell r="AO27">
            <v>7510.13</v>
          </cell>
          <cell r="AP27">
            <v>7491.65</v>
          </cell>
          <cell r="AQ27">
            <v>7572.19</v>
          </cell>
          <cell r="AR27">
            <v>7286.5</v>
          </cell>
          <cell r="AS27">
            <v>7714.39</v>
          </cell>
          <cell r="AT27">
            <v>7472.28</v>
          </cell>
          <cell r="AU27">
            <v>7509.34</v>
          </cell>
          <cell r="AV27">
            <v>7611.42</v>
          </cell>
          <cell r="AW27">
            <v>7407.13</v>
          </cell>
          <cell r="AX27">
            <v>6997.76</v>
          </cell>
          <cell r="AY27">
            <v>7262.83</v>
          </cell>
          <cell r="AZ27">
            <v>6892.15</v>
          </cell>
          <cell r="BA27">
            <v>6892.15</v>
          </cell>
        </row>
        <row r="28">
          <cell r="A28" t="str">
            <v>V1000H20B30</v>
          </cell>
          <cell r="B28">
            <v>1000</v>
          </cell>
          <cell r="C28">
            <v>2000</v>
          </cell>
          <cell r="D28">
            <v>3000</v>
          </cell>
          <cell r="E28">
            <v>23</v>
          </cell>
          <cell r="F28">
            <v>2</v>
          </cell>
          <cell r="G28">
            <v>0</v>
          </cell>
          <cell r="H28">
            <v>350</v>
          </cell>
          <cell r="I28">
            <v>50</v>
          </cell>
          <cell r="J28">
            <v>1021.8</v>
          </cell>
          <cell r="K28" t="str">
            <v>Q-11002961</v>
          </cell>
          <cell r="L28" t="str">
            <v>\\hokukon-net2\hop\Program\01_MVPシステム_容量別組立図\.\02_余裕高0_6m\pdf\FB600_1000m3-MVP-2000-組-B3000_Q-11002961.pdf</v>
          </cell>
          <cell r="M28">
            <v>4890.96</v>
          </cell>
          <cell r="N28">
            <v>4961.55</v>
          </cell>
          <cell r="O28">
            <v>4795.59</v>
          </cell>
          <cell r="P28">
            <v>4798.07</v>
          </cell>
          <cell r="Q28">
            <v>4927.51</v>
          </cell>
          <cell r="R28">
            <v>4874.42</v>
          </cell>
          <cell r="S28">
            <v>4862.84</v>
          </cell>
          <cell r="T28">
            <v>4865.84</v>
          </cell>
          <cell r="U28">
            <v>4832.6899999999996</v>
          </cell>
          <cell r="V28">
            <v>4807.05</v>
          </cell>
          <cell r="W28">
            <v>4842.18</v>
          </cell>
          <cell r="X28">
            <v>4859.6499999999996</v>
          </cell>
          <cell r="Y28">
            <v>4861.58</v>
          </cell>
          <cell r="Z28">
            <v>5018.76</v>
          </cell>
          <cell r="AA28">
            <v>4882.03</v>
          </cell>
          <cell r="AB28">
            <v>4898.6899999999996</v>
          </cell>
          <cell r="AC28">
            <v>5111.37</v>
          </cell>
          <cell r="AD28">
            <v>4833.2700000000004</v>
          </cell>
          <cell r="AE28">
            <v>4899.74</v>
          </cell>
          <cell r="AF28">
            <v>5086.18</v>
          </cell>
          <cell r="AG28">
            <v>4832.7</v>
          </cell>
          <cell r="AH28">
            <v>4882.8900000000003</v>
          </cell>
          <cell r="AI28">
            <v>4786.8900000000003</v>
          </cell>
          <cell r="AJ28">
            <v>4895.8100000000004</v>
          </cell>
          <cell r="AK28">
            <v>4683.1400000000003</v>
          </cell>
          <cell r="AL28">
            <v>4889.08</v>
          </cell>
          <cell r="AM28">
            <v>5119.1499999999996</v>
          </cell>
          <cell r="AN28">
            <v>4949.5600000000004</v>
          </cell>
          <cell r="AO28">
            <v>5010.3999999999996</v>
          </cell>
          <cell r="AP28">
            <v>4998.47</v>
          </cell>
          <cell r="AQ28">
            <v>5050.57</v>
          </cell>
          <cell r="AR28">
            <v>4864.42</v>
          </cell>
          <cell r="AS28">
            <v>5141.3</v>
          </cell>
          <cell r="AT28">
            <v>4984.49</v>
          </cell>
          <cell r="AU28">
            <v>5007.93</v>
          </cell>
          <cell r="AV28">
            <v>5074.6000000000004</v>
          </cell>
          <cell r="AW28">
            <v>4941.6899999999996</v>
          </cell>
          <cell r="AX28">
            <v>4675.6099999999997</v>
          </cell>
          <cell r="AY28">
            <v>4848.25</v>
          </cell>
          <cell r="AZ28">
            <v>4607.1899999999996</v>
          </cell>
          <cell r="BA28">
            <v>4607.1899999999996</v>
          </cell>
        </row>
        <row r="29">
          <cell r="A29" t="str">
            <v>V1000H20B25</v>
          </cell>
          <cell r="B29">
            <v>1000</v>
          </cell>
          <cell r="C29">
            <v>2000</v>
          </cell>
          <cell r="D29">
            <v>2500</v>
          </cell>
          <cell r="E29">
            <v>25</v>
          </cell>
          <cell r="F29">
            <v>2</v>
          </cell>
          <cell r="G29">
            <v>0</v>
          </cell>
          <cell r="H29">
            <v>350</v>
          </cell>
          <cell r="I29">
            <v>50</v>
          </cell>
          <cell r="J29">
            <v>1035.8</v>
          </cell>
          <cell r="K29" t="str">
            <v>Q-11002960</v>
          </cell>
          <cell r="L29" t="str">
            <v>\\hokukon-net2\hop\Program\01_MVPシステム_容量別組立図\.\02_余裕高0_6m\pdf\FB600_1000m3-MVP-2000-組-B2500_Q-11002960.pdf</v>
          </cell>
          <cell r="M29">
            <v>5043.34</v>
          </cell>
          <cell r="N29">
            <v>5115.04</v>
          </cell>
          <cell r="O29">
            <v>4946.76</v>
          </cell>
          <cell r="P29">
            <v>4949.28</v>
          </cell>
          <cell r="Q29">
            <v>5080.26</v>
          </cell>
          <cell r="R29">
            <v>5026.28</v>
          </cell>
          <cell r="S29">
            <v>5014.2299999999996</v>
          </cell>
          <cell r="T29">
            <v>5017.2700000000004</v>
          </cell>
          <cell r="U29">
            <v>4985.08</v>
          </cell>
          <cell r="V29">
            <v>4958.8100000000004</v>
          </cell>
          <cell r="W29">
            <v>4994.6400000000003</v>
          </cell>
          <cell r="X29">
            <v>5012.9399999999996</v>
          </cell>
          <cell r="Y29">
            <v>5014.95</v>
          </cell>
          <cell r="Z29">
            <v>5175.2</v>
          </cell>
          <cell r="AA29">
            <v>5036.42</v>
          </cell>
          <cell r="AB29">
            <v>5052.78</v>
          </cell>
          <cell r="AC29">
            <v>5268.29</v>
          </cell>
          <cell r="AD29">
            <v>4985.1499999999996</v>
          </cell>
          <cell r="AE29">
            <v>5053.18</v>
          </cell>
          <cell r="AF29">
            <v>5243.03</v>
          </cell>
          <cell r="AG29">
            <v>4985.7</v>
          </cell>
          <cell r="AH29">
            <v>5036.72</v>
          </cell>
          <cell r="AI29">
            <v>4939.4399999999996</v>
          </cell>
          <cell r="AJ29">
            <v>5049.59</v>
          </cell>
          <cell r="AK29">
            <v>4833.16</v>
          </cell>
          <cell r="AL29">
            <v>5042.1899999999996</v>
          </cell>
          <cell r="AM29">
            <v>5276.24</v>
          </cell>
          <cell r="AN29">
            <v>5103.9399999999996</v>
          </cell>
          <cell r="AO29">
            <v>5165.37</v>
          </cell>
          <cell r="AP29">
            <v>5153.5200000000004</v>
          </cell>
          <cell r="AQ29">
            <v>5206.6099999999997</v>
          </cell>
          <cell r="AR29">
            <v>5016.26</v>
          </cell>
          <cell r="AS29">
            <v>5297.87</v>
          </cell>
          <cell r="AT29">
            <v>5139.13</v>
          </cell>
          <cell r="AU29">
            <v>5163.0600000000004</v>
          </cell>
          <cell r="AV29">
            <v>5230.24</v>
          </cell>
          <cell r="AW29">
            <v>5095.24</v>
          </cell>
          <cell r="AX29">
            <v>4825.2</v>
          </cell>
          <cell r="AY29">
            <v>5000.09</v>
          </cell>
          <cell r="AZ29">
            <v>4755.34</v>
          </cell>
          <cell r="BA29">
            <v>4755.34</v>
          </cell>
        </row>
        <row r="30">
          <cell r="A30" t="str">
            <v>V1000H20B20</v>
          </cell>
          <cell r="B30">
            <v>1000</v>
          </cell>
          <cell r="C30">
            <v>2000</v>
          </cell>
          <cell r="D30">
            <v>2000</v>
          </cell>
          <cell r="E30">
            <v>19</v>
          </cell>
          <cell r="F30">
            <v>3</v>
          </cell>
          <cell r="G30">
            <v>0</v>
          </cell>
          <cell r="H30">
            <v>350</v>
          </cell>
          <cell r="I30">
            <v>50</v>
          </cell>
          <cell r="J30">
            <v>1025.5</v>
          </cell>
          <cell r="K30" t="str">
            <v>Q-11002959</v>
          </cell>
          <cell r="L30" t="str">
            <v>\\hokukon-net2\hop\Program\01_MVPシステム_容量別組立図\.\02_余裕高0_6m\pdf\FB600_1000m3-MVP-2000-組-B2000_Q-11002959.pdf</v>
          </cell>
          <cell r="M30">
            <v>5123.8</v>
          </cell>
          <cell r="N30">
            <v>5194.97</v>
          </cell>
          <cell r="O30">
            <v>5030.1400000000003</v>
          </cell>
          <cell r="P30">
            <v>5032.63</v>
          </cell>
          <cell r="Q30">
            <v>5160.22</v>
          </cell>
          <cell r="R30">
            <v>5106.76</v>
          </cell>
          <cell r="S30">
            <v>5094.1000000000004</v>
          </cell>
          <cell r="T30">
            <v>5097.1000000000004</v>
          </cell>
          <cell r="U30">
            <v>5070.4399999999996</v>
          </cell>
          <cell r="V30">
            <v>5043.99</v>
          </cell>
          <cell r="W30">
            <v>5079.1499999999996</v>
          </cell>
          <cell r="X30">
            <v>5099.0200000000004</v>
          </cell>
          <cell r="Y30">
            <v>5101.3500000000004</v>
          </cell>
          <cell r="Z30">
            <v>5260.69</v>
          </cell>
          <cell r="AA30">
            <v>5124.0200000000004</v>
          </cell>
          <cell r="AB30">
            <v>5138.59</v>
          </cell>
          <cell r="AC30">
            <v>5348.82</v>
          </cell>
          <cell r="AD30">
            <v>5067.1499999999996</v>
          </cell>
          <cell r="AE30">
            <v>5135.78</v>
          </cell>
          <cell r="AF30">
            <v>5324.03</v>
          </cell>
          <cell r="AG30">
            <v>5071.6499999999996</v>
          </cell>
          <cell r="AH30">
            <v>5122.5</v>
          </cell>
          <cell r="AI30">
            <v>5026.84</v>
          </cell>
          <cell r="AJ30">
            <v>5133.97</v>
          </cell>
          <cell r="AK30">
            <v>4920</v>
          </cell>
          <cell r="AL30">
            <v>5125.78</v>
          </cell>
          <cell r="AM30">
            <v>5356.99</v>
          </cell>
          <cell r="AN30">
            <v>5259.15</v>
          </cell>
          <cell r="AO30">
            <v>5247.06</v>
          </cell>
          <cell r="AP30">
            <v>5236.24</v>
          </cell>
          <cell r="AQ30">
            <v>5288.75</v>
          </cell>
          <cell r="AR30">
            <v>5097.0200000000004</v>
          </cell>
          <cell r="AS30">
            <v>5374.8</v>
          </cell>
          <cell r="AT30">
            <v>5220.47</v>
          </cell>
          <cell r="AU30">
            <v>5243.92</v>
          </cell>
          <cell r="AV30">
            <v>5309.03</v>
          </cell>
          <cell r="AW30">
            <v>5175.7</v>
          </cell>
          <cell r="AX30">
            <v>4910.16</v>
          </cell>
          <cell r="AY30">
            <v>5081.5</v>
          </cell>
          <cell r="AZ30">
            <v>4840.49</v>
          </cell>
          <cell r="BA30">
            <v>4840.49</v>
          </cell>
        </row>
        <row r="31">
          <cell r="A31" t="str">
            <v>V1000H25B30</v>
          </cell>
          <cell r="B31">
            <v>1000</v>
          </cell>
          <cell r="C31">
            <v>2500</v>
          </cell>
          <cell r="D31">
            <v>3000</v>
          </cell>
          <cell r="E31">
            <v>20</v>
          </cell>
          <cell r="F31">
            <v>3</v>
          </cell>
          <cell r="G31">
            <v>0</v>
          </cell>
          <cell r="H31">
            <v>300</v>
          </cell>
          <cell r="I31">
            <v>50</v>
          </cell>
          <cell r="J31">
            <v>1041.7</v>
          </cell>
          <cell r="K31" t="str">
            <v>Q-11002964</v>
          </cell>
          <cell r="L31" t="str">
            <v>\\hokukon-net2\hop\Program\01_MVPシステム_容量別組立図\.\02_余裕高0_6m\pdf\FB600_1000m3-MVP-2500-組-B3000_Q-11002964.pdf</v>
          </cell>
          <cell r="M31">
            <v>4623.6899999999996</v>
          </cell>
          <cell r="N31">
            <v>4673.99</v>
          </cell>
          <cell r="O31">
            <v>4561.38</v>
          </cell>
          <cell r="P31">
            <v>4563.1499999999996</v>
          </cell>
          <cell r="Q31">
            <v>4649.51</v>
          </cell>
          <cell r="R31">
            <v>4612.26</v>
          </cell>
          <cell r="S31">
            <v>4601.53</v>
          </cell>
          <cell r="T31">
            <v>4603.67</v>
          </cell>
          <cell r="U31">
            <v>4598.99</v>
          </cell>
          <cell r="V31">
            <v>4578.66</v>
          </cell>
          <cell r="W31">
            <v>4604.2</v>
          </cell>
          <cell r="X31">
            <v>4623.84</v>
          </cell>
          <cell r="Y31">
            <v>4626.9399999999996</v>
          </cell>
          <cell r="Z31">
            <v>4742.87</v>
          </cell>
          <cell r="AA31">
            <v>4646.25</v>
          </cell>
          <cell r="AB31">
            <v>4651.93</v>
          </cell>
          <cell r="AC31">
            <v>4793.0600000000004</v>
          </cell>
          <cell r="AD31">
            <v>4587.96</v>
          </cell>
          <cell r="AE31">
            <v>4638.8999999999996</v>
          </cell>
          <cell r="AF31">
            <v>4774.51</v>
          </cell>
          <cell r="AG31">
            <v>4602.6899999999996</v>
          </cell>
          <cell r="AH31">
            <v>4640.1499999999996</v>
          </cell>
          <cell r="AI31">
            <v>4573.3999999999996</v>
          </cell>
          <cell r="AJ31">
            <v>4645.25</v>
          </cell>
          <cell r="AK31">
            <v>4492.8900000000003</v>
          </cell>
          <cell r="AL31">
            <v>4634.99</v>
          </cell>
          <cell r="AM31">
            <v>4798.67</v>
          </cell>
          <cell r="AN31">
            <v>4680.84</v>
          </cell>
          <cell r="AO31">
            <v>4719.0200000000004</v>
          </cell>
          <cell r="AP31">
            <v>4714.71</v>
          </cell>
          <cell r="AQ31">
            <v>4751.29</v>
          </cell>
          <cell r="AR31">
            <v>4607.95</v>
          </cell>
          <cell r="AS31">
            <v>4803.3900000000003</v>
          </cell>
          <cell r="AT31">
            <v>4698.83</v>
          </cell>
          <cell r="AU31">
            <v>4715.4399999999996</v>
          </cell>
          <cell r="AV31">
            <v>4758.91</v>
          </cell>
          <cell r="AW31">
            <v>4662.5</v>
          </cell>
          <cell r="AX31">
            <v>4480.24</v>
          </cell>
          <cell r="AY31">
            <v>4596.28</v>
          </cell>
          <cell r="AZ31">
            <v>4428.05</v>
          </cell>
          <cell r="BA31">
            <v>4428.05</v>
          </cell>
        </row>
        <row r="32">
          <cell r="A32" t="str">
            <v>V1000H25B25</v>
          </cell>
          <cell r="B32">
            <v>1000</v>
          </cell>
          <cell r="C32">
            <v>2500</v>
          </cell>
          <cell r="D32">
            <v>2500</v>
          </cell>
          <cell r="E32">
            <v>22</v>
          </cell>
          <cell r="F32">
            <v>3</v>
          </cell>
          <cell r="G32">
            <v>0</v>
          </cell>
          <cell r="H32">
            <v>300</v>
          </cell>
          <cell r="I32">
            <v>50</v>
          </cell>
          <cell r="J32">
            <v>1045.7</v>
          </cell>
          <cell r="K32" t="str">
            <v>Q-11002963</v>
          </cell>
          <cell r="L32" t="str">
            <v>\\hokukon-net2\hop\Program\01_MVPシステム_容量別組立図\.\02_余裕高0_6m\pdf\FB600_1000m3-MVP-2500-組-B2500_Q-11002963.pdf</v>
          </cell>
          <cell r="M32">
            <v>4787.43</v>
          </cell>
          <cell r="N32">
            <v>4838.03</v>
          </cell>
          <cell r="O32">
            <v>4725.25</v>
          </cell>
          <cell r="P32">
            <v>4727.03</v>
          </cell>
          <cell r="Q32">
            <v>4813.2</v>
          </cell>
          <cell r="R32">
            <v>4775.6499999999996</v>
          </cell>
          <cell r="S32">
            <v>4764.46</v>
          </cell>
          <cell r="T32">
            <v>4766.6099999999997</v>
          </cell>
          <cell r="U32">
            <v>4763.96</v>
          </cell>
          <cell r="V32">
            <v>4743.2</v>
          </cell>
          <cell r="W32">
            <v>4769.13</v>
          </cell>
          <cell r="X32">
            <v>4789.63</v>
          </cell>
          <cell r="Y32">
            <v>4792.82</v>
          </cell>
          <cell r="Z32">
            <v>4910.26</v>
          </cell>
          <cell r="AA32">
            <v>4813.25</v>
          </cell>
          <cell r="AB32">
            <v>4818.1499999999996</v>
          </cell>
          <cell r="AC32">
            <v>4959.38</v>
          </cell>
          <cell r="AD32">
            <v>4752.1400000000003</v>
          </cell>
          <cell r="AE32">
            <v>4804.1099999999997</v>
          </cell>
          <cell r="AF32">
            <v>4941.16</v>
          </cell>
          <cell r="AG32">
            <v>4768.5600000000004</v>
          </cell>
          <cell r="AH32">
            <v>4806.3500000000004</v>
          </cell>
          <cell r="AI32">
            <v>4739.49</v>
          </cell>
          <cell r="AJ32">
            <v>4811.09</v>
          </cell>
          <cell r="AK32">
            <v>4657.26</v>
          </cell>
          <cell r="AL32">
            <v>4799.9399999999996</v>
          </cell>
          <cell r="AM32">
            <v>4965.03</v>
          </cell>
          <cell r="AN32">
            <v>4846.46</v>
          </cell>
          <cell r="AO32">
            <v>4884.34</v>
          </cell>
          <cell r="AP32">
            <v>4880.3999999999996</v>
          </cell>
          <cell r="AQ32">
            <v>4917.43</v>
          </cell>
          <cell r="AR32">
            <v>4771.47</v>
          </cell>
          <cell r="AS32">
            <v>4968.5600000000004</v>
          </cell>
          <cell r="AT32">
            <v>4864.17</v>
          </cell>
          <cell r="AU32">
            <v>4881.04</v>
          </cell>
          <cell r="AV32">
            <v>4924.05</v>
          </cell>
          <cell r="AW32">
            <v>4827.05</v>
          </cell>
          <cell r="AX32">
            <v>4644.1400000000003</v>
          </cell>
          <cell r="AY32">
            <v>4760.13</v>
          </cell>
          <cell r="AZ32">
            <v>4591.12</v>
          </cell>
          <cell r="BA32">
            <v>4591.12</v>
          </cell>
        </row>
        <row r="33">
          <cell r="A33" t="str">
            <v>V1000H25B20</v>
          </cell>
          <cell r="B33">
            <v>1000</v>
          </cell>
          <cell r="C33">
            <v>2500</v>
          </cell>
          <cell r="D33">
            <v>2000</v>
          </cell>
          <cell r="E33">
            <v>19</v>
          </cell>
          <cell r="F33">
            <v>4</v>
          </cell>
          <cell r="G33">
            <v>0</v>
          </cell>
          <cell r="H33">
            <v>300</v>
          </cell>
          <cell r="I33">
            <v>50</v>
          </cell>
          <cell r="J33">
            <v>1060</v>
          </cell>
          <cell r="K33" t="str">
            <v>Q-11002962</v>
          </cell>
          <cell r="L33" t="str">
            <v>\\hokukon-net2\hop\Program\01_MVPシステム_容量別組立図\.\02_余裕高0_6m\pdf\FB600_1000m3-MVP-2500-組-B2000_Q-11002962.pdf</v>
          </cell>
          <cell r="M33">
            <v>5043.63</v>
          </cell>
          <cell r="N33">
            <v>5095.2299999999996</v>
          </cell>
          <cell r="O33">
            <v>4982.05</v>
          </cell>
          <cell r="P33">
            <v>4983.87</v>
          </cell>
          <cell r="Q33">
            <v>5069.7</v>
          </cell>
          <cell r="R33">
            <v>5031.59</v>
          </cell>
          <cell r="S33">
            <v>5019.4799999999996</v>
          </cell>
          <cell r="T33">
            <v>5021.66</v>
          </cell>
          <cell r="U33">
            <v>5023.7</v>
          </cell>
          <cell r="V33">
            <v>5002.16</v>
          </cell>
          <cell r="W33">
            <v>5028.43</v>
          </cell>
          <cell r="X33">
            <v>5050.93</v>
          </cell>
          <cell r="Y33">
            <v>5054.38</v>
          </cell>
          <cell r="Z33">
            <v>5174.74</v>
          </cell>
          <cell r="AA33">
            <v>5076.5</v>
          </cell>
          <cell r="AB33">
            <v>5080.08</v>
          </cell>
          <cell r="AC33">
            <v>5221.08</v>
          </cell>
          <cell r="AD33">
            <v>5008.66</v>
          </cell>
          <cell r="AE33">
            <v>5062.75</v>
          </cell>
          <cell r="AF33">
            <v>5202.74</v>
          </cell>
          <cell r="AG33">
            <v>5029.0200000000004</v>
          </cell>
          <cell r="AH33">
            <v>5067.9399999999996</v>
          </cell>
          <cell r="AI33">
            <v>5000.37</v>
          </cell>
          <cell r="AJ33">
            <v>5071.62</v>
          </cell>
          <cell r="AK33">
            <v>4914.9799999999996</v>
          </cell>
          <cell r="AL33">
            <v>5059.3100000000004</v>
          </cell>
          <cell r="AM33">
            <v>5227.1099999999997</v>
          </cell>
          <cell r="AN33">
            <v>5107.33</v>
          </cell>
          <cell r="AO33">
            <v>5144.6000000000004</v>
          </cell>
          <cell r="AP33">
            <v>5141.58</v>
          </cell>
          <cell r="AQ33">
            <v>5179.22</v>
          </cell>
          <cell r="AR33">
            <v>5027.54</v>
          </cell>
          <cell r="AS33">
            <v>5227.5600000000004</v>
          </cell>
          <cell r="AT33">
            <v>5123.72</v>
          </cell>
          <cell r="AU33">
            <v>5140.67</v>
          </cell>
          <cell r="AV33">
            <v>5183.2</v>
          </cell>
          <cell r="AW33">
            <v>5084.6099999999997</v>
          </cell>
          <cell r="AX33">
            <v>4900.0200000000004</v>
          </cell>
          <cell r="AY33">
            <v>5016.47</v>
          </cell>
          <cell r="AZ33">
            <v>4845.3599999999997</v>
          </cell>
          <cell r="BA33">
            <v>4845.3599999999997</v>
          </cell>
        </row>
        <row r="34">
          <cell r="A34" t="str">
            <v>V1000H30B30</v>
          </cell>
          <cell r="B34">
            <v>1000</v>
          </cell>
          <cell r="C34">
            <v>3000</v>
          </cell>
          <cell r="D34">
            <v>3000</v>
          </cell>
          <cell r="E34">
            <v>16</v>
          </cell>
          <cell r="F34">
            <v>3</v>
          </cell>
          <cell r="G34">
            <v>0</v>
          </cell>
          <cell r="H34">
            <v>300</v>
          </cell>
          <cell r="I34">
            <v>50</v>
          </cell>
          <cell r="J34">
            <v>1061.3</v>
          </cell>
          <cell r="K34" t="str">
            <v>Q-11002967</v>
          </cell>
          <cell r="L34" t="str">
            <v>\\hokukon-net2\hop\Program\01_MVPシステム_容量別組立図\.\02_余裕高0_6m\pdf\FB600_1000m3-MVP-3000-組-B3000_Q-11002967.pdf</v>
          </cell>
          <cell r="M34">
            <v>4078.18</v>
          </cell>
          <cell r="N34">
            <v>4119.7299999999996</v>
          </cell>
          <cell r="O34">
            <v>4029.2</v>
          </cell>
          <cell r="P34">
            <v>4030.65</v>
          </cell>
          <cell r="Q34">
            <v>4098.8999999999996</v>
          </cell>
          <cell r="R34">
            <v>4068.12</v>
          </cell>
          <cell r="S34">
            <v>4058.31</v>
          </cell>
          <cell r="T34">
            <v>4060.05</v>
          </cell>
          <cell r="U34">
            <v>4062.81</v>
          </cell>
          <cell r="V34">
            <v>4045.55</v>
          </cell>
          <cell r="W34">
            <v>4065.97</v>
          </cell>
          <cell r="X34">
            <v>4084.35</v>
          </cell>
          <cell r="Y34">
            <v>4087.48</v>
          </cell>
          <cell r="Z34">
            <v>4183.53</v>
          </cell>
          <cell r="AA34">
            <v>4105.05</v>
          </cell>
          <cell r="AB34">
            <v>4107.6000000000004</v>
          </cell>
          <cell r="AC34">
            <v>4219.67</v>
          </cell>
          <cell r="AD34">
            <v>4049.89</v>
          </cell>
          <cell r="AE34">
            <v>4093.49</v>
          </cell>
          <cell r="AF34">
            <v>4205</v>
          </cell>
          <cell r="AG34">
            <v>4066.74</v>
          </cell>
          <cell r="AH34">
            <v>4097.4799999999996</v>
          </cell>
          <cell r="AI34">
            <v>4044.02</v>
          </cell>
          <cell r="AJ34">
            <v>4100.24</v>
          </cell>
          <cell r="AK34">
            <v>3975.97</v>
          </cell>
          <cell r="AL34">
            <v>4090.92</v>
          </cell>
          <cell r="AM34">
            <v>4224.91</v>
          </cell>
          <cell r="AN34">
            <v>4129.9799999999996</v>
          </cell>
          <cell r="AO34">
            <v>4159.3900000000003</v>
          </cell>
          <cell r="AP34">
            <v>4156.54</v>
          </cell>
          <cell r="AQ34">
            <v>4186.83</v>
          </cell>
          <cell r="AR34">
            <v>4065.03</v>
          </cell>
          <cell r="AS34">
            <v>4224.08</v>
          </cell>
          <cell r="AT34">
            <v>4141.76</v>
          </cell>
          <cell r="AU34">
            <v>4155.3100000000004</v>
          </cell>
          <cell r="AV34">
            <v>4188.8999999999996</v>
          </cell>
          <cell r="AW34">
            <v>4110.38</v>
          </cell>
          <cell r="AX34">
            <v>3962.65</v>
          </cell>
          <cell r="AY34">
            <v>4055.8</v>
          </cell>
          <cell r="AZ34">
            <v>3919.53</v>
          </cell>
          <cell r="BA34">
            <v>3919.53</v>
          </cell>
        </row>
        <row r="35">
          <cell r="A35" t="str">
            <v>V1000H30B25</v>
          </cell>
          <cell r="B35">
            <v>1000</v>
          </cell>
          <cell r="C35">
            <v>3000</v>
          </cell>
          <cell r="D35">
            <v>2500</v>
          </cell>
          <cell r="E35">
            <v>17</v>
          </cell>
          <cell r="F35">
            <v>3</v>
          </cell>
          <cell r="G35">
            <v>0</v>
          </cell>
          <cell r="H35">
            <v>300</v>
          </cell>
          <cell r="I35">
            <v>50</v>
          </cell>
          <cell r="J35">
            <v>1029.7</v>
          </cell>
          <cell r="K35" t="str">
            <v>Q-11002966</v>
          </cell>
          <cell r="L35" t="str">
            <v>\\hokukon-net2\hop\Program\01_MVPシステム_容量別組立図\.\02_余裕高0_6m\pdf\FB600_1000m3-MVP-3000-組-B2500_Q-11002966.pdf</v>
          </cell>
          <cell r="M35">
            <v>4088.73</v>
          </cell>
          <cell r="N35">
            <v>4129.21</v>
          </cell>
          <cell r="O35">
            <v>4041.61</v>
          </cell>
          <cell r="P35">
            <v>4043.01</v>
          </cell>
          <cell r="Q35">
            <v>4108.76</v>
          </cell>
          <cell r="R35">
            <v>4078.79</v>
          </cell>
          <cell r="S35">
            <v>4068.87</v>
          </cell>
          <cell r="T35">
            <v>4070.57</v>
          </cell>
          <cell r="U35">
            <v>4075.18</v>
          </cell>
          <cell r="V35">
            <v>4058.11</v>
          </cell>
          <cell r="W35">
            <v>4078.14</v>
          </cell>
          <cell r="X35">
            <v>4096.71</v>
          </cell>
          <cell r="Y35">
            <v>4099.82</v>
          </cell>
          <cell r="Z35">
            <v>4193.96</v>
          </cell>
          <cell r="AA35">
            <v>4117.6899999999996</v>
          </cell>
          <cell r="AB35">
            <v>4119.53</v>
          </cell>
          <cell r="AC35">
            <v>4227.8</v>
          </cell>
          <cell r="AD35">
            <v>4061.69</v>
          </cell>
          <cell r="AE35">
            <v>4104.75</v>
          </cell>
          <cell r="AF35">
            <v>4213.7700000000004</v>
          </cell>
          <cell r="AG35">
            <v>4079.58</v>
          </cell>
          <cell r="AH35">
            <v>4109.6400000000003</v>
          </cell>
          <cell r="AI35">
            <v>4057.84</v>
          </cell>
          <cell r="AJ35">
            <v>4111.97</v>
          </cell>
          <cell r="AK35">
            <v>3990.58</v>
          </cell>
          <cell r="AL35">
            <v>4102.2700000000004</v>
          </cell>
          <cell r="AM35">
            <v>4232.96</v>
          </cell>
          <cell r="AN35">
            <v>4140.63</v>
          </cell>
          <cell r="AO35">
            <v>4168.78</v>
          </cell>
          <cell r="AP35">
            <v>4166.3900000000003</v>
          </cell>
          <cell r="AQ35">
            <v>4195.99</v>
          </cell>
          <cell r="AR35">
            <v>4075.89</v>
          </cell>
          <cell r="AS35">
            <v>4230.9799999999996</v>
          </cell>
          <cell r="AT35">
            <v>4151.62</v>
          </cell>
          <cell r="AU35">
            <v>4164.8500000000004</v>
          </cell>
          <cell r="AV35">
            <v>4196.9799999999996</v>
          </cell>
          <cell r="AW35">
            <v>4120.51</v>
          </cell>
          <cell r="AX35">
            <v>3977.13</v>
          </cell>
          <cell r="AY35">
            <v>4067.19</v>
          </cell>
          <cell r="AZ35">
            <v>3934.71</v>
          </cell>
          <cell r="BA35">
            <v>3934.71</v>
          </cell>
        </row>
        <row r="36">
          <cell r="A36" t="str">
            <v>V1000H30B20</v>
          </cell>
          <cell r="B36">
            <v>1000</v>
          </cell>
          <cell r="C36">
            <v>3000</v>
          </cell>
          <cell r="D36">
            <v>2000</v>
          </cell>
          <cell r="E36">
            <v>19</v>
          </cell>
          <cell r="F36">
            <v>3</v>
          </cell>
          <cell r="G36">
            <v>0</v>
          </cell>
          <cell r="H36">
            <v>300</v>
          </cell>
          <cell r="I36">
            <v>50</v>
          </cell>
          <cell r="J36">
            <v>1040.2</v>
          </cell>
          <cell r="K36" t="str">
            <v>Q-11002965</v>
          </cell>
          <cell r="L36" t="str">
            <v>\\hokukon-net2\hop\Program\01_MVPシステム_容量別組立図\.\02_余裕高0_6m\pdf\FB600_1000m3-MVP-3000-組-B2000_Q-11002965.pdf</v>
          </cell>
          <cell r="M36">
            <v>4278.16</v>
          </cell>
          <cell r="N36">
            <v>4319.1099999999997</v>
          </cell>
          <cell r="O36">
            <v>4230.97</v>
          </cell>
          <cell r="P36">
            <v>4232.3900000000003</v>
          </cell>
          <cell r="Q36">
            <v>4298.1899999999996</v>
          </cell>
          <cell r="R36">
            <v>4267.78</v>
          </cell>
          <cell r="S36">
            <v>4257.34</v>
          </cell>
          <cell r="T36">
            <v>4259.0600000000004</v>
          </cell>
          <cell r="U36">
            <v>4265.83</v>
          </cell>
          <cell r="V36">
            <v>4248.26</v>
          </cell>
          <cell r="W36">
            <v>4268.74</v>
          </cell>
          <cell r="X36">
            <v>4288.28</v>
          </cell>
          <cell r="Y36">
            <v>4291.53</v>
          </cell>
          <cell r="Z36">
            <v>4387.6099999999997</v>
          </cell>
          <cell r="AA36">
            <v>4310.6499999999996</v>
          </cell>
          <cell r="AB36">
            <v>4311.66</v>
          </cell>
          <cell r="AC36">
            <v>4420.45</v>
          </cell>
          <cell r="AD36">
            <v>4251.51</v>
          </cell>
          <cell r="AE36">
            <v>4295.8</v>
          </cell>
          <cell r="AF36">
            <v>4406.72</v>
          </cell>
          <cell r="AG36">
            <v>4271.24</v>
          </cell>
          <cell r="AH36">
            <v>4301.7</v>
          </cell>
          <cell r="AI36">
            <v>4249.62</v>
          </cell>
          <cell r="AJ36">
            <v>4303.6499999999996</v>
          </cell>
          <cell r="AK36">
            <v>4180.33</v>
          </cell>
          <cell r="AL36">
            <v>4293</v>
          </cell>
          <cell r="AM36">
            <v>4425.66</v>
          </cell>
          <cell r="AN36">
            <v>4332.2299999999996</v>
          </cell>
          <cell r="AO36">
            <v>4360.1400000000003</v>
          </cell>
          <cell r="AP36">
            <v>4358.1400000000003</v>
          </cell>
          <cell r="AQ36">
            <v>4388.28</v>
          </cell>
          <cell r="AR36">
            <v>4265.05</v>
          </cell>
          <cell r="AS36">
            <v>4422.41</v>
          </cell>
          <cell r="AT36">
            <v>4342.95</v>
          </cell>
          <cell r="AU36">
            <v>4356.54</v>
          </cell>
          <cell r="AV36">
            <v>4388.25</v>
          </cell>
          <cell r="AW36">
            <v>4310.91</v>
          </cell>
          <cell r="AX36">
            <v>4166.3</v>
          </cell>
          <cell r="AY36">
            <v>4256.6400000000003</v>
          </cell>
          <cell r="AZ36">
            <v>4122.88</v>
          </cell>
          <cell r="BA36">
            <v>4122.88</v>
          </cell>
        </row>
        <row r="37">
          <cell r="A37" t="str">
            <v>V1000H35B30</v>
          </cell>
          <cell r="B37">
            <v>1000</v>
          </cell>
          <cell r="C37">
            <v>3500</v>
          </cell>
          <cell r="D37">
            <v>3000</v>
          </cell>
          <cell r="E37">
            <v>13</v>
          </cell>
          <cell r="F37">
            <v>3</v>
          </cell>
          <cell r="G37">
            <v>0</v>
          </cell>
          <cell r="H37">
            <v>300</v>
          </cell>
          <cell r="I37">
            <v>50</v>
          </cell>
          <cell r="J37">
            <v>1051.5999999999999</v>
          </cell>
          <cell r="K37" t="str">
            <v>Q-11002970</v>
          </cell>
          <cell r="L37" t="str">
            <v>\\hokukon-net2\hop\Program\01_MVPシステム_容量別組立図\.\02_余裕高0_6m\pdf\FB600_1000m3-MVP-3500-組-B3000_Q-11002970.pdf</v>
          </cell>
          <cell r="M37">
            <v>3649.6</v>
          </cell>
          <cell r="N37">
            <v>3684.71</v>
          </cell>
          <cell r="O37">
            <v>3610.56</v>
          </cell>
          <cell r="P37">
            <v>3611.77</v>
          </cell>
          <cell r="Q37">
            <v>3666.72</v>
          </cell>
          <cell r="R37">
            <v>3641.13</v>
          </cell>
          <cell r="S37">
            <v>3632.24</v>
          </cell>
          <cell r="T37">
            <v>3633.68</v>
          </cell>
          <cell r="U37">
            <v>3640.58</v>
          </cell>
          <cell r="V37">
            <v>3625.8</v>
          </cell>
          <cell r="W37">
            <v>3642.5</v>
          </cell>
          <cell r="X37">
            <v>3659.37</v>
          </cell>
          <cell r="Y37">
            <v>3662.19</v>
          </cell>
          <cell r="Z37">
            <v>3742.91</v>
          </cell>
          <cell r="AA37">
            <v>3677.84</v>
          </cell>
          <cell r="AB37">
            <v>3678.76</v>
          </cell>
          <cell r="AC37">
            <v>3769.43</v>
          </cell>
          <cell r="AD37">
            <v>3626.28</v>
          </cell>
          <cell r="AE37">
            <v>3663.82</v>
          </cell>
          <cell r="AF37">
            <v>3757.08</v>
          </cell>
          <cell r="AG37">
            <v>3643.81</v>
          </cell>
          <cell r="AH37">
            <v>3669.95</v>
          </cell>
          <cell r="AI37">
            <v>3625.74</v>
          </cell>
          <cell r="AJ37">
            <v>3671.02</v>
          </cell>
          <cell r="AK37">
            <v>3567.71</v>
          </cell>
          <cell r="AL37">
            <v>3662.91</v>
          </cell>
          <cell r="AM37">
            <v>3774.38</v>
          </cell>
          <cell r="AN37">
            <v>3696.44</v>
          </cell>
          <cell r="AO37">
            <v>3719.68</v>
          </cell>
          <cell r="AP37">
            <v>3718.16</v>
          </cell>
          <cell r="AQ37">
            <v>3743.38</v>
          </cell>
          <cell r="AR37">
            <v>3638.6</v>
          </cell>
          <cell r="AS37">
            <v>3770.37</v>
          </cell>
          <cell r="AT37">
            <v>3703.95</v>
          </cell>
          <cell r="AU37">
            <v>3714.99</v>
          </cell>
          <cell r="AV37">
            <v>3741.98</v>
          </cell>
          <cell r="AW37">
            <v>3676.55</v>
          </cell>
          <cell r="AX37">
            <v>3554.43</v>
          </cell>
          <cell r="AY37">
            <v>3630.97</v>
          </cell>
          <cell r="AZ37">
            <v>3518.09</v>
          </cell>
          <cell r="BA37">
            <v>3518.09</v>
          </cell>
        </row>
        <row r="38">
          <cell r="A38" t="str">
            <v>V1000H35B25</v>
          </cell>
          <cell r="B38">
            <v>1000</v>
          </cell>
          <cell r="C38">
            <v>3500</v>
          </cell>
          <cell r="D38">
            <v>2500</v>
          </cell>
          <cell r="E38">
            <v>20</v>
          </cell>
          <cell r="F38">
            <v>2</v>
          </cell>
          <cell r="G38">
            <v>0</v>
          </cell>
          <cell r="H38">
            <v>300</v>
          </cell>
          <cell r="I38">
            <v>50</v>
          </cell>
          <cell r="J38">
            <v>1030.8</v>
          </cell>
          <cell r="K38" t="str">
            <v>Q-11002969</v>
          </cell>
          <cell r="L38" t="str">
            <v>\\hokukon-net2\hop\Program\01_MVPシステム_容量別組立図\.\02_余裕高0_6m\pdf\FB600_1000m3-MVP-3500-組-B2500_Q-11002969.pdf</v>
          </cell>
          <cell r="M38">
            <v>3674.13</v>
          </cell>
          <cell r="N38">
            <v>3708.31</v>
          </cell>
          <cell r="O38">
            <v>3634.91</v>
          </cell>
          <cell r="P38">
            <v>3636.1</v>
          </cell>
          <cell r="Q38">
            <v>3690.73</v>
          </cell>
          <cell r="R38">
            <v>3665.59</v>
          </cell>
          <cell r="S38">
            <v>3657</v>
          </cell>
          <cell r="T38">
            <v>3658.42</v>
          </cell>
          <cell r="U38">
            <v>3663.7</v>
          </cell>
          <cell r="V38">
            <v>3649.15</v>
          </cell>
          <cell r="W38">
            <v>3666.11</v>
          </cell>
          <cell r="X38">
            <v>3682.16</v>
          </cell>
          <cell r="Y38">
            <v>3684.78</v>
          </cell>
          <cell r="Z38">
            <v>3764.4</v>
          </cell>
          <cell r="AA38">
            <v>3700.31</v>
          </cell>
          <cell r="AB38">
            <v>3701.42</v>
          </cell>
          <cell r="AC38">
            <v>3791.83</v>
          </cell>
          <cell r="AD38">
            <v>3651.59</v>
          </cell>
          <cell r="AE38">
            <v>3688.22</v>
          </cell>
          <cell r="AF38">
            <v>3780.17</v>
          </cell>
          <cell r="AG38">
            <v>3667.63</v>
          </cell>
          <cell r="AH38">
            <v>3693.02</v>
          </cell>
          <cell r="AI38">
            <v>3649.64</v>
          </cell>
          <cell r="AJ38">
            <v>3694.63</v>
          </cell>
          <cell r="AK38">
            <v>3592.51</v>
          </cell>
          <cell r="AL38">
            <v>3686.26</v>
          </cell>
          <cell r="AM38">
            <v>3796.35</v>
          </cell>
          <cell r="AN38">
            <v>3718.93</v>
          </cell>
          <cell r="AO38">
            <v>3742.18</v>
          </cell>
          <cell r="AP38">
            <v>3740.43</v>
          </cell>
          <cell r="AQ38">
            <v>3765.48</v>
          </cell>
          <cell r="AR38">
            <v>3663.31</v>
          </cell>
          <cell r="AS38">
            <v>3793.79</v>
          </cell>
          <cell r="AT38">
            <v>3727.56</v>
          </cell>
          <cell r="AU38">
            <v>3738.81</v>
          </cell>
          <cell r="AV38">
            <v>3765.36</v>
          </cell>
          <cell r="AW38">
            <v>3701.03</v>
          </cell>
          <cell r="AX38">
            <v>3580.6</v>
          </cell>
          <cell r="AY38">
            <v>3655.96</v>
          </cell>
          <cell r="AZ38">
            <v>3544.77</v>
          </cell>
          <cell r="BA38">
            <v>3544.77</v>
          </cell>
        </row>
        <row r="39">
          <cell r="A39" t="str">
            <v>V1000H35B20</v>
          </cell>
          <cell r="B39">
            <v>1000</v>
          </cell>
          <cell r="C39">
            <v>3500</v>
          </cell>
          <cell r="D39">
            <v>2000</v>
          </cell>
          <cell r="E39">
            <v>15</v>
          </cell>
          <cell r="F39">
            <v>3</v>
          </cell>
          <cell r="G39">
            <v>0</v>
          </cell>
          <cell r="H39">
            <v>300</v>
          </cell>
          <cell r="I39">
            <v>50</v>
          </cell>
          <cell r="J39">
            <v>1001.2</v>
          </cell>
          <cell r="K39" t="str">
            <v>Q-11002968</v>
          </cell>
          <cell r="L39" t="str">
            <v>\\hokukon-net2\hop\Program\01_MVPシステム_容量別組立図\.\02_余裕高0_6m\pdf\FB600_1000m3-MVP-3500-組-B2000_Q-11002968.pdf</v>
          </cell>
          <cell r="M39">
            <v>3726.54</v>
          </cell>
          <cell r="N39">
            <v>3760.21</v>
          </cell>
          <cell r="O39">
            <v>3690.17</v>
          </cell>
          <cell r="P39">
            <v>3691.31</v>
          </cell>
          <cell r="Q39">
            <v>3742.61</v>
          </cell>
          <cell r="R39">
            <v>3718.04</v>
          </cell>
          <cell r="S39">
            <v>3708.86</v>
          </cell>
          <cell r="T39">
            <v>3710.25</v>
          </cell>
          <cell r="U39">
            <v>3720.54</v>
          </cell>
          <cell r="V39">
            <v>3705.91</v>
          </cell>
          <cell r="W39">
            <v>3722.15</v>
          </cell>
          <cell r="X39">
            <v>3739.59</v>
          </cell>
          <cell r="Y39">
            <v>3742.46</v>
          </cell>
          <cell r="Z39">
            <v>3820.96</v>
          </cell>
          <cell r="AA39">
            <v>3758.96</v>
          </cell>
          <cell r="AB39">
            <v>3758.54</v>
          </cell>
          <cell r="AC39">
            <v>3843.79</v>
          </cell>
          <cell r="AD39">
            <v>3705.17</v>
          </cell>
          <cell r="AE39">
            <v>3742.31</v>
          </cell>
          <cell r="AF39">
            <v>3832.53</v>
          </cell>
          <cell r="AG39">
            <v>3724.81</v>
          </cell>
          <cell r="AH39">
            <v>3750.06</v>
          </cell>
          <cell r="AI39">
            <v>3708.21</v>
          </cell>
          <cell r="AJ39">
            <v>3750.36</v>
          </cell>
          <cell r="AK39">
            <v>3650.74</v>
          </cell>
          <cell r="AL39">
            <v>3741.4</v>
          </cell>
          <cell r="AM39">
            <v>3848.63</v>
          </cell>
          <cell r="AN39">
            <v>3774.18</v>
          </cell>
          <cell r="AO39">
            <v>3795.48</v>
          </cell>
          <cell r="AP39">
            <v>3794.75</v>
          </cell>
          <cell r="AQ39">
            <v>3819.16</v>
          </cell>
          <cell r="AR39">
            <v>3715.9</v>
          </cell>
          <cell r="AS39">
            <v>3842.53</v>
          </cell>
          <cell r="AT39">
            <v>3780.46</v>
          </cell>
          <cell r="AU39">
            <v>3791.16</v>
          </cell>
          <cell r="AV39">
            <v>3815.84</v>
          </cell>
          <cell r="AW39">
            <v>3753.16</v>
          </cell>
          <cell r="AX39">
            <v>3637.08</v>
          </cell>
          <cell r="AY39">
            <v>3709.12</v>
          </cell>
          <cell r="AZ39">
            <v>3601.47</v>
          </cell>
          <cell r="BA39">
            <v>3601.47</v>
          </cell>
        </row>
        <row r="40">
          <cell r="A40" t="str">
            <v>V1000H40B30</v>
          </cell>
          <cell r="B40">
            <v>1000</v>
          </cell>
          <cell r="C40">
            <v>4000</v>
          </cell>
          <cell r="D40">
            <v>3000</v>
          </cell>
          <cell r="E40">
            <v>11</v>
          </cell>
          <cell r="F40">
            <v>3</v>
          </cell>
          <cell r="G40">
            <v>0</v>
          </cell>
          <cell r="H40">
            <v>350</v>
          </cell>
          <cell r="I40">
            <v>70</v>
          </cell>
          <cell r="J40">
            <v>1060.4000000000001</v>
          </cell>
          <cell r="K40" t="str">
            <v>Q-11002973</v>
          </cell>
          <cell r="L40" t="str">
            <v>\\hokukon-net2\hop\Program\01_MVPシステム_容量別組立図\.\02_余裕高0_6m\pdf\FB600_1000m3-MVP-4000-組-B3000_Q-11002973.pdf</v>
          </cell>
          <cell r="M40">
            <v>3829.57</v>
          </cell>
          <cell r="N40">
            <v>3864.19</v>
          </cell>
          <cell r="O40">
            <v>3793.57</v>
          </cell>
          <cell r="P40">
            <v>3794.69</v>
          </cell>
          <cell r="Q40">
            <v>3846.2</v>
          </cell>
          <cell r="R40">
            <v>3821.6</v>
          </cell>
          <cell r="S40">
            <v>3812.6</v>
          </cell>
          <cell r="T40">
            <v>3813.96</v>
          </cell>
          <cell r="U40">
            <v>3820.92</v>
          </cell>
          <cell r="V40">
            <v>3807.12</v>
          </cell>
          <cell r="W40">
            <v>3822.73</v>
          </cell>
          <cell r="X40">
            <v>3838.69</v>
          </cell>
          <cell r="Y40">
            <v>3840.8</v>
          </cell>
          <cell r="Z40">
            <v>3918.07</v>
          </cell>
          <cell r="AA40">
            <v>3856.07</v>
          </cell>
          <cell r="AB40">
            <v>3857.3</v>
          </cell>
          <cell r="AC40">
            <v>3942.53</v>
          </cell>
          <cell r="AD40">
            <v>3802.48</v>
          </cell>
          <cell r="AE40">
            <v>3839.73</v>
          </cell>
          <cell r="AF40">
            <v>3928.36</v>
          </cell>
          <cell r="AG40">
            <v>3818.77</v>
          </cell>
          <cell r="AH40">
            <v>3844.38</v>
          </cell>
          <cell r="AI40">
            <v>3802.3</v>
          </cell>
          <cell r="AJ40">
            <v>3844.37</v>
          </cell>
          <cell r="AK40">
            <v>3754</v>
          </cell>
          <cell r="AL40">
            <v>3845.68</v>
          </cell>
          <cell r="AM40">
            <v>3951.54</v>
          </cell>
          <cell r="AN40">
            <v>3877.76</v>
          </cell>
          <cell r="AO40">
            <v>3899.91</v>
          </cell>
          <cell r="AP40">
            <v>3898.62</v>
          </cell>
          <cell r="AQ40">
            <v>3923.17</v>
          </cell>
          <cell r="AR40">
            <v>3814.11</v>
          </cell>
          <cell r="AS40">
            <v>3939.48</v>
          </cell>
          <cell r="AT40">
            <v>3877.92</v>
          </cell>
          <cell r="AU40">
            <v>3888.01</v>
          </cell>
          <cell r="AV40">
            <v>3912.81</v>
          </cell>
          <cell r="AW40">
            <v>3849.54</v>
          </cell>
          <cell r="AX40">
            <v>3732.3</v>
          </cell>
          <cell r="AY40">
            <v>3805.39</v>
          </cell>
          <cell r="AZ40">
            <v>3697.25</v>
          </cell>
          <cell r="BA40">
            <v>3697.25</v>
          </cell>
        </row>
        <row r="41">
          <cell r="A41" t="str">
            <v>V1000H40B25</v>
          </cell>
          <cell r="B41">
            <v>1000</v>
          </cell>
          <cell r="C41">
            <v>4000</v>
          </cell>
          <cell r="D41">
            <v>2500</v>
          </cell>
          <cell r="E41">
            <v>17</v>
          </cell>
          <cell r="F41">
            <v>2</v>
          </cell>
          <cell r="G41">
            <v>0</v>
          </cell>
          <cell r="H41">
            <v>350</v>
          </cell>
          <cell r="I41">
            <v>70</v>
          </cell>
          <cell r="J41">
            <v>1041.5</v>
          </cell>
          <cell r="K41" t="str">
            <v>Q-11002972</v>
          </cell>
          <cell r="L41" t="str">
            <v>\\hokukon-net2\hop\Program\01_MVPシステム_容量別組立図\.\02_余裕高0_6m\pdf\FB600_1000m3-MVP-4000-組-B2500_Q-11002972.pdf</v>
          </cell>
          <cell r="M41">
            <v>3882.88</v>
          </cell>
          <cell r="N41">
            <v>3916.42</v>
          </cell>
          <cell r="O41">
            <v>3846.45</v>
          </cell>
          <cell r="P41">
            <v>3847.57</v>
          </cell>
          <cell r="Q41">
            <v>3899</v>
          </cell>
          <cell r="R41">
            <v>3874.79</v>
          </cell>
          <cell r="S41">
            <v>3866.12</v>
          </cell>
          <cell r="T41">
            <v>3867.46</v>
          </cell>
          <cell r="U41">
            <v>3872.24</v>
          </cell>
          <cell r="V41">
            <v>3858.78</v>
          </cell>
          <cell r="W41">
            <v>3874.78</v>
          </cell>
          <cell r="X41">
            <v>3889.73</v>
          </cell>
          <cell r="Y41">
            <v>3891.62</v>
          </cell>
          <cell r="Z41">
            <v>3967.78</v>
          </cell>
          <cell r="AA41">
            <v>3906.7</v>
          </cell>
          <cell r="AB41">
            <v>3908.26</v>
          </cell>
          <cell r="AC41">
            <v>3993.48</v>
          </cell>
          <cell r="AD41">
            <v>3856.41</v>
          </cell>
          <cell r="AE41">
            <v>3892.57</v>
          </cell>
          <cell r="AF41">
            <v>3979.91</v>
          </cell>
          <cell r="AG41">
            <v>3870.79</v>
          </cell>
          <cell r="AH41">
            <v>3895.54</v>
          </cell>
          <cell r="AI41">
            <v>3854.27</v>
          </cell>
          <cell r="AJ41">
            <v>3896.22</v>
          </cell>
          <cell r="AK41">
            <v>3807.4</v>
          </cell>
          <cell r="AL41">
            <v>3897.54</v>
          </cell>
          <cell r="AM41">
            <v>4001.98</v>
          </cell>
          <cell r="AN41">
            <v>3928.75</v>
          </cell>
          <cell r="AO41">
            <v>3950.97</v>
          </cell>
          <cell r="AP41">
            <v>3949.36</v>
          </cell>
          <cell r="AQ41">
            <v>3973.79</v>
          </cell>
          <cell r="AR41">
            <v>3867.32</v>
          </cell>
          <cell r="AS41">
            <v>3991.51</v>
          </cell>
          <cell r="AT41">
            <v>3929.9</v>
          </cell>
          <cell r="AU41">
            <v>3940.25</v>
          </cell>
          <cell r="AV41">
            <v>3964.74</v>
          </cell>
          <cell r="AW41">
            <v>3902.47</v>
          </cell>
          <cell r="AX41">
            <v>3786.92</v>
          </cell>
          <cell r="AY41">
            <v>3858.85</v>
          </cell>
          <cell r="AZ41">
            <v>3752.38</v>
          </cell>
          <cell r="BA41">
            <v>3752.38</v>
          </cell>
        </row>
        <row r="42">
          <cell r="A42" t="str">
            <v>V1000H40B20</v>
          </cell>
          <cell r="B42">
            <v>1000</v>
          </cell>
          <cell r="C42">
            <v>4000</v>
          </cell>
          <cell r="D42">
            <v>2000</v>
          </cell>
          <cell r="E42">
            <v>13</v>
          </cell>
          <cell r="F42">
            <v>3</v>
          </cell>
          <cell r="G42">
            <v>0</v>
          </cell>
          <cell r="H42">
            <v>350</v>
          </cell>
          <cell r="I42">
            <v>70</v>
          </cell>
          <cell r="J42">
            <v>1033.5999999999999</v>
          </cell>
          <cell r="K42" t="str">
            <v>Q-11002971</v>
          </cell>
          <cell r="L42" t="str">
            <v>\\hokukon-net2\hop\Program\01_MVPシステム_容量別組立図\.\02_余裕高0_6m\pdf\FB600_1000m3-MVP-4000-組-B2000_Q-11002971.pdf</v>
          </cell>
          <cell r="M42">
            <v>4017.55</v>
          </cell>
          <cell r="N42">
            <v>4051.51</v>
          </cell>
          <cell r="O42">
            <v>3983.12</v>
          </cell>
          <cell r="P42">
            <v>3984.22</v>
          </cell>
          <cell r="Q42">
            <v>4033.54</v>
          </cell>
          <cell r="R42">
            <v>4009.38</v>
          </cell>
          <cell r="S42">
            <v>3999.98</v>
          </cell>
          <cell r="T42">
            <v>4001.33</v>
          </cell>
          <cell r="U42">
            <v>4011.1</v>
          </cell>
          <cell r="V42">
            <v>3997.19</v>
          </cell>
          <cell r="W42">
            <v>4012.68</v>
          </cell>
          <cell r="X42">
            <v>4029.39</v>
          </cell>
          <cell r="Y42">
            <v>4031.62</v>
          </cell>
          <cell r="Z42">
            <v>4108.3500000000004</v>
          </cell>
          <cell r="AA42">
            <v>4047.94</v>
          </cell>
          <cell r="AB42">
            <v>4048.02</v>
          </cell>
          <cell r="AC42">
            <v>4130.08</v>
          </cell>
          <cell r="AD42">
            <v>3991.35</v>
          </cell>
          <cell r="AE42">
            <v>4028.83</v>
          </cell>
          <cell r="AF42">
            <v>4116.32</v>
          </cell>
          <cell r="AG42">
            <v>4009.45</v>
          </cell>
          <cell r="AH42">
            <v>4034.68</v>
          </cell>
          <cell r="AI42">
            <v>3993.96</v>
          </cell>
          <cell r="AJ42">
            <v>4034.07</v>
          </cell>
          <cell r="AK42">
            <v>3946.06</v>
          </cell>
          <cell r="AL42">
            <v>4035.35</v>
          </cell>
          <cell r="AM42">
            <v>4139.3900000000003</v>
          </cell>
          <cell r="AN42">
            <v>4067.33</v>
          </cell>
          <cell r="AO42">
            <v>4088.21</v>
          </cell>
          <cell r="AP42">
            <v>4087.56</v>
          </cell>
          <cell r="AQ42">
            <v>4111.84</v>
          </cell>
          <cell r="AR42">
            <v>4001.72</v>
          </cell>
          <cell r="AS42">
            <v>4124.8599999999997</v>
          </cell>
          <cell r="AT42">
            <v>4065.79</v>
          </cell>
          <cell r="AU42">
            <v>4075.88</v>
          </cell>
          <cell r="AV42">
            <v>4099.1000000000004</v>
          </cell>
          <cell r="AW42">
            <v>4036.94</v>
          </cell>
          <cell r="AX42">
            <v>3922.91</v>
          </cell>
          <cell r="AY42">
            <v>3993.34</v>
          </cell>
          <cell r="AZ42">
            <v>3887.87</v>
          </cell>
          <cell r="BA42">
            <v>3887.87</v>
          </cell>
        </row>
        <row r="43">
          <cell r="A43" t="str">
            <v>V1000H45B30</v>
          </cell>
          <cell r="B43">
            <v>1000</v>
          </cell>
          <cell r="C43">
            <v>4500</v>
          </cell>
          <cell r="D43">
            <v>3000</v>
          </cell>
          <cell r="E43">
            <v>13</v>
          </cell>
          <cell r="F43">
            <v>2</v>
          </cell>
          <cell r="G43">
            <v>0</v>
          </cell>
          <cell r="H43">
            <v>350</v>
          </cell>
          <cell r="I43">
            <v>70</v>
          </cell>
          <cell r="J43">
            <v>1003.8</v>
          </cell>
          <cell r="K43" t="str">
            <v>Q-11002976</v>
          </cell>
          <cell r="L43" t="str">
            <v>\\hokukon-net2\hop\Program\01_MVPシステム_容量別組立図\.\02_余裕高0_6m\pdf\FB600_1000m3-MVP-4500-組-B3000_Q-11002976.pdf</v>
          </cell>
          <cell r="M43">
            <v>3417.93</v>
          </cell>
          <cell r="N43">
            <v>3446.56</v>
          </cell>
          <cell r="O43">
            <v>3387.93</v>
          </cell>
          <cell r="P43">
            <v>3388.87</v>
          </cell>
          <cell r="Q43">
            <v>3431.46</v>
          </cell>
          <cell r="R43">
            <v>3410.81</v>
          </cell>
          <cell r="S43">
            <v>3403.02</v>
          </cell>
          <cell r="T43">
            <v>3404.16</v>
          </cell>
          <cell r="U43">
            <v>3411.06</v>
          </cell>
          <cell r="V43">
            <v>3399.5</v>
          </cell>
          <cell r="W43">
            <v>3412.8</v>
          </cell>
          <cell r="X43">
            <v>3426.46</v>
          </cell>
          <cell r="Y43">
            <v>3428.17</v>
          </cell>
          <cell r="Z43">
            <v>3493.2</v>
          </cell>
          <cell r="AA43">
            <v>3441.49</v>
          </cell>
          <cell r="AB43">
            <v>3442.24</v>
          </cell>
          <cell r="AC43">
            <v>3512.81</v>
          </cell>
          <cell r="AD43">
            <v>3395.39</v>
          </cell>
          <cell r="AE43">
            <v>3426.79</v>
          </cell>
          <cell r="AF43">
            <v>3501.22</v>
          </cell>
          <cell r="AG43">
            <v>3409.77</v>
          </cell>
          <cell r="AH43">
            <v>3430.92</v>
          </cell>
          <cell r="AI43">
            <v>3396.12</v>
          </cell>
          <cell r="AJ43">
            <v>3430.93</v>
          </cell>
          <cell r="AK43">
            <v>3355.79</v>
          </cell>
          <cell r="AL43">
            <v>3431.78</v>
          </cell>
          <cell r="AM43">
            <v>3520.41</v>
          </cell>
          <cell r="AN43">
            <v>3459.04</v>
          </cell>
          <cell r="AO43">
            <v>3477.26</v>
          </cell>
          <cell r="AP43">
            <v>3476.21</v>
          </cell>
          <cell r="AQ43">
            <v>3496.98</v>
          </cell>
          <cell r="AR43">
            <v>3404.37</v>
          </cell>
          <cell r="AS43">
            <v>3509.28</v>
          </cell>
          <cell r="AT43">
            <v>3458.35</v>
          </cell>
          <cell r="AU43">
            <v>3466.84</v>
          </cell>
          <cell r="AV43">
            <v>3487.22</v>
          </cell>
          <cell r="AW43">
            <v>3434.39</v>
          </cell>
          <cell r="AX43">
            <v>3336.87</v>
          </cell>
          <cell r="AY43">
            <v>3397.18</v>
          </cell>
          <cell r="AZ43">
            <v>3307.3</v>
          </cell>
          <cell r="BA43">
            <v>3307.3</v>
          </cell>
        </row>
        <row r="44">
          <cell r="A44" t="str">
            <v>V1000H45B25</v>
          </cell>
          <cell r="B44">
            <v>1000</v>
          </cell>
          <cell r="C44">
            <v>4500</v>
          </cell>
          <cell r="D44">
            <v>2500</v>
          </cell>
          <cell r="E44">
            <v>15</v>
          </cell>
          <cell r="F44">
            <v>2</v>
          </cell>
          <cell r="G44">
            <v>0</v>
          </cell>
          <cell r="H44">
            <v>350</v>
          </cell>
          <cell r="I44">
            <v>70</v>
          </cell>
          <cell r="J44">
            <v>1059.4000000000001</v>
          </cell>
          <cell r="K44" t="str">
            <v>Q-11002975</v>
          </cell>
          <cell r="L44" t="str">
            <v>\\hokukon-net2\hop\Program\01_MVPシステム_容量別組立図\.\02_余裕高0_6m\pdf\FB600_1000m3-MVP-4500-組-B2500_Q-11002975.pdf</v>
          </cell>
          <cell r="M44">
            <v>3703.9</v>
          </cell>
          <cell r="N44">
            <v>3734.12</v>
          </cell>
          <cell r="O44">
            <v>3672.35</v>
          </cell>
          <cell r="P44">
            <v>3673.34</v>
          </cell>
          <cell r="Q44">
            <v>3718.14</v>
          </cell>
          <cell r="R44">
            <v>3696.34</v>
          </cell>
          <cell r="S44">
            <v>3688</v>
          </cell>
          <cell r="T44">
            <v>3689.21</v>
          </cell>
          <cell r="U44">
            <v>3696.9</v>
          </cell>
          <cell r="V44">
            <v>3684.62</v>
          </cell>
          <cell r="W44">
            <v>3698.8</v>
          </cell>
          <cell r="X44">
            <v>3713.36</v>
          </cell>
          <cell r="Y44">
            <v>3715.18</v>
          </cell>
          <cell r="Z44">
            <v>3784.08</v>
          </cell>
          <cell r="AA44">
            <v>3729.61</v>
          </cell>
          <cell r="AB44">
            <v>3730.13</v>
          </cell>
          <cell r="AC44">
            <v>3804.45</v>
          </cell>
          <cell r="AD44">
            <v>3680.28</v>
          </cell>
          <cell r="AE44">
            <v>3713.6</v>
          </cell>
          <cell r="AF44">
            <v>3792.31</v>
          </cell>
          <cell r="AG44">
            <v>3695.75</v>
          </cell>
          <cell r="AH44">
            <v>3718.08</v>
          </cell>
          <cell r="AI44">
            <v>3681.49</v>
          </cell>
          <cell r="AJ44">
            <v>3717.97</v>
          </cell>
          <cell r="AK44">
            <v>3638.88</v>
          </cell>
          <cell r="AL44">
            <v>3718.95</v>
          </cell>
          <cell r="AM44">
            <v>3812.57</v>
          </cell>
          <cell r="AN44">
            <v>3747.74</v>
          </cell>
          <cell r="AO44">
            <v>3766.81</v>
          </cell>
          <cell r="AP44">
            <v>3765.83</v>
          </cell>
          <cell r="AQ44">
            <v>3787.83</v>
          </cell>
          <cell r="AR44">
            <v>3689.44</v>
          </cell>
          <cell r="AS44">
            <v>3800.36</v>
          </cell>
          <cell r="AT44">
            <v>3746.78</v>
          </cell>
          <cell r="AU44">
            <v>3755.89</v>
          </cell>
          <cell r="AV44">
            <v>3777.08</v>
          </cell>
          <cell r="AW44">
            <v>3721.28</v>
          </cell>
          <cell r="AX44">
            <v>3618.56</v>
          </cell>
          <cell r="AY44">
            <v>3681.92</v>
          </cell>
          <cell r="AZ44">
            <v>3587.19</v>
          </cell>
          <cell r="BA44">
            <v>3587.19</v>
          </cell>
        </row>
        <row r="45">
          <cell r="A45" t="str">
            <v>V1000H45B20</v>
          </cell>
          <cell r="B45">
            <v>1000</v>
          </cell>
          <cell r="C45">
            <v>4500</v>
          </cell>
          <cell r="D45">
            <v>2000</v>
          </cell>
          <cell r="E45">
            <v>16</v>
          </cell>
          <cell r="F45">
            <v>2</v>
          </cell>
          <cell r="G45">
            <v>0</v>
          </cell>
          <cell r="H45">
            <v>350</v>
          </cell>
          <cell r="I45">
            <v>70</v>
          </cell>
          <cell r="J45">
            <v>1029.5999999999999</v>
          </cell>
          <cell r="K45" t="str">
            <v>Q-11002974</v>
          </cell>
          <cell r="L45" t="str">
            <v>\\hokukon-net2\hop\Program\01_MVPシステム_容量別組立図\.\02_余裕高0_6m\pdf\FB600_1000m3-MVP-4500-組-B2000_Q-11002974.pdf</v>
          </cell>
          <cell r="M45">
            <v>3772.81</v>
          </cell>
          <cell r="N45">
            <v>3802.4</v>
          </cell>
          <cell r="O45">
            <v>3742.46</v>
          </cell>
          <cell r="P45">
            <v>3743.43</v>
          </cell>
          <cell r="Q45">
            <v>3786.57</v>
          </cell>
          <cell r="R45">
            <v>3765.18</v>
          </cell>
          <cell r="S45">
            <v>3756.7</v>
          </cell>
          <cell r="T45">
            <v>3757.86</v>
          </cell>
          <cell r="U45">
            <v>3767.25</v>
          </cell>
          <cell r="V45">
            <v>3755</v>
          </cell>
          <cell r="W45">
            <v>3768.98</v>
          </cell>
          <cell r="X45">
            <v>3783.91</v>
          </cell>
          <cell r="Y45">
            <v>3785.78</v>
          </cell>
          <cell r="Z45">
            <v>3853.79</v>
          </cell>
          <cell r="AA45">
            <v>3800.64</v>
          </cell>
          <cell r="AB45">
            <v>3800.49</v>
          </cell>
          <cell r="AC45">
            <v>3872.31</v>
          </cell>
          <cell r="AD45">
            <v>3749.86</v>
          </cell>
          <cell r="AE45">
            <v>3783.09</v>
          </cell>
          <cell r="AF45">
            <v>3860.48</v>
          </cell>
          <cell r="AG45">
            <v>3766.39</v>
          </cell>
          <cell r="AH45">
            <v>3788.31</v>
          </cell>
          <cell r="AI45">
            <v>3752.8</v>
          </cell>
          <cell r="AJ45">
            <v>3787.82</v>
          </cell>
          <cell r="AK45">
            <v>3710.76</v>
          </cell>
          <cell r="AL45">
            <v>3788.75</v>
          </cell>
          <cell r="AM45">
            <v>3880.55</v>
          </cell>
          <cell r="AN45">
            <v>3817.32</v>
          </cell>
          <cell r="AO45">
            <v>3835.47</v>
          </cell>
          <cell r="AP45">
            <v>3834.86</v>
          </cell>
          <cell r="AQ45">
            <v>3856.54</v>
          </cell>
          <cell r="AR45">
            <v>3758.28</v>
          </cell>
          <cell r="AS45">
            <v>3866.94</v>
          </cell>
          <cell r="AT45">
            <v>3815.32</v>
          </cell>
          <cell r="AU45">
            <v>3824.32</v>
          </cell>
          <cell r="AV45">
            <v>3844.41</v>
          </cell>
          <cell r="AW45">
            <v>3789.72</v>
          </cell>
          <cell r="AX45">
            <v>3689.67</v>
          </cell>
          <cell r="AY45">
            <v>3750.98</v>
          </cell>
          <cell r="AZ45">
            <v>3658.57</v>
          </cell>
          <cell r="BA45">
            <v>3658.57</v>
          </cell>
        </row>
        <row r="46">
          <cell r="A46" t="str">
            <v>V2000H15B30</v>
          </cell>
          <cell r="B46">
            <v>2000</v>
          </cell>
          <cell r="C46">
            <v>1500</v>
          </cell>
          <cell r="D46">
            <v>3000</v>
          </cell>
          <cell r="E46">
            <v>40</v>
          </cell>
          <cell r="F46">
            <v>4</v>
          </cell>
          <cell r="G46">
            <v>0</v>
          </cell>
          <cell r="H46">
            <v>350</v>
          </cell>
          <cell r="I46">
            <v>50</v>
          </cell>
          <cell r="J46">
            <v>2033</v>
          </cell>
          <cell r="K46" t="str">
            <v>Q-11002979</v>
          </cell>
          <cell r="L46" t="str">
            <v>\\hokukon-net2\hop\Program\01_MVPシステム_容量別組立図\.\02_余裕高0_6m\pdf\FB600_2000m3-MVP-1500-組-B3000_Q-11002979.pdf</v>
          </cell>
          <cell r="M46">
            <v>13520.42</v>
          </cell>
          <cell r="N46">
            <v>13728.54</v>
          </cell>
          <cell r="O46">
            <v>13227.39</v>
          </cell>
          <cell r="P46">
            <v>13234.8</v>
          </cell>
          <cell r="Q46">
            <v>13631.85</v>
          </cell>
          <cell r="R46">
            <v>13472.78</v>
          </cell>
          <cell r="S46">
            <v>13442.38</v>
          </cell>
          <cell r="T46">
            <v>13451.32</v>
          </cell>
          <cell r="U46">
            <v>13327.01</v>
          </cell>
          <cell r="V46">
            <v>13253.11</v>
          </cell>
          <cell r="W46">
            <v>13358.67</v>
          </cell>
          <cell r="X46">
            <v>13401.74</v>
          </cell>
          <cell r="Y46">
            <v>13406.91</v>
          </cell>
          <cell r="Z46">
            <v>13870.7</v>
          </cell>
          <cell r="AA46">
            <v>13462.98</v>
          </cell>
          <cell r="AB46">
            <v>13518.23</v>
          </cell>
          <cell r="AC46">
            <v>14166.03</v>
          </cell>
          <cell r="AD46">
            <v>13348.92</v>
          </cell>
          <cell r="AE46">
            <v>13538.96</v>
          </cell>
          <cell r="AF46">
            <v>14091.92</v>
          </cell>
          <cell r="AG46">
            <v>13327.08</v>
          </cell>
          <cell r="AH46">
            <v>13474.51</v>
          </cell>
          <cell r="AI46">
            <v>13185.9</v>
          </cell>
          <cell r="AJ46">
            <v>13518.35</v>
          </cell>
          <cell r="AK46">
            <v>12884.96</v>
          </cell>
          <cell r="AL46">
            <v>13500.26</v>
          </cell>
          <cell r="AM46">
            <v>14184.27</v>
          </cell>
          <cell r="AN46">
            <v>13674.06</v>
          </cell>
          <cell r="AO46">
            <v>13861.56</v>
          </cell>
          <cell r="AP46">
            <v>13821.68</v>
          </cell>
          <cell r="AQ46">
            <v>13976.27</v>
          </cell>
          <cell r="AR46">
            <v>13441.98</v>
          </cell>
          <cell r="AS46">
            <v>14269.57</v>
          </cell>
          <cell r="AT46">
            <v>13791.21</v>
          </cell>
          <cell r="AU46">
            <v>13863.15</v>
          </cell>
          <cell r="AV46">
            <v>14067.1</v>
          </cell>
          <cell r="AW46">
            <v>13672.07</v>
          </cell>
          <cell r="AX46">
            <v>12875.8</v>
          </cell>
          <cell r="AY46">
            <v>13394.79</v>
          </cell>
          <cell r="AZ46">
            <v>12675.33</v>
          </cell>
          <cell r="BA46">
            <v>12675.33</v>
          </cell>
        </row>
        <row r="47">
          <cell r="A47" t="str">
            <v>V2000H15B25</v>
          </cell>
          <cell r="B47">
            <v>2000</v>
          </cell>
          <cell r="C47">
            <v>1500</v>
          </cell>
          <cell r="D47">
            <v>2500</v>
          </cell>
          <cell r="E47">
            <v>43</v>
          </cell>
          <cell r="F47">
            <v>4</v>
          </cell>
          <cell r="G47">
            <v>0</v>
          </cell>
          <cell r="H47">
            <v>350</v>
          </cell>
          <cell r="I47">
            <v>50</v>
          </cell>
          <cell r="J47">
            <v>2025.2</v>
          </cell>
          <cell r="K47" t="str">
            <v>Q-11002978</v>
          </cell>
          <cell r="L47" t="str">
            <v>\\hokukon-net2\hop\Program\01_MVPシステム_容量別組立図\.\02_余裕高0_6m\pdf\FB600_2000m3-MVP-1500-組-B2500_Q-11002978.pdf</v>
          </cell>
          <cell r="M47">
            <v>13720.53</v>
          </cell>
          <cell r="N47">
            <v>13928.31</v>
          </cell>
          <cell r="O47">
            <v>13429.26</v>
          </cell>
          <cell r="P47">
            <v>13436.65</v>
          </cell>
          <cell r="Q47">
            <v>13831.18</v>
          </cell>
          <cell r="R47">
            <v>13672.23</v>
          </cell>
          <cell r="S47">
            <v>13640.9</v>
          </cell>
          <cell r="T47">
            <v>13649.83</v>
          </cell>
          <cell r="U47">
            <v>13530.82</v>
          </cell>
          <cell r="V47">
            <v>13456.33</v>
          </cell>
          <cell r="W47">
            <v>13562.15</v>
          </cell>
          <cell r="X47">
            <v>13606.98</v>
          </cell>
          <cell r="Y47">
            <v>13612.36</v>
          </cell>
          <cell r="Z47">
            <v>14077.23</v>
          </cell>
          <cell r="AA47">
            <v>13670.69</v>
          </cell>
          <cell r="AB47">
            <v>13723.9</v>
          </cell>
          <cell r="AC47">
            <v>14368.62</v>
          </cell>
          <cell r="AD47">
            <v>13550.83</v>
          </cell>
          <cell r="AE47">
            <v>13742.27</v>
          </cell>
          <cell r="AF47">
            <v>14295.64</v>
          </cell>
          <cell r="AG47">
            <v>13532.94</v>
          </cell>
          <cell r="AH47">
            <v>13680.24</v>
          </cell>
          <cell r="AI47">
            <v>13392.93</v>
          </cell>
          <cell r="AJ47">
            <v>13723.08</v>
          </cell>
          <cell r="AK47">
            <v>13089.63</v>
          </cell>
          <cell r="AL47">
            <v>13703.11</v>
          </cell>
          <cell r="AM47">
            <v>14386.91</v>
          </cell>
          <cell r="AN47">
            <v>13877.67</v>
          </cell>
          <cell r="AO47">
            <v>14063.5</v>
          </cell>
          <cell r="AP47">
            <v>14024.59</v>
          </cell>
          <cell r="AQ47">
            <v>14179.44</v>
          </cell>
          <cell r="AR47">
            <v>13641.93</v>
          </cell>
          <cell r="AS47">
            <v>14469</v>
          </cell>
          <cell r="AT47">
            <v>13993.5</v>
          </cell>
          <cell r="AU47">
            <v>14065.69</v>
          </cell>
          <cell r="AV47">
            <v>14267.47</v>
          </cell>
          <cell r="AW47">
            <v>13873.18</v>
          </cell>
          <cell r="AX47">
            <v>13079.34</v>
          </cell>
          <cell r="AY47">
            <v>13595.67</v>
          </cell>
          <cell r="AZ47">
            <v>12878.09</v>
          </cell>
          <cell r="BA47">
            <v>12878.09</v>
          </cell>
        </row>
        <row r="48">
          <cell r="A48" t="str">
            <v>V2000H15B20</v>
          </cell>
          <cell r="B48">
            <v>2000</v>
          </cell>
          <cell r="C48">
            <v>1500</v>
          </cell>
          <cell r="D48">
            <v>2000</v>
          </cell>
          <cell r="E48">
            <v>47</v>
          </cell>
          <cell r="F48">
            <v>4</v>
          </cell>
          <cell r="G48">
            <v>0</v>
          </cell>
          <cell r="H48">
            <v>350</v>
          </cell>
          <cell r="I48">
            <v>50</v>
          </cell>
          <cell r="J48">
            <v>2038.6</v>
          </cell>
          <cell r="K48" t="str">
            <v>Q-11002977</v>
          </cell>
          <cell r="L48" t="str">
            <v>\\hokukon-net2\hop\Program\01_MVPシステム_容量別組立図\.\02_余裕高0_6m\pdf\FB600_2000m3-MVP-1500-組-B2000_Q-11002977.pdf</v>
          </cell>
          <cell r="M48">
            <v>14107.96</v>
          </cell>
          <cell r="N48">
            <v>14317.64</v>
          </cell>
          <cell r="O48">
            <v>13815.44</v>
          </cell>
          <cell r="P48">
            <v>13822.91</v>
          </cell>
          <cell r="Q48">
            <v>14218.93</v>
          </cell>
          <cell r="R48">
            <v>14058.36</v>
          </cell>
          <cell r="S48">
            <v>14025.63</v>
          </cell>
          <cell r="T48">
            <v>14034.66</v>
          </cell>
          <cell r="U48">
            <v>14114.01</v>
          </cell>
          <cell r="V48">
            <v>13844.36</v>
          </cell>
          <cell r="W48">
            <v>13951.68</v>
          </cell>
          <cell r="X48">
            <v>13998.97</v>
          </cell>
          <cell r="Y48">
            <v>14004.67</v>
          </cell>
          <cell r="Z48">
            <v>14475.95</v>
          </cell>
          <cell r="AA48">
            <v>14066.27</v>
          </cell>
          <cell r="AB48">
            <v>14117.71</v>
          </cell>
          <cell r="AC48">
            <v>14766.09</v>
          </cell>
          <cell r="AD48">
            <v>13938.47</v>
          </cell>
          <cell r="AE48">
            <v>14133.66</v>
          </cell>
          <cell r="AF48">
            <v>14693.64</v>
          </cell>
          <cell r="AG48">
            <v>13924.88</v>
          </cell>
          <cell r="AH48">
            <v>14073.66</v>
          </cell>
          <cell r="AI48">
            <v>13784.67</v>
          </cell>
          <cell r="AJ48">
            <v>14115.82</v>
          </cell>
          <cell r="AK48">
            <v>13475.29</v>
          </cell>
          <cell r="AL48">
            <v>14093.49</v>
          </cell>
          <cell r="AM48">
            <v>14784.6</v>
          </cell>
          <cell r="AN48">
            <v>14270.82</v>
          </cell>
          <cell r="AO48">
            <v>14456.81</v>
          </cell>
          <cell r="AP48">
            <v>14418.63</v>
          </cell>
          <cell r="AQ48">
            <v>14575.44</v>
          </cell>
          <cell r="AR48">
            <v>14028.3</v>
          </cell>
          <cell r="AS48">
            <v>14863.97</v>
          </cell>
          <cell r="AT48">
            <v>14386.46</v>
          </cell>
          <cell r="AU48">
            <v>14459.79</v>
          </cell>
          <cell r="AV48">
            <v>14661.29</v>
          </cell>
          <cell r="AW48">
            <v>14263.49</v>
          </cell>
          <cell r="AX48">
            <v>13463.65</v>
          </cell>
          <cell r="AY48">
            <v>13982.64</v>
          </cell>
          <cell r="AZ48">
            <v>13259.26</v>
          </cell>
          <cell r="BA48">
            <v>13259.26</v>
          </cell>
        </row>
        <row r="49">
          <cell r="A49" t="str">
            <v>V2000H20B30</v>
          </cell>
          <cell r="B49">
            <v>2000</v>
          </cell>
          <cell r="C49">
            <v>2000</v>
          </cell>
          <cell r="D49">
            <v>3000</v>
          </cell>
          <cell r="E49">
            <v>26</v>
          </cell>
          <cell r="F49">
            <v>4</v>
          </cell>
          <cell r="G49">
            <v>0</v>
          </cell>
          <cell r="H49">
            <v>350</v>
          </cell>
          <cell r="I49">
            <v>50</v>
          </cell>
          <cell r="J49">
            <v>2077.1999999999998</v>
          </cell>
          <cell r="K49" t="str">
            <v>Q-11002982</v>
          </cell>
          <cell r="L49" t="str">
            <v>\\hokukon-net2\hop\Program\01_MVPシステム_容量別組立図\.\02_余裕高0_6m\pdf\FB600_2000m3-MVP-2000-組-B3000_Q-11002982.pdf</v>
          </cell>
          <cell r="M49">
            <v>9500.09</v>
          </cell>
          <cell r="N49">
            <v>9639.0400000000009</v>
          </cell>
          <cell r="O49">
            <v>9309.26</v>
          </cell>
          <cell r="P49">
            <v>9314.15</v>
          </cell>
          <cell r="Q49">
            <v>9573.6200000000008</v>
          </cell>
          <cell r="R49">
            <v>9468.25</v>
          </cell>
          <cell r="S49">
            <v>9446.69</v>
          </cell>
          <cell r="T49">
            <v>9452.61</v>
          </cell>
          <cell r="U49">
            <v>9379.84</v>
          </cell>
          <cell r="V49">
            <v>9330.02</v>
          </cell>
          <cell r="W49">
            <v>9399.34</v>
          </cell>
          <cell r="X49">
            <v>9431.2900000000009</v>
          </cell>
          <cell r="Y49">
            <v>9435.14</v>
          </cell>
          <cell r="Z49">
            <v>9744.16</v>
          </cell>
          <cell r="AA49">
            <v>9474.0499999999993</v>
          </cell>
          <cell r="AB49">
            <v>9508.44</v>
          </cell>
          <cell r="AC49">
            <v>9932.58</v>
          </cell>
          <cell r="AD49">
            <v>9386.5300000000007</v>
          </cell>
          <cell r="AE49">
            <v>9515.2999999999993</v>
          </cell>
          <cell r="AF49">
            <v>9882.83</v>
          </cell>
          <cell r="AG49">
            <v>9379.6</v>
          </cell>
          <cell r="AH49">
            <v>9478.36</v>
          </cell>
          <cell r="AI49">
            <v>9287.65</v>
          </cell>
          <cell r="AJ49">
            <v>9505.1299999999992</v>
          </cell>
          <cell r="AK49">
            <v>9085.34</v>
          </cell>
          <cell r="AL49">
            <v>9492.59</v>
          </cell>
          <cell r="AM49">
            <v>9946.2099999999991</v>
          </cell>
          <cell r="AN49">
            <v>9609.98</v>
          </cell>
          <cell r="AO49">
            <v>9731.93</v>
          </cell>
          <cell r="AP49">
            <v>9707.1299999999992</v>
          </cell>
          <cell r="AQ49">
            <v>9809.67</v>
          </cell>
          <cell r="AR49">
            <v>9448.07</v>
          </cell>
          <cell r="AS49">
            <v>9995.44</v>
          </cell>
          <cell r="AT49">
            <v>9682.76</v>
          </cell>
          <cell r="AU49">
            <v>9729.56</v>
          </cell>
          <cell r="AV49">
            <v>9862.94</v>
          </cell>
          <cell r="AW49">
            <v>9600.68</v>
          </cell>
          <cell r="AX49">
            <v>9074.2999999999993</v>
          </cell>
          <cell r="AY49">
            <v>9416.6200000000008</v>
          </cell>
          <cell r="AZ49">
            <v>8940.25</v>
          </cell>
          <cell r="BA49">
            <v>8940.25</v>
          </cell>
        </row>
        <row r="50">
          <cell r="A50" t="str">
            <v>V2000H20B25</v>
          </cell>
          <cell r="B50">
            <v>2000</v>
          </cell>
          <cell r="C50">
            <v>2000</v>
          </cell>
          <cell r="D50">
            <v>2500</v>
          </cell>
          <cell r="E50">
            <v>28</v>
          </cell>
          <cell r="F50">
            <v>4</v>
          </cell>
          <cell r="G50">
            <v>0</v>
          </cell>
          <cell r="H50">
            <v>350</v>
          </cell>
          <cell r="I50">
            <v>50</v>
          </cell>
          <cell r="J50">
            <v>2071.6</v>
          </cell>
          <cell r="K50" t="str">
            <v>Q-11002981</v>
          </cell>
          <cell r="L50" t="str">
            <v>\\hokukon-net2\hop\Program\01_MVPシステム_容量別組立図\.\02_余裕高0_6m\pdf\FB600_2000m3-MVP-2000-組-B2500_Q-11002981.pdf</v>
          </cell>
          <cell r="M50">
            <v>9652.89</v>
          </cell>
          <cell r="N50">
            <v>9791.69</v>
          </cell>
          <cell r="O50">
            <v>9463.1</v>
          </cell>
          <cell r="P50">
            <v>9467.99</v>
          </cell>
          <cell r="Q50">
            <v>9725.9599999999991</v>
          </cell>
          <cell r="R50">
            <v>9620.6</v>
          </cell>
          <cell r="S50">
            <v>9598.4599999999991</v>
          </cell>
          <cell r="T50">
            <v>9604.3799999999992</v>
          </cell>
          <cell r="U50">
            <v>9534.98</v>
          </cell>
          <cell r="V50">
            <v>9484.75</v>
          </cell>
          <cell r="W50">
            <v>9554.27</v>
          </cell>
          <cell r="X50">
            <v>9587.36</v>
          </cell>
          <cell r="Y50">
            <v>9591.36</v>
          </cell>
          <cell r="Z50">
            <v>9901.23</v>
          </cell>
          <cell r="AA50">
            <v>9631.76</v>
          </cell>
          <cell r="AB50">
            <v>9664.83</v>
          </cell>
          <cell r="AC50">
            <v>10087.200000000001</v>
          </cell>
          <cell r="AD50">
            <v>9540.49</v>
          </cell>
          <cell r="AE50">
            <v>9670.2099999999991</v>
          </cell>
          <cell r="AF50">
            <v>10038.200000000001</v>
          </cell>
          <cell r="AG50">
            <v>9536.08</v>
          </cell>
          <cell r="AH50">
            <v>9634.7900000000009</v>
          </cell>
          <cell r="AI50">
            <v>9444.8700000000008</v>
          </cell>
          <cell r="AJ50">
            <v>9660.94</v>
          </cell>
          <cell r="AK50">
            <v>9240.92</v>
          </cell>
          <cell r="AL50">
            <v>9647.16</v>
          </cell>
          <cell r="AM50">
            <v>10100.85</v>
          </cell>
          <cell r="AN50">
            <v>9765.09</v>
          </cell>
          <cell r="AO50">
            <v>9886.02</v>
          </cell>
          <cell r="AP50">
            <v>9861.84</v>
          </cell>
          <cell r="AQ50">
            <v>9964.59</v>
          </cell>
          <cell r="AR50">
            <v>9713.41</v>
          </cell>
          <cell r="AS50">
            <v>10148.040000000001</v>
          </cell>
          <cell r="AT50">
            <v>9837.09</v>
          </cell>
          <cell r="AU50">
            <v>9884.07</v>
          </cell>
          <cell r="AV50">
            <v>10016.1</v>
          </cell>
          <cell r="AW50">
            <v>9754.2199999999993</v>
          </cell>
          <cell r="AX50">
            <v>9229.2000000000007</v>
          </cell>
          <cell r="AY50">
            <v>9569.92</v>
          </cell>
          <cell r="AZ50">
            <v>9094.56</v>
          </cell>
          <cell r="BA50">
            <v>9094.56</v>
          </cell>
        </row>
        <row r="51">
          <cell r="A51" t="str">
            <v>V2000H20B20</v>
          </cell>
          <cell r="B51">
            <v>2000</v>
          </cell>
          <cell r="C51">
            <v>2000</v>
          </cell>
          <cell r="D51">
            <v>2000</v>
          </cell>
          <cell r="E51">
            <v>30</v>
          </cell>
          <cell r="F51">
            <v>4</v>
          </cell>
          <cell r="G51">
            <v>0</v>
          </cell>
          <cell r="H51">
            <v>350</v>
          </cell>
          <cell r="I51">
            <v>50</v>
          </cell>
          <cell r="J51">
            <v>2043.7</v>
          </cell>
          <cell r="K51" t="str">
            <v>Q-11002980</v>
          </cell>
          <cell r="L51" t="str">
            <v>\\hokukon-net2\hop\Program\01_MVPシステム_容量別組立図\.\02_余裕高0_6m\pdf\FB600_2000m3-MVP-2000-組-B2000_Q-11002980.pdf</v>
          </cell>
          <cell r="M51">
            <v>9742.06</v>
          </cell>
          <cell r="N51">
            <v>9879.33</v>
          </cell>
          <cell r="O51">
            <v>9555.41</v>
          </cell>
          <cell r="P51">
            <v>9560.25</v>
          </cell>
          <cell r="Q51">
            <v>9813.86</v>
          </cell>
          <cell r="R51">
            <v>9709.56</v>
          </cell>
          <cell r="S51">
            <v>9686.92</v>
          </cell>
          <cell r="T51">
            <v>9692.77</v>
          </cell>
          <cell r="U51">
            <v>9628.2199999999993</v>
          </cell>
          <cell r="V51">
            <v>9577.99</v>
          </cell>
          <cell r="W51">
            <v>9647.0300000000007</v>
          </cell>
          <cell r="X51">
            <v>9681.2000000000007</v>
          </cell>
          <cell r="Y51">
            <v>9685.34</v>
          </cell>
          <cell r="Z51">
            <v>9993.18</v>
          </cell>
          <cell r="AA51">
            <v>9727.1200000000008</v>
          </cell>
          <cell r="AB51">
            <v>9758.2800000000007</v>
          </cell>
          <cell r="AC51">
            <v>10174.299999999999</v>
          </cell>
          <cell r="AD51">
            <v>9632.07</v>
          </cell>
          <cell r="AE51">
            <v>9761.7199999999993</v>
          </cell>
          <cell r="AF51">
            <v>10126.629999999999</v>
          </cell>
          <cell r="AG51">
            <v>9746.11</v>
          </cell>
          <cell r="AH51">
            <v>9728.5499999999993</v>
          </cell>
          <cell r="AI51">
            <v>9541.39</v>
          </cell>
          <cell r="AJ51">
            <v>9753.65</v>
          </cell>
          <cell r="AK51">
            <v>9337.51</v>
          </cell>
          <cell r="AL51">
            <v>9738.58</v>
          </cell>
          <cell r="AM51">
            <v>10187.89</v>
          </cell>
          <cell r="AN51">
            <v>9856.02</v>
          </cell>
          <cell r="AO51">
            <v>9974.52</v>
          </cell>
          <cell r="AP51">
            <v>9951.35</v>
          </cell>
          <cell r="AQ51">
            <v>10053.32</v>
          </cell>
          <cell r="AR51">
            <v>9690.2999999999993</v>
          </cell>
          <cell r="AS51">
            <v>10232.08</v>
          </cell>
          <cell r="AT51">
            <v>9926.26</v>
          </cell>
          <cell r="AU51">
            <v>9973</v>
          </cell>
          <cell r="AV51">
            <v>10102.120000000001</v>
          </cell>
          <cell r="AW51">
            <v>9843.2199999999993</v>
          </cell>
          <cell r="AX51">
            <v>9324.94</v>
          </cell>
          <cell r="AY51">
            <v>9660.4599999999991</v>
          </cell>
          <cell r="AZ51">
            <v>9190.9599999999991</v>
          </cell>
          <cell r="BA51">
            <v>9190.9599999999991</v>
          </cell>
        </row>
        <row r="52">
          <cell r="A52" t="str">
            <v>V2000H25B30</v>
          </cell>
          <cell r="B52">
            <v>2000</v>
          </cell>
          <cell r="C52">
            <v>2500</v>
          </cell>
          <cell r="D52">
            <v>3000</v>
          </cell>
          <cell r="E52">
            <v>25</v>
          </cell>
          <cell r="F52">
            <v>5</v>
          </cell>
          <cell r="G52">
            <v>0</v>
          </cell>
          <cell r="H52">
            <v>300</v>
          </cell>
          <cell r="I52">
            <v>50</v>
          </cell>
          <cell r="J52">
            <v>2059.1999999999998</v>
          </cell>
          <cell r="K52" t="str">
            <v>Q-11002985</v>
          </cell>
          <cell r="L52" t="str">
            <v>\\hokukon-net2\hop\Program\01_MVPシステム_容量別組立図\.\02_余裕高0_6m\pdf\FB600_2000m3-MVP-2500-組-B3000_Q-11002985.pdf</v>
          </cell>
          <cell r="M52">
            <v>8609.07</v>
          </cell>
          <cell r="N52">
            <v>8705.07</v>
          </cell>
          <cell r="O52">
            <v>8486.3799999999992</v>
          </cell>
          <cell r="P52">
            <v>8489.7800000000007</v>
          </cell>
          <cell r="Q52">
            <v>8659.66</v>
          </cell>
          <cell r="R52">
            <v>8587.9599999999991</v>
          </cell>
          <cell r="S52">
            <v>8568.9599999999991</v>
          </cell>
          <cell r="T52">
            <v>8573.06</v>
          </cell>
          <cell r="U52">
            <v>8554.1200000000008</v>
          </cell>
          <cell r="V52">
            <v>8516.1299999999992</v>
          </cell>
          <cell r="W52">
            <v>8565.41</v>
          </cell>
          <cell r="X52">
            <v>8599.61</v>
          </cell>
          <cell r="Y52">
            <v>8605.1200000000008</v>
          </cell>
          <cell r="Z52">
            <v>8825.59</v>
          </cell>
          <cell r="AA52">
            <v>8639.86</v>
          </cell>
          <cell r="AB52">
            <v>8653.43</v>
          </cell>
          <cell r="AC52">
            <v>8929.49</v>
          </cell>
          <cell r="AD52">
            <v>8539.65</v>
          </cell>
          <cell r="AE52">
            <v>8634.51</v>
          </cell>
          <cell r="AF52">
            <v>8893.6299999999992</v>
          </cell>
          <cell r="AG52">
            <v>8560.4599999999991</v>
          </cell>
          <cell r="AH52">
            <v>8631.7900000000009</v>
          </cell>
          <cell r="AI52">
            <v>8502.26</v>
          </cell>
          <cell r="AJ52">
            <v>8643.59</v>
          </cell>
          <cell r="AK52">
            <v>8351.17</v>
          </cell>
          <cell r="AL52">
            <v>8625.16</v>
          </cell>
          <cell r="AM52">
            <v>8938.7000000000007</v>
          </cell>
          <cell r="AN52">
            <v>8710.69</v>
          </cell>
          <cell r="AO52">
            <v>8786.58</v>
          </cell>
          <cell r="AP52">
            <v>8776.86</v>
          </cell>
          <cell r="AQ52">
            <v>8846.68</v>
          </cell>
          <cell r="AR52">
            <v>8578.85</v>
          </cell>
          <cell r="AS52">
            <v>8954.9500000000007</v>
          </cell>
          <cell r="AT52">
            <v>8749.83</v>
          </cell>
          <cell r="AU52">
            <v>8782.1</v>
          </cell>
          <cell r="AV52">
            <v>8868.11</v>
          </cell>
          <cell r="AW52">
            <v>8683.1200000000008</v>
          </cell>
          <cell r="AX52">
            <v>8331.69</v>
          </cell>
          <cell r="AY52">
            <v>8556.61</v>
          </cell>
          <cell r="AZ52">
            <v>8232.59</v>
          </cell>
          <cell r="BA52">
            <v>8232.59</v>
          </cell>
        </row>
        <row r="53">
          <cell r="A53" t="str">
            <v>V2000H25B25</v>
          </cell>
          <cell r="B53">
            <v>2000</v>
          </cell>
          <cell r="C53">
            <v>2500</v>
          </cell>
          <cell r="D53">
            <v>2500</v>
          </cell>
          <cell r="E53">
            <v>27</v>
          </cell>
          <cell r="F53">
            <v>5</v>
          </cell>
          <cell r="G53">
            <v>0</v>
          </cell>
          <cell r="H53">
            <v>300</v>
          </cell>
          <cell r="I53">
            <v>50</v>
          </cell>
          <cell r="J53">
            <v>2022.6</v>
          </cell>
          <cell r="K53" t="str">
            <v>Q-11002984</v>
          </cell>
          <cell r="L53" t="str">
            <v>\\hokukon-net2\hop\Program\01_MVPシステム_容量別組立図\.\02_余裕高0_6m\pdf\FB600_2000m3-MVP-2500-組-B2500_Q-11002984.pdf</v>
          </cell>
          <cell r="M53">
            <v>8747.9699999999993</v>
          </cell>
          <cell r="N53">
            <v>8842.4599999999991</v>
          </cell>
          <cell r="O53">
            <v>8628.2999999999993</v>
          </cell>
          <cell r="P53">
            <v>8631.66</v>
          </cell>
          <cell r="Q53">
            <v>8797.35</v>
          </cell>
          <cell r="R53">
            <v>8726.67</v>
          </cell>
          <cell r="S53">
            <v>8707.14</v>
          </cell>
          <cell r="T53">
            <v>8711.19</v>
          </cell>
          <cell r="U53">
            <v>8696.84</v>
          </cell>
          <cell r="V53">
            <v>8658.85</v>
          </cell>
          <cell r="W53">
            <v>8707.75</v>
          </cell>
          <cell r="X53">
            <v>8742.94</v>
          </cell>
          <cell r="Y53">
            <v>8748.52</v>
          </cell>
          <cell r="Z53">
            <v>8967.1</v>
          </cell>
          <cell r="AA53">
            <v>8784.7199999999993</v>
          </cell>
          <cell r="AB53">
            <v>8796.4500000000007</v>
          </cell>
          <cell r="AC53">
            <v>9066.4699999999993</v>
          </cell>
          <cell r="AD53">
            <v>8680.92</v>
          </cell>
          <cell r="AE53">
            <v>8775.7199999999993</v>
          </cell>
          <cell r="AF53">
            <v>9031.9599999999991</v>
          </cell>
          <cell r="AG53">
            <v>8704.73</v>
          </cell>
          <cell r="AH53">
            <v>8775.18</v>
          </cell>
          <cell r="AI53">
            <v>8648.25</v>
          </cell>
          <cell r="AJ53">
            <v>8785.9599999999991</v>
          </cell>
          <cell r="AK53">
            <v>8497.11</v>
          </cell>
          <cell r="AL53">
            <v>8766.2199999999993</v>
          </cell>
          <cell r="AM53">
            <v>9075.5400000000009</v>
          </cell>
          <cell r="AN53">
            <v>8851.17</v>
          </cell>
          <cell r="AO53">
            <v>8924.76</v>
          </cell>
          <cell r="AP53">
            <v>8916.07</v>
          </cell>
          <cell r="AQ53">
            <v>8985.1299999999992</v>
          </cell>
          <cell r="AR53">
            <v>8718.02</v>
          </cell>
          <cell r="AS53">
            <v>9089.02</v>
          </cell>
          <cell r="AT53">
            <v>8888.83</v>
          </cell>
          <cell r="AU53">
            <v>8920.8799999999992</v>
          </cell>
          <cell r="AV53">
            <v>9004.06</v>
          </cell>
          <cell r="AW53">
            <v>8821.9699999999993</v>
          </cell>
          <cell r="AX53">
            <v>8477.07</v>
          </cell>
          <cell r="AY53">
            <v>8696.9</v>
          </cell>
          <cell r="AZ53">
            <v>8378.4699999999993</v>
          </cell>
          <cell r="BA53">
            <v>8378.4699999999993</v>
          </cell>
        </row>
        <row r="54">
          <cell r="A54" t="str">
            <v>V2000H25B20</v>
          </cell>
          <cell r="B54">
            <v>2000</v>
          </cell>
          <cell r="C54">
            <v>2500</v>
          </cell>
          <cell r="D54">
            <v>2000</v>
          </cell>
          <cell r="E54">
            <v>30</v>
          </cell>
          <cell r="F54">
            <v>5</v>
          </cell>
          <cell r="G54">
            <v>0</v>
          </cell>
          <cell r="H54">
            <v>300</v>
          </cell>
          <cell r="I54">
            <v>50</v>
          </cell>
          <cell r="J54">
            <v>2023.7</v>
          </cell>
          <cell r="K54" t="str">
            <v>Q-11002983</v>
          </cell>
          <cell r="L54" t="str">
            <v>\\hokukon-net2\hop\Program\01_MVPシステム_容量別組立図\.\02_余裕高0_6m\pdf\FB600_2000m3-MVP-2500-組-B2000_Q-11002983.pdf</v>
          </cell>
          <cell r="M54">
            <v>9093.35</v>
          </cell>
          <cell r="N54">
            <v>9188.07</v>
          </cell>
          <cell r="O54">
            <v>8974.58</v>
          </cell>
          <cell r="P54">
            <v>8977.9500000000007</v>
          </cell>
          <cell r="Q54">
            <v>9142.39</v>
          </cell>
          <cell r="R54">
            <v>9071.4</v>
          </cell>
          <cell r="S54">
            <v>9050.89</v>
          </cell>
          <cell r="T54">
            <v>9054.9500000000007</v>
          </cell>
          <cell r="U54">
            <v>9045.34</v>
          </cell>
          <cell r="V54">
            <v>9006.56</v>
          </cell>
          <cell r="W54">
            <v>9056.1</v>
          </cell>
          <cell r="X54">
            <v>9093.11</v>
          </cell>
          <cell r="Y54">
            <v>9098.8700000000008</v>
          </cell>
          <cell r="Z54">
            <v>9319.83</v>
          </cell>
          <cell r="AA54">
            <v>9137.49</v>
          </cell>
          <cell r="AB54">
            <v>9147.4</v>
          </cell>
          <cell r="AC54">
            <v>9416.2800000000007</v>
          </cell>
          <cell r="AD54">
            <v>9027.67</v>
          </cell>
          <cell r="AE54">
            <v>9124.33</v>
          </cell>
          <cell r="AF54">
            <v>9382.64</v>
          </cell>
          <cell r="AG54">
            <v>9055.2900000000009</v>
          </cell>
          <cell r="AH54">
            <v>9126.1200000000008</v>
          </cell>
          <cell r="AI54">
            <v>8999.5499999999993</v>
          </cell>
          <cell r="AJ54">
            <v>9136.0300000000007</v>
          </cell>
          <cell r="AK54">
            <v>8845.19</v>
          </cell>
          <cell r="AL54">
            <v>9114.32</v>
          </cell>
          <cell r="AM54">
            <v>9425.32</v>
          </cell>
          <cell r="AN54">
            <v>9200.34</v>
          </cell>
          <cell r="AO54">
            <v>9272.8799999999992</v>
          </cell>
          <cell r="AP54">
            <v>9265.17</v>
          </cell>
          <cell r="AQ54">
            <v>9334.83</v>
          </cell>
          <cell r="AR54">
            <v>9063.08</v>
          </cell>
          <cell r="AS54">
            <v>9436.06</v>
          </cell>
          <cell r="AT54">
            <v>9237.23</v>
          </cell>
          <cell r="AU54">
            <v>9269.7199999999993</v>
          </cell>
          <cell r="AV54">
            <v>9351.4500000000007</v>
          </cell>
          <cell r="AW54">
            <v>9168.8799999999992</v>
          </cell>
          <cell r="AX54">
            <v>8824.24</v>
          </cell>
          <cell r="AY54">
            <v>9042.84</v>
          </cell>
          <cell r="AZ54">
            <v>8724.14</v>
          </cell>
          <cell r="BA54">
            <v>8724.14</v>
          </cell>
        </row>
        <row r="55">
          <cell r="A55" t="str">
            <v>V2000H30B30</v>
          </cell>
          <cell r="B55">
            <v>2000</v>
          </cell>
          <cell r="C55">
            <v>3000</v>
          </cell>
          <cell r="D55">
            <v>3000</v>
          </cell>
          <cell r="E55">
            <v>24</v>
          </cell>
          <cell r="F55">
            <v>4</v>
          </cell>
          <cell r="G55">
            <v>0</v>
          </cell>
          <cell r="H55">
            <v>300</v>
          </cell>
          <cell r="I55">
            <v>50</v>
          </cell>
          <cell r="J55">
            <v>2036.2</v>
          </cell>
          <cell r="K55" t="str">
            <v>Q-11002988</v>
          </cell>
          <cell r="L55" t="str">
            <v>\\hokukon-net2\hop\Program\01_MVPシステム_容量別組立図\.\02_余裕高0_6m\pdf\FB600_2000m3-MVP-3000-組-B3000_Q-11002988.pdf</v>
          </cell>
          <cell r="M55">
            <v>7288.62</v>
          </cell>
          <cell r="N55">
            <v>7364.91</v>
          </cell>
          <cell r="O55">
            <v>7193.95</v>
          </cell>
          <cell r="P55">
            <v>7196.64</v>
          </cell>
          <cell r="Q55">
            <v>7327.65</v>
          </cell>
          <cell r="R55">
            <v>7270.16</v>
          </cell>
          <cell r="S55">
            <v>7253.58</v>
          </cell>
          <cell r="T55">
            <v>7256.82</v>
          </cell>
          <cell r="U55">
            <v>7251.18</v>
          </cell>
          <cell r="V55">
            <v>7220.02</v>
          </cell>
          <cell r="W55">
            <v>7258.62</v>
          </cell>
          <cell r="X55">
            <v>7288.9</v>
          </cell>
          <cell r="Y55">
            <v>7294.29</v>
          </cell>
          <cell r="Z55">
            <v>7470.9</v>
          </cell>
          <cell r="AA55">
            <v>7325.02</v>
          </cell>
          <cell r="AB55">
            <v>7332.28</v>
          </cell>
          <cell r="AC55">
            <v>7546.4</v>
          </cell>
          <cell r="AD55">
            <v>7235.6</v>
          </cell>
          <cell r="AE55">
            <v>7313.55</v>
          </cell>
          <cell r="AF55">
            <v>7519.55</v>
          </cell>
          <cell r="AG55">
            <v>7258.65</v>
          </cell>
          <cell r="AH55">
            <v>7314.6</v>
          </cell>
          <cell r="AI55">
            <v>7214.34</v>
          </cell>
          <cell r="AJ55">
            <v>7322.16</v>
          </cell>
          <cell r="AK55">
            <v>7091.16</v>
          </cell>
          <cell r="AL55">
            <v>7305.67</v>
          </cell>
          <cell r="AM55">
            <v>7554.36</v>
          </cell>
          <cell r="AN55">
            <v>7375.81</v>
          </cell>
          <cell r="AO55">
            <v>7433.11</v>
          </cell>
          <cell r="AP55">
            <v>7426.05</v>
          </cell>
          <cell r="AQ55">
            <v>7482.17</v>
          </cell>
          <cell r="AR55">
            <v>7263.87</v>
          </cell>
          <cell r="AS55">
            <v>7560.73</v>
          </cell>
          <cell r="AT55">
            <v>7402.96</v>
          </cell>
          <cell r="AU55">
            <v>7429.02</v>
          </cell>
          <cell r="AV55">
            <v>7493.58</v>
          </cell>
          <cell r="AW55">
            <v>7348.09</v>
          </cell>
          <cell r="AX55">
            <v>7071.9</v>
          </cell>
          <cell r="AY55">
            <v>7247.07</v>
          </cell>
          <cell r="AZ55">
            <v>6993.02</v>
          </cell>
          <cell r="BA55">
            <v>6993.02</v>
          </cell>
        </row>
        <row r="56">
          <cell r="A56" t="str">
            <v>V2000H30B25</v>
          </cell>
          <cell r="B56">
            <v>2000</v>
          </cell>
          <cell r="C56">
            <v>3000</v>
          </cell>
          <cell r="D56">
            <v>2500</v>
          </cell>
          <cell r="E56">
            <v>26</v>
          </cell>
          <cell r="F56">
            <v>4</v>
          </cell>
          <cell r="G56">
            <v>0</v>
          </cell>
          <cell r="H56">
            <v>300</v>
          </cell>
          <cell r="I56">
            <v>50</v>
          </cell>
          <cell r="J56">
            <v>2009.4</v>
          </cell>
          <cell r="K56" t="str">
            <v>Q-11002987</v>
          </cell>
          <cell r="L56" t="str">
            <v>\\hokukon-net2\hop\Program\01_MVPシステム_容量別組立図\.\02_余裕高0_6m\pdf\FB600_2000m3-MVP-3000-組-B2500_Q-11002987.pdf</v>
          </cell>
          <cell r="M56">
            <v>7440.12</v>
          </cell>
          <cell r="N56">
            <v>7515.6</v>
          </cell>
          <cell r="O56">
            <v>7347.35</v>
          </cell>
          <cell r="P56">
            <v>7350.02</v>
          </cell>
          <cell r="Q56">
            <v>7478.42</v>
          </cell>
          <cell r="R56">
            <v>7421.49</v>
          </cell>
          <cell r="S56">
            <v>7404.45</v>
          </cell>
          <cell r="T56">
            <v>7407.65</v>
          </cell>
          <cell r="U56">
            <v>7405.46</v>
          </cell>
          <cell r="V56">
            <v>7374.17</v>
          </cell>
          <cell r="W56">
            <v>7412.66</v>
          </cell>
          <cell r="X56">
            <v>7443.82</v>
          </cell>
          <cell r="Y56">
            <v>7449.28</v>
          </cell>
          <cell r="Z56">
            <v>7625.19</v>
          </cell>
          <cell r="AA56">
            <v>7481.2</v>
          </cell>
          <cell r="AB56">
            <v>7487.14</v>
          </cell>
          <cell r="AC56">
            <v>7697.57</v>
          </cell>
          <cell r="AD56">
            <v>7388.67</v>
          </cell>
          <cell r="AE56">
            <v>7466.92</v>
          </cell>
          <cell r="AF56">
            <v>7671.62</v>
          </cell>
          <cell r="AG56">
            <v>7414.12</v>
          </cell>
          <cell r="AH56">
            <v>7469.65</v>
          </cell>
          <cell r="AI56">
            <v>7370.94</v>
          </cell>
          <cell r="AJ56">
            <v>7476.49</v>
          </cell>
          <cell r="AK56">
            <v>7247.18</v>
          </cell>
          <cell r="AL56">
            <v>7458.91</v>
          </cell>
          <cell r="AM56">
            <v>7705.48</v>
          </cell>
          <cell r="AN56">
            <v>7528.91</v>
          </cell>
          <cell r="AO56">
            <v>7584.73</v>
          </cell>
          <cell r="AP56">
            <v>7578.45</v>
          </cell>
          <cell r="AQ56">
            <v>7634.2</v>
          </cell>
          <cell r="AR56">
            <v>7415.53</v>
          </cell>
          <cell r="AS56">
            <v>7709.78</v>
          </cell>
          <cell r="AT56">
            <v>7555.07</v>
          </cell>
          <cell r="AU56">
            <v>7581.05</v>
          </cell>
          <cell r="AV56">
            <v>7643.76</v>
          </cell>
          <cell r="AW56">
            <v>7499.83</v>
          </cell>
          <cell r="AX56">
            <v>7227.43</v>
          </cell>
          <cell r="AY56">
            <v>7399.49</v>
          </cell>
          <cell r="AZ56">
            <v>7148.57</v>
          </cell>
          <cell r="BA56">
            <v>7148.57</v>
          </cell>
        </row>
        <row r="57">
          <cell r="A57" t="str">
            <v>V2000H30B20</v>
          </cell>
          <cell r="B57">
            <v>2000</v>
          </cell>
          <cell r="C57">
            <v>3000</v>
          </cell>
          <cell r="D57">
            <v>2000</v>
          </cell>
          <cell r="E57">
            <v>29</v>
          </cell>
          <cell r="F57">
            <v>4</v>
          </cell>
          <cell r="G57">
            <v>0</v>
          </cell>
          <cell r="H57">
            <v>300</v>
          </cell>
          <cell r="I57">
            <v>50</v>
          </cell>
          <cell r="J57">
            <v>2022.2</v>
          </cell>
          <cell r="K57" t="str">
            <v>Q-11002986</v>
          </cell>
          <cell r="L57" t="str">
            <v>\\hokukon-net2\hop\Program\01_MVPシステム_容量別組立図\.\02_余裕高0_6m\pdf\FB600_2000m3-MVP-3000-組-B2000_Q-11002986.pdf</v>
          </cell>
          <cell r="M57">
            <v>7789.5</v>
          </cell>
          <cell r="N57">
            <v>7865.63</v>
          </cell>
          <cell r="O57">
            <v>7696.96</v>
          </cell>
          <cell r="P57">
            <v>7699.65</v>
          </cell>
          <cell r="Q57">
            <v>7827.67</v>
          </cell>
          <cell r="R57">
            <v>7770.08</v>
          </cell>
          <cell r="S57">
            <v>7752.04</v>
          </cell>
          <cell r="T57">
            <v>7755.29</v>
          </cell>
          <cell r="U57">
            <v>7757.39</v>
          </cell>
          <cell r="V57">
            <v>7725.18</v>
          </cell>
          <cell r="W57">
            <v>7764.43</v>
          </cell>
          <cell r="X57">
            <v>7797.4</v>
          </cell>
          <cell r="Y57">
            <v>7803.13</v>
          </cell>
          <cell r="Z57">
            <v>7982.22</v>
          </cell>
          <cell r="AA57">
            <v>7837.4</v>
          </cell>
          <cell r="AB57">
            <v>7841.67</v>
          </cell>
          <cell r="AC57">
            <v>8052.32</v>
          </cell>
          <cell r="AD57">
            <v>7739.01</v>
          </cell>
          <cell r="AE57">
            <v>7819.38</v>
          </cell>
          <cell r="AF57">
            <v>8027.07</v>
          </cell>
          <cell r="AG57">
            <v>7767.97</v>
          </cell>
          <cell r="AH57">
            <v>7824.08</v>
          </cell>
          <cell r="AI57">
            <v>7725.2</v>
          </cell>
          <cell r="AJ57">
            <v>7830.17</v>
          </cell>
          <cell r="AK57">
            <v>7597.88</v>
          </cell>
          <cell r="AL57">
            <v>7810.77</v>
          </cell>
          <cell r="AM57">
            <v>8060.28</v>
          </cell>
          <cell r="AN57">
            <v>7882.24</v>
          </cell>
          <cell r="AO57">
            <v>7937.39</v>
          </cell>
          <cell r="AP57">
            <v>7931.84</v>
          </cell>
          <cell r="AQ57">
            <v>7988.51</v>
          </cell>
          <cell r="AR57">
            <v>7764.45</v>
          </cell>
          <cell r="AS57">
            <v>8062.06</v>
          </cell>
          <cell r="AT57">
            <v>7907.75</v>
          </cell>
          <cell r="AU57">
            <v>7934.32</v>
          </cell>
          <cell r="AV57">
            <v>7996.01</v>
          </cell>
          <cell r="AW57">
            <v>7850.88</v>
          </cell>
          <cell r="AX57">
            <v>7577.07</v>
          </cell>
          <cell r="AY57">
            <v>7749.05</v>
          </cell>
          <cell r="AZ57">
            <v>7496.55</v>
          </cell>
          <cell r="BA57">
            <v>7496.55</v>
          </cell>
        </row>
        <row r="58">
          <cell r="A58" t="str">
            <v>V2000H35B30</v>
          </cell>
          <cell r="B58">
            <v>2000</v>
          </cell>
          <cell r="C58">
            <v>3500</v>
          </cell>
          <cell r="D58">
            <v>3000</v>
          </cell>
          <cell r="E58">
            <v>20</v>
          </cell>
          <cell r="F58">
            <v>4</v>
          </cell>
          <cell r="G58">
            <v>0</v>
          </cell>
          <cell r="H58">
            <v>300</v>
          </cell>
          <cell r="I58">
            <v>50</v>
          </cell>
          <cell r="J58">
            <v>2061.6</v>
          </cell>
          <cell r="K58" t="str">
            <v>Q-11002991</v>
          </cell>
          <cell r="L58" t="str">
            <v>\\hokukon-net2\hop\Program\01_MVPシステム_容量別組立図\.\02_余裕高0_6m\pdf\FB600_2000m3-MVP-3500-組-B3000_Q-11002991.pdf</v>
          </cell>
          <cell r="M58">
            <v>6552.96</v>
          </cell>
          <cell r="N58">
            <v>6618.14</v>
          </cell>
          <cell r="O58">
            <v>6475.07</v>
          </cell>
          <cell r="P58">
            <v>6477.35</v>
          </cell>
          <cell r="Q58">
            <v>6585.83</v>
          </cell>
          <cell r="R58">
            <v>6537.24</v>
          </cell>
          <cell r="S58">
            <v>6522.33</v>
          </cell>
          <cell r="T58">
            <v>6525.08</v>
          </cell>
          <cell r="U58">
            <v>6526.13</v>
          </cell>
          <cell r="V58">
            <v>6499.27</v>
          </cell>
          <cell r="W58">
            <v>6531.49</v>
          </cell>
          <cell r="X58">
            <v>6559.09</v>
          </cell>
          <cell r="Y58">
            <v>6563.95</v>
          </cell>
          <cell r="Z58">
            <v>6714.23</v>
          </cell>
          <cell r="AA58">
            <v>6591.22</v>
          </cell>
          <cell r="AB58">
            <v>6595.82</v>
          </cell>
          <cell r="AC58">
            <v>6773.57</v>
          </cell>
          <cell r="AD58">
            <v>6508.41</v>
          </cell>
          <cell r="AE58">
            <v>6575.9</v>
          </cell>
          <cell r="AF58">
            <v>6750.68</v>
          </cell>
          <cell r="AG58">
            <v>6532.35</v>
          </cell>
          <cell r="AH58">
            <v>6580.39</v>
          </cell>
          <cell r="AI58">
            <v>6495.96</v>
          </cell>
          <cell r="AJ58">
            <v>6585.23</v>
          </cell>
          <cell r="AK58">
            <v>6390.07</v>
          </cell>
          <cell r="AL58">
            <v>6570.84</v>
          </cell>
          <cell r="AM58">
            <v>6781.01</v>
          </cell>
          <cell r="AN58">
            <v>6631.44</v>
          </cell>
          <cell r="AO58">
            <v>6678.33</v>
          </cell>
          <cell r="AP58">
            <v>6673.41</v>
          </cell>
          <cell r="AQ58">
            <v>6720.91</v>
          </cell>
          <cell r="AR58">
            <v>6532.02</v>
          </cell>
          <cell r="AS58">
            <v>6782.24</v>
          </cell>
          <cell r="AT58">
            <v>6651.49</v>
          </cell>
          <cell r="AU58">
            <v>6673.21</v>
          </cell>
          <cell r="AV58">
            <v>6726.6</v>
          </cell>
          <cell r="AW58">
            <v>6603.46</v>
          </cell>
          <cell r="AX58">
            <v>6371.01</v>
          </cell>
          <cell r="AY58">
            <v>6517.86</v>
          </cell>
          <cell r="AZ58">
            <v>6303.75</v>
          </cell>
          <cell r="BA58">
            <v>6303.75</v>
          </cell>
        </row>
        <row r="59">
          <cell r="A59" t="str">
            <v>V2000H35B25</v>
          </cell>
          <cell r="B59">
            <v>2000</v>
          </cell>
          <cell r="C59">
            <v>3500</v>
          </cell>
          <cell r="D59">
            <v>2500</v>
          </cell>
          <cell r="E59">
            <v>22</v>
          </cell>
          <cell r="F59">
            <v>4</v>
          </cell>
          <cell r="G59">
            <v>0</v>
          </cell>
          <cell r="H59">
            <v>300</v>
          </cell>
          <cell r="I59">
            <v>50</v>
          </cell>
          <cell r="J59">
            <v>2064.1999999999998</v>
          </cell>
          <cell r="K59" t="str">
            <v>Q-11002990</v>
          </cell>
          <cell r="L59" t="str">
            <v>\\hokukon-net2\hop\Program\01_MVPシステム_容量別組立図\.\02_余裕高0_6m\pdf\FB600_2000m3-MVP-3500-組-B2500_Q-11002990.pdf</v>
          </cell>
          <cell r="M59">
            <v>6782.23</v>
          </cell>
          <cell r="N59">
            <v>6847.54</v>
          </cell>
          <cell r="O59">
            <v>6704.87</v>
          </cell>
          <cell r="P59">
            <v>6707.15</v>
          </cell>
          <cell r="Q59">
            <v>6814.84</v>
          </cell>
          <cell r="R59">
            <v>6766</v>
          </cell>
          <cell r="S59">
            <v>6750.49</v>
          </cell>
          <cell r="T59">
            <v>6753.23</v>
          </cell>
          <cell r="U59">
            <v>6757.35</v>
          </cell>
          <cell r="V59">
            <v>6729.99</v>
          </cell>
          <cell r="W59">
            <v>6762.56</v>
          </cell>
          <cell r="X59">
            <v>6791.32</v>
          </cell>
          <cell r="Y59">
            <v>6796.34</v>
          </cell>
          <cell r="Z59">
            <v>6948.14</v>
          </cell>
          <cell r="AA59">
            <v>6825.15</v>
          </cell>
          <cell r="AB59">
            <v>6828.54</v>
          </cell>
          <cell r="AC59">
            <v>7005.57</v>
          </cell>
          <cell r="AD59">
            <v>6738.56</v>
          </cell>
          <cell r="AE59">
            <v>6807.23</v>
          </cell>
          <cell r="AF59">
            <v>6983.28</v>
          </cell>
          <cell r="AG59">
            <v>6764.88</v>
          </cell>
          <cell r="AH59">
            <v>6813.1</v>
          </cell>
          <cell r="AI59">
            <v>6728.97</v>
          </cell>
          <cell r="AJ59">
            <v>6817.39</v>
          </cell>
          <cell r="AK59">
            <v>6621.07</v>
          </cell>
          <cell r="AL59">
            <v>6801.79</v>
          </cell>
          <cell r="AM59">
            <v>7013.01</v>
          </cell>
          <cell r="AN59">
            <v>6863.12</v>
          </cell>
          <cell r="AO59">
            <v>6909.31</v>
          </cell>
          <cell r="AP59">
            <v>6904.94</v>
          </cell>
          <cell r="AQ59">
            <v>6952.85</v>
          </cell>
          <cell r="AR59">
            <v>6761.06</v>
          </cell>
          <cell r="AS59">
            <v>7012.45</v>
          </cell>
          <cell r="AT59">
            <v>6882.62</v>
          </cell>
          <cell r="AU59">
            <v>6904.67</v>
          </cell>
          <cell r="AV59">
            <v>6957.05</v>
          </cell>
          <cell r="AW59">
            <v>6833.67</v>
          </cell>
          <cell r="AX59">
            <v>6601.34</v>
          </cell>
          <cell r="AY59">
            <v>6747.42</v>
          </cell>
          <cell r="AZ59">
            <v>6533.23</v>
          </cell>
          <cell r="BA59">
            <v>6533.23</v>
          </cell>
        </row>
        <row r="60">
          <cell r="A60" t="str">
            <v>V2000H35B20</v>
          </cell>
          <cell r="B60">
            <v>2000</v>
          </cell>
          <cell r="C60">
            <v>3500</v>
          </cell>
          <cell r="D60">
            <v>2000</v>
          </cell>
          <cell r="E60">
            <v>24</v>
          </cell>
          <cell r="F60">
            <v>4</v>
          </cell>
          <cell r="G60">
            <v>0</v>
          </cell>
          <cell r="H60">
            <v>300</v>
          </cell>
          <cell r="I60">
            <v>50</v>
          </cell>
          <cell r="J60">
            <v>2032</v>
          </cell>
          <cell r="K60" t="str">
            <v>Q-11002989</v>
          </cell>
          <cell r="L60" t="str">
            <v>\\hokukon-net2\hop\Program\01_MVPシステム_容量別組立図\.\02_余裕高0_6m\pdf\FB600_2000m3-MVP-3500-組-B2000_Q-11002989.pdf</v>
          </cell>
          <cell r="M60">
            <v>6954.81</v>
          </cell>
          <cell r="N60">
            <v>7019.33</v>
          </cell>
          <cell r="O60">
            <v>6879.39</v>
          </cell>
          <cell r="P60">
            <v>6990.23</v>
          </cell>
          <cell r="Q60">
            <v>6986.71</v>
          </cell>
          <cell r="R60">
            <v>6938.44</v>
          </cell>
          <cell r="S60">
            <v>6922.45</v>
          </cell>
          <cell r="T60">
            <v>6925.16</v>
          </cell>
          <cell r="U60">
            <v>6932.76</v>
          </cell>
          <cell r="V60">
            <v>6905.26</v>
          </cell>
          <cell r="W60">
            <v>6937.74</v>
          </cell>
          <cell r="X60">
            <v>6967.4</v>
          </cell>
          <cell r="Y60">
            <v>6972.48</v>
          </cell>
          <cell r="Z60">
            <v>7123.62</v>
          </cell>
          <cell r="AA60">
            <v>7002.47</v>
          </cell>
          <cell r="AB60">
            <v>7004.54</v>
          </cell>
          <cell r="AC60">
            <v>7177.88</v>
          </cell>
          <cell r="AD60">
            <v>6912.73</v>
          </cell>
          <cell r="AE60">
            <v>6981.7</v>
          </cell>
          <cell r="AF60">
            <v>7156.49</v>
          </cell>
          <cell r="AG60">
            <v>6941.48</v>
          </cell>
          <cell r="AH60">
            <v>6989.31</v>
          </cell>
          <cell r="AI60">
            <v>6906.69</v>
          </cell>
          <cell r="AJ60">
            <v>6992.83</v>
          </cell>
          <cell r="AK60">
            <v>6798.22</v>
          </cell>
          <cell r="AL60">
            <v>6976.17</v>
          </cell>
          <cell r="AM60">
            <v>7185.28</v>
          </cell>
          <cell r="AN60">
            <v>7037.37</v>
          </cell>
          <cell r="AO60">
            <v>7082.06</v>
          </cell>
          <cell r="AP60">
            <v>7078.47</v>
          </cell>
          <cell r="AQ60">
            <v>7126.04</v>
          </cell>
          <cell r="AR60">
            <v>7033.15</v>
          </cell>
          <cell r="AS60">
            <v>7182.6</v>
          </cell>
          <cell r="AT60">
            <v>7055.86</v>
          </cell>
          <cell r="AU60">
            <v>7077.79</v>
          </cell>
          <cell r="AV60">
            <v>7128.34</v>
          </cell>
          <cell r="AW60">
            <v>7006.52</v>
          </cell>
          <cell r="AX60">
            <v>6777.96</v>
          </cell>
          <cell r="AY60">
            <v>6920.92</v>
          </cell>
          <cell r="AZ60">
            <v>6709.88</v>
          </cell>
          <cell r="BA60">
            <v>6709.88</v>
          </cell>
        </row>
        <row r="61">
          <cell r="A61" t="str">
            <v>V2000H40B30</v>
          </cell>
          <cell r="B61">
            <v>2000</v>
          </cell>
          <cell r="C61">
            <v>4000</v>
          </cell>
          <cell r="D61">
            <v>3000</v>
          </cell>
          <cell r="E61">
            <v>17</v>
          </cell>
          <cell r="F61">
            <v>4</v>
          </cell>
          <cell r="G61">
            <v>0</v>
          </cell>
          <cell r="H61">
            <v>350</v>
          </cell>
          <cell r="I61">
            <v>70</v>
          </cell>
          <cell r="J61">
            <v>2083</v>
          </cell>
          <cell r="K61" t="str">
            <v>Q-11002994</v>
          </cell>
          <cell r="L61" t="str">
            <v>\\hokukon-net2\hop\Program\01_MVPシステム_容量別組立図\.\02_余裕高0_6m\pdf\FB600_2000m3-MVP-4000-組-B3000_Q-11002994.pdf</v>
          </cell>
          <cell r="M61">
            <v>6813.35</v>
          </cell>
          <cell r="N61">
            <v>6877.39</v>
          </cell>
          <cell r="O61">
            <v>6741.15</v>
          </cell>
          <cell r="P61">
            <v>6743.28</v>
          </cell>
          <cell r="Q61">
            <v>6845.26</v>
          </cell>
          <cell r="R61">
            <v>6798.92</v>
          </cell>
          <cell r="S61">
            <v>6784.01</v>
          </cell>
          <cell r="T61">
            <v>6786.58</v>
          </cell>
          <cell r="U61">
            <v>6786.75</v>
          </cell>
          <cell r="V61">
            <v>6761.9</v>
          </cell>
          <cell r="W61">
            <v>6791.92</v>
          </cell>
          <cell r="X61">
            <v>6817.43</v>
          </cell>
          <cell r="Y61">
            <v>6820.86</v>
          </cell>
          <cell r="Z61">
            <v>6963.91</v>
          </cell>
          <cell r="AA61">
            <v>6847.06</v>
          </cell>
          <cell r="AB61">
            <v>6852.43</v>
          </cell>
          <cell r="AC61">
            <v>7019.95</v>
          </cell>
          <cell r="AD61">
            <v>6762.4</v>
          </cell>
          <cell r="AE61">
            <v>6828.71</v>
          </cell>
          <cell r="AF61">
            <v>6994</v>
          </cell>
          <cell r="AG61">
            <v>6783.03</v>
          </cell>
          <cell r="AH61">
            <v>6830.01</v>
          </cell>
          <cell r="AI61">
            <v>6749.81</v>
          </cell>
          <cell r="AJ61">
            <v>6832.95</v>
          </cell>
          <cell r="AK61">
            <v>6662.05</v>
          </cell>
          <cell r="AL61">
            <v>6835.78</v>
          </cell>
          <cell r="AM61">
            <v>7034.6</v>
          </cell>
          <cell r="AN61">
            <v>6893.15</v>
          </cell>
          <cell r="AO61">
            <v>6937.97</v>
          </cell>
          <cell r="AP61">
            <v>6933.41</v>
          </cell>
          <cell r="AQ61">
            <v>6979.37</v>
          </cell>
          <cell r="AR61">
            <v>6784.92</v>
          </cell>
          <cell r="AS61">
            <v>7022.27</v>
          </cell>
          <cell r="AT61">
            <v>6900.47</v>
          </cell>
          <cell r="AU61">
            <v>6920.51</v>
          </cell>
          <cell r="AV61">
            <v>6969.78</v>
          </cell>
          <cell r="AW61">
            <v>6851.31</v>
          </cell>
          <cell r="AX61">
            <v>6628.62</v>
          </cell>
          <cell r="AY61">
            <v>6768.82</v>
          </cell>
          <cell r="AZ61">
            <v>6564.26</v>
          </cell>
          <cell r="BA61">
            <v>6564.26</v>
          </cell>
        </row>
        <row r="62">
          <cell r="A62" t="str">
            <v>V2000H40B25</v>
          </cell>
          <cell r="B62">
            <v>2000</v>
          </cell>
          <cell r="C62">
            <v>4000</v>
          </cell>
          <cell r="D62">
            <v>2500</v>
          </cell>
          <cell r="E62">
            <v>24</v>
          </cell>
          <cell r="F62">
            <v>3</v>
          </cell>
          <cell r="G62">
            <v>0</v>
          </cell>
          <cell r="H62">
            <v>350</v>
          </cell>
          <cell r="I62">
            <v>70</v>
          </cell>
          <cell r="J62">
            <v>2056.6</v>
          </cell>
          <cell r="K62" t="str">
            <v>Q-11002993</v>
          </cell>
          <cell r="L62" t="str">
            <v>\\hokukon-net2\hop\Program\01_MVPシステム_容量別組立図\.\02_余裕高0_6m\pdf\FB600_2000m3-MVP-4000-組-B2500_Q-11002993.pdf</v>
          </cell>
          <cell r="M62">
            <v>6998.34</v>
          </cell>
          <cell r="N62">
            <v>7061.33</v>
          </cell>
          <cell r="O62">
            <v>6926.21</v>
          </cell>
          <cell r="P62">
            <v>6928.31</v>
          </cell>
          <cell r="Q62">
            <v>7029.63</v>
          </cell>
          <cell r="R62">
            <v>6983.67</v>
          </cell>
          <cell r="S62">
            <v>6968.8</v>
          </cell>
          <cell r="T62">
            <v>6971.35</v>
          </cell>
          <cell r="U62">
            <v>6970.8</v>
          </cell>
          <cell r="V62">
            <v>6946.1</v>
          </cell>
          <cell r="W62">
            <v>6976.64</v>
          </cell>
          <cell r="X62">
            <v>7001.63</v>
          </cell>
          <cell r="Y62">
            <v>7004.92</v>
          </cell>
          <cell r="Z62">
            <v>7147.28</v>
          </cell>
          <cell r="AA62">
            <v>7031.54</v>
          </cell>
          <cell r="AB62">
            <v>7036.71</v>
          </cell>
          <cell r="AC62">
            <v>7203.42</v>
          </cell>
          <cell r="AD62">
            <v>6948.25</v>
          </cell>
          <cell r="AE62">
            <v>7013.91</v>
          </cell>
          <cell r="AF62">
            <v>7178.16</v>
          </cell>
          <cell r="AG62">
            <v>6968.03</v>
          </cell>
          <cell r="AH62">
            <v>7014.19</v>
          </cell>
          <cell r="AI62">
            <v>6935.09</v>
          </cell>
          <cell r="AJ62">
            <v>7017.5</v>
          </cell>
          <cell r="AK62">
            <v>6848.54</v>
          </cell>
          <cell r="AL62">
            <v>7020.33</v>
          </cell>
          <cell r="AM62">
            <v>7217.82</v>
          </cell>
          <cell r="AN62">
            <v>7077.08</v>
          </cell>
          <cell r="AO62">
            <v>7121.54</v>
          </cell>
          <cell r="AP62">
            <v>7116.99</v>
          </cell>
          <cell r="AQ62">
            <v>7162.93</v>
          </cell>
          <cell r="AR62">
            <v>6969.51</v>
          </cell>
          <cell r="AS62">
            <v>7205.71</v>
          </cell>
          <cell r="AT62">
            <v>7084.59</v>
          </cell>
          <cell r="AU62">
            <v>7104.98</v>
          </cell>
          <cell r="AV62">
            <v>7153.34</v>
          </cell>
          <cell r="AW62">
            <v>7035.86</v>
          </cell>
          <cell r="AX62">
            <v>6815.41</v>
          </cell>
          <cell r="AY62">
            <v>6953.75</v>
          </cell>
          <cell r="AZ62">
            <v>6751.25</v>
          </cell>
          <cell r="BA62">
            <v>6751.25</v>
          </cell>
        </row>
        <row r="63">
          <cell r="A63" t="str">
            <v>V2000H40B20</v>
          </cell>
          <cell r="B63">
            <v>2000</v>
          </cell>
          <cell r="C63">
            <v>4000</v>
          </cell>
          <cell r="D63">
            <v>2000</v>
          </cell>
          <cell r="E63">
            <v>20</v>
          </cell>
          <cell r="F63">
            <v>4</v>
          </cell>
          <cell r="G63">
            <v>0</v>
          </cell>
          <cell r="H63">
            <v>350</v>
          </cell>
          <cell r="I63">
            <v>70</v>
          </cell>
          <cell r="J63">
            <v>2015.8</v>
          </cell>
          <cell r="K63" t="str">
            <v>Q-11002992</v>
          </cell>
          <cell r="L63" t="str">
            <v>\\hokukon-net2\hop\Program\01_MVPシステム_容量別組立図\.\02_余裕高0_6m\pdf\FB600_2000m3-MVP-4000-組-B2000_Q-11002992.pdf</v>
          </cell>
          <cell r="M63">
            <v>7177.16</v>
          </cell>
          <cell r="N63">
            <v>7239.71</v>
          </cell>
          <cell r="O63">
            <v>7108.49</v>
          </cell>
          <cell r="P63">
            <v>7110.56</v>
          </cell>
          <cell r="Q63">
            <v>7207.74</v>
          </cell>
          <cell r="R63">
            <v>7162.44</v>
          </cell>
          <cell r="S63">
            <v>7146.77</v>
          </cell>
          <cell r="T63">
            <v>7149.27</v>
          </cell>
          <cell r="U63">
            <v>7155.22</v>
          </cell>
          <cell r="V63">
            <v>7130.26</v>
          </cell>
          <cell r="W63">
            <v>7159.93</v>
          </cell>
          <cell r="X63">
            <v>7186.88</v>
          </cell>
          <cell r="Y63">
            <v>7190.55</v>
          </cell>
          <cell r="Z63">
            <v>7331.95</v>
          </cell>
          <cell r="AA63">
            <v>7218.73</v>
          </cell>
          <cell r="AB63">
            <v>7221.75</v>
          </cell>
          <cell r="AC63">
            <v>7382.16</v>
          </cell>
          <cell r="AD63">
            <v>7128.22</v>
          </cell>
          <cell r="AE63">
            <v>7194.79</v>
          </cell>
          <cell r="AF63">
            <v>7357.13</v>
          </cell>
          <cell r="AG63">
            <v>7152.55</v>
          </cell>
          <cell r="AH63">
            <v>7198.59</v>
          </cell>
          <cell r="AI63">
            <v>7121.45</v>
          </cell>
          <cell r="AJ63">
            <v>7200.24</v>
          </cell>
          <cell r="AK63">
            <v>7034.8</v>
          </cell>
          <cell r="AL63">
            <v>7203.03</v>
          </cell>
          <cell r="AM63">
            <v>7397.42</v>
          </cell>
          <cell r="AN63">
            <v>7259.98</v>
          </cell>
          <cell r="AO63">
            <v>7302.04</v>
          </cell>
          <cell r="AP63">
            <v>7298.83</v>
          </cell>
          <cell r="AQ63">
            <v>7344.08</v>
          </cell>
          <cell r="AR63">
            <v>7148.13</v>
          </cell>
          <cell r="AS63">
            <v>7380.02</v>
          </cell>
          <cell r="AT63">
            <v>7263.83</v>
          </cell>
          <cell r="AU63">
            <v>7283.78</v>
          </cell>
          <cell r="AV63">
            <v>7329.58</v>
          </cell>
          <cell r="AW63">
            <v>7213.85</v>
          </cell>
          <cell r="AX63">
            <v>6998.5</v>
          </cell>
          <cell r="AY63">
            <v>7132.78</v>
          </cell>
          <cell r="AZ63">
            <v>6934.39</v>
          </cell>
          <cell r="BA63">
            <v>6934.39</v>
          </cell>
        </row>
        <row r="64">
          <cell r="A64" t="str">
            <v>V2000H45B30</v>
          </cell>
          <cell r="B64">
            <v>2000</v>
          </cell>
          <cell r="C64">
            <v>4500</v>
          </cell>
          <cell r="D64">
            <v>3000</v>
          </cell>
          <cell r="E64">
            <v>19</v>
          </cell>
          <cell r="F64">
            <v>3</v>
          </cell>
          <cell r="G64">
            <v>0</v>
          </cell>
          <cell r="H64">
            <v>350</v>
          </cell>
          <cell r="I64">
            <v>70</v>
          </cell>
          <cell r="J64">
            <v>2053.1999999999998</v>
          </cell>
          <cell r="K64" t="str">
            <v>Q-11002997</v>
          </cell>
          <cell r="L64" t="str">
            <v>\\hokukon-net2\hop\Program\01_MVPシステム_容量別組立図\.\02_余裕高0_6m\pdf\FB600_2000m3-MVP-4500-組-B3000_Q-11002997.pdf</v>
          </cell>
          <cell r="M64">
            <v>6275</v>
          </cell>
          <cell r="N64">
            <v>6330.03</v>
          </cell>
          <cell r="O64">
            <v>6212.87</v>
          </cell>
          <cell r="P64">
            <v>6214.71</v>
          </cell>
          <cell r="Q64">
            <v>6302.04</v>
          </cell>
          <cell r="R64">
            <v>6261.52</v>
          </cell>
          <cell r="S64">
            <v>6247.9</v>
          </cell>
          <cell r="T64">
            <v>6250.12</v>
          </cell>
          <cell r="U64">
            <v>6253.42</v>
          </cell>
          <cell r="V64">
            <v>6231.79</v>
          </cell>
          <cell r="W64">
            <v>6258.25</v>
          </cell>
          <cell r="X64">
            <v>6281.29</v>
          </cell>
          <cell r="Y64">
            <v>6284.25</v>
          </cell>
          <cell r="Z64">
            <v>6409.38</v>
          </cell>
          <cell r="AA64">
            <v>6308.2</v>
          </cell>
          <cell r="AB64">
            <v>6312.1</v>
          </cell>
          <cell r="AC64">
            <v>6455.51</v>
          </cell>
          <cell r="AD64">
            <v>6231</v>
          </cell>
          <cell r="AE64">
            <v>6289.23</v>
          </cell>
          <cell r="AF64">
            <v>6433.47</v>
          </cell>
          <cell r="AG64">
            <v>6251.18</v>
          </cell>
          <cell r="AH64">
            <v>6291.48</v>
          </cell>
          <cell r="AI64">
            <v>6222.67</v>
          </cell>
          <cell r="AJ64">
            <v>6293.81</v>
          </cell>
          <cell r="AK64">
            <v>6146.45</v>
          </cell>
          <cell r="AL64">
            <v>6295.72</v>
          </cell>
          <cell r="AM64">
            <v>6468.44</v>
          </cell>
          <cell r="AN64">
            <v>6346.61</v>
          </cell>
          <cell r="AO64">
            <v>6384.68</v>
          </cell>
          <cell r="AP64">
            <v>6380.92</v>
          </cell>
          <cell r="AQ64">
            <v>6421.27</v>
          </cell>
          <cell r="AR64">
            <v>6248.93</v>
          </cell>
          <cell r="AS64">
            <v>6454.87</v>
          </cell>
          <cell r="AT64">
            <v>6350.82</v>
          </cell>
          <cell r="AU64">
            <v>6368.18</v>
          </cell>
          <cell r="AV64">
            <v>6410.05</v>
          </cell>
          <cell r="AW64">
            <v>6307.4</v>
          </cell>
          <cell r="AX64">
            <v>6115.34</v>
          </cell>
          <cell r="AY64">
            <v>6235.29</v>
          </cell>
          <cell r="AZ64">
            <v>6058.95</v>
          </cell>
          <cell r="BA64">
            <v>6058.95</v>
          </cell>
        </row>
        <row r="65">
          <cell r="A65" t="str">
            <v>V2000H45B25</v>
          </cell>
          <cell r="B65">
            <v>2000</v>
          </cell>
          <cell r="C65">
            <v>4500</v>
          </cell>
          <cell r="D65">
            <v>2500</v>
          </cell>
          <cell r="E65">
            <v>21</v>
          </cell>
          <cell r="F65">
            <v>3</v>
          </cell>
          <cell r="G65">
            <v>0</v>
          </cell>
          <cell r="H65">
            <v>350</v>
          </cell>
          <cell r="I65">
            <v>70</v>
          </cell>
          <cell r="J65">
            <v>2072.1</v>
          </cell>
          <cell r="K65" t="str">
            <v>Q-11002996</v>
          </cell>
          <cell r="L65" t="str">
            <v>\\hokukon-net2\hop\Program\01_MVPシステム_容量別組立図\.\02_余裕高0_6m\pdf\FB600_2000m3-MVP-4500-組-B2500_Q-11002996.pdf</v>
          </cell>
          <cell r="M65">
            <v>6578.57</v>
          </cell>
          <cell r="N65">
            <v>6634.34</v>
          </cell>
          <cell r="O65">
            <v>6516.29</v>
          </cell>
          <cell r="P65">
            <v>6518.17</v>
          </cell>
          <cell r="Q65">
            <v>6605.76</v>
          </cell>
          <cell r="R65">
            <v>6564.69</v>
          </cell>
          <cell r="S65">
            <v>6550.5</v>
          </cell>
          <cell r="T65">
            <v>6552.76</v>
          </cell>
          <cell r="U65">
            <v>6558.15</v>
          </cell>
          <cell r="V65">
            <v>6535.97</v>
          </cell>
          <cell r="W65">
            <v>6562.96</v>
          </cell>
          <cell r="X65">
            <v>6587.02</v>
          </cell>
          <cell r="Y65">
            <v>6590.14</v>
          </cell>
          <cell r="Z65">
            <v>6717.56</v>
          </cell>
          <cell r="AA65">
            <v>6615.4</v>
          </cell>
          <cell r="AB65">
            <v>6618.48</v>
          </cell>
          <cell r="AC65">
            <v>6762.68</v>
          </cell>
          <cell r="AD65">
            <v>6534.33</v>
          </cell>
          <cell r="AE65">
            <v>6594.04</v>
          </cell>
          <cell r="AF65">
            <v>6740.51</v>
          </cell>
          <cell r="AG65">
            <v>6556.29</v>
          </cell>
          <cell r="AH65">
            <v>6597.17</v>
          </cell>
          <cell r="AI65">
            <v>6527.92</v>
          </cell>
          <cell r="AJ65">
            <v>6599.06</v>
          </cell>
          <cell r="AK65">
            <v>6450.38</v>
          </cell>
          <cell r="AL65">
            <v>6601.08</v>
          </cell>
          <cell r="AM65">
            <v>6776.14</v>
          </cell>
          <cell r="AN65">
            <v>6652.93</v>
          </cell>
          <cell r="AO65">
            <v>6690.86</v>
          </cell>
          <cell r="AP65">
            <v>6687.5</v>
          </cell>
          <cell r="AQ65">
            <v>6728.54</v>
          </cell>
          <cell r="AR65">
            <v>6551.7</v>
          </cell>
          <cell r="AS65">
            <v>6760.45</v>
          </cell>
          <cell r="AT65">
            <v>6656.01</v>
          </cell>
          <cell r="AU65">
            <v>6673.8</v>
          </cell>
          <cell r="AV65">
            <v>6715.32</v>
          </cell>
          <cell r="AW65">
            <v>6611.3</v>
          </cell>
          <cell r="AX65">
            <v>6417.51</v>
          </cell>
          <cell r="AY65">
            <v>6538.04</v>
          </cell>
          <cell r="AZ65">
            <v>6359.89</v>
          </cell>
          <cell r="BA65">
            <v>6359.89</v>
          </cell>
        </row>
        <row r="66">
          <cell r="A66" t="str">
            <v>V2000H45B20</v>
          </cell>
          <cell r="B66">
            <v>2000</v>
          </cell>
          <cell r="C66">
            <v>4500</v>
          </cell>
          <cell r="D66">
            <v>2000</v>
          </cell>
          <cell r="E66">
            <v>18</v>
          </cell>
          <cell r="F66">
            <v>4</v>
          </cell>
          <cell r="G66">
            <v>0</v>
          </cell>
          <cell r="H66">
            <v>350</v>
          </cell>
          <cell r="I66">
            <v>70</v>
          </cell>
          <cell r="J66">
            <v>2088.5</v>
          </cell>
          <cell r="K66" t="str">
            <v>Q-11002995</v>
          </cell>
          <cell r="L66" t="str">
            <v>\\hokukon-net2\hop\Program\01_MVPシステム_容量別組立図\.\02_余裕高0_6m\pdf\FB600_2000m3-MVP-4500-組-B2000_Q-11002995.pdf</v>
          </cell>
          <cell r="M66">
            <v>6950.12</v>
          </cell>
          <cell r="N66">
            <v>7007.07</v>
          </cell>
          <cell r="O66">
            <v>6889.54</v>
          </cell>
          <cell r="P66">
            <v>6891.41</v>
          </cell>
          <cell r="Q66">
            <v>6977.34</v>
          </cell>
          <cell r="R66">
            <v>6935.47</v>
          </cell>
          <cell r="S66">
            <v>6919.95</v>
          </cell>
          <cell r="T66">
            <v>6922.22</v>
          </cell>
          <cell r="U66">
            <v>6934.78</v>
          </cell>
          <cell r="V66">
            <v>6911.6</v>
          </cell>
          <cell r="W66">
            <v>6938.69</v>
          </cell>
          <cell r="X66">
            <v>6965.6</v>
          </cell>
          <cell r="Y66">
            <v>6969.18</v>
          </cell>
          <cell r="Z66">
            <v>7099.67</v>
          </cell>
          <cell r="AA66">
            <v>6997.05</v>
          </cell>
          <cell r="AB66">
            <v>6997.88</v>
          </cell>
          <cell r="AC66">
            <v>7139.83</v>
          </cell>
          <cell r="AD66">
            <v>6905.67</v>
          </cell>
          <cell r="AE66">
            <v>6968.27</v>
          </cell>
          <cell r="AF66">
            <v>7117.42</v>
          </cell>
          <cell r="AG66">
            <v>6933.3</v>
          </cell>
          <cell r="AH66">
            <v>6975.14</v>
          </cell>
          <cell r="AI66">
            <v>6905.93</v>
          </cell>
          <cell r="AJ66">
            <v>6975.34</v>
          </cell>
          <cell r="AK66">
            <v>6825.95</v>
          </cell>
          <cell r="AL66">
            <v>6977.31</v>
          </cell>
          <cell r="AM66">
            <v>7154.56</v>
          </cell>
          <cell r="AN66">
            <v>7031.15</v>
          </cell>
          <cell r="AO66">
            <v>7067.63</v>
          </cell>
          <cell r="AP66">
            <v>7065.53</v>
          </cell>
          <cell r="AQ66">
            <v>7107.26</v>
          </cell>
          <cell r="AR66">
            <v>6921.77</v>
          </cell>
          <cell r="AS66">
            <v>7132.58</v>
          </cell>
          <cell r="AT66">
            <v>7030.27</v>
          </cell>
          <cell r="AU66">
            <v>7048.23</v>
          </cell>
          <cell r="AV66">
            <v>7088.21</v>
          </cell>
          <cell r="AW66">
            <v>6982.86</v>
          </cell>
          <cell r="AX66">
            <v>6788.55</v>
          </cell>
          <cell r="AY66">
            <v>6908.29</v>
          </cell>
          <cell r="AZ66">
            <v>6729.16</v>
          </cell>
          <cell r="BA66">
            <v>6729.16</v>
          </cell>
        </row>
        <row r="67">
          <cell r="A67" t="str">
            <v>V3000H15B30</v>
          </cell>
          <cell r="B67">
            <v>3000</v>
          </cell>
          <cell r="C67">
            <v>1500</v>
          </cell>
          <cell r="D67">
            <v>3000</v>
          </cell>
          <cell r="E67">
            <v>49</v>
          </cell>
          <cell r="F67">
            <v>5</v>
          </cell>
          <cell r="G67">
            <v>0</v>
          </cell>
          <cell r="H67">
            <v>350</v>
          </cell>
          <cell r="I67">
            <v>50</v>
          </cell>
          <cell r="J67">
            <v>3035.6</v>
          </cell>
          <cell r="K67" t="str">
            <v>Q-12001288</v>
          </cell>
          <cell r="L67" t="str">
            <v>\\hokukon-net2\hop\Program\01_MVPシステム_容量別組立図\.\02_余裕高0_6m\pdf\FB600_3000m3-MVP-1500-組-B3000_Q-12001288.pdf</v>
          </cell>
          <cell r="M67">
            <v>19880.53</v>
          </cell>
          <cell r="N67">
            <v>20187.79</v>
          </cell>
          <cell r="O67">
            <v>19444.25</v>
          </cell>
          <cell r="P67">
            <v>19455.21</v>
          </cell>
          <cell r="Q67">
            <v>20046.22</v>
          </cell>
          <cell r="R67">
            <v>19810.55</v>
          </cell>
          <cell r="S67">
            <v>19766.900000000001</v>
          </cell>
          <cell r="T67">
            <v>19780.12</v>
          </cell>
          <cell r="U67">
            <v>19588.2</v>
          </cell>
          <cell r="V67">
            <v>19479.64</v>
          </cell>
          <cell r="W67">
            <v>19636.099999999999</v>
          </cell>
          <cell r="X67">
            <v>19697.009999999998</v>
          </cell>
          <cell r="Y67">
            <v>19704.46</v>
          </cell>
          <cell r="Z67">
            <v>20389.21</v>
          </cell>
          <cell r="AA67">
            <v>19785.919999999998</v>
          </cell>
          <cell r="AB67">
            <v>19869.41</v>
          </cell>
          <cell r="AC67">
            <v>20832.32</v>
          </cell>
          <cell r="AD67">
            <v>19626.900000000001</v>
          </cell>
          <cell r="AE67">
            <v>19905.599999999999</v>
          </cell>
          <cell r="AF67">
            <v>20722.8</v>
          </cell>
          <cell r="AG67">
            <v>19588.3</v>
          </cell>
          <cell r="AH67">
            <v>19805.73</v>
          </cell>
          <cell r="AI67">
            <v>19377.87</v>
          </cell>
          <cell r="AJ67">
            <v>19872.27</v>
          </cell>
          <cell r="AK67">
            <v>18935.28</v>
          </cell>
          <cell r="AL67">
            <v>19846.2</v>
          </cell>
          <cell r="AM67">
            <v>20857.7</v>
          </cell>
          <cell r="AN67">
            <v>20101.310000000001</v>
          </cell>
          <cell r="AO67">
            <v>20380.66</v>
          </cell>
          <cell r="AP67">
            <v>20320.32</v>
          </cell>
          <cell r="AQ67">
            <v>20548.86</v>
          </cell>
          <cell r="AR67">
            <v>19764.669999999998</v>
          </cell>
          <cell r="AS67">
            <v>20989.87</v>
          </cell>
          <cell r="AT67">
            <v>20278.71</v>
          </cell>
          <cell r="AU67">
            <v>20385.759999999998</v>
          </cell>
          <cell r="AV67">
            <v>20689.18</v>
          </cell>
          <cell r="AW67">
            <v>20105.02</v>
          </cell>
          <cell r="AX67">
            <v>18925.849999999999</v>
          </cell>
          <cell r="AY67">
            <v>19695.150000000001</v>
          </cell>
          <cell r="AZ67">
            <v>18630.28</v>
          </cell>
          <cell r="BA67">
            <v>18630.28</v>
          </cell>
        </row>
        <row r="68">
          <cell r="A68" t="str">
            <v>V3000H15B25</v>
          </cell>
          <cell r="B68">
            <v>3000</v>
          </cell>
          <cell r="C68">
            <v>1500</v>
          </cell>
          <cell r="D68">
            <v>2500</v>
          </cell>
          <cell r="E68">
            <v>45</v>
          </cell>
          <cell r="F68">
            <v>6</v>
          </cell>
          <cell r="G68">
            <v>0</v>
          </cell>
          <cell r="H68">
            <v>350</v>
          </cell>
          <cell r="I68">
            <v>50</v>
          </cell>
          <cell r="J68">
            <v>3053.2</v>
          </cell>
          <cell r="K68" t="str">
            <v>Q-12001287</v>
          </cell>
          <cell r="L68" t="str">
            <v>\\hokukon-net2\hop\Program\01_MVPシステム_容量別組立図\.\02_余裕高0_6m\pdf\FB600_3000m3-MVP-1500-組-B2500_Q-12001287.pdf</v>
          </cell>
          <cell r="M68">
            <v>20391.669999999998</v>
          </cell>
          <cell r="N68">
            <v>20701.05</v>
          </cell>
          <cell r="O68">
            <v>19955.490000000002</v>
          </cell>
          <cell r="P68">
            <v>19966.509999999998</v>
          </cell>
          <cell r="Q68">
            <v>20557.8</v>
          </cell>
          <cell r="R68">
            <v>20320.36</v>
          </cell>
          <cell r="S68">
            <v>20274.72</v>
          </cell>
          <cell r="T68">
            <v>20288.05</v>
          </cell>
          <cell r="U68">
            <v>20104.96</v>
          </cell>
          <cell r="V68">
            <v>19994.53</v>
          </cell>
          <cell r="W68">
            <v>20152.25</v>
          </cell>
          <cell r="X68">
            <v>20217.04</v>
          </cell>
          <cell r="Y68">
            <v>20225.150000000001</v>
          </cell>
          <cell r="Z68">
            <v>20917.12</v>
          </cell>
          <cell r="AA68">
            <v>20311.02</v>
          </cell>
          <cell r="AB68">
            <v>20391.419999999998</v>
          </cell>
          <cell r="AC68">
            <v>21355.88</v>
          </cell>
          <cell r="AD68">
            <v>20139.18</v>
          </cell>
          <cell r="AE68">
            <v>20422.61</v>
          </cell>
          <cell r="AF68">
            <v>21247.040000000001</v>
          </cell>
          <cell r="AG68">
            <v>20107.97</v>
          </cell>
          <cell r="AH68">
            <v>20327.32</v>
          </cell>
          <cell r="AI68">
            <v>19898.09</v>
          </cell>
          <cell r="AJ68">
            <v>20392.11</v>
          </cell>
          <cell r="AK68">
            <v>19447.939999999999</v>
          </cell>
          <cell r="AL68">
            <v>20362.86</v>
          </cell>
          <cell r="AM68">
            <v>21381.63</v>
          </cell>
          <cell r="AN68">
            <v>20621.43</v>
          </cell>
          <cell r="AO68">
            <v>20899.86</v>
          </cell>
          <cell r="AP68">
            <v>20840.939999999999</v>
          </cell>
          <cell r="AQ68">
            <v>21071.45</v>
          </cell>
          <cell r="AR68">
            <v>20274.91</v>
          </cell>
          <cell r="AS68">
            <v>21508.35</v>
          </cell>
          <cell r="AT68">
            <v>20797.2</v>
          </cell>
          <cell r="AU68">
            <v>20905.259999999998</v>
          </cell>
          <cell r="AV68">
            <v>21207.39</v>
          </cell>
          <cell r="AW68">
            <v>20619.73</v>
          </cell>
          <cell r="AX68">
            <v>19435.7</v>
          </cell>
          <cell r="AY68">
            <v>20206.41</v>
          </cell>
          <cell r="AZ68">
            <v>19136.490000000002</v>
          </cell>
          <cell r="BA68">
            <v>19136.490000000002</v>
          </cell>
        </row>
        <row r="69">
          <cell r="A69" t="str">
            <v>V3000H15B20</v>
          </cell>
          <cell r="B69">
            <v>3000</v>
          </cell>
          <cell r="C69">
            <v>1500</v>
          </cell>
          <cell r="D69">
            <v>2000</v>
          </cell>
          <cell r="E69">
            <v>49</v>
          </cell>
          <cell r="F69">
            <v>6</v>
          </cell>
          <cell r="G69">
            <v>0</v>
          </cell>
          <cell r="H69">
            <v>350</v>
          </cell>
          <cell r="I69">
            <v>50</v>
          </cell>
          <cell r="J69">
            <v>3051.6</v>
          </cell>
          <cell r="K69" t="str">
            <v>Q-12001286</v>
          </cell>
          <cell r="L69" t="str">
            <v>\\hokukon-net2\hop\Program\01_MVPシステム_容量別組立図\.\02_余裕高0_6m\pdf\FB600_3000m3-MVP-1500-組-B2000_Q-12001286.pdf</v>
          </cell>
          <cell r="M69">
            <v>20829.96</v>
          </cell>
          <cell r="N69">
            <v>21139.79</v>
          </cell>
          <cell r="O69">
            <v>20395.36</v>
          </cell>
          <cell r="P69">
            <v>20406.400000000001</v>
          </cell>
          <cell r="Q69">
            <v>20995.34</v>
          </cell>
          <cell r="R69">
            <v>20757.28</v>
          </cell>
          <cell r="S69">
            <v>20709.88</v>
          </cell>
          <cell r="T69">
            <v>20723.22</v>
          </cell>
          <cell r="U69">
            <v>20548.79</v>
          </cell>
          <cell r="V69">
            <v>20436.900000000001</v>
          </cell>
          <cell r="W69">
            <v>20595.66</v>
          </cell>
          <cell r="X69">
            <v>20663.72</v>
          </cell>
          <cell r="Y69">
            <v>20672.25</v>
          </cell>
          <cell r="Z69">
            <v>21368.5</v>
          </cell>
          <cell r="AA69">
            <v>20762.48</v>
          </cell>
          <cell r="AB69">
            <v>20839.5</v>
          </cell>
          <cell r="AC69">
            <v>21801.919999999998</v>
          </cell>
          <cell r="AD69">
            <v>20579.939999999999</v>
          </cell>
          <cell r="AE69">
            <v>20866.8</v>
          </cell>
          <cell r="AF69">
            <v>21694.79</v>
          </cell>
          <cell r="AG69">
            <v>20555.509999999998</v>
          </cell>
          <cell r="AH69">
            <v>20775.37</v>
          </cell>
          <cell r="AI69">
            <v>20346.98</v>
          </cell>
          <cell r="AJ69">
            <v>20838.599999999999</v>
          </cell>
          <cell r="AK69">
            <v>19891.11</v>
          </cell>
          <cell r="AL69">
            <v>20805.900000000001</v>
          </cell>
          <cell r="AM69">
            <v>21827.74</v>
          </cell>
          <cell r="AN69">
            <v>21066.62</v>
          </cell>
          <cell r="AO69">
            <v>21343.08</v>
          </cell>
          <cell r="AP69">
            <v>21285.69</v>
          </cell>
          <cell r="AQ69">
            <v>21517.4</v>
          </cell>
          <cell r="AR69">
            <v>20712.55</v>
          </cell>
          <cell r="AS69">
            <v>21949.35</v>
          </cell>
          <cell r="AT69">
            <v>21240.81</v>
          </cell>
          <cell r="AU69">
            <v>21349.72</v>
          </cell>
          <cell r="AV69">
            <v>21649.03</v>
          </cell>
          <cell r="AW69">
            <v>21060.71</v>
          </cell>
          <cell r="AX69">
            <v>19876.990000000002</v>
          </cell>
          <cell r="AY69">
            <v>20645.57</v>
          </cell>
          <cell r="AZ69">
            <v>19575.37</v>
          </cell>
          <cell r="BA69">
            <v>19575.37</v>
          </cell>
        </row>
        <row r="70">
          <cell r="A70" t="str">
            <v>V3000H20B30</v>
          </cell>
          <cell r="B70">
            <v>3000</v>
          </cell>
          <cell r="C70">
            <v>2000</v>
          </cell>
          <cell r="D70">
            <v>3000</v>
          </cell>
          <cell r="E70">
            <v>38</v>
          </cell>
          <cell r="F70">
            <v>4</v>
          </cell>
          <cell r="G70">
            <v>0</v>
          </cell>
          <cell r="H70">
            <v>350</v>
          </cell>
          <cell r="I70">
            <v>50</v>
          </cell>
          <cell r="J70">
            <v>3009.8</v>
          </cell>
          <cell r="K70" t="str">
            <v>Q-12001291</v>
          </cell>
          <cell r="L70" t="str">
            <v>\\hokukon-net2\hop\Program\01_MVPシステム_容量別組立図\.\02_余裕高0_6m\pdf\FB600_3000m3-MVP-2000-組-B3000_Q-12001291.pdf</v>
          </cell>
          <cell r="M70">
            <v>13459.11</v>
          </cell>
          <cell r="N70">
            <v>13657.75</v>
          </cell>
          <cell r="O70">
            <v>13181.6</v>
          </cell>
          <cell r="P70">
            <v>13351.51</v>
          </cell>
          <cell r="Q70">
            <v>13565.13</v>
          </cell>
          <cell r="R70">
            <v>13413.67</v>
          </cell>
          <cell r="S70">
            <v>13384.2</v>
          </cell>
          <cell r="T70">
            <v>13392.7</v>
          </cell>
          <cell r="U70">
            <v>13278.45</v>
          </cell>
          <cell r="V70">
            <v>13207.75</v>
          </cell>
          <cell r="W70">
            <v>13307.98</v>
          </cell>
          <cell r="X70">
            <v>13350.39</v>
          </cell>
          <cell r="Y70">
            <v>13355.49</v>
          </cell>
          <cell r="Z70">
            <v>13797.72</v>
          </cell>
          <cell r="AA70">
            <v>13409.59</v>
          </cell>
          <cell r="AB70">
            <v>13461.27</v>
          </cell>
          <cell r="AC70">
            <v>14075.83</v>
          </cell>
          <cell r="AD70">
            <v>13295.91</v>
          </cell>
          <cell r="AE70">
            <v>13478.01</v>
          </cell>
          <cell r="AF70">
            <v>14004.86</v>
          </cell>
          <cell r="AG70">
            <v>13278.31</v>
          </cell>
          <cell r="AH70">
            <v>13419.12</v>
          </cell>
          <cell r="AI70">
            <v>13144.57</v>
          </cell>
          <cell r="AJ70">
            <v>13459.86</v>
          </cell>
          <cell r="AK70">
            <v>12856.92</v>
          </cell>
          <cell r="AL70">
            <v>13442.5</v>
          </cell>
          <cell r="AM70">
            <v>14093.81</v>
          </cell>
          <cell r="AN70">
            <v>13608.9</v>
          </cell>
          <cell r="AO70">
            <v>13786.44</v>
          </cell>
          <cell r="AP70">
            <v>13749.15</v>
          </cell>
          <cell r="AQ70">
            <v>13896.37</v>
          </cell>
          <cell r="AR70">
            <v>13384.47</v>
          </cell>
          <cell r="AS70">
            <v>14171.83</v>
          </cell>
          <cell r="AT70">
            <v>13718.35</v>
          </cell>
          <cell r="AU70">
            <v>13786.4</v>
          </cell>
          <cell r="AV70">
            <v>13979.81</v>
          </cell>
          <cell r="AW70">
            <v>13603.52</v>
          </cell>
          <cell r="AX70">
            <v>12846.05</v>
          </cell>
          <cell r="AY70">
            <v>13339.46</v>
          </cell>
          <cell r="AZ70">
            <v>12654.65</v>
          </cell>
          <cell r="BA70">
            <v>12654.65</v>
          </cell>
        </row>
        <row r="71">
          <cell r="A71" t="str">
            <v>V3000H20B25</v>
          </cell>
          <cell r="B71">
            <v>3000</v>
          </cell>
          <cell r="C71">
            <v>2000</v>
          </cell>
          <cell r="D71">
            <v>2500</v>
          </cell>
          <cell r="E71">
            <v>34</v>
          </cell>
          <cell r="F71">
            <v>5</v>
          </cell>
          <cell r="G71">
            <v>0</v>
          </cell>
          <cell r="H71">
            <v>350</v>
          </cell>
          <cell r="I71">
            <v>50</v>
          </cell>
          <cell r="J71">
            <v>3057.5</v>
          </cell>
          <cell r="K71" t="str">
            <v>Q-12001290</v>
          </cell>
          <cell r="L71" t="str">
            <v>\\hokukon-net2\hop\Program\01_MVPシステム_容量別組立図\.\02_余裕高0_6m\pdf\FB600_3000m3-MVP-2000-組-B2500_Q-12001290.pdf</v>
          </cell>
          <cell r="M71">
            <v>13958.33</v>
          </cell>
          <cell r="N71">
            <v>14160.37</v>
          </cell>
          <cell r="O71">
            <v>13678.75</v>
          </cell>
          <cell r="P71">
            <v>13685.91</v>
          </cell>
          <cell r="Q71">
            <v>14065.66</v>
          </cell>
          <cell r="R71">
            <v>13911.6</v>
          </cell>
          <cell r="S71">
            <v>13880.4</v>
          </cell>
          <cell r="T71">
            <v>13889.04</v>
          </cell>
          <cell r="U71">
            <v>13780.65</v>
          </cell>
          <cell r="V71">
            <v>13707.95</v>
          </cell>
          <cell r="W71">
            <v>13809.78</v>
          </cell>
          <cell r="X71">
            <v>13855.56</v>
          </cell>
          <cell r="Y71">
            <v>13861.22</v>
          </cell>
          <cell r="Z71">
            <v>14312.42</v>
          </cell>
          <cell r="AA71">
            <v>13918.92</v>
          </cell>
          <cell r="AB71">
            <v>13968.75</v>
          </cell>
          <cell r="AC71">
            <v>14589.41</v>
          </cell>
          <cell r="AD71">
            <v>13794.34</v>
          </cell>
          <cell r="AE71">
            <v>13981.55</v>
          </cell>
          <cell r="AF71">
            <v>14518.09</v>
          </cell>
          <cell r="AG71">
            <v>13782.31</v>
          </cell>
          <cell r="AH71">
            <v>13925.81</v>
          </cell>
          <cell r="AI71">
            <v>13647.82</v>
          </cell>
          <cell r="AJ71">
            <v>13965.49</v>
          </cell>
          <cell r="AK71">
            <v>13352.3</v>
          </cell>
          <cell r="AL71">
            <v>13945.9</v>
          </cell>
          <cell r="AM71">
            <v>14607.94</v>
          </cell>
          <cell r="AN71">
            <v>14116.32</v>
          </cell>
          <cell r="AO71">
            <v>14294.62</v>
          </cell>
          <cell r="AP71">
            <v>14258.11</v>
          </cell>
          <cell r="AQ71">
            <v>14407.98</v>
          </cell>
          <cell r="AR71">
            <v>13882.36</v>
          </cell>
          <cell r="AS71">
            <v>14682.21</v>
          </cell>
          <cell r="AT71">
            <v>14225.1</v>
          </cell>
          <cell r="AU71">
            <v>14294.29</v>
          </cell>
          <cell r="AV71">
            <v>14488.5</v>
          </cell>
          <cell r="AW71">
            <v>14106.4</v>
          </cell>
          <cell r="AX71">
            <v>13338.87</v>
          </cell>
          <cell r="AY71">
            <v>13837.62</v>
          </cell>
          <cell r="AZ71">
            <v>13143.19</v>
          </cell>
          <cell r="BA71">
            <v>13143.19</v>
          </cell>
        </row>
        <row r="72">
          <cell r="A72" t="str">
            <v>V3000H20B20</v>
          </cell>
          <cell r="B72">
            <v>3000</v>
          </cell>
          <cell r="C72">
            <v>2000</v>
          </cell>
          <cell r="D72">
            <v>2000</v>
          </cell>
          <cell r="E72">
            <v>37</v>
          </cell>
          <cell r="F72">
            <v>5</v>
          </cell>
          <cell r="G72">
            <v>0</v>
          </cell>
          <cell r="H72">
            <v>350</v>
          </cell>
          <cell r="I72">
            <v>50</v>
          </cell>
          <cell r="J72">
            <v>3057.3</v>
          </cell>
          <cell r="K72" t="str">
            <v>Q-12001289</v>
          </cell>
          <cell r="L72" t="str">
            <v>\\hokukon-net2\hop\Program\01_MVPシステム_容量別組立図\.\02_余裕高0_6m\pdf\FB600_3000m3-MVP-2000-組-B2000_Q-12001289.pdf</v>
          </cell>
          <cell r="M72">
            <v>14276.17</v>
          </cell>
          <cell r="N72">
            <v>14478.55</v>
          </cell>
          <cell r="O72">
            <v>13997.49</v>
          </cell>
          <cell r="P72">
            <v>14004.66</v>
          </cell>
          <cell r="Q72">
            <v>14383.03</v>
          </cell>
          <cell r="R72">
            <v>14228.51</v>
          </cell>
          <cell r="S72">
            <v>14196.19</v>
          </cell>
          <cell r="T72">
            <v>14204.85</v>
          </cell>
          <cell r="U72">
            <v>14101.97</v>
          </cell>
          <cell r="V72">
            <v>14028.34</v>
          </cell>
          <cell r="W72">
            <v>14130.85</v>
          </cell>
          <cell r="X72">
            <v>14178.74</v>
          </cell>
          <cell r="Y72">
            <v>14184.69</v>
          </cell>
          <cell r="Z72">
            <v>14638.78</v>
          </cell>
          <cell r="AA72">
            <v>14245.15</v>
          </cell>
          <cell r="AB72">
            <v>14292.86</v>
          </cell>
          <cell r="AC72">
            <v>14912.41</v>
          </cell>
          <cell r="AD72">
            <v>14113.68</v>
          </cell>
          <cell r="AE72">
            <v>14303.14</v>
          </cell>
          <cell r="AF72">
            <v>14842.15</v>
          </cell>
          <cell r="AG72">
            <v>14105.99</v>
          </cell>
          <cell r="AH72">
            <v>14249.88</v>
          </cell>
          <cell r="AI72">
            <v>13972.34</v>
          </cell>
          <cell r="AJ72">
            <v>14288.57</v>
          </cell>
          <cell r="AK72">
            <v>13673.05</v>
          </cell>
          <cell r="AL72">
            <v>14266.76</v>
          </cell>
          <cell r="AM72">
            <v>14931</v>
          </cell>
          <cell r="AN72">
            <v>14438.64</v>
          </cell>
          <cell r="AO72">
            <v>14615.74</v>
          </cell>
          <cell r="AP72">
            <v>14580.2</v>
          </cell>
          <cell r="AQ72">
            <v>14730.89</v>
          </cell>
          <cell r="AR72">
            <v>14199.75</v>
          </cell>
          <cell r="AS72">
            <v>15002.01</v>
          </cell>
          <cell r="AT72">
            <v>14546.41</v>
          </cell>
          <cell r="AU72">
            <v>14616.18</v>
          </cell>
          <cell r="AV72">
            <v>14808.65</v>
          </cell>
          <cell r="AW72">
            <v>14425.98</v>
          </cell>
          <cell r="AX72">
            <v>13658.39</v>
          </cell>
          <cell r="AY72">
            <v>14155.94</v>
          </cell>
          <cell r="AZ72">
            <v>13461.09</v>
          </cell>
          <cell r="BA72">
            <v>13461.09</v>
          </cell>
        </row>
        <row r="73">
          <cell r="A73" t="str">
            <v>V3000H25B30</v>
          </cell>
          <cell r="B73">
            <v>3000</v>
          </cell>
          <cell r="C73">
            <v>2500</v>
          </cell>
          <cell r="D73">
            <v>3000</v>
          </cell>
          <cell r="E73">
            <v>37</v>
          </cell>
          <cell r="F73">
            <v>5</v>
          </cell>
          <cell r="G73">
            <v>0</v>
          </cell>
          <cell r="H73">
            <v>300</v>
          </cell>
          <cell r="I73">
            <v>50</v>
          </cell>
          <cell r="J73">
            <v>3022.9</v>
          </cell>
          <cell r="K73" t="str">
            <v>Q-12001294</v>
          </cell>
          <cell r="L73" t="str">
            <v>\\hokukon-net2\hop\Program\01_MVPシステム_容量別組立図\.\02_余裕高0_6m\pdf\FB600_3000m3-MVP-2500-組-B3000_Q-12001294.pdf</v>
          </cell>
          <cell r="M73">
            <v>12263.97</v>
          </cell>
          <cell r="N73">
            <v>12402.18</v>
          </cell>
          <cell r="O73">
            <v>12082.57</v>
          </cell>
          <cell r="P73">
            <v>12087.52</v>
          </cell>
          <cell r="Q73">
            <v>12337.55</v>
          </cell>
          <cell r="R73">
            <v>12233.37</v>
          </cell>
          <cell r="S73">
            <v>12207.32</v>
          </cell>
          <cell r="T73">
            <v>12213.29</v>
          </cell>
          <cell r="U73">
            <v>12175.45</v>
          </cell>
          <cell r="V73">
            <v>12121.27</v>
          </cell>
          <cell r="W73">
            <v>12193.36</v>
          </cell>
          <cell r="X73">
            <v>12239.27</v>
          </cell>
          <cell r="Y73">
            <v>12246.78</v>
          </cell>
          <cell r="Z73">
            <v>12564.55</v>
          </cell>
          <cell r="AA73">
            <v>12295.45</v>
          </cell>
          <cell r="AB73">
            <v>12317.53</v>
          </cell>
          <cell r="AC73">
            <v>12723.24</v>
          </cell>
          <cell r="AD73">
            <v>12162.78</v>
          </cell>
          <cell r="AE73">
            <v>12297.5</v>
          </cell>
          <cell r="AF73">
            <v>12671.82</v>
          </cell>
          <cell r="AG73">
            <v>12185.02</v>
          </cell>
          <cell r="AH73">
            <v>12287.08</v>
          </cell>
          <cell r="AI73">
            <v>12098.71</v>
          </cell>
          <cell r="AJ73">
            <v>12306.7</v>
          </cell>
          <cell r="AK73">
            <v>11882.78</v>
          </cell>
          <cell r="AL73">
            <v>12280.73</v>
          </cell>
          <cell r="AM73">
            <v>12734.93</v>
          </cell>
          <cell r="AN73">
            <v>12402.4</v>
          </cell>
          <cell r="AO73">
            <v>12514.92</v>
          </cell>
          <cell r="AP73">
            <v>12499.12</v>
          </cell>
          <cell r="AQ73">
            <v>12600.28</v>
          </cell>
          <cell r="AR73">
            <v>12219.6</v>
          </cell>
          <cell r="AS73">
            <v>12766.18</v>
          </cell>
          <cell r="AT73">
            <v>12464.13</v>
          </cell>
          <cell r="AU73">
            <v>12511.89</v>
          </cell>
          <cell r="AV73">
            <v>12638.45</v>
          </cell>
          <cell r="AW73">
            <v>12370.81</v>
          </cell>
          <cell r="AX73">
            <v>11859.89</v>
          </cell>
          <cell r="AY73">
            <v>12187.68</v>
          </cell>
          <cell r="AZ73">
            <v>11717.34</v>
          </cell>
          <cell r="BA73">
            <v>11717.34</v>
          </cell>
        </row>
        <row r="74">
          <cell r="A74" t="str">
            <v>V3000H25B25</v>
          </cell>
          <cell r="B74">
            <v>3000</v>
          </cell>
          <cell r="C74">
            <v>2500</v>
          </cell>
          <cell r="D74">
            <v>2500</v>
          </cell>
          <cell r="E74">
            <v>34</v>
          </cell>
          <cell r="F74">
            <v>6</v>
          </cell>
          <cell r="G74">
            <v>0</v>
          </cell>
          <cell r="H74">
            <v>300</v>
          </cell>
          <cell r="I74">
            <v>50</v>
          </cell>
          <cell r="J74">
            <v>3002.4</v>
          </cell>
          <cell r="K74" t="str">
            <v>Q-12001293</v>
          </cell>
          <cell r="L74" t="str">
            <v>\\hokukon-net2\hop\Program\01_MVPシステム_容量別組立図\.\02_余裕高0_6m\pdf\FB600_3000m3-MVP-2500-組-B2500_Q-12001293.pdf</v>
          </cell>
          <cell r="M74">
            <v>12618.31</v>
          </cell>
          <cell r="N74">
            <v>12756.06</v>
          </cell>
          <cell r="O74">
            <v>12440.25</v>
          </cell>
          <cell r="P74">
            <v>12445.17</v>
          </cell>
          <cell r="Q74">
            <v>12691.16</v>
          </cell>
          <cell r="R74">
            <v>12587.45</v>
          </cell>
          <cell r="S74">
            <v>12560.15</v>
          </cell>
          <cell r="T74">
            <v>12566.08</v>
          </cell>
          <cell r="U74">
            <v>12536.48</v>
          </cell>
          <cell r="V74">
            <v>12481.65</v>
          </cell>
          <cell r="W74">
            <v>12553.67</v>
          </cell>
          <cell r="X74">
            <v>12602.24</v>
          </cell>
          <cell r="Y74">
            <v>12610</v>
          </cell>
          <cell r="Z74">
            <v>12928.5</v>
          </cell>
          <cell r="AA74">
            <v>12661.36</v>
          </cell>
          <cell r="AB74">
            <v>12680.67</v>
          </cell>
          <cell r="AC74">
            <v>13080.66</v>
          </cell>
          <cell r="AD74">
            <v>12519.52</v>
          </cell>
          <cell r="AE74">
            <v>12656</v>
          </cell>
          <cell r="AF74">
            <v>13030.27</v>
          </cell>
          <cell r="AG74">
            <v>12547.96</v>
          </cell>
          <cell r="AH74">
            <v>12650.29</v>
          </cell>
          <cell r="AI74">
            <v>12463.56</v>
          </cell>
          <cell r="AJ74">
            <v>12668.02</v>
          </cell>
          <cell r="AK74">
            <v>12244.89</v>
          </cell>
          <cell r="AL74">
            <v>12639.89</v>
          </cell>
          <cell r="AM74">
            <v>13092.6</v>
          </cell>
          <cell r="AN74">
            <v>12762.32</v>
          </cell>
          <cell r="AO74">
            <v>12872.26</v>
          </cell>
          <cell r="AP74">
            <v>12858.2</v>
          </cell>
          <cell r="AQ74">
            <v>12959.18</v>
          </cell>
          <cell r="AR74">
            <v>12574.18</v>
          </cell>
          <cell r="AS74">
            <v>13118.6</v>
          </cell>
          <cell r="AT74">
            <v>12821.52</v>
          </cell>
          <cell r="AU74">
            <v>12869.04</v>
          </cell>
          <cell r="AV74">
            <v>12992.76</v>
          </cell>
          <cell r="AW74">
            <v>12726.3</v>
          </cell>
          <cell r="AX74">
            <v>12219.85</v>
          </cell>
          <cell r="AY74">
            <v>12543.47</v>
          </cell>
          <cell r="AZ74">
            <v>12076.31</v>
          </cell>
          <cell r="BA74">
            <v>12076.31</v>
          </cell>
        </row>
        <row r="75">
          <cell r="A75" t="str">
            <v>V3000H25B20</v>
          </cell>
          <cell r="B75">
            <v>3000</v>
          </cell>
          <cell r="C75">
            <v>2500</v>
          </cell>
          <cell r="D75">
            <v>2000</v>
          </cell>
          <cell r="E75">
            <v>38</v>
          </cell>
          <cell r="F75">
            <v>6</v>
          </cell>
          <cell r="G75">
            <v>0</v>
          </cell>
          <cell r="H75">
            <v>300</v>
          </cell>
          <cell r="I75">
            <v>50</v>
          </cell>
          <cell r="J75">
            <v>3018.5</v>
          </cell>
          <cell r="K75" t="str">
            <v>Q-12001292</v>
          </cell>
          <cell r="L75" t="str">
            <v>\\hokukon-net2\hop\Program\01_MVPシステム_容量別組立図\.\02_余裕高0_6m\pdf\FB600_3000m3-MVP-2500-組-B2000_Q-12001292.pdf</v>
          </cell>
          <cell r="M75">
            <v>13194.09</v>
          </cell>
          <cell r="N75">
            <v>13332.82</v>
          </cell>
          <cell r="O75">
            <v>13016.47</v>
          </cell>
          <cell r="P75">
            <v>13226.14</v>
          </cell>
          <cell r="Q75">
            <v>13266.77</v>
          </cell>
          <cell r="R75">
            <v>13162.14</v>
          </cell>
          <cell r="S75">
            <v>13133.25</v>
          </cell>
          <cell r="T75">
            <v>13139.24</v>
          </cell>
          <cell r="U75">
            <v>13116.37</v>
          </cell>
          <cell r="V75">
            <v>13060.12</v>
          </cell>
          <cell r="W75">
            <v>13133.47</v>
          </cell>
          <cell r="X75">
            <v>13184.89</v>
          </cell>
          <cell r="Y75">
            <v>13192.94</v>
          </cell>
          <cell r="Z75">
            <v>13516.49</v>
          </cell>
          <cell r="AA75">
            <v>13248.1</v>
          </cell>
          <cell r="AB75">
            <v>13264.85</v>
          </cell>
          <cell r="AC75">
            <v>13665.13</v>
          </cell>
          <cell r="AD75">
            <v>13096.84</v>
          </cell>
          <cell r="AE75">
            <v>13236.69</v>
          </cell>
          <cell r="AF75">
            <v>13615.8</v>
          </cell>
          <cell r="AG75">
            <v>13130.96</v>
          </cell>
          <cell r="AH75">
            <v>13234.35</v>
          </cell>
          <cell r="AI75">
            <v>13047.22</v>
          </cell>
          <cell r="AJ75">
            <v>13250.9</v>
          </cell>
          <cell r="AK75">
            <v>12822.8</v>
          </cell>
          <cell r="AL75">
            <v>13219.72</v>
          </cell>
          <cell r="AM75">
            <v>13677.06</v>
          </cell>
          <cell r="AN75">
            <v>13344.26</v>
          </cell>
          <cell r="AO75">
            <v>13453.21</v>
          </cell>
          <cell r="AP75">
            <v>13440.55</v>
          </cell>
          <cell r="AQ75">
            <v>13542.88</v>
          </cell>
          <cell r="AR75">
            <v>13149.27</v>
          </cell>
          <cell r="AS75">
            <v>13699.26</v>
          </cell>
          <cell r="AT75">
            <v>13402.71</v>
          </cell>
          <cell r="AU75">
            <v>13451.14</v>
          </cell>
          <cell r="AV75">
            <v>13573.31</v>
          </cell>
          <cell r="AW75">
            <v>13304.86</v>
          </cell>
          <cell r="AX75">
            <v>12796.36</v>
          </cell>
          <cell r="AY75">
            <v>13119.73</v>
          </cell>
          <cell r="AZ75">
            <v>12649.94</v>
          </cell>
          <cell r="BA75">
            <v>12649.94</v>
          </cell>
        </row>
        <row r="76">
          <cell r="A76" t="str">
            <v>V3000H30B30</v>
          </cell>
          <cell r="B76">
            <v>3000</v>
          </cell>
          <cell r="C76">
            <v>3000</v>
          </cell>
          <cell r="D76">
            <v>3000</v>
          </cell>
          <cell r="E76">
            <v>29</v>
          </cell>
          <cell r="F76">
            <v>5</v>
          </cell>
          <cell r="G76">
            <v>0</v>
          </cell>
          <cell r="H76">
            <v>300</v>
          </cell>
          <cell r="I76">
            <v>50</v>
          </cell>
          <cell r="J76">
            <v>3008.3</v>
          </cell>
          <cell r="K76" t="str">
            <v>Q-12001297</v>
          </cell>
          <cell r="L76" t="str">
            <v>\\hokukon-net2\hop\Program\01_MVPシステム_容量別組立図\.\02_余裕高0_6m\pdf\FB600_3000m3-MVP-3000-組-B3000_Q-12001297.pdf</v>
          </cell>
          <cell r="M76">
            <v>10411.15</v>
          </cell>
          <cell r="N76">
            <v>10521.66</v>
          </cell>
          <cell r="O76">
            <v>10271.129999999999</v>
          </cell>
          <cell r="P76">
            <v>10275.040000000001</v>
          </cell>
          <cell r="Q76">
            <v>10468.34</v>
          </cell>
          <cell r="R76">
            <v>10384.44</v>
          </cell>
          <cell r="S76">
            <v>10361.34</v>
          </cell>
          <cell r="T76">
            <v>10366.049999999999</v>
          </cell>
          <cell r="U76">
            <v>10351.219999999999</v>
          </cell>
          <cell r="V76">
            <v>10306.44</v>
          </cell>
          <cell r="W76">
            <v>10362.93</v>
          </cell>
          <cell r="X76">
            <v>10404.69</v>
          </cell>
          <cell r="Y76">
            <v>10412.299999999999</v>
          </cell>
          <cell r="Z76">
            <v>10668.18</v>
          </cell>
          <cell r="AA76">
            <v>10455.84</v>
          </cell>
          <cell r="AB76">
            <v>10467.94</v>
          </cell>
          <cell r="AC76">
            <v>10783.19</v>
          </cell>
          <cell r="AD76">
            <v>10333.65</v>
          </cell>
          <cell r="AE76">
            <v>10445.24</v>
          </cell>
          <cell r="AF76">
            <v>10744.34</v>
          </cell>
          <cell r="AG76">
            <v>10362.17</v>
          </cell>
          <cell r="AH76">
            <v>10442.89</v>
          </cell>
          <cell r="AI76">
            <v>10296.370000000001</v>
          </cell>
          <cell r="AJ76">
            <v>10455.39</v>
          </cell>
          <cell r="AK76">
            <v>10119.1</v>
          </cell>
          <cell r="AL76">
            <v>10431.89</v>
          </cell>
          <cell r="AM76">
            <v>10793.64</v>
          </cell>
          <cell r="AN76">
            <v>10532.49</v>
          </cell>
          <cell r="AO76">
            <v>10617.51</v>
          </cell>
          <cell r="AP76">
            <v>10606.18</v>
          </cell>
          <cell r="AQ76">
            <v>10687.74</v>
          </cell>
          <cell r="AR76">
            <v>10374.91</v>
          </cell>
          <cell r="AS76">
            <v>10807.79</v>
          </cell>
          <cell r="AT76">
            <v>10575.21</v>
          </cell>
          <cell r="AU76">
            <v>10613.68</v>
          </cell>
          <cell r="AV76">
            <v>10708.99</v>
          </cell>
          <cell r="AW76">
            <v>10497.49</v>
          </cell>
          <cell r="AX76">
            <v>10094.450000000001</v>
          </cell>
          <cell r="AY76">
            <v>10350.68</v>
          </cell>
          <cell r="AZ76">
            <v>9980.43</v>
          </cell>
          <cell r="BA76">
            <v>9980.43</v>
          </cell>
        </row>
        <row r="77">
          <cell r="A77" t="str">
            <v>V3000H30B25</v>
          </cell>
          <cell r="B77">
            <v>3000</v>
          </cell>
          <cell r="C77">
            <v>3000</v>
          </cell>
          <cell r="D77">
            <v>2500</v>
          </cell>
          <cell r="E77">
            <v>32</v>
          </cell>
          <cell r="F77">
            <v>5</v>
          </cell>
          <cell r="G77">
            <v>0</v>
          </cell>
          <cell r="H77">
            <v>300</v>
          </cell>
          <cell r="I77">
            <v>50</v>
          </cell>
          <cell r="J77">
            <v>3018.8</v>
          </cell>
          <cell r="K77" t="str">
            <v>Q-12001296</v>
          </cell>
          <cell r="L77" t="str">
            <v>\\hokukon-net2\hop\Program\01_MVPシステム_容量別組立図\.\02_余裕高0_6m\pdf\FB600_3000m3-MVP-3000-組-B2500_Q-12001296.pdf</v>
          </cell>
          <cell r="M77">
            <v>10810.1</v>
          </cell>
          <cell r="N77">
            <v>10921.16</v>
          </cell>
          <cell r="O77">
            <v>10670.52</v>
          </cell>
          <cell r="P77">
            <v>10674.47</v>
          </cell>
          <cell r="Q77">
            <v>10867.11</v>
          </cell>
          <cell r="R77">
            <v>10782.66</v>
          </cell>
          <cell r="S77">
            <v>10758.51</v>
          </cell>
          <cell r="T77">
            <v>10763.26</v>
          </cell>
          <cell r="U77">
            <v>10753.05</v>
          </cell>
          <cell r="V77">
            <v>10707.37</v>
          </cell>
          <cell r="W77">
            <v>10764.66</v>
          </cell>
          <cell r="X77">
            <v>10808.3</v>
          </cell>
          <cell r="Y77">
            <v>10816.12</v>
          </cell>
          <cell r="Z77">
            <v>11075.12</v>
          </cell>
          <cell r="AA77">
            <v>10862.19</v>
          </cell>
          <cell r="AB77">
            <v>10872.51</v>
          </cell>
          <cell r="AC77">
            <v>11187.56</v>
          </cell>
          <cell r="AD77">
            <v>10733.75</v>
          </cell>
          <cell r="AE77">
            <v>10847.51</v>
          </cell>
          <cell r="AF77">
            <v>11149.5</v>
          </cell>
          <cell r="AG77">
            <v>10766.07</v>
          </cell>
          <cell r="AH77">
            <v>10847.42</v>
          </cell>
          <cell r="AI77">
            <v>10700.82</v>
          </cell>
          <cell r="AJ77">
            <v>10859.08</v>
          </cell>
          <cell r="AK77">
            <v>10519.88</v>
          </cell>
          <cell r="AL77">
            <v>10833.57</v>
          </cell>
          <cell r="AM77">
            <v>11198.04</v>
          </cell>
          <cell r="AN77">
            <v>10935.56</v>
          </cell>
          <cell r="AO77">
            <v>11019.77</v>
          </cell>
          <cell r="AP77">
            <v>11009.35</v>
          </cell>
          <cell r="AQ77">
            <v>11091.74</v>
          </cell>
          <cell r="AR77">
            <v>10773.44</v>
          </cell>
          <cell r="AS77">
            <v>11209.52</v>
          </cell>
          <cell r="AT77">
            <v>10977.63</v>
          </cell>
          <cell r="AU77">
            <v>11016.66</v>
          </cell>
          <cell r="AV77">
            <v>11110.79</v>
          </cell>
          <cell r="AW77">
            <v>10898.21</v>
          </cell>
          <cell r="AX77">
            <v>10494.25</v>
          </cell>
          <cell r="AY77">
            <v>10750.02</v>
          </cell>
          <cell r="AZ77">
            <v>10378.44</v>
          </cell>
          <cell r="BA77">
            <v>10378.44</v>
          </cell>
        </row>
        <row r="78">
          <cell r="A78" t="str">
            <v>V3000H30B20</v>
          </cell>
          <cell r="B78">
            <v>3000</v>
          </cell>
          <cell r="C78">
            <v>3000</v>
          </cell>
          <cell r="D78">
            <v>2000</v>
          </cell>
          <cell r="E78">
            <v>36</v>
          </cell>
          <cell r="F78">
            <v>5</v>
          </cell>
          <cell r="G78">
            <v>0</v>
          </cell>
          <cell r="H78">
            <v>300</v>
          </cell>
          <cell r="I78">
            <v>50</v>
          </cell>
          <cell r="J78">
            <v>3058.8</v>
          </cell>
          <cell r="K78" t="str">
            <v>Q-12001295</v>
          </cell>
          <cell r="L78" t="str">
            <v>\\hokukon-net2\hop\Program\01_MVPシステム_容量別組立図\.\02_余裕高0_6m\pdf\FB600_3000m3-MVP-3000-組-B2000_Q-12001295.pdf</v>
          </cell>
          <cell r="M78">
            <v>11412.87</v>
          </cell>
          <cell r="N78">
            <v>11525.59</v>
          </cell>
          <cell r="O78">
            <v>11272.66</v>
          </cell>
          <cell r="P78">
            <v>11276.67</v>
          </cell>
          <cell r="Q78">
            <v>11470.06</v>
          </cell>
          <cell r="R78">
            <v>11384.03</v>
          </cell>
          <cell r="S78">
            <v>11358.29</v>
          </cell>
          <cell r="T78">
            <v>11363.11</v>
          </cell>
          <cell r="U78">
            <v>11359.13</v>
          </cell>
          <cell r="V78">
            <v>11311.81</v>
          </cell>
          <cell r="W78">
            <v>11370.6</v>
          </cell>
          <cell r="X78">
            <v>11417.18</v>
          </cell>
          <cell r="Y78">
            <v>11425.46</v>
          </cell>
          <cell r="Z78">
            <v>11690.87</v>
          </cell>
          <cell r="AA78">
            <v>11475.37</v>
          </cell>
          <cell r="AB78">
            <v>11483.28</v>
          </cell>
          <cell r="AC78">
            <v>11800.77</v>
          </cell>
          <cell r="AD78">
            <v>11337.46</v>
          </cell>
          <cell r="AE78">
            <v>11455.14</v>
          </cell>
          <cell r="AF78">
            <v>11763.57</v>
          </cell>
          <cell r="AG78">
            <v>11375.18</v>
          </cell>
          <cell r="AH78">
            <v>11457.87</v>
          </cell>
          <cell r="AI78">
            <v>11310.1</v>
          </cell>
          <cell r="AJ78">
            <v>11468.54</v>
          </cell>
          <cell r="AK78">
            <v>11122.65</v>
          </cell>
          <cell r="AL78">
            <v>11440.1</v>
          </cell>
          <cell r="AM78">
            <v>11811.35</v>
          </cell>
          <cell r="AN78">
            <v>11544.9</v>
          </cell>
          <cell r="AO78">
            <v>11628.7</v>
          </cell>
          <cell r="AP78">
            <v>11619.28</v>
          </cell>
          <cell r="AQ78">
            <v>11703.57</v>
          </cell>
          <cell r="AR78">
            <v>11375.26</v>
          </cell>
          <cell r="AS78">
            <v>11819.29</v>
          </cell>
          <cell r="AT78">
            <v>11586.4</v>
          </cell>
          <cell r="AU78">
            <v>11626.61</v>
          </cell>
          <cell r="AV78">
            <v>11719.8</v>
          </cell>
          <cell r="AW78">
            <v>11504.09</v>
          </cell>
          <cell r="AX78">
            <v>11095.4</v>
          </cell>
          <cell r="AY78">
            <v>11352.7</v>
          </cell>
          <cell r="AZ78">
            <v>10976.34</v>
          </cell>
          <cell r="BA78">
            <v>10976.34</v>
          </cell>
        </row>
        <row r="79">
          <cell r="A79" t="str">
            <v>V3000H35B30</v>
          </cell>
          <cell r="B79">
            <v>3000</v>
          </cell>
          <cell r="C79">
            <v>3500</v>
          </cell>
          <cell r="D79">
            <v>3000</v>
          </cell>
          <cell r="E79">
            <v>30</v>
          </cell>
          <cell r="F79">
            <v>4</v>
          </cell>
          <cell r="G79">
            <v>0</v>
          </cell>
          <cell r="H79">
            <v>300</v>
          </cell>
          <cell r="I79">
            <v>50</v>
          </cell>
          <cell r="J79">
            <v>3060.5</v>
          </cell>
          <cell r="K79" t="str">
            <v>Q-12001300</v>
          </cell>
          <cell r="L79" t="str">
            <v>\\hokukon-net2\hop\Program\01_MVPシステム_容量別組立図\.\02_余裕高0_6m\pdf\FB600_3000m3-MVP-3500-組-B3000_Q-12001300.pdf</v>
          </cell>
          <cell r="M79">
            <v>9325.4</v>
          </cell>
          <cell r="N79">
            <v>9419.5</v>
          </cell>
          <cell r="O79">
            <v>9208.01</v>
          </cell>
          <cell r="P79">
            <v>9211.33</v>
          </cell>
          <cell r="Q79">
            <v>9373.65</v>
          </cell>
          <cell r="R79">
            <v>9302.61</v>
          </cell>
          <cell r="S79">
            <v>9282.44</v>
          </cell>
          <cell r="T79">
            <v>9286.4500000000007</v>
          </cell>
          <cell r="U79">
            <v>9277.57</v>
          </cell>
          <cell r="V79">
            <v>9239.23</v>
          </cell>
          <cell r="W79">
            <v>9287.0300000000007</v>
          </cell>
          <cell r="X79">
            <v>9323.66</v>
          </cell>
          <cell r="Y79">
            <v>9330.24</v>
          </cell>
          <cell r="Z79">
            <v>9547.9500000000007</v>
          </cell>
          <cell r="AA79">
            <v>9368.1</v>
          </cell>
          <cell r="AB79">
            <v>9377.34</v>
          </cell>
          <cell r="AC79">
            <v>9642.6</v>
          </cell>
          <cell r="AD79">
            <v>9259.9500000000007</v>
          </cell>
          <cell r="AE79">
            <v>9355.58</v>
          </cell>
          <cell r="AF79">
            <v>9609.65</v>
          </cell>
          <cell r="AG79">
            <v>9286.9</v>
          </cell>
          <cell r="AH79">
            <v>9355.82</v>
          </cell>
          <cell r="AI79">
            <v>9231.84</v>
          </cell>
          <cell r="AJ79">
            <v>9365.43</v>
          </cell>
          <cell r="AK79">
            <v>9080.36</v>
          </cell>
          <cell r="AL79">
            <v>9345.17</v>
          </cell>
          <cell r="AM79">
            <v>9651.94</v>
          </cell>
          <cell r="AN79">
            <v>9431.35</v>
          </cell>
          <cell r="AO79">
            <v>9502.41</v>
          </cell>
          <cell r="AP79">
            <v>9493.49</v>
          </cell>
          <cell r="AQ79">
            <v>9562.77</v>
          </cell>
          <cell r="AR79">
            <v>9294.7000000000007</v>
          </cell>
          <cell r="AS79">
            <v>9661.3799999999992</v>
          </cell>
          <cell r="AT79">
            <v>9465.77</v>
          </cell>
          <cell r="AU79">
            <v>9498.2999999999993</v>
          </cell>
          <cell r="AV79">
            <v>9578.27</v>
          </cell>
          <cell r="AW79">
            <v>9398.83</v>
          </cell>
          <cell r="AX79">
            <v>9057.75</v>
          </cell>
          <cell r="AY79">
            <v>9274.1299999999992</v>
          </cell>
          <cell r="AZ79">
            <v>8960.67</v>
          </cell>
          <cell r="BA79">
            <v>8960.67</v>
          </cell>
        </row>
        <row r="80">
          <cell r="A80" t="str">
            <v>V3000H35B25</v>
          </cell>
          <cell r="B80">
            <v>3000</v>
          </cell>
          <cell r="C80">
            <v>3500</v>
          </cell>
          <cell r="D80">
            <v>2500</v>
          </cell>
          <cell r="E80">
            <v>27</v>
          </cell>
          <cell r="F80">
            <v>5</v>
          </cell>
          <cell r="G80">
            <v>0</v>
          </cell>
          <cell r="H80">
            <v>300</v>
          </cell>
          <cell r="I80">
            <v>50</v>
          </cell>
          <cell r="J80">
            <v>3090</v>
          </cell>
          <cell r="K80" t="str">
            <v>Q-12001299</v>
          </cell>
          <cell r="L80" t="str">
            <v>\\hokukon-net2\hop\Program\01_MVPシステム_容量別組立図\.\02_余裕高0_6m\pdf\FB600_3000m3-MVP-3500-組-B2500_Q-12001299.pdf</v>
          </cell>
          <cell r="M80">
            <v>9771.7900000000009</v>
          </cell>
          <cell r="N80">
            <v>9867.2999999999993</v>
          </cell>
          <cell r="O80">
            <v>9655.4599999999991</v>
          </cell>
          <cell r="P80">
            <v>9658.82</v>
          </cell>
          <cell r="Q80">
            <v>9820.17</v>
          </cell>
          <cell r="R80">
            <v>9748.08</v>
          </cell>
          <cell r="S80">
            <v>9726.35</v>
          </cell>
          <cell r="T80">
            <v>9730.4</v>
          </cell>
          <cell r="U80">
            <v>9729.23</v>
          </cell>
          <cell r="V80">
            <v>9689.58</v>
          </cell>
          <cell r="W80">
            <v>9737.91</v>
          </cell>
          <cell r="X80">
            <v>9777.7000000000007</v>
          </cell>
          <cell r="Y80">
            <v>9784.81</v>
          </cell>
          <cell r="Z80">
            <v>10006.99</v>
          </cell>
          <cell r="AA80">
            <v>9825.89</v>
          </cell>
          <cell r="AB80">
            <v>9832.58</v>
          </cell>
          <cell r="AC80">
            <v>10097.11</v>
          </cell>
          <cell r="AD80">
            <v>9707.2099999999991</v>
          </cell>
          <cell r="AE80">
            <v>9806.26</v>
          </cell>
          <cell r="AF80">
            <v>10064.6</v>
          </cell>
          <cell r="AG80">
            <v>9740.43</v>
          </cell>
          <cell r="AH80">
            <v>9810.61</v>
          </cell>
          <cell r="AI80">
            <v>9686.16</v>
          </cell>
          <cell r="AJ80">
            <v>9818.59</v>
          </cell>
          <cell r="AK80">
            <v>9529.56</v>
          </cell>
          <cell r="AL80">
            <v>9796.16</v>
          </cell>
          <cell r="AM80">
            <v>10106.879999999999</v>
          </cell>
          <cell r="AN80">
            <v>9884.82</v>
          </cell>
          <cell r="AO80">
            <v>9954.59</v>
          </cell>
          <cell r="AP80">
            <v>9946.9599999999991</v>
          </cell>
          <cell r="AQ80">
            <v>10017.379999999999</v>
          </cell>
          <cell r="AR80">
            <v>9740.4500000000007</v>
          </cell>
          <cell r="AS80">
            <v>10111.35</v>
          </cell>
          <cell r="AT80">
            <v>9917.07</v>
          </cell>
          <cell r="AU80">
            <v>9950.0499999999993</v>
          </cell>
          <cell r="AV80">
            <v>10028.61</v>
          </cell>
          <cell r="AW80">
            <v>9847.2900000000009</v>
          </cell>
          <cell r="AX80">
            <v>9504.2000000000007</v>
          </cell>
          <cell r="AY80">
            <v>9720.6</v>
          </cell>
          <cell r="AZ80">
            <v>9404.77</v>
          </cell>
          <cell r="BA80">
            <v>9404.77</v>
          </cell>
        </row>
        <row r="81">
          <cell r="A81" t="str">
            <v>V3000H35B20</v>
          </cell>
          <cell r="B81">
            <v>3000</v>
          </cell>
          <cell r="C81">
            <v>3500</v>
          </cell>
          <cell r="D81">
            <v>2000</v>
          </cell>
          <cell r="E81">
            <v>30</v>
          </cell>
          <cell r="F81">
            <v>5</v>
          </cell>
          <cell r="G81">
            <v>0</v>
          </cell>
          <cell r="H81">
            <v>300</v>
          </cell>
          <cell r="I81">
            <v>50</v>
          </cell>
          <cell r="J81">
            <v>3091.9</v>
          </cell>
          <cell r="K81" t="str">
            <v>Q-12001298</v>
          </cell>
          <cell r="L81" t="str">
            <v>\\hokukon-net2\hop\Program\01_MVPシステム_容量別組立図\.\02_余裕高0_6m\pdf\FB600_3000m3-MVP-3500-組-B2000_Q-12001298.pdf</v>
          </cell>
          <cell r="M81">
            <v>10185.76</v>
          </cell>
          <cell r="N81">
            <v>10281.530000000001</v>
          </cell>
          <cell r="O81">
            <v>10070.39</v>
          </cell>
          <cell r="P81">
            <v>10073.76</v>
          </cell>
          <cell r="Q81">
            <v>10233.799999999999</v>
          </cell>
          <cell r="R81">
            <v>10161.41</v>
          </cell>
          <cell r="S81">
            <v>10138.66</v>
          </cell>
          <cell r="T81">
            <v>10142.719999999999</v>
          </cell>
          <cell r="U81">
            <v>10146.540000000001</v>
          </cell>
          <cell r="V81">
            <v>10106.07</v>
          </cell>
          <cell r="W81">
            <v>10155.040000000001</v>
          </cell>
          <cell r="X81">
            <v>10196.73</v>
          </cell>
          <cell r="Y81">
            <v>10204.040000000001</v>
          </cell>
          <cell r="Z81">
            <v>10428.68</v>
          </cell>
          <cell r="AA81">
            <v>10247.6</v>
          </cell>
          <cell r="AB81">
            <v>10252.39</v>
          </cell>
          <cell r="AC81">
            <v>10515.69</v>
          </cell>
          <cell r="AD81">
            <v>10122.629999999999</v>
          </cell>
          <cell r="AE81">
            <v>10223.6</v>
          </cell>
          <cell r="AF81">
            <v>10484.06</v>
          </cell>
          <cell r="AG81">
            <v>10159.83</v>
          </cell>
          <cell r="AH81">
            <v>10230.42</v>
          </cell>
          <cell r="AI81">
            <v>10106.36</v>
          </cell>
          <cell r="AJ81">
            <v>10237.459999999999</v>
          </cell>
          <cell r="AK81">
            <v>9946.44</v>
          </cell>
          <cell r="AL81">
            <v>10213.030000000001</v>
          </cell>
          <cell r="AM81">
            <v>10525.45</v>
          </cell>
          <cell r="AN81">
            <v>10302.82</v>
          </cell>
          <cell r="AO81">
            <v>10371.48</v>
          </cell>
          <cell r="AP81">
            <v>10364.84</v>
          </cell>
          <cell r="AQ81">
            <v>10435.870000000001</v>
          </cell>
          <cell r="AR81">
            <v>10154.129999999999</v>
          </cell>
          <cell r="AS81">
            <v>10527.01</v>
          </cell>
          <cell r="AT81">
            <v>10334.200000000001</v>
          </cell>
          <cell r="AU81">
            <v>10367.620000000001</v>
          </cell>
          <cell r="AV81">
            <v>10444.67</v>
          </cell>
          <cell r="AW81">
            <v>10262.86</v>
          </cell>
          <cell r="AX81">
            <v>9920.0400000000009</v>
          </cell>
          <cell r="AY81">
            <v>10135.17</v>
          </cell>
          <cell r="AZ81">
            <v>9819.11</v>
          </cell>
          <cell r="BA81">
            <v>9819.11</v>
          </cell>
        </row>
        <row r="82">
          <cell r="A82" t="str">
            <v>V3000H40B30</v>
          </cell>
          <cell r="B82">
            <v>3000</v>
          </cell>
          <cell r="C82">
            <v>4000</v>
          </cell>
          <cell r="D82">
            <v>3000</v>
          </cell>
          <cell r="E82">
            <v>21</v>
          </cell>
          <cell r="F82">
            <v>5</v>
          </cell>
          <cell r="G82">
            <v>0</v>
          </cell>
          <cell r="H82">
            <v>350</v>
          </cell>
          <cell r="I82">
            <v>70</v>
          </cell>
          <cell r="J82">
            <v>3139.1</v>
          </cell>
          <cell r="K82" t="str">
            <v>Q-12001302</v>
          </cell>
          <cell r="L82" t="str">
            <v>\\hokukon-net2\hop\Program\01_MVPシステム_容量別組立図\.\02_余裕高0_6m\pdf\FB600_3000m3-MVP-4000-組-B3000_Q-12001302.pdf</v>
          </cell>
          <cell r="M82">
            <v>9799.8700000000008</v>
          </cell>
          <cell r="N82">
            <v>9893.9699999999993</v>
          </cell>
          <cell r="O82">
            <v>9690.41</v>
          </cell>
          <cell r="P82">
            <v>9693.5499999999993</v>
          </cell>
          <cell r="Q82">
            <v>9847.5499999999993</v>
          </cell>
          <cell r="R82">
            <v>9778.9500000000007</v>
          </cell>
          <cell r="S82">
            <v>9758.2000000000007</v>
          </cell>
          <cell r="T82">
            <v>9762.01</v>
          </cell>
          <cell r="U82">
            <v>9754.11</v>
          </cell>
          <cell r="V82">
            <v>9718.06</v>
          </cell>
          <cell r="W82">
            <v>9762.82</v>
          </cell>
          <cell r="X82">
            <v>9797.68</v>
          </cell>
          <cell r="Y82">
            <v>9802.44</v>
          </cell>
          <cell r="Z82">
            <v>10012.39</v>
          </cell>
          <cell r="AA82">
            <v>9839.52</v>
          </cell>
          <cell r="AB82">
            <v>9849.4</v>
          </cell>
          <cell r="AC82">
            <v>10101.52</v>
          </cell>
          <cell r="AD82">
            <v>9724.57</v>
          </cell>
          <cell r="AE82">
            <v>9820.2000000000007</v>
          </cell>
          <cell r="AF82">
            <v>10063.61</v>
          </cell>
          <cell r="AG82">
            <v>9748.76</v>
          </cell>
          <cell r="AH82">
            <v>9817.4699999999993</v>
          </cell>
          <cell r="AI82">
            <v>9698.2099999999991</v>
          </cell>
          <cell r="AJ82">
            <v>9823.67</v>
          </cell>
          <cell r="AK82">
            <v>9570.4</v>
          </cell>
          <cell r="AL82">
            <v>9828.07</v>
          </cell>
          <cell r="AM82">
            <v>10121.77</v>
          </cell>
          <cell r="AN82">
            <v>9910.9599999999991</v>
          </cell>
          <cell r="AO82">
            <v>9979.23</v>
          </cell>
          <cell r="AP82">
            <v>9971.18</v>
          </cell>
          <cell r="AQ82">
            <v>10038.94</v>
          </cell>
          <cell r="AR82">
            <v>9758.2800000000007</v>
          </cell>
          <cell r="AS82">
            <v>10110.07</v>
          </cell>
          <cell r="AT82">
            <v>9926.24</v>
          </cell>
          <cell r="AU82">
            <v>9956.5300000000007</v>
          </cell>
          <cell r="AV82">
            <v>10031</v>
          </cell>
          <cell r="AW82">
            <v>9856.26</v>
          </cell>
          <cell r="AX82">
            <v>9525.7000000000007</v>
          </cell>
          <cell r="AY82">
            <v>9734.68</v>
          </cell>
          <cell r="AZ82">
            <v>9431.6</v>
          </cell>
          <cell r="BA82">
            <v>9431.6</v>
          </cell>
        </row>
        <row r="83">
          <cell r="A83" t="str">
            <v>V3000H40B25</v>
          </cell>
          <cell r="B83">
            <v>3000</v>
          </cell>
          <cell r="C83">
            <v>4000</v>
          </cell>
          <cell r="D83">
            <v>2500</v>
          </cell>
          <cell r="E83">
            <v>23</v>
          </cell>
          <cell r="F83">
            <v>5</v>
          </cell>
          <cell r="G83">
            <v>0</v>
          </cell>
          <cell r="H83">
            <v>350</v>
          </cell>
          <cell r="I83">
            <v>70</v>
          </cell>
          <cell r="J83">
            <v>3127.6</v>
          </cell>
          <cell r="K83" t="str">
            <v>Q-12001302</v>
          </cell>
          <cell r="L83" t="str">
            <v>\\hokukon-net2\hop\Program\01_MVPシステム_容量別組立図\.\02_余裕高0_6m\pdf\FB600_3000m3-MVP-4000-組-B2500_Q-12001302.pdf</v>
          </cell>
          <cell r="M83">
            <v>10157.780000000001</v>
          </cell>
          <cell r="N83">
            <v>10251.84</v>
          </cell>
          <cell r="O83">
            <v>10049.61</v>
          </cell>
          <cell r="P83">
            <v>10052.76</v>
          </cell>
          <cell r="Q83">
            <v>10205.02</v>
          </cell>
          <cell r="R83">
            <v>10136.379999999999</v>
          </cell>
          <cell r="S83">
            <v>10114.879999999999</v>
          </cell>
          <cell r="T83">
            <v>10118.67</v>
          </cell>
          <cell r="U83">
            <v>10114.66</v>
          </cell>
          <cell r="V83">
            <v>10078.14</v>
          </cell>
          <cell r="W83">
            <v>10123.17</v>
          </cell>
          <cell r="X83">
            <v>10159.4</v>
          </cell>
          <cell r="Y83">
            <v>10164.370000000001</v>
          </cell>
          <cell r="Z83">
            <v>10375.42</v>
          </cell>
          <cell r="AA83">
            <v>10203.34</v>
          </cell>
          <cell r="AB83">
            <v>10211.58</v>
          </cell>
          <cell r="AC83">
            <v>10461.5</v>
          </cell>
          <cell r="AD83">
            <v>10083.07</v>
          </cell>
          <cell r="AE83">
            <v>10179.98</v>
          </cell>
          <cell r="AF83">
            <v>10423.9</v>
          </cell>
          <cell r="AG83">
            <v>10110.11</v>
          </cell>
          <cell r="AH83">
            <v>10178.85</v>
          </cell>
          <cell r="AI83">
            <v>10060.52</v>
          </cell>
          <cell r="AJ83">
            <v>10184.18</v>
          </cell>
          <cell r="AK83">
            <v>9932.17</v>
          </cell>
          <cell r="AL83">
            <v>10188.68</v>
          </cell>
          <cell r="AM83">
            <v>10482.36</v>
          </cell>
          <cell r="AN83">
            <v>10272.120000000001</v>
          </cell>
          <cell r="AO83">
            <v>10339.14</v>
          </cell>
          <cell r="AP83">
            <v>10331.950000000001</v>
          </cell>
          <cell r="AQ83">
            <v>10399.969999999999</v>
          </cell>
          <cell r="AR83">
            <v>10115.23</v>
          </cell>
          <cell r="AS83">
            <v>10467.01</v>
          </cell>
          <cell r="AT83">
            <v>10285.16</v>
          </cell>
          <cell r="AU83">
            <v>10315.799999999999</v>
          </cell>
          <cell r="AV83">
            <v>10388.52</v>
          </cell>
          <cell r="AW83">
            <v>10213.84</v>
          </cell>
          <cell r="AX83">
            <v>9884.9500000000007</v>
          </cell>
          <cell r="AY83">
            <v>10091.959999999999</v>
          </cell>
          <cell r="AZ83">
            <v>9790.02</v>
          </cell>
          <cell r="BA83">
            <v>9790.02</v>
          </cell>
        </row>
        <row r="84">
          <cell r="A84" t="str">
            <v>V3000H40B20</v>
          </cell>
          <cell r="B84">
            <v>3000</v>
          </cell>
          <cell r="C84">
            <v>4000</v>
          </cell>
          <cell r="D84">
            <v>2000</v>
          </cell>
          <cell r="E84">
            <v>25</v>
          </cell>
          <cell r="F84">
            <v>5</v>
          </cell>
          <cell r="G84">
            <v>0</v>
          </cell>
          <cell r="H84">
            <v>350</v>
          </cell>
          <cell r="I84">
            <v>70</v>
          </cell>
          <cell r="J84">
            <v>3065.1</v>
          </cell>
          <cell r="K84" t="str">
            <v>Q-12001301</v>
          </cell>
          <cell r="L84" t="str">
            <v>\\hokukon-net2\hop\Program\01_MVPシステム_容量別組立図\.\02_余裕高0_6m\pdf\FB600_3000m3-MVP-4000-組-B2000_Q-12001301.pdf</v>
          </cell>
          <cell r="M84">
            <v>10442.59</v>
          </cell>
          <cell r="N84">
            <v>10535.25</v>
          </cell>
          <cell r="O84">
            <v>10337.49</v>
          </cell>
          <cell r="P84">
            <v>10340.6</v>
          </cell>
          <cell r="Q84">
            <v>10488.67</v>
          </cell>
          <cell r="R84">
            <v>10421.040000000001</v>
          </cell>
          <cell r="S84">
            <v>10398.99</v>
          </cell>
          <cell r="T84">
            <v>10402.74</v>
          </cell>
          <cell r="U84">
            <v>10403.379999999999</v>
          </cell>
          <cell r="V84">
            <v>10366.82</v>
          </cell>
          <cell r="W84">
            <v>10411.450000000001</v>
          </cell>
          <cell r="X84">
            <v>10448.75</v>
          </cell>
          <cell r="Y84">
            <v>10453.92</v>
          </cell>
          <cell r="Z84">
            <v>10663.13</v>
          </cell>
          <cell r="AA84">
            <v>10494.32</v>
          </cell>
          <cell r="AB84">
            <v>10500.72</v>
          </cell>
          <cell r="AC84">
            <v>10744.33</v>
          </cell>
          <cell r="AD84">
            <v>10369.67</v>
          </cell>
          <cell r="AE84">
            <v>10466.540000000001</v>
          </cell>
          <cell r="AF84">
            <v>10707.55</v>
          </cell>
          <cell r="AG84">
            <v>10399.61</v>
          </cell>
          <cell r="AH84">
            <v>10467.459999999999</v>
          </cell>
          <cell r="AI84">
            <v>10351.82</v>
          </cell>
          <cell r="AJ84">
            <v>10471.75</v>
          </cell>
          <cell r="AK84">
            <v>10224.64</v>
          </cell>
          <cell r="AL84">
            <v>10476.18</v>
          </cell>
          <cell r="AM84">
            <v>10765.66</v>
          </cell>
          <cell r="AN84">
            <v>10559.11</v>
          </cell>
          <cell r="AO84">
            <v>10623.77</v>
          </cell>
          <cell r="AP84">
            <v>10617.69</v>
          </cell>
          <cell r="AQ84">
            <v>10684.95</v>
          </cell>
          <cell r="AR84">
            <v>10399.73</v>
          </cell>
          <cell r="AS84">
            <v>10746.31</v>
          </cell>
          <cell r="AT84">
            <v>10569.31</v>
          </cell>
          <cell r="AU84">
            <v>10599.79</v>
          </cell>
          <cell r="AV84">
            <v>10669.66</v>
          </cell>
          <cell r="AW84">
            <v>10497.52</v>
          </cell>
          <cell r="AX84">
            <v>10175.25</v>
          </cell>
          <cell r="AY84">
            <v>10377.07</v>
          </cell>
          <cell r="AZ84">
            <v>10080.719999999999</v>
          </cell>
          <cell r="BA84">
            <v>10080.719999999999</v>
          </cell>
        </row>
        <row r="85">
          <cell r="A85" t="str">
            <v>V3000H45B30</v>
          </cell>
          <cell r="B85">
            <v>3000</v>
          </cell>
          <cell r="C85">
            <v>4500</v>
          </cell>
          <cell r="D85">
            <v>3000</v>
          </cell>
          <cell r="E85">
            <v>22</v>
          </cell>
          <cell r="F85">
            <v>4</v>
          </cell>
          <cell r="G85">
            <v>0</v>
          </cell>
          <cell r="H85">
            <v>350</v>
          </cell>
          <cell r="I85">
            <v>70</v>
          </cell>
          <cell r="J85">
            <v>3067.4</v>
          </cell>
          <cell r="K85" t="str">
            <v>Q-12001306</v>
          </cell>
          <cell r="L85" t="str">
            <v>\\hokukon-net2\hop\Program\01_MVPシステム_容量別組立図\.\02_余裕高0_6m\pdf\FB600_3000m3-MVP-4500-組-B3000_Q-12001306.pdf</v>
          </cell>
          <cell r="M85">
            <v>8928.09</v>
          </cell>
          <cell r="N85">
            <v>9008.2199999999993</v>
          </cell>
          <cell r="O85">
            <v>8835.15</v>
          </cell>
          <cell r="P85">
            <v>8837.84</v>
          </cell>
          <cell r="Q85">
            <v>8968.07</v>
          </cell>
          <cell r="R85">
            <v>8908.5300000000007</v>
          </cell>
          <cell r="S85">
            <v>8889.52</v>
          </cell>
          <cell r="T85">
            <v>8892.7800000000007</v>
          </cell>
          <cell r="U85">
            <v>8891.81</v>
          </cell>
          <cell r="V85">
            <v>8860.67</v>
          </cell>
          <cell r="W85">
            <v>8899.65</v>
          </cell>
          <cell r="X85">
            <v>8931.31</v>
          </cell>
          <cell r="Y85">
            <v>8935.48</v>
          </cell>
          <cell r="Z85">
            <v>9117.59</v>
          </cell>
          <cell r="AA85">
            <v>8969.42</v>
          </cell>
          <cell r="AB85">
            <v>8976.4699999999993</v>
          </cell>
          <cell r="AC85">
            <v>9189.6200000000008</v>
          </cell>
          <cell r="AD85">
            <v>8863.61</v>
          </cell>
          <cell r="AE85">
            <v>8947.18</v>
          </cell>
          <cell r="AF85">
            <v>9157.7099999999991</v>
          </cell>
          <cell r="AG85">
            <v>8888.7000000000007</v>
          </cell>
          <cell r="AH85">
            <v>8947.11</v>
          </cell>
          <cell r="AI85">
            <v>8845.8700000000008</v>
          </cell>
          <cell r="AJ85">
            <v>8951.83</v>
          </cell>
          <cell r="AK85">
            <v>8735.67</v>
          </cell>
          <cell r="AL85">
            <v>8954.76</v>
          </cell>
          <cell r="AM85">
            <v>9207.4599999999991</v>
          </cell>
          <cell r="AN85">
            <v>9027.9500000000007</v>
          </cell>
          <cell r="AO85">
            <v>9085.11</v>
          </cell>
          <cell r="AP85">
            <v>9078.61</v>
          </cell>
          <cell r="AQ85">
            <v>9137.56</v>
          </cell>
          <cell r="AR85">
            <v>8890.01</v>
          </cell>
          <cell r="AS85">
            <v>9192.2000000000007</v>
          </cell>
          <cell r="AT85">
            <v>9037.23</v>
          </cell>
          <cell r="AU85">
            <v>9063.1</v>
          </cell>
          <cell r="AV85">
            <v>9125.6200000000008</v>
          </cell>
          <cell r="AW85">
            <v>8975.67</v>
          </cell>
          <cell r="AX85">
            <v>8693.5</v>
          </cell>
          <cell r="AY85">
            <v>8870.34</v>
          </cell>
          <cell r="AZ85">
            <v>8611.66</v>
          </cell>
          <cell r="BA85">
            <v>8611.66</v>
          </cell>
        </row>
        <row r="86">
          <cell r="A86" t="str">
            <v>V3000H45B25</v>
          </cell>
          <cell r="B86">
            <v>3000</v>
          </cell>
          <cell r="C86">
            <v>4500</v>
          </cell>
          <cell r="D86">
            <v>2500</v>
          </cell>
          <cell r="E86">
            <v>20</v>
          </cell>
          <cell r="F86">
            <v>5</v>
          </cell>
          <cell r="G86">
            <v>0</v>
          </cell>
          <cell r="H86">
            <v>350</v>
          </cell>
          <cell r="I86">
            <v>70</v>
          </cell>
          <cell r="J86">
            <v>3132.8</v>
          </cell>
          <cell r="K86" t="str">
            <v>Q-12001305</v>
          </cell>
          <cell r="L86" t="str">
            <v>\\hokukon-net2\hop\Program\01_MVPシステム_容量別組立図\.\02_余裕高0_6m\pdf\FB600_3000m3-MVP-4500-組-B2500_Q-12001305.pdf</v>
          </cell>
          <cell r="M86">
            <v>9511.06</v>
          </cell>
          <cell r="N86">
            <v>9593.77</v>
          </cell>
          <cell r="O86">
            <v>9418.31</v>
          </cell>
          <cell r="P86">
            <v>9421.07</v>
          </cell>
          <cell r="Q86">
            <v>9551.73</v>
          </cell>
          <cell r="R86">
            <v>9490.48</v>
          </cell>
          <cell r="S86">
            <v>9469.7900000000009</v>
          </cell>
          <cell r="T86">
            <v>9473.1299999999992</v>
          </cell>
          <cell r="U86">
            <v>9479.3700000000008</v>
          </cell>
          <cell r="V86">
            <v>9446.67</v>
          </cell>
          <cell r="W86">
            <v>9486.4</v>
          </cell>
          <cell r="X86">
            <v>9521.5</v>
          </cell>
          <cell r="Y86">
            <v>9526.2000000000007</v>
          </cell>
          <cell r="Z86">
            <v>9714.5</v>
          </cell>
          <cell r="AA86">
            <v>9563.44</v>
          </cell>
          <cell r="AB86">
            <v>9568.2199999999993</v>
          </cell>
          <cell r="AC86">
            <v>9782.75</v>
          </cell>
          <cell r="AD86">
            <v>9445.35</v>
          </cell>
          <cell r="AE86">
            <v>9533.2999999999993</v>
          </cell>
          <cell r="AF86">
            <v>9750.06</v>
          </cell>
          <cell r="AG86">
            <v>9476.59</v>
          </cell>
          <cell r="AH86">
            <v>9537</v>
          </cell>
          <cell r="AI86">
            <v>9434.1</v>
          </cell>
          <cell r="AJ86">
            <v>9540.06</v>
          </cell>
          <cell r="AK86">
            <v>9319.58</v>
          </cell>
          <cell r="AL86">
            <v>9543.07</v>
          </cell>
          <cell r="AM86">
            <v>9802.2199999999993</v>
          </cell>
          <cell r="AN86">
            <v>9619.4</v>
          </cell>
          <cell r="AO86">
            <v>9676.0300000000007</v>
          </cell>
          <cell r="AP86">
            <v>9670.77</v>
          </cell>
          <cell r="AQ86">
            <v>9731.4</v>
          </cell>
          <cell r="AR86">
            <v>9470.93</v>
          </cell>
          <cell r="AS86">
            <v>9780.33</v>
          </cell>
          <cell r="AT86">
            <v>9624.89</v>
          </cell>
          <cell r="AU86">
            <v>9651.44</v>
          </cell>
          <cell r="AV86">
            <v>9713.33</v>
          </cell>
          <cell r="AW86">
            <v>9559.49</v>
          </cell>
          <cell r="AX86">
            <v>9272.11</v>
          </cell>
          <cell r="AY86">
            <v>9451.1</v>
          </cell>
          <cell r="AZ86">
            <v>9187.08</v>
          </cell>
          <cell r="BA86">
            <v>9187.08</v>
          </cell>
        </row>
        <row r="87">
          <cell r="A87" t="str">
            <v>V3000H45B20</v>
          </cell>
          <cell r="B87">
            <v>3000</v>
          </cell>
          <cell r="C87">
            <v>4500</v>
          </cell>
          <cell r="D87">
            <v>2000</v>
          </cell>
          <cell r="E87">
            <v>22</v>
          </cell>
          <cell r="F87">
            <v>5</v>
          </cell>
          <cell r="G87">
            <v>0</v>
          </cell>
          <cell r="H87">
            <v>350</v>
          </cell>
          <cell r="I87">
            <v>70</v>
          </cell>
          <cell r="J87">
            <v>3105</v>
          </cell>
          <cell r="K87" t="str">
            <v>Q-12001304</v>
          </cell>
          <cell r="L87" t="str">
            <v>\\hokukon-net2\hop\Program\01_MVPシステム_容量別組立図\.\02_余裕高0_6m\pdf\FB600_3000m3-MVP-4500-組-B2000_Q-12001304.pdf</v>
          </cell>
          <cell r="M87">
            <v>9882.7199999999993</v>
          </cell>
          <cell r="N87">
            <v>9965.01</v>
          </cell>
          <cell r="O87">
            <v>9791.77</v>
          </cell>
          <cell r="P87">
            <v>9794.52</v>
          </cell>
          <cell r="Q87">
            <v>9922.7000000000007</v>
          </cell>
          <cell r="R87">
            <v>9861.56</v>
          </cell>
          <cell r="S87">
            <v>9840.07</v>
          </cell>
          <cell r="T87">
            <v>9843.4</v>
          </cell>
          <cell r="U87">
            <v>9854.19</v>
          </cell>
          <cell r="V87">
            <v>9821.08</v>
          </cell>
          <cell r="W87">
            <v>9861.0400000000009</v>
          </cell>
          <cell r="X87">
            <v>9897.58</v>
          </cell>
          <cell r="Y87">
            <v>9902.49</v>
          </cell>
          <cell r="Z87">
            <v>10091.39</v>
          </cell>
          <cell r="AA87">
            <v>9941.74</v>
          </cell>
          <cell r="AB87">
            <v>9944.69</v>
          </cell>
          <cell r="AC87">
            <v>10155.74</v>
          </cell>
          <cell r="AD87">
            <v>9817.93</v>
          </cell>
          <cell r="AE87">
            <v>9906.9699999999993</v>
          </cell>
          <cell r="AF87">
            <v>10123.6</v>
          </cell>
          <cell r="AG87">
            <v>9852.42</v>
          </cell>
          <cell r="AH87">
            <v>9912.56</v>
          </cell>
          <cell r="AI87">
            <v>9811.11</v>
          </cell>
          <cell r="AJ87">
            <v>9914.6200000000008</v>
          </cell>
          <cell r="AK87">
            <v>9696.4599999999991</v>
          </cell>
          <cell r="AL87">
            <v>9917.66</v>
          </cell>
          <cell r="AM87">
            <v>10175.82</v>
          </cell>
          <cell r="AN87">
            <v>9994.4599999999991</v>
          </cell>
          <cell r="AO87">
            <v>10049.44</v>
          </cell>
          <cell r="AP87">
            <v>10045.120000000001</v>
          </cell>
          <cell r="AQ87">
            <v>10105.870000000001</v>
          </cell>
          <cell r="AR87">
            <v>9841.52</v>
          </cell>
          <cell r="AS87">
            <v>10149.719999999999</v>
          </cell>
          <cell r="AT87">
            <v>9997.2199999999993</v>
          </cell>
          <cell r="AU87">
            <v>10024.01</v>
          </cell>
          <cell r="AV87">
            <v>10083.73</v>
          </cell>
          <cell r="AW87">
            <v>9930.57</v>
          </cell>
          <cell r="AX87">
            <v>9646.19</v>
          </cell>
          <cell r="AY87">
            <v>9822.19</v>
          </cell>
          <cell r="AZ87">
            <v>9560.52</v>
          </cell>
          <cell r="BA87">
            <v>9560.52</v>
          </cell>
        </row>
        <row r="88">
          <cell r="A88" t="str">
            <v>V5000H15B30</v>
          </cell>
          <cell r="B88">
            <v>5000</v>
          </cell>
          <cell r="C88">
            <v>1500</v>
          </cell>
          <cell r="D88">
            <v>3000</v>
          </cell>
          <cell r="E88">
            <v>60</v>
          </cell>
          <cell r="F88">
            <v>7</v>
          </cell>
          <cell r="G88">
            <v>0</v>
          </cell>
          <cell r="H88">
            <v>350</v>
          </cell>
          <cell r="I88">
            <v>50</v>
          </cell>
          <cell r="J88">
            <v>5058.6000000000004</v>
          </cell>
          <cell r="K88" t="str">
            <v>Q-11003000</v>
          </cell>
          <cell r="L88" t="str">
            <v>\\hokukon-net2\hop\Program\01_MVPシステム_容量別組立図\.\02_余裕高0_6m\pdf\FB600_5000m3-MVP-1500-組-B3000_Q-11003000.pdf</v>
          </cell>
          <cell r="M88">
            <v>32615.66</v>
          </cell>
          <cell r="N88">
            <v>33121.72</v>
          </cell>
          <cell r="O88">
            <v>31891.32</v>
          </cell>
          <cell r="P88">
            <v>31909.39</v>
          </cell>
          <cell r="Q88">
            <v>32890.629999999997</v>
          </cell>
          <cell r="R88">
            <v>32501.1</v>
          </cell>
          <cell r="S88">
            <v>32431.25</v>
          </cell>
          <cell r="T88">
            <v>32453.09</v>
          </cell>
          <cell r="U88">
            <v>32123.49</v>
          </cell>
          <cell r="V88">
            <v>31945.61</v>
          </cell>
          <cell r="W88">
            <v>32204.18</v>
          </cell>
          <cell r="X88">
            <v>32300.05</v>
          </cell>
          <cell r="Y88">
            <v>32312.14</v>
          </cell>
          <cell r="Z88">
            <v>33439.71</v>
          </cell>
          <cell r="AA88">
            <v>32444.13</v>
          </cell>
          <cell r="AB88">
            <v>32584.7</v>
          </cell>
          <cell r="AC88">
            <v>34180.85</v>
          </cell>
          <cell r="AD88">
            <v>32197.4</v>
          </cell>
          <cell r="AE88">
            <v>32653.21</v>
          </cell>
          <cell r="AF88">
            <v>34000.370000000003</v>
          </cell>
          <cell r="AG88">
            <v>32123.54</v>
          </cell>
          <cell r="AH88">
            <v>32481.3</v>
          </cell>
          <cell r="AI88">
            <v>31773.8</v>
          </cell>
          <cell r="AJ88">
            <v>32593.68</v>
          </cell>
          <cell r="AK88">
            <v>31047.74</v>
          </cell>
          <cell r="AL88">
            <v>32551.8</v>
          </cell>
          <cell r="AM88">
            <v>34220.1</v>
          </cell>
          <cell r="AN88">
            <v>32969.519999999997</v>
          </cell>
          <cell r="AO88">
            <v>33433.64</v>
          </cell>
          <cell r="AP88">
            <v>33331.870000000003</v>
          </cell>
          <cell r="AQ88">
            <v>33708.629999999997</v>
          </cell>
          <cell r="AR88">
            <v>32424.82</v>
          </cell>
          <cell r="AS88">
            <v>34447.86</v>
          </cell>
          <cell r="AT88">
            <v>33268.800000000003</v>
          </cell>
          <cell r="AU88">
            <v>33446.480000000003</v>
          </cell>
          <cell r="AV88">
            <v>33949.9</v>
          </cell>
          <cell r="AW88">
            <v>32986.370000000003</v>
          </cell>
          <cell r="AX88">
            <v>31038.880000000001</v>
          </cell>
          <cell r="AY88">
            <v>32310.68</v>
          </cell>
          <cell r="AZ88">
            <v>30552.799999999999</v>
          </cell>
          <cell r="BA88">
            <v>30552.799999999999</v>
          </cell>
        </row>
        <row r="89">
          <cell r="A89" t="str">
            <v>V5000H15B25</v>
          </cell>
          <cell r="B89">
            <v>5000</v>
          </cell>
          <cell r="C89">
            <v>1500</v>
          </cell>
          <cell r="D89">
            <v>2500</v>
          </cell>
          <cell r="E89">
            <v>65</v>
          </cell>
          <cell r="F89">
            <v>7</v>
          </cell>
          <cell r="G89">
            <v>0</v>
          </cell>
          <cell r="H89">
            <v>350</v>
          </cell>
          <cell r="I89">
            <v>50</v>
          </cell>
          <cell r="J89">
            <v>5060.7</v>
          </cell>
          <cell r="K89" t="str">
            <v>Q-11002999</v>
          </cell>
          <cell r="L89" t="str">
            <v>\\hokukon-net2\hop\Program\01_MVPシステム_容量別組立図\.\02_余裕高0_6m\pdf\FB600_5000m3-MVP-1500-組-B2500_Q-11002999.pdf</v>
          </cell>
          <cell r="M89">
            <v>33258.199999999997</v>
          </cell>
          <cell r="N89">
            <v>33765.31</v>
          </cell>
          <cell r="O89">
            <v>32535.43</v>
          </cell>
          <cell r="P89">
            <v>32553.54</v>
          </cell>
          <cell r="Q89">
            <v>33532.35</v>
          </cell>
          <cell r="R89">
            <v>33141.57</v>
          </cell>
          <cell r="S89">
            <v>33069.21</v>
          </cell>
          <cell r="T89">
            <v>33091.1</v>
          </cell>
          <cell r="U89">
            <v>32773.42</v>
          </cell>
          <cell r="V89">
            <v>32593.35</v>
          </cell>
          <cell r="W89">
            <v>32853.599999999999</v>
          </cell>
          <cell r="X89">
            <v>32954.14</v>
          </cell>
          <cell r="Y89">
            <v>32966.89</v>
          </cell>
          <cell r="Z89">
            <v>34101.46</v>
          </cell>
          <cell r="AA89">
            <v>33105.11</v>
          </cell>
          <cell r="AB89">
            <v>33241.050000000003</v>
          </cell>
          <cell r="AC89">
            <v>34835.69</v>
          </cell>
          <cell r="AD89">
            <v>32843.11</v>
          </cell>
          <cell r="AE89">
            <v>33304.1</v>
          </cell>
          <cell r="AF89">
            <v>34657.46</v>
          </cell>
          <cell r="AG89">
            <v>32778.74</v>
          </cell>
          <cell r="AH89">
            <v>33137.519999999997</v>
          </cell>
          <cell r="AI89">
            <v>32430.61</v>
          </cell>
          <cell r="AJ89">
            <v>33247.79</v>
          </cell>
          <cell r="AK89">
            <v>31695.85</v>
          </cell>
          <cell r="AL89">
            <v>33200.97</v>
          </cell>
          <cell r="AM89">
            <v>34875.019999999997</v>
          </cell>
          <cell r="AN89">
            <v>33622.1</v>
          </cell>
          <cell r="AO89">
            <v>34083.83</v>
          </cell>
          <cell r="AP89">
            <v>33984.129999999997</v>
          </cell>
          <cell r="AQ89">
            <v>34362.9</v>
          </cell>
          <cell r="AR89">
            <v>33066.26</v>
          </cell>
          <cell r="AS89">
            <v>35095.78</v>
          </cell>
          <cell r="AT89">
            <v>33919.43</v>
          </cell>
          <cell r="AU89">
            <v>34098.47</v>
          </cell>
          <cell r="AV89">
            <v>34598.33</v>
          </cell>
          <cell r="AW89">
            <v>33633.03</v>
          </cell>
          <cell r="AX89">
            <v>31684.35</v>
          </cell>
          <cell r="AY89">
            <v>32954.199999999997</v>
          </cell>
          <cell r="AZ89">
            <v>31194.43</v>
          </cell>
          <cell r="BA89">
            <v>31194.43</v>
          </cell>
        </row>
        <row r="90">
          <cell r="A90" t="str">
            <v>V5000H15B20</v>
          </cell>
          <cell r="B90">
            <v>5000</v>
          </cell>
          <cell r="C90">
            <v>1500</v>
          </cell>
          <cell r="D90">
            <v>2000</v>
          </cell>
          <cell r="E90">
            <v>62</v>
          </cell>
          <cell r="F90">
            <v>8</v>
          </cell>
          <cell r="G90">
            <v>0</v>
          </cell>
          <cell r="H90">
            <v>350</v>
          </cell>
          <cell r="I90">
            <v>50</v>
          </cell>
          <cell r="J90">
            <v>5019.6000000000004</v>
          </cell>
          <cell r="K90" t="str">
            <v>Q-11002998</v>
          </cell>
          <cell r="L90" t="str">
            <v>\\hokukon-net2\hop\Program\01_MVPシステム_容量別組立図\.\02_余裕高0_6m\pdf\FB600_5000m3-MVP-1500-組-B2000_Q-11002998.pdf</v>
          </cell>
          <cell r="M90">
            <v>33770.53</v>
          </cell>
          <cell r="N90">
            <v>34274.31</v>
          </cell>
          <cell r="O90">
            <v>33057.550000000003</v>
          </cell>
          <cell r="P90">
            <v>33075.54</v>
          </cell>
          <cell r="Q90">
            <v>34041.39</v>
          </cell>
          <cell r="R90">
            <v>33652.81</v>
          </cell>
          <cell r="S90">
            <v>33577.78</v>
          </cell>
          <cell r="T90">
            <v>33599.54</v>
          </cell>
          <cell r="U90">
            <v>33301.78</v>
          </cell>
          <cell r="V90">
            <v>33120.699999999997</v>
          </cell>
          <cell r="W90">
            <v>33380.03</v>
          </cell>
          <cell r="X90">
            <v>33949.03</v>
          </cell>
          <cell r="Y90">
            <v>33499.760000000002</v>
          </cell>
          <cell r="Z90">
            <v>34632.14</v>
          </cell>
          <cell r="AA90">
            <v>33644.49</v>
          </cell>
          <cell r="AB90">
            <v>33772.9</v>
          </cell>
          <cell r="AC90">
            <v>35348.959999999999</v>
          </cell>
          <cell r="AD90">
            <v>33363.47</v>
          </cell>
          <cell r="AE90">
            <v>33826.81</v>
          </cell>
          <cell r="AF90">
            <v>35174.83</v>
          </cell>
          <cell r="AG90">
            <v>33313.07</v>
          </cell>
          <cell r="AH90">
            <v>33670.120000000003</v>
          </cell>
          <cell r="AI90">
            <v>32970.660000000003</v>
          </cell>
          <cell r="AJ90">
            <v>33775.99</v>
          </cell>
          <cell r="AK90">
            <v>32231.94</v>
          </cell>
          <cell r="AL90">
            <v>33723.660000000003</v>
          </cell>
          <cell r="AM90">
            <v>35388.239999999998</v>
          </cell>
          <cell r="AN90">
            <v>34145.18</v>
          </cell>
          <cell r="AO90">
            <v>34599</v>
          </cell>
          <cell r="AP90">
            <v>34503.18</v>
          </cell>
          <cell r="AQ90">
            <v>34880.54</v>
          </cell>
          <cell r="AR90">
            <v>33579.42</v>
          </cell>
          <cell r="AS90">
            <v>35596.589999999997</v>
          </cell>
          <cell r="AT90">
            <v>34436.080000000002</v>
          </cell>
          <cell r="AU90">
            <v>34614.75</v>
          </cell>
          <cell r="AV90">
            <v>35105.22</v>
          </cell>
          <cell r="AW90">
            <v>34146.94</v>
          </cell>
          <cell r="AX90">
            <v>32216.1</v>
          </cell>
          <cell r="AY90">
            <v>33470.92</v>
          </cell>
          <cell r="AZ90">
            <v>31726.13</v>
          </cell>
          <cell r="BA90">
            <v>31726.13</v>
          </cell>
        </row>
        <row r="91">
          <cell r="A91" t="str">
            <v>V5000H20B30</v>
          </cell>
          <cell r="B91">
            <v>5000</v>
          </cell>
          <cell r="C91">
            <v>2000</v>
          </cell>
          <cell r="D91">
            <v>3000</v>
          </cell>
          <cell r="E91">
            <v>44</v>
          </cell>
          <cell r="F91">
            <v>6</v>
          </cell>
          <cell r="G91">
            <v>0</v>
          </cell>
          <cell r="H91">
            <v>350</v>
          </cell>
          <cell r="I91">
            <v>50</v>
          </cell>
          <cell r="J91">
            <v>5026.1000000000004</v>
          </cell>
          <cell r="K91" t="str">
            <v>Q-11003003</v>
          </cell>
          <cell r="L91" t="str">
            <v>\\hokukon-net2\hop\Program\01_MVPシステム_容量別組立図\.\02_余裕高0_6m\pdf\FB600_5000m3-MVP-2000-組-B3000_Q-11003003.pdf</v>
          </cell>
          <cell r="M91">
            <v>21987.599999999999</v>
          </cell>
          <cell r="N91">
            <v>22314.41</v>
          </cell>
          <cell r="O91">
            <v>21526.55</v>
          </cell>
          <cell r="P91">
            <v>21538.17</v>
          </cell>
          <cell r="Q91">
            <v>22163.72</v>
          </cell>
          <cell r="R91">
            <v>21913.42</v>
          </cell>
          <cell r="S91">
            <v>21866.52</v>
          </cell>
          <cell r="T91">
            <v>21880.55</v>
          </cell>
          <cell r="U91">
            <v>21682.15</v>
          </cell>
          <cell r="V91">
            <v>21566.55</v>
          </cell>
          <cell r="W91">
            <v>21732.02</v>
          </cell>
          <cell r="X91">
            <v>21798.45</v>
          </cell>
          <cell r="Y91">
            <v>21806.74</v>
          </cell>
          <cell r="Z91">
            <v>22534.14</v>
          </cell>
          <cell r="AA91">
            <v>21894.07</v>
          </cell>
          <cell r="AB91">
            <v>21981.38</v>
          </cell>
          <cell r="AC91">
            <v>23000.41</v>
          </cell>
          <cell r="AD91">
            <v>21718.73</v>
          </cell>
          <cell r="AE91">
            <v>22015.8</v>
          </cell>
          <cell r="AF91">
            <v>22883.54</v>
          </cell>
          <cell r="AG91">
            <v>21681.82</v>
          </cell>
          <cell r="AH91">
            <v>21913.26</v>
          </cell>
          <cell r="AI91">
            <v>21459.29</v>
          </cell>
          <cell r="AJ91">
            <v>21982.39</v>
          </cell>
          <cell r="AK91">
            <v>20988.32</v>
          </cell>
          <cell r="AL91">
            <v>21954.68</v>
          </cell>
          <cell r="AM91">
            <v>23027.93</v>
          </cell>
          <cell r="AN91">
            <v>22226.44</v>
          </cell>
          <cell r="AO91">
            <v>22521.67</v>
          </cell>
          <cell r="AP91">
            <v>22458.49</v>
          </cell>
          <cell r="AQ91">
            <v>22700.93</v>
          </cell>
          <cell r="AR91">
            <v>21864.79</v>
          </cell>
          <cell r="AS91">
            <v>23164.09</v>
          </cell>
          <cell r="AT91">
            <v>22412.05</v>
          </cell>
          <cell r="AU91">
            <v>22525.040000000001</v>
          </cell>
          <cell r="AV91">
            <v>22846.18</v>
          </cell>
          <cell r="AW91">
            <v>22226.02</v>
          </cell>
          <cell r="AX91">
            <v>20975.61</v>
          </cell>
          <cell r="AY91">
            <v>21791.05</v>
          </cell>
          <cell r="AZ91">
            <v>20661.3</v>
          </cell>
          <cell r="BA91">
            <v>20661.3</v>
          </cell>
        </row>
        <row r="92">
          <cell r="A92" t="str">
            <v>V5000H20B25</v>
          </cell>
          <cell r="B92">
            <v>5000</v>
          </cell>
          <cell r="C92">
            <v>2000</v>
          </cell>
          <cell r="D92">
            <v>2500</v>
          </cell>
          <cell r="E92">
            <v>48</v>
          </cell>
          <cell r="F92">
            <v>6</v>
          </cell>
          <cell r="G92">
            <v>0</v>
          </cell>
          <cell r="H92">
            <v>350</v>
          </cell>
          <cell r="I92">
            <v>50</v>
          </cell>
          <cell r="J92">
            <v>5066.1000000000004</v>
          </cell>
          <cell r="K92" t="str">
            <v>Q-11003002</v>
          </cell>
          <cell r="L92" t="str">
            <v>\\hokukon-net2\hop\Program\01_MVPシステム_容量別組立図\.\02_余裕高0_6m\pdf\FB600_5000m3-MVP-2000-組-B2500_Q-11003002.pdf</v>
          </cell>
          <cell r="M92">
            <v>22609.279999999999</v>
          </cell>
          <cell r="N92">
            <v>22939.119999999999</v>
          </cell>
          <cell r="O92">
            <v>22145.84</v>
          </cell>
          <cell r="P92">
            <v>22157.58</v>
          </cell>
          <cell r="Q92">
            <v>22786.18</v>
          </cell>
          <cell r="R92">
            <v>22533.27</v>
          </cell>
          <cell r="S92">
            <v>22484.44</v>
          </cell>
          <cell r="T92">
            <v>22498.62</v>
          </cell>
          <cell r="U92">
            <v>22306.22</v>
          </cell>
          <cell r="V92">
            <v>22188.42</v>
          </cell>
          <cell r="W92">
            <v>22356.17</v>
          </cell>
          <cell r="X92">
            <v>22426.01</v>
          </cell>
          <cell r="Y92">
            <v>22434.75</v>
          </cell>
          <cell r="Z92">
            <v>23171.87</v>
          </cell>
          <cell r="AA92">
            <v>22526.67</v>
          </cell>
          <cell r="AB92">
            <v>22611.69</v>
          </cell>
          <cell r="AC92">
            <v>23637.23</v>
          </cell>
          <cell r="AD92">
            <v>22340.49</v>
          </cell>
          <cell r="AE92">
            <v>22643</v>
          </cell>
          <cell r="AF92">
            <v>23520.959999999999</v>
          </cell>
          <cell r="AG92">
            <v>22309.25</v>
          </cell>
          <cell r="AH92">
            <v>22543.02</v>
          </cell>
          <cell r="AI92">
            <v>22086.13</v>
          </cell>
          <cell r="AJ92">
            <v>22611.35</v>
          </cell>
          <cell r="AK92">
            <v>21606.22</v>
          </cell>
          <cell r="AL92">
            <v>22580.28</v>
          </cell>
          <cell r="AM92">
            <v>23664.98</v>
          </cell>
          <cell r="AN92">
            <v>22856.15</v>
          </cell>
          <cell r="AO92">
            <v>23152.02</v>
          </cell>
          <cell r="AP92">
            <v>23089.68</v>
          </cell>
          <cell r="AQ92">
            <v>23335.16</v>
          </cell>
          <cell r="AR92">
            <v>22484.92</v>
          </cell>
          <cell r="AS92">
            <v>23797.79</v>
          </cell>
          <cell r="AT92">
            <v>23041.95</v>
          </cell>
          <cell r="AU92">
            <v>23156.639999999999</v>
          </cell>
          <cell r="AV92">
            <v>23477.87</v>
          </cell>
          <cell r="AW92">
            <v>22852.080000000002</v>
          </cell>
          <cell r="AX92">
            <v>21591.84</v>
          </cell>
          <cell r="AY92">
            <v>22411.97</v>
          </cell>
          <cell r="AZ92">
            <v>21272.83</v>
          </cell>
          <cell r="BA92">
            <v>21272.83</v>
          </cell>
        </row>
        <row r="93">
          <cell r="A93" t="str">
            <v>V5000H20B20</v>
          </cell>
          <cell r="B93">
            <v>5000</v>
          </cell>
          <cell r="C93">
            <v>2000</v>
          </cell>
          <cell r="D93">
            <v>2000</v>
          </cell>
          <cell r="E93">
            <v>52</v>
          </cell>
          <cell r="F93">
            <v>6</v>
          </cell>
          <cell r="G93">
            <v>0</v>
          </cell>
          <cell r="H93">
            <v>350</v>
          </cell>
          <cell r="I93">
            <v>50</v>
          </cell>
          <cell r="J93">
            <v>5038.8</v>
          </cell>
          <cell r="K93" t="str">
            <v>Q-11003001</v>
          </cell>
          <cell r="L93" t="str">
            <v>\\hokukon-net2\hop\Program\01_MVPシステム_容量別組立図\.\02_余裕高0_6m\pdf\FB600_5000m3-MVP-2000-組-B2000_Q-11003001.pdf</v>
          </cell>
          <cell r="M93">
            <v>23030.58</v>
          </cell>
          <cell r="N93">
            <v>23359.32</v>
          </cell>
          <cell r="O93">
            <v>22571.11</v>
          </cell>
          <cell r="P93">
            <v>22582.81</v>
          </cell>
          <cell r="Q93">
            <v>23205.84</v>
          </cell>
          <cell r="R93">
            <v>22953.48</v>
          </cell>
          <cell r="S93">
            <v>22902.99</v>
          </cell>
          <cell r="T93">
            <v>22917.13</v>
          </cell>
          <cell r="U93">
            <v>22735.1</v>
          </cell>
          <cell r="V93">
            <v>22616.31</v>
          </cell>
          <cell r="W93">
            <v>22784.32</v>
          </cell>
          <cell r="X93">
            <v>22857.360000000001</v>
          </cell>
          <cell r="Y93">
            <v>22866.560000000001</v>
          </cell>
          <cell r="Z93">
            <v>23604.73</v>
          </cell>
          <cell r="AA93">
            <v>22962.66</v>
          </cell>
          <cell r="AB93">
            <v>23043.66</v>
          </cell>
          <cell r="AC93">
            <v>24061.95</v>
          </cell>
          <cell r="AD93">
            <v>22765.72</v>
          </cell>
          <cell r="AE93">
            <v>23070.44</v>
          </cell>
          <cell r="AF93">
            <v>23948.03</v>
          </cell>
          <cell r="AG93">
            <v>22742</v>
          </cell>
          <cell r="AH93">
            <v>22975.25</v>
          </cell>
          <cell r="AI93">
            <v>22521.46</v>
          </cell>
          <cell r="AJ93">
            <v>23041.52</v>
          </cell>
          <cell r="AK93">
            <v>22037.71</v>
          </cell>
          <cell r="AL93">
            <v>23006.95</v>
          </cell>
          <cell r="AM93">
            <v>24089.68</v>
          </cell>
          <cell r="AN93">
            <v>23283.82</v>
          </cell>
          <cell r="AO93">
            <v>23576.14</v>
          </cell>
          <cell r="AP93">
            <v>23515.759999999998</v>
          </cell>
          <cell r="AQ93">
            <v>23761.32</v>
          </cell>
          <cell r="AR93">
            <v>22906.16</v>
          </cell>
          <cell r="AS93">
            <v>24216.25</v>
          </cell>
          <cell r="AT93">
            <v>23466.92</v>
          </cell>
          <cell r="AU93">
            <v>23581.96</v>
          </cell>
          <cell r="AV93">
            <v>23898.59</v>
          </cell>
          <cell r="AW93">
            <v>23275.09</v>
          </cell>
          <cell r="AX93">
            <v>22021.25</v>
          </cell>
          <cell r="AY93">
            <v>22835.14</v>
          </cell>
          <cell r="AZ93">
            <v>21701.16</v>
          </cell>
          <cell r="BA93">
            <v>21701.16</v>
          </cell>
        </row>
        <row r="94">
          <cell r="A94" t="str">
            <v>V5000H25B30</v>
          </cell>
          <cell r="B94">
            <v>5000</v>
          </cell>
          <cell r="C94">
            <v>2500</v>
          </cell>
          <cell r="D94">
            <v>3000</v>
          </cell>
          <cell r="E94">
            <v>45</v>
          </cell>
          <cell r="F94">
            <v>7</v>
          </cell>
          <cell r="G94">
            <v>0</v>
          </cell>
          <cell r="H94">
            <v>300</v>
          </cell>
          <cell r="I94">
            <v>50</v>
          </cell>
          <cell r="J94">
            <v>5027.3999999999996</v>
          </cell>
          <cell r="K94" t="str">
            <v>Q-11003006</v>
          </cell>
          <cell r="L94" t="str">
            <v>\\hokukon-net2\hop\Program\01_MVPシステム_容量別組立図\.\02_余裕高0_6m\pdf\FB600_5000m3-MVP-2500-組-B3000_Q-11003006.pdf</v>
          </cell>
          <cell r="M94">
            <v>19784.55</v>
          </cell>
          <cell r="N94">
            <v>20010.400000000001</v>
          </cell>
          <cell r="O94">
            <v>19483.189999999999</v>
          </cell>
          <cell r="P94">
            <v>19491.3</v>
          </cell>
          <cell r="Q94">
            <v>19906.3</v>
          </cell>
          <cell r="R94">
            <v>19735.2</v>
          </cell>
          <cell r="S94">
            <v>19694.47</v>
          </cell>
          <cell r="T94">
            <v>19704.259999999998</v>
          </cell>
          <cell r="U94">
            <v>19629.650000000001</v>
          </cell>
          <cell r="V94">
            <v>19542.080000000002</v>
          </cell>
          <cell r="W94">
            <v>19660.66</v>
          </cell>
          <cell r="X94">
            <v>19731.59</v>
          </cell>
          <cell r="Y94">
            <v>19743.330000000002</v>
          </cell>
          <cell r="Z94">
            <v>20261.8</v>
          </cell>
          <cell r="AA94">
            <v>19820.349999999999</v>
          </cell>
          <cell r="AB94">
            <v>19859.849999999999</v>
          </cell>
          <cell r="AC94">
            <v>20531.61</v>
          </cell>
          <cell r="AD94">
            <v>19617.490000000002</v>
          </cell>
          <cell r="AE94">
            <v>19834.8</v>
          </cell>
          <cell r="AF94">
            <v>20447.11</v>
          </cell>
          <cell r="AG94">
            <v>19644.599999999999</v>
          </cell>
          <cell r="AH94">
            <v>19811.07</v>
          </cell>
          <cell r="AI94">
            <v>19500.54</v>
          </cell>
          <cell r="AJ94">
            <v>19845.89</v>
          </cell>
          <cell r="AK94">
            <v>19150.71</v>
          </cell>
          <cell r="AL94">
            <v>19804.79</v>
          </cell>
          <cell r="AM94">
            <v>20548.87</v>
          </cell>
          <cell r="AN94">
            <v>20001.259999999998</v>
          </cell>
          <cell r="AO94">
            <v>20189</v>
          </cell>
          <cell r="AP94">
            <v>20161.27</v>
          </cell>
          <cell r="AQ94">
            <v>20326.7</v>
          </cell>
          <cell r="AR94">
            <v>19711.580000000002</v>
          </cell>
          <cell r="AS94">
            <v>20609.18</v>
          </cell>
          <cell r="AT94">
            <v>20108.23</v>
          </cell>
          <cell r="AU94">
            <v>20187.150000000001</v>
          </cell>
          <cell r="AV94">
            <v>20397.78</v>
          </cell>
          <cell r="AW94">
            <v>19959.080000000002</v>
          </cell>
          <cell r="AX94">
            <v>19119.27</v>
          </cell>
          <cell r="AY94">
            <v>19659.48</v>
          </cell>
          <cell r="AZ94">
            <v>18886.84</v>
          </cell>
          <cell r="BA94">
            <v>18886.84</v>
          </cell>
        </row>
        <row r="95">
          <cell r="A95" t="str">
            <v>V5000H25B25</v>
          </cell>
          <cell r="B95">
            <v>5000</v>
          </cell>
          <cell r="C95">
            <v>2500</v>
          </cell>
          <cell r="D95">
            <v>2500</v>
          </cell>
          <cell r="E95">
            <v>44</v>
          </cell>
          <cell r="F95">
            <v>8</v>
          </cell>
          <cell r="G95">
            <v>0</v>
          </cell>
          <cell r="H95">
            <v>300</v>
          </cell>
          <cell r="I95">
            <v>50</v>
          </cell>
          <cell r="J95">
            <v>5074.1000000000004</v>
          </cell>
          <cell r="K95" t="str">
            <v>Q-11003005</v>
          </cell>
          <cell r="L95" t="str">
            <v>\\hokukon-net2\hop\Program\01_MVPシステム_容量別組立図\.\02_余裕高0_6m\pdf\FB600_5000m3-MVP-2500-組-B2500_Q-11003005.pdf</v>
          </cell>
          <cell r="M95">
            <v>20682.47</v>
          </cell>
          <cell r="N95">
            <v>20910.93</v>
          </cell>
          <cell r="O95">
            <v>20381.16</v>
          </cell>
          <cell r="P95">
            <v>20389.37</v>
          </cell>
          <cell r="Q95">
            <v>20804.8</v>
          </cell>
          <cell r="R95">
            <v>20631.72</v>
          </cell>
          <cell r="S95">
            <v>20588.45</v>
          </cell>
          <cell r="T95">
            <v>20598.330000000002</v>
          </cell>
          <cell r="U95">
            <v>20534.5</v>
          </cell>
          <cell r="V95">
            <v>20444.53</v>
          </cell>
          <cell r="W95">
            <v>20565.150000000001</v>
          </cell>
          <cell r="X95">
            <v>20640.95</v>
          </cell>
          <cell r="Y95">
            <v>20653.21</v>
          </cell>
          <cell r="Z95">
            <v>21181.01</v>
          </cell>
          <cell r="AA95">
            <v>20735.86</v>
          </cell>
          <cell r="AB95">
            <v>20771.72</v>
          </cell>
          <cell r="AC95">
            <v>21445.7</v>
          </cell>
          <cell r="AD95">
            <v>20516.79</v>
          </cell>
          <cell r="AE95">
            <v>20740.07</v>
          </cell>
          <cell r="AF95">
            <v>21361.86</v>
          </cell>
          <cell r="AG95">
            <v>20553.25</v>
          </cell>
          <cell r="AH95">
            <v>20722.41</v>
          </cell>
          <cell r="AI95">
            <v>20409.78</v>
          </cell>
          <cell r="AJ95">
            <v>20755.189999999999</v>
          </cell>
          <cell r="AK95">
            <v>20050.18</v>
          </cell>
          <cell r="AL95">
            <v>20709.79</v>
          </cell>
          <cell r="AM95">
            <v>21463.31</v>
          </cell>
          <cell r="AN95">
            <v>20910.29</v>
          </cell>
          <cell r="AO95">
            <v>21097.119999999999</v>
          </cell>
          <cell r="AP95">
            <v>21071.56</v>
          </cell>
          <cell r="AQ95">
            <v>21239.4</v>
          </cell>
          <cell r="AR95">
            <v>20608.52</v>
          </cell>
          <cell r="AS95">
            <v>21517.24</v>
          </cell>
          <cell r="AT95">
            <v>21015.759999999998</v>
          </cell>
          <cell r="AU95">
            <v>21095.85</v>
          </cell>
          <cell r="AV95">
            <v>21305.24</v>
          </cell>
          <cell r="AW95">
            <v>20861.66</v>
          </cell>
          <cell r="AX95">
            <v>20015.669999999998</v>
          </cell>
          <cell r="AY95">
            <v>20557.73</v>
          </cell>
          <cell r="AZ95">
            <v>19778.060000000001</v>
          </cell>
          <cell r="BA95">
            <v>19778.060000000001</v>
          </cell>
        </row>
        <row r="96">
          <cell r="A96" t="str">
            <v>V5000H25B20</v>
          </cell>
          <cell r="B96">
            <v>5000</v>
          </cell>
          <cell r="C96">
            <v>2500</v>
          </cell>
          <cell r="D96">
            <v>2000</v>
          </cell>
          <cell r="E96">
            <v>49</v>
          </cell>
          <cell r="F96">
            <v>8</v>
          </cell>
          <cell r="G96">
            <v>0</v>
          </cell>
          <cell r="H96">
            <v>300</v>
          </cell>
          <cell r="I96">
            <v>50</v>
          </cell>
          <cell r="J96">
            <v>5076.3</v>
          </cell>
          <cell r="K96" t="str">
            <v>Q-11003004</v>
          </cell>
          <cell r="L96" t="str">
            <v>\\hokukon-net2\hop\Program\01_MVPシステム_容量別組立図\.\02_余裕高0_6m\pdf\FB600_5000m3-MVP-2500-組-B2000_Q-11003004.pdf</v>
          </cell>
          <cell r="M96">
            <v>21564.01</v>
          </cell>
          <cell r="N96">
            <v>21792.95</v>
          </cell>
          <cell r="O96">
            <v>21264.91</v>
          </cell>
          <cell r="P96">
            <v>21273.15</v>
          </cell>
          <cell r="Q96">
            <v>21685.49</v>
          </cell>
          <cell r="R96">
            <v>21511.7</v>
          </cell>
          <cell r="S96">
            <v>21466.02</v>
          </cell>
          <cell r="T96">
            <v>21475.94</v>
          </cell>
          <cell r="U96">
            <v>21423.67</v>
          </cell>
          <cell r="V96">
            <v>21331.8</v>
          </cell>
          <cell r="W96">
            <v>21454.03</v>
          </cell>
          <cell r="X96">
            <v>21534.23</v>
          </cell>
          <cell r="Y96">
            <v>21546.880000000001</v>
          </cell>
          <cell r="Z96">
            <v>22080.49</v>
          </cell>
          <cell r="AA96">
            <v>21635.48</v>
          </cell>
          <cell r="AB96">
            <v>21666.91</v>
          </cell>
          <cell r="AC96">
            <v>22338.01</v>
          </cell>
          <cell r="AD96">
            <v>21401.74</v>
          </cell>
          <cell r="AE96">
            <v>21629.55</v>
          </cell>
          <cell r="AF96">
            <v>22256.34</v>
          </cell>
          <cell r="AG96">
            <v>21447.51</v>
          </cell>
          <cell r="AH96">
            <v>21617.67</v>
          </cell>
          <cell r="AI96">
            <v>21305.87</v>
          </cell>
          <cell r="AJ96">
            <v>21648.31</v>
          </cell>
          <cell r="AK96">
            <v>20938.41</v>
          </cell>
          <cell r="AL96">
            <v>21597.99</v>
          </cell>
          <cell r="AM96">
            <v>22355.48</v>
          </cell>
          <cell r="AN96">
            <v>21801</v>
          </cell>
          <cell r="AO96">
            <v>21985.26</v>
          </cell>
          <cell r="AP96">
            <v>21962.18</v>
          </cell>
          <cell r="AQ96">
            <v>22131.4</v>
          </cell>
          <cell r="AR96">
            <v>21489.29</v>
          </cell>
          <cell r="AS96">
            <v>22402.85</v>
          </cell>
          <cell r="AT96">
            <v>21904.720000000001</v>
          </cell>
          <cell r="AU96">
            <v>21985.89</v>
          </cell>
          <cell r="AV96">
            <v>22191.71</v>
          </cell>
          <cell r="AW96">
            <v>21746.99</v>
          </cell>
          <cell r="AX96">
            <v>20901.84</v>
          </cell>
          <cell r="AY96">
            <v>21440.73</v>
          </cell>
          <cell r="AZ96">
            <v>20660.509999999998</v>
          </cell>
          <cell r="BA96">
            <v>20660.509999999998</v>
          </cell>
        </row>
        <row r="97">
          <cell r="A97" t="str">
            <v>V5000H30B30</v>
          </cell>
          <cell r="B97">
            <v>5000</v>
          </cell>
          <cell r="C97">
            <v>3000</v>
          </cell>
          <cell r="D97">
            <v>3000</v>
          </cell>
          <cell r="E97">
            <v>41</v>
          </cell>
          <cell r="F97">
            <v>6</v>
          </cell>
          <cell r="G97">
            <v>0</v>
          </cell>
          <cell r="H97">
            <v>300</v>
          </cell>
          <cell r="I97">
            <v>50</v>
          </cell>
          <cell r="J97">
            <v>5011.6000000000004</v>
          </cell>
          <cell r="K97" t="str">
            <v>Q-11003009</v>
          </cell>
          <cell r="L97" t="str">
            <v>\\hokukon-net2\hop\Program\01_MVPシステム_容量別組立図\.\02_余裕高0_6m\pdf\FB600_5000m3-MVP-3000-組-B3000_Q-11003009.pdf</v>
          </cell>
          <cell r="M97">
            <v>16714.259999999998</v>
          </cell>
          <cell r="N97">
            <v>16894.32</v>
          </cell>
          <cell r="O97">
            <v>16479.830000000002</v>
          </cell>
          <cell r="P97">
            <v>16486.259999999998</v>
          </cell>
          <cell r="Q97">
            <v>16808.599999999999</v>
          </cell>
          <cell r="R97">
            <v>16670.599999999999</v>
          </cell>
          <cell r="S97">
            <v>16634.810000000001</v>
          </cell>
          <cell r="T97">
            <v>16642.57</v>
          </cell>
          <cell r="U97">
            <v>16604.36</v>
          </cell>
          <cell r="V97">
            <v>16532.060000000001</v>
          </cell>
          <cell r="W97">
            <v>16625.580000000002</v>
          </cell>
          <cell r="X97">
            <v>16689.11</v>
          </cell>
          <cell r="Y97">
            <v>16701.02</v>
          </cell>
          <cell r="Z97">
            <v>17118.310000000001</v>
          </cell>
          <cell r="AA97">
            <v>16770.080000000002</v>
          </cell>
          <cell r="AB97">
            <v>16793.099999999999</v>
          </cell>
          <cell r="AC97">
            <v>17317.75</v>
          </cell>
          <cell r="AD97">
            <v>16586.439999999999</v>
          </cell>
          <cell r="AE97">
            <v>16765.650000000001</v>
          </cell>
          <cell r="AF97">
            <v>17254.689999999999</v>
          </cell>
          <cell r="AG97">
            <v>16622.64</v>
          </cell>
          <cell r="AH97">
            <v>16753.439999999999</v>
          </cell>
          <cell r="AI97">
            <v>16512.009999999998</v>
          </cell>
          <cell r="AJ97">
            <v>16777.14</v>
          </cell>
          <cell r="AK97">
            <v>16225.41</v>
          </cell>
          <cell r="AL97">
            <v>16739.63</v>
          </cell>
          <cell r="AM97">
            <v>17332.64</v>
          </cell>
          <cell r="AN97">
            <v>16901.59</v>
          </cell>
          <cell r="AO97">
            <v>17044.43</v>
          </cell>
          <cell r="AP97">
            <v>17023.560000000001</v>
          </cell>
          <cell r="AQ97">
            <v>17157.23</v>
          </cell>
          <cell r="AR97">
            <v>16654.28</v>
          </cell>
          <cell r="AS97">
            <v>17366.080000000002</v>
          </cell>
          <cell r="AT97">
            <v>16978.39</v>
          </cell>
          <cell r="AU97">
            <v>17042.63</v>
          </cell>
          <cell r="AV97">
            <v>17201.689999999999</v>
          </cell>
          <cell r="AW97">
            <v>16855.34</v>
          </cell>
          <cell r="AX97">
            <v>16192.09</v>
          </cell>
          <cell r="AY97">
            <v>16614.97</v>
          </cell>
          <cell r="AZ97">
            <v>16006.62</v>
          </cell>
          <cell r="BA97">
            <v>16006.62</v>
          </cell>
        </row>
        <row r="98">
          <cell r="A98" t="str">
            <v>V5000H30B25</v>
          </cell>
          <cell r="B98">
            <v>5000</v>
          </cell>
          <cell r="C98">
            <v>3000</v>
          </cell>
          <cell r="D98">
            <v>2500</v>
          </cell>
          <cell r="E98">
            <v>46</v>
          </cell>
          <cell r="F98">
            <v>6</v>
          </cell>
          <cell r="G98">
            <v>0</v>
          </cell>
          <cell r="H98">
            <v>300</v>
          </cell>
          <cell r="I98">
            <v>50</v>
          </cell>
          <cell r="J98">
            <v>5109.3999999999996</v>
          </cell>
          <cell r="K98" t="str">
            <v>Q-11003008</v>
          </cell>
          <cell r="L98" t="str">
            <v>\\hokukon-net2\hop\Program\01_MVPシステム_容量別組立図\.\02_余裕高0_6m\pdf\FB600_5000m3-MVP-3000-組-B2500_Q-11003008.pdf</v>
          </cell>
          <cell r="M98">
            <v>17659.560000000001</v>
          </cell>
          <cell r="N98">
            <v>17843.36</v>
          </cell>
          <cell r="O98">
            <v>17422.099999999999</v>
          </cell>
          <cell r="P98">
            <v>17428.669999999998</v>
          </cell>
          <cell r="Q98">
            <v>17755.05</v>
          </cell>
          <cell r="R98">
            <v>17613.89</v>
          </cell>
          <cell r="S98">
            <v>17575.810000000001</v>
          </cell>
          <cell r="T98">
            <v>17583.740000000002</v>
          </cell>
          <cell r="U98">
            <v>17552.57</v>
          </cell>
          <cell r="V98">
            <v>17477.599999999999</v>
          </cell>
          <cell r="W98">
            <v>17573.97</v>
          </cell>
          <cell r="X98">
            <v>17641.650000000001</v>
          </cell>
          <cell r="Y98">
            <v>17654.13</v>
          </cell>
          <cell r="Z98">
            <v>18083.28</v>
          </cell>
          <cell r="AA98">
            <v>17728.59</v>
          </cell>
          <cell r="AB98">
            <v>17748.95</v>
          </cell>
          <cell r="AC98">
            <v>18281.689999999999</v>
          </cell>
          <cell r="AD98">
            <v>17531.740000000002</v>
          </cell>
          <cell r="AE98">
            <v>17717.400000000001</v>
          </cell>
          <cell r="AF98">
            <v>18219.05</v>
          </cell>
          <cell r="AG98">
            <v>17574.8</v>
          </cell>
          <cell r="AH98">
            <v>17708.59</v>
          </cell>
          <cell r="AI98">
            <v>17463.32</v>
          </cell>
          <cell r="AJ98">
            <v>17731.34</v>
          </cell>
          <cell r="AK98">
            <v>17165.96</v>
          </cell>
          <cell r="AL98">
            <v>17689.77</v>
          </cell>
          <cell r="AM98">
            <v>18296.759999999998</v>
          </cell>
          <cell r="AN98">
            <v>17856.599999999999</v>
          </cell>
          <cell r="AO98">
            <v>18000.37</v>
          </cell>
          <cell r="AP98">
            <v>17980.63</v>
          </cell>
          <cell r="AQ98">
            <v>18117.849999999999</v>
          </cell>
          <cell r="AR98">
            <v>17597.89</v>
          </cell>
          <cell r="AS98">
            <v>18326.39</v>
          </cell>
          <cell r="AT98">
            <v>17933.650000000001</v>
          </cell>
          <cell r="AU98">
            <v>17999.95</v>
          </cell>
          <cell r="AV98">
            <v>18159.46</v>
          </cell>
          <cell r="AW98">
            <v>17805.900000000001</v>
          </cell>
          <cell r="AX98">
            <v>17130.599999999999</v>
          </cell>
          <cell r="AY98">
            <v>17559.36</v>
          </cell>
          <cell r="AZ98">
            <v>16939.23</v>
          </cell>
          <cell r="BA98">
            <v>16939.23</v>
          </cell>
        </row>
        <row r="99">
          <cell r="A99" t="str">
            <v>V5000H30B20</v>
          </cell>
          <cell r="B99">
            <v>5000</v>
          </cell>
          <cell r="C99">
            <v>3000</v>
          </cell>
          <cell r="D99">
            <v>2000</v>
          </cell>
          <cell r="E99">
            <v>44</v>
          </cell>
          <cell r="F99">
            <v>7</v>
          </cell>
          <cell r="G99">
            <v>0</v>
          </cell>
          <cell r="H99">
            <v>300</v>
          </cell>
          <cell r="I99">
            <v>50</v>
          </cell>
          <cell r="J99">
            <v>5088.8999999999996</v>
          </cell>
          <cell r="K99" t="str">
            <v>Q-11003007</v>
          </cell>
          <cell r="L99" t="str">
            <v>\\hokukon-net2\hop\Program\01_MVPシステム_容量別組立図\.\02_余裕高0_6m\pdf\FB600_5000m3-MVP-3000-組-B2000_Q-11003007.pdf</v>
          </cell>
          <cell r="M99">
            <v>18372.38</v>
          </cell>
          <cell r="N99">
            <v>18556.02</v>
          </cell>
          <cell r="O99">
            <v>18139.259999999998</v>
          </cell>
          <cell r="P99">
            <v>18145.830000000002</v>
          </cell>
          <cell r="Q99">
            <v>18466.63</v>
          </cell>
          <cell r="R99">
            <v>18325.29</v>
          </cell>
          <cell r="S99">
            <v>18284.77</v>
          </cell>
          <cell r="T99">
            <v>18292.7</v>
          </cell>
          <cell r="U99">
            <v>18275.560000000001</v>
          </cell>
          <cell r="V99">
            <v>18198.98</v>
          </cell>
          <cell r="W99">
            <v>18295.759999999998</v>
          </cell>
          <cell r="X99">
            <v>18368.25</v>
          </cell>
          <cell r="Y99">
            <v>18381.490000000002</v>
          </cell>
          <cell r="Z99">
            <v>18814.09</v>
          </cell>
          <cell r="AA99">
            <v>18461.57</v>
          </cell>
          <cell r="AB99">
            <v>18476.77</v>
          </cell>
          <cell r="AC99">
            <v>19002.36</v>
          </cell>
          <cell r="AD99">
            <v>18248.580000000002</v>
          </cell>
          <cell r="AE99">
            <v>18438.259999999998</v>
          </cell>
          <cell r="AF99">
            <v>18942</v>
          </cell>
          <cell r="AG99">
            <v>18302.28</v>
          </cell>
          <cell r="AH99">
            <v>18436.400000000001</v>
          </cell>
          <cell r="AI99">
            <v>18193.57</v>
          </cell>
          <cell r="AJ99">
            <v>18456.23</v>
          </cell>
          <cell r="AK99">
            <v>17889.84</v>
          </cell>
          <cell r="AL99">
            <v>18410.3</v>
          </cell>
          <cell r="AM99">
            <v>19017.63</v>
          </cell>
          <cell r="AN99">
            <v>18579.439999999999</v>
          </cell>
          <cell r="AO99">
            <v>18719.16</v>
          </cell>
          <cell r="AP99">
            <v>18702</v>
          </cell>
          <cell r="AQ99">
            <v>18839.86</v>
          </cell>
          <cell r="AR99">
            <v>18310.259999999998</v>
          </cell>
          <cell r="AS99">
            <v>19038.490000000002</v>
          </cell>
          <cell r="AT99">
            <v>18652.650000000001</v>
          </cell>
          <cell r="AU99">
            <v>18719.41</v>
          </cell>
          <cell r="AV99">
            <v>18874.02</v>
          </cell>
          <cell r="AW99">
            <v>18521.41</v>
          </cell>
          <cell r="AX99">
            <v>17850.87</v>
          </cell>
          <cell r="AY99">
            <v>18273.97</v>
          </cell>
          <cell r="AZ99">
            <v>17657.22</v>
          </cell>
          <cell r="BA99">
            <v>17657.22</v>
          </cell>
        </row>
        <row r="100">
          <cell r="A100" t="str">
            <v>V5000H35B30</v>
          </cell>
          <cell r="B100">
            <v>5000</v>
          </cell>
          <cell r="C100">
            <v>3500</v>
          </cell>
          <cell r="D100">
            <v>3000</v>
          </cell>
          <cell r="E100">
            <v>41</v>
          </cell>
          <cell r="F100">
            <v>5</v>
          </cell>
          <cell r="G100">
            <v>0</v>
          </cell>
          <cell r="H100">
            <v>300</v>
          </cell>
          <cell r="I100">
            <v>50</v>
          </cell>
          <cell r="J100">
            <v>5108.5</v>
          </cell>
          <cell r="K100" t="str">
            <v>Q-11003012</v>
          </cell>
          <cell r="L100" t="str">
            <v>\\hokukon-net2\hop\Program\01_MVPシステム_容量別組立図\.\02_余裕高0_6m\pdf\FB600_5000m3-MVP-3500-組-B3000_Q-11003012.pdf</v>
          </cell>
          <cell r="M100">
            <v>14924.82</v>
          </cell>
          <cell r="N100">
            <v>15078.2</v>
          </cell>
          <cell r="O100">
            <v>14727.95</v>
          </cell>
          <cell r="P100">
            <v>14733.42</v>
          </cell>
          <cell r="Q100">
            <v>15004.6</v>
          </cell>
          <cell r="R100">
            <v>14887.71</v>
          </cell>
          <cell r="S100">
            <v>14856.5</v>
          </cell>
          <cell r="T100">
            <v>14863.07</v>
          </cell>
          <cell r="U100">
            <v>14836.13</v>
          </cell>
          <cell r="V100">
            <v>14774.28</v>
          </cell>
          <cell r="W100">
            <v>14853.4</v>
          </cell>
          <cell r="X100">
            <v>14909.14</v>
          </cell>
          <cell r="Y100">
            <v>14919.44</v>
          </cell>
          <cell r="Z100">
            <v>15274.49</v>
          </cell>
          <cell r="AA100">
            <v>14979.3</v>
          </cell>
          <cell r="AB100">
            <v>14997.39</v>
          </cell>
          <cell r="AC100">
            <v>15439.43</v>
          </cell>
          <cell r="AD100">
            <v>14816.81</v>
          </cell>
          <cell r="AE100">
            <v>14970.28</v>
          </cell>
          <cell r="AF100">
            <v>15385.82</v>
          </cell>
          <cell r="AG100">
            <v>14851.62</v>
          </cell>
          <cell r="AH100">
            <v>14963.3</v>
          </cell>
          <cell r="AI100">
            <v>14758.86</v>
          </cell>
          <cell r="AJ100">
            <v>14981.95</v>
          </cell>
          <cell r="AK100">
            <v>14514.03</v>
          </cell>
          <cell r="AL100">
            <v>14949.67</v>
          </cell>
          <cell r="AM100">
            <v>15452.78</v>
          </cell>
          <cell r="AN100">
            <v>15088.34</v>
          </cell>
          <cell r="AO100">
            <v>15208.01</v>
          </cell>
          <cell r="AP100">
            <v>15191.33</v>
          </cell>
          <cell r="AQ100">
            <v>15304.85</v>
          </cell>
          <cell r="AR100">
            <v>14874.1</v>
          </cell>
          <cell r="AS100">
            <v>15477.32</v>
          </cell>
          <cell r="AT100">
            <v>15150.81</v>
          </cell>
          <cell r="AU100">
            <v>15205.13</v>
          </cell>
          <cell r="AV100">
            <v>15338.86</v>
          </cell>
          <cell r="AW100">
            <v>15044.86</v>
          </cell>
          <cell r="AX100">
            <v>14483.18</v>
          </cell>
          <cell r="AY100">
            <v>14840.67</v>
          </cell>
          <cell r="AZ100">
            <v>14325.27</v>
          </cell>
          <cell r="BA100">
            <v>14325.27</v>
          </cell>
        </row>
        <row r="101">
          <cell r="A101" t="str">
            <v>V5000H35B25</v>
          </cell>
          <cell r="B101">
            <v>5000</v>
          </cell>
          <cell r="C101">
            <v>3500</v>
          </cell>
          <cell r="D101">
            <v>2500</v>
          </cell>
          <cell r="E101">
            <v>38</v>
          </cell>
          <cell r="F101">
            <v>6</v>
          </cell>
          <cell r="G101">
            <v>0</v>
          </cell>
          <cell r="H101">
            <v>300</v>
          </cell>
          <cell r="I101">
            <v>50</v>
          </cell>
          <cell r="J101">
            <v>5116.6000000000004</v>
          </cell>
          <cell r="K101" t="str">
            <v>Q-11003011</v>
          </cell>
          <cell r="L101" t="str">
            <v>\\hokukon-net2\hop\Program\01_MVPシステム_容量別組立図\.\02_余裕高0_6m\pdf\FB600_5000m3-MVP-3500-組-B2500_Q-11003011.pdf</v>
          </cell>
          <cell r="M101">
            <v>15524.38</v>
          </cell>
          <cell r="N101">
            <v>15678.54</v>
          </cell>
          <cell r="O101">
            <v>15330.01</v>
          </cell>
          <cell r="P101">
            <v>15335.49</v>
          </cell>
          <cell r="Q101">
            <v>15603.69</v>
          </cell>
          <cell r="R101">
            <v>15486.04</v>
          </cell>
          <cell r="S101">
            <v>15452.85</v>
          </cell>
          <cell r="T101">
            <v>15459.45</v>
          </cell>
          <cell r="U101">
            <v>15443.14</v>
          </cell>
          <cell r="V101">
            <v>15379.81</v>
          </cell>
          <cell r="W101">
            <v>15459.43</v>
          </cell>
          <cell r="X101">
            <v>15519.15</v>
          </cell>
          <cell r="Y101">
            <v>15530.09</v>
          </cell>
          <cell r="Z101">
            <v>15889.32</v>
          </cell>
          <cell r="AA101">
            <v>15594.33</v>
          </cell>
          <cell r="AB101">
            <v>15608.67</v>
          </cell>
          <cell r="AC101">
            <v>16047.19</v>
          </cell>
          <cell r="AD101">
            <v>15418.6</v>
          </cell>
          <cell r="AE101">
            <v>15575.86</v>
          </cell>
          <cell r="AF101">
            <v>15994.87</v>
          </cell>
          <cell r="AG101">
            <v>15461.74</v>
          </cell>
          <cell r="AH101">
            <v>15574.29</v>
          </cell>
          <cell r="AI101">
            <v>15370.64</v>
          </cell>
          <cell r="AJ101">
            <v>15590.7</v>
          </cell>
          <cell r="AK101">
            <v>15119.97</v>
          </cell>
          <cell r="AL101">
            <v>15555.24</v>
          </cell>
          <cell r="AM101">
            <v>16060.87</v>
          </cell>
          <cell r="AN101">
            <v>15696.4</v>
          </cell>
          <cell r="AO101">
            <v>15813.56</v>
          </cell>
          <cell r="AP101">
            <v>15798.74</v>
          </cell>
          <cell r="AQ101">
            <v>15913.23</v>
          </cell>
          <cell r="AR101">
            <v>15473</v>
          </cell>
          <cell r="AS101">
            <v>16078.66</v>
          </cell>
          <cell r="AT101">
            <v>15755.91</v>
          </cell>
          <cell r="AU101">
            <v>15810.73</v>
          </cell>
          <cell r="AV101">
            <v>15941.49</v>
          </cell>
          <cell r="AW101">
            <v>15646.79</v>
          </cell>
          <cell r="AX101">
            <v>15085.94</v>
          </cell>
          <cell r="AY101">
            <v>15441.01</v>
          </cell>
          <cell r="AZ101">
            <v>14925.66</v>
          </cell>
          <cell r="BA101">
            <v>14925.66</v>
          </cell>
        </row>
        <row r="102">
          <cell r="A102" t="str">
            <v>V5000H35B20</v>
          </cell>
          <cell r="B102">
            <v>5000</v>
          </cell>
          <cell r="C102">
            <v>3500</v>
          </cell>
          <cell r="D102">
            <v>2000</v>
          </cell>
          <cell r="E102">
            <v>42</v>
          </cell>
          <cell r="F102">
            <v>6</v>
          </cell>
          <cell r="G102">
            <v>0</v>
          </cell>
          <cell r="H102">
            <v>300</v>
          </cell>
          <cell r="I102">
            <v>50</v>
          </cell>
          <cell r="J102">
            <v>5089.6000000000004</v>
          </cell>
          <cell r="K102" t="str">
            <v>Q-11003010</v>
          </cell>
          <cell r="L102" t="str">
            <v>\\hokukon-net2\hop\Program\01_MVPシステム_容量別組立図\.\02_余裕高0_6m\pdf\FB600_5000m3-MVP-3500-組-B2000_Q-11003010.pdf</v>
          </cell>
          <cell r="M102">
            <v>16144.32</v>
          </cell>
          <cell r="N102">
            <v>16298.04</v>
          </cell>
          <cell r="O102">
            <v>15952.67</v>
          </cell>
          <cell r="P102">
            <v>15958.13</v>
          </cell>
          <cell r="Q102">
            <v>16222.55</v>
          </cell>
          <cell r="R102">
            <v>16104.99</v>
          </cell>
          <cell r="S102">
            <v>16070.23</v>
          </cell>
          <cell r="T102">
            <v>16076.8</v>
          </cell>
          <cell r="U102">
            <v>16069.28</v>
          </cell>
          <cell r="V102">
            <v>16004.9</v>
          </cell>
          <cell r="W102">
            <v>16085.13</v>
          </cell>
          <cell r="X102">
            <v>16147.77</v>
          </cell>
          <cell r="Y102">
            <v>16159.06</v>
          </cell>
          <cell r="Z102">
            <v>16520.5</v>
          </cell>
          <cell r="AA102">
            <v>16227.2</v>
          </cell>
          <cell r="AB102">
            <v>16238.15</v>
          </cell>
          <cell r="AC102">
            <v>16672.04</v>
          </cell>
          <cell r="AD102">
            <v>16041.59</v>
          </cell>
          <cell r="AE102">
            <v>16201.31</v>
          </cell>
          <cell r="AF102">
            <v>16621.560000000001</v>
          </cell>
          <cell r="AG102">
            <v>16091.35</v>
          </cell>
          <cell r="AH102">
            <v>16203.95</v>
          </cell>
          <cell r="AI102">
            <v>16002.13</v>
          </cell>
          <cell r="AJ102">
            <v>16218.65</v>
          </cell>
          <cell r="AK102">
            <v>15747.22</v>
          </cell>
          <cell r="AL102">
            <v>16179.96</v>
          </cell>
          <cell r="AM102">
            <v>16685.669999999998</v>
          </cell>
          <cell r="AN102">
            <v>16322.34</v>
          </cell>
          <cell r="AO102">
            <v>16436.900000000001</v>
          </cell>
          <cell r="AP102">
            <v>16423.82</v>
          </cell>
          <cell r="AQ102">
            <v>16538.75</v>
          </cell>
          <cell r="AR102">
            <v>16092.69</v>
          </cell>
          <cell r="AS102">
            <v>16698.259999999998</v>
          </cell>
          <cell r="AT102">
            <v>16379.94</v>
          </cell>
          <cell r="AU102">
            <v>16435.2</v>
          </cell>
          <cell r="AV102">
            <v>16562.55</v>
          </cell>
          <cell r="AW102">
            <v>16268.72</v>
          </cell>
          <cell r="AX102">
            <v>15711.5</v>
          </cell>
          <cell r="AY102">
            <v>16062.37</v>
          </cell>
          <cell r="AZ102">
            <v>15549.58</v>
          </cell>
          <cell r="BA102">
            <v>15549.58</v>
          </cell>
        </row>
        <row r="103">
          <cell r="A103" t="str">
            <v>V5000H40B30</v>
          </cell>
          <cell r="B103">
            <v>5000</v>
          </cell>
          <cell r="C103">
            <v>4000</v>
          </cell>
          <cell r="D103">
            <v>3000</v>
          </cell>
          <cell r="E103">
            <v>29</v>
          </cell>
          <cell r="F103">
            <v>6</v>
          </cell>
          <cell r="G103">
            <v>0</v>
          </cell>
          <cell r="H103">
            <v>350</v>
          </cell>
          <cell r="I103">
            <v>70</v>
          </cell>
          <cell r="J103">
            <v>5099.5</v>
          </cell>
          <cell r="K103" t="str">
            <v>Q-11003015</v>
          </cell>
          <cell r="L103" t="str">
            <v>\\hokukon-net2\hop\Program\01_MVPシステム_容量別組立図\.\02_余裕高0_6m\pdf\FB600_5000m3-MVP-4000-組-B3000_Q-11003015.pdf</v>
          </cell>
          <cell r="M103">
            <v>15174.47</v>
          </cell>
          <cell r="N103">
            <v>15323.18</v>
          </cell>
          <cell r="O103">
            <v>14994.88</v>
          </cell>
          <cell r="P103">
            <v>14999.91</v>
          </cell>
          <cell r="Q103">
            <v>15251.09</v>
          </cell>
          <cell r="R103">
            <v>15141.69</v>
          </cell>
          <cell r="S103">
            <v>15110.89</v>
          </cell>
          <cell r="T103">
            <v>15116.96</v>
          </cell>
          <cell r="U103">
            <v>15089.55</v>
          </cell>
          <cell r="V103">
            <v>15033.35</v>
          </cell>
          <cell r="W103">
            <v>15105.5</v>
          </cell>
          <cell r="X103">
            <v>15155.84</v>
          </cell>
          <cell r="Y103">
            <v>15162.82</v>
          </cell>
          <cell r="Z103">
            <v>15494.72</v>
          </cell>
          <cell r="AA103">
            <v>15218.99</v>
          </cell>
          <cell r="AB103">
            <v>15238.28</v>
          </cell>
          <cell r="AC103">
            <v>15648.36</v>
          </cell>
          <cell r="AD103">
            <v>15054.36</v>
          </cell>
          <cell r="AE103">
            <v>15202.54</v>
          </cell>
          <cell r="AF103">
            <v>15588.8</v>
          </cell>
          <cell r="AG103">
            <v>15081.48</v>
          </cell>
          <cell r="AH103">
            <v>15189.5</v>
          </cell>
          <cell r="AI103">
            <v>14998.3</v>
          </cell>
          <cell r="AJ103">
            <v>15202.85</v>
          </cell>
          <cell r="AK103">
            <v>14798.13</v>
          </cell>
          <cell r="AL103">
            <v>15210.26</v>
          </cell>
          <cell r="AM103">
            <v>15678.02</v>
          </cell>
          <cell r="AN103">
            <v>15338.98</v>
          </cell>
          <cell r="AO103">
            <v>15451.4</v>
          </cell>
          <cell r="AP103">
            <v>15436.18</v>
          </cell>
          <cell r="AQ103">
            <v>15543.93</v>
          </cell>
          <cell r="AR103">
            <v>15108.79</v>
          </cell>
          <cell r="AS103">
            <v>15671.25</v>
          </cell>
          <cell r="AT103">
            <v>15371.4</v>
          </cell>
          <cell r="AU103">
            <v>15420.89</v>
          </cell>
          <cell r="AV103">
            <v>15542.53</v>
          </cell>
          <cell r="AW103">
            <v>15264.68</v>
          </cell>
          <cell r="AX103">
            <v>14735.39</v>
          </cell>
          <cell r="AY103">
            <v>15071.52</v>
          </cell>
          <cell r="AZ103">
            <v>14587.19</v>
          </cell>
          <cell r="BA103">
            <v>14587.19</v>
          </cell>
        </row>
        <row r="104">
          <cell r="A104" t="str">
            <v>V5000H40B25</v>
          </cell>
          <cell r="B104">
            <v>5000</v>
          </cell>
          <cell r="C104">
            <v>4000</v>
          </cell>
          <cell r="D104">
            <v>2500</v>
          </cell>
          <cell r="E104">
            <v>32</v>
          </cell>
          <cell r="F104">
            <v>6</v>
          </cell>
          <cell r="G104">
            <v>0</v>
          </cell>
          <cell r="H104">
            <v>350</v>
          </cell>
          <cell r="I104">
            <v>70</v>
          </cell>
          <cell r="J104">
            <v>5115.8999999999996</v>
          </cell>
          <cell r="K104" t="str">
            <v>Q-11003014</v>
          </cell>
          <cell r="L104" t="str">
            <v>\\hokukon-net2\hop\Program\01_MVPシステム_容量別組立図\.\02_余裕高0_6m\pdf\FB600_5000m3-MVP-4000-組-B2500_Q-11003014.pdf</v>
          </cell>
          <cell r="M104">
            <v>15875.64</v>
          </cell>
          <cell r="N104">
            <v>16025.37</v>
          </cell>
          <cell r="O104">
            <v>15696.84</v>
          </cell>
          <cell r="P104">
            <v>15701.89</v>
          </cell>
          <cell r="Q104">
            <v>15952.13</v>
          </cell>
          <cell r="R104">
            <v>15841.9</v>
          </cell>
          <cell r="S104">
            <v>15809.7</v>
          </cell>
          <cell r="T104">
            <v>15815.82</v>
          </cell>
          <cell r="U104">
            <v>15794.29</v>
          </cell>
          <cell r="V104">
            <v>15736.89</v>
          </cell>
          <cell r="W104">
            <v>15810.06</v>
          </cell>
          <cell r="X104">
            <v>15862.91</v>
          </cell>
          <cell r="Y104">
            <v>15870.25</v>
          </cell>
          <cell r="Z104">
            <v>16206.25</v>
          </cell>
          <cell r="AA104">
            <v>15929.82</v>
          </cell>
          <cell r="AB104">
            <v>15946.66</v>
          </cell>
          <cell r="AC104">
            <v>16356.14</v>
          </cell>
          <cell r="AD104">
            <v>15755.66</v>
          </cell>
          <cell r="AE104">
            <v>15906.9</v>
          </cell>
          <cell r="AF104">
            <v>16296.7</v>
          </cell>
          <cell r="AG104">
            <v>15787.44</v>
          </cell>
          <cell r="AH104">
            <v>15896.28</v>
          </cell>
          <cell r="AI104">
            <v>15705.19</v>
          </cell>
          <cell r="AJ104">
            <v>15908.34</v>
          </cell>
          <cell r="AK104">
            <v>15502.77</v>
          </cell>
          <cell r="AL104">
            <v>15915.97</v>
          </cell>
          <cell r="AM104">
            <v>16387.03</v>
          </cell>
          <cell r="AN104">
            <v>16046.45</v>
          </cell>
          <cell r="AO104">
            <v>16157.72</v>
          </cell>
          <cell r="AP104">
            <v>16143.74</v>
          </cell>
          <cell r="AQ104">
            <v>16252.66</v>
          </cell>
          <cell r="AR104">
            <v>15807.99</v>
          </cell>
          <cell r="AS104">
            <v>16374.43</v>
          </cell>
          <cell r="AT104">
            <v>16075.56</v>
          </cell>
          <cell r="AU104">
            <v>16126</v>
          </cell>
          <cell r="AV104">
            <v>16245.72</v>
          </cell>
          <cell r="AW104">
            <v>15966.03</v>
          </cell>
          <cell r="AX104">
            <v>15435.64</v>
          </cell>
          <cell r="AY104">
            <v>15771</v>
          </cell>
          <cell r="AZ104">
            <v>15285.06</v>
          </cell>
          <cell r="BA104">
            <v>15285.06</v>
          </cell>
        </row>
        <row r="105">
          <cell r="A105" t="str">
            <v>V5000H40B20</v>
          </cell>
          <cell r="B105">
            <v>5000</v>
          </cell>
          <cell r="C105">
            <v>4000</v>
          </cell>
          <cell r="D105">
            <v>2000</v>
          </cell>
          <cell r="E105">
            <v>35</v>
          </cell>
          <cell r="F105">
            <v>6</v>
          </cell>
          <cell r="G105">
            <v>0</v>
          </cell>
          <cell r="H105">
            <v>350</v>
          </cell>
          <cell r="I105">
            <v>70</v>
          </cell>
          <cell r="J105">
            <v>5040.6000000000004</v>
          </cell>
          <cell r="K105" t="str">
            <v>Q-11003013</v>
          </cell>
          <cell r="L105" t="str">
            <v>\\hokukon-net2\hop\Program\01_MVPシステム_容量別組立図\.\02_余裕高0_6m\pdf\FB600_5000m3-MVP-4000-組-B2000_Q-11003013.pdf</v>
          </cell>
          <cell r="M105">
            <v>16443.669999999998</v>
          </cell>
          <cell r="N105">
            <v>16591.95</v>
          </cell>
          <cell r="O105">
            <v>16268.9</v>
          </cell>
          <cell r="P105">
            <v>16273.92</v>
          </cell>
          <cell r="Q105">
            <v>16518.66</v>
          </cell>
          <cell r="R105">
            <v>16409.439999999999</v>
          </cell>
          <cell r="S105">
            <v>16376.15</v>
          </cell>
          <cell r="T105">
            <v>16382.2</v>
          </cell>
          <cell r="U105">
            <v>16368.21</v>
          </cell>
          <cell r="V105">
            <v>16310.45</v>
          </cell>
          <cell r="W105">
            <v>16383.39</v>
          </cell>
          <cell r="X105">
            <v>16438.330000000002</v>
          </cell>
          <cell r="Y105">
            <v>16446</v>
          </cell>
          <cell r="Z105">
            <v>16780.97</v>
          </cell>
          <cell r="AA105">
            <v>16508.400000000001</v>
          </cell>
          <cell r="AB105">
            <v>16522.2</v>
          </cell>
          <cell r="AC105">
            <v>16923.73</v>
          </cell>
          <cell r="AD105">
            <v>16325.94</v>
          </cell>
          <cell r="AE105">
            <v>16478.03</v>
          </cell>
          <cell r="AF105">
            <v>16865.29</v>
          </cell>
          <cell r="AG105">
            <v>16362.71</v>
          </cell>
          <cell r="AH105">
            <v>16470.7</v>
          </cell>
          <cell r="AI105">
            <v>16282.97</v>
          </cell>
          <cell r="AJ105">
            <v>16481.080000000002</v>
          </cell>
          <cell r="AK105">
            <v>16081.31</v>
          </cell>
          <cell r="AL105">
            <v>16488.71</v>
          </cell>
          <cell r="AM105">
            <v>16955.53</v>
          </cell>
          <cell r="AN105">
            <v>16619.07</v>
          </cell>
          <cell r="AO105">
            <v>16727.07</v>
          </cell>
          <cell r="AP105">
            <v>16714.84</v>
          </cell>
          <cell r="AQ105">
            <v>16823.18</v>
          </cell>
          <cell r="AR105">
            <v>16375.03</v>
          </cell>
          <cell r="AS105">
            <v>16936.23</v>
          </cell>
          <cell r="AT105">
            <v>16643.669999999998</v>
          </cell>
          <cell r="AU105">
            <v>16694.21</v>
          </cell>
          <cell r="AV105">
            <v>16809.78</v>
          </cell>
          <cell r="AW105">
            <v>16532.68</v>
          </cell>
          <cell r="AX105">
            <v>16010.17</v>
          </cell>
          <cell r="AY105">
            <v>16338.88</v>
          </cell>
          <cell r="AZ105">
            <v>15859.36</v>
          </cell>
          <cell r="BA105">
            <v>15859.36</v>
          </cell>
        </row>
        <row r="106">
          <cell r="A106" t="str">
            <v>V5000H45B30</v>
          </cell>
          <cell r="B106">
            <v>5000</v>
          </cell>
          <cell r="C106">
            <v>4500</v>
          </cell>
          <cell r="D106">
            <v>3000</v>
          </cell>
          <cell r="E106">
            <v>30</v>
          </cell>
          <cell r="F106">
            <v>5</v>
          </cell>
          <cell r="G106">
            <v>0</v>
          </cell>
          <cell r="H106">
            <v>350</v>
          </cell>
          <cell r="I106">
            <v>70</v>
          </cell>
          <cell r="J106">
            <v>5099.8999999999996</v>
          </cell>
          <cell r="K106" t="str">
            <v>Q-11003018</v>
          </cell>
          <cell r="L106" t="str">
            <v>\\hokukon-net2\hop\Program\01_MVPシステム_容量別組立図\.\02_余裕高0_6m\pdf\FB600_5000m3-MVP-4500-組-B3000_Q-11003018.pdf</v>
          </cell>
          <cell r="M106">
            <v>14077.35</v>
          </cell>
          <cell r="N106">
            <v>14206.61</v>
          </cell>
          <cell r="O106">
            <v>13921.29</v>
          </cell>
          <cell r="P106">
            <v>13925.69</v>
          </cell>
          <cell r="Q106">
            <v>14142.99</v>
          </cell>
          <cell r="R106">
            <v>14045.9</v>
          </cell>
          <cell r="S106">
            <v>14016.97</v>
          </cell>
          <cell r="T106">
            <v>14022.3</v>
          </cell>
          <cell r="U106">
            <v>14007.37</v>
          </cell>
          <cell r="V106">
            <v>13957.84</v>
          </cell>
          <cell r="W106">
            <v>14022.11</v>
          </cell>
          <cell r="X106">
            <v>14068.94</v>
          </cell>
          <cell r="Y106">
            <v>14075.17</v>
          </cell>
          <cell r="Z106">
            <v>14369.34</v>
          </cell>
          <cell r="AA106">
            <v>14127.82</v>
          </cell>
          <cell r="AB106">
            <v>14142.53</v>
          </cell>
          <cell r="AC106">
            <v>14497.02</v>
          </cell>
          <cell r="AD106">
            <v>13972.27</v>
          </cell>
          <cell r="AE106">
            <v>14104.46</v>
          </cell>
          <cell r="AF106">
            <v>14445.93</v>
          </cell>
          <cell r="AG106">
            <v>14002.84</v>
          </cell>
          <cell r="AH106">
            <v>14096.55</v>
          </cell>
          <cell r="AI106">
            <v>13930.67</v>
          </cell>
          <cell r="AJ106">
            <v>14107.38</v>
          </cell>
          <cell r="AK106">
            <v>13754.46</v>
          </cell>
          <cell r="AL106">
            <v>14112.45</v>
          </cell>
          <cell r="AM106">
            <v>14523.65</v>
          </cell>
          <cell r="AN106">
            <v>14228.67</v>
          </cell>
          <cell r="AO106">
            <v>14324.97</v>
          </cell>
          <cell r="AP106">
            <v>14312.22</v>
          </cell>
          <cell r="AQ106">
            <v>14408.03</v>
          </cell>
          <cell r="AR106">
            <v>14015.73</v>
          </cell>
          <cell r="AS106">
            <v>14509.42</v>
          </cell>
          <cell r="AT106">
            <v>14251</v>
          </cell>
          <cell r="AU106">
            <v>14294.17</v>
          </cell>
          <cell r="AV106">
            <v>14398.64</v>
          </cell>
          <cell r="AW106">
            <v>14155.07</v>
          </cell>
          <cell r="AX106">
            <v>13693.39</v>
          </cell>
          <cell r="AY106">
            <v>13984.16</v>
          </cell>
          <cell r="AZ106">
            <v>13561.74</v>
          </cell>
          <cell r="BA106">
            <v>13561.74</v>
          </cell>
        </row>
        <row r="107">
          <cell r="A107" t="str">
            <v>V5000H45B25</v>
          </cell>
          <cell r="B107">
            <v>5000</v>
          </cell>
          <cell r="C107">
            <v>4500</v>
          </cell>
          <cell r="D107">
            <v>2500</v>
          </cell>
          <cell r="E107">
            <v>28</v>
          </cell>
          <cell r="F107">
            <v>6</v>
          </cell>
          <cell r="G107">
            <v>0</v>
          </cell>
          <cell r="H107">
            <v>350</v>
          </cell>
          <cell r="I107">
            <v>70</v>
          </cell>
          <cell r="J107">
            <v>5150.1000000000004</v>
          </cell>
          <cell r="K107" t="str">
            <v>Q-11003017</v>
          </cell>
          <cell r="L107" t="str">
            <v>\\hokukon-net2\hop\Program\01_MVPシステム_容量別組立図\.\02_余裕高0_6m\pdf\FB600_5000m3-MVP-4500-組-B2500_Q-11003017.pdf</v>
          </cell>
          <cell r="M107">
            <v>14845.99</v>
          </cell>
          <cell r="N107">
            <v>14977.59</v>
          </cell>
          <cell r="O107">
            <v>14691.08</v>
          </cell>
          <cell r="P107">
            <v>14695.53</v>
          </cell>
          <cell r="Q107">
            <v>14912</v>
          </cell>
          <cell r="R107">
            <v>14813.26</v>
          </cell>
          <cell r="S107">
            <v>14782.32</v>
          </cell>
          <cell r="T107">
            <v>14787.7</v>
          </cell>
          <cell r="U107">
            <v>14782.11</v>
          </cell>
          <cell r="V107">
            <v>14730.82</v>
          </cell>
          <cell r="W107">
            <v>14795.96</v>
          </cell>
          <cell r="X107">
            <v>14846.83</v>
          </cell>
          <cell r="Y107">
            <v>14853.72</v>
          </cell>
          <cell r="Z107">
            <v>15154.2</v>
          </cell>
          <cell r="AA107">
            <v>14910.62</v>
          </cell>
          <cell r="AB107">
            <v>14922.15</v>
          </cell>
          <cell r="AC107">
            <v>15276.21</v>
          </cell>
          <cell r="AD107">
            <v>14740.21</v>
          </cell>
          <cell r="AE107">
            <v>14877.25</v>
          </cell>
          <cell r="AF107">
            <v>15224.65</v>
          </cell>
          <cell r="AG107">
            <v>14778.41</v>
          </cell>
          <cell r="AH107">
            <v>14873.91</v>
          </cell>
          <cell r="AI107">
            <v>14707.2</v>
          </cell>
          <cell r="AJ107">
            <v>14882.6</v>
          </cell>
          <cell r="AK107">
            <v>14526.73</v>
          </cell>
          <cell r="AL107">
            <v>14887.8</v>
          </cell>
          <cell r="AM107">
            <v>15304.75</v>
          </cell>
          <cell r="AN107">
            <v>15007.27</v>
          </cell>
          <cell r="AO107">
            <v>15102.23</v>
          </cell>
          <cell r="AP107">
            <v>15091.16</v>
          </cell>
          <cell r="AQ107">
            <v>15188.65</v>
          </cell>
          <cell r="AR107">
            <v>14781.82</v>
          </cell>
          <cell r="AS107">
            <v>15281.92</v>
          </cell>
          <cell r="AT107">
            <v>15024.52</v>
          </cell>
          <cell r="AU107">
            <v>15068.52</v>
          </cell>
          <cell r="AV107">
            <v>15171.23</v>
          </cell>
          <cell r="AW107">
            <v>14924.27</v>
          </cell>
          <cell r="AX107">
            <v>14459.08</v>
          </cell>
          <cell r="AY107">
            <v>14750.38</v>
          </cell>
          <cell r="AZ107">
            <v>14323.98</v>
          </cell>
          <cell r="BA107">
            <v>14323.98</v>
          </cell>
        </row>
        <row r="108">
          <cell r="A108" t="str">
            <v>V5000H45B20</v>
          </cell>
          <cell r="B108">
            <v>5000</v>
          </cell>
          <cell r="C108">
            <v>4500</v>
          </cell>
          <cell r="D108">
            <v>2000</v>
          </cell>
          <cell r="E108">
            <v>31</v>
          </cell>
          <cell r="F108">
            <v>6</v>
          </cell>
          <cell r="G108">
            <v>0</v>
          </cell>
          <cell r="H108">
            <v>350</v>
          </cell>
          <cell r="I108">
            <v>70</v>
          </cell>
          <cell r="J108">
            <v>5134</v>
          </cell>
          <cell r="K108" t="str">
            <v>Q-11003016</v>
          </cell>
          <cell r="L108" t="str">
            <v>\\hokukon-net2\hop\Program\01_MVPシステム_容量別組立図\.\02_余裕高0_6m\pdf\FB600_5000m3-MVP-4500-組-B2000_Q-11003016.pdf</v>
          </cell>
          <cell r="M108">
            <v>15556.93</v>
          </cell>
          <cell r="N108">
            <v>15688.62</v>
          </cell>
          <cell r="O108">
            <v>15403.97</v>
          </cell>
          <cell r="P108">
            <v>15408.43</v>
          </cell>
          <cell r="Q108">
            <v>15622.2</v>
          </cell>
          <cell r="R108">
            <v>15523.05</v>
          </cell>
          <cell r="S108">
            <v>15490.64</v>
          </cell>
          <cell r="T108">
            <v>15496.01</v>
          </cell>
          <cell r="U108">
            <v>15497.71</v>
          </cell>
          <cell r="V108">
            <v>15445.48</v>
          </cell>
          <cell r="W108">
            <v>15511.39</v>
          </cell>
          <cell r="X108">
            <v>15564.9</v>
          </cell>
          <cell r="Y108">
            <v>15572.14</v>
          </cell>
          <cell r="Z108">
            <v>15875.41</v>
          </cell>
          <cell r="AA108">
            <v>15632.68</v>
          </cell>
          <cell r="AB108">
            <v>15641.27</v>
          </cell>
          <cell r="AC108">
            <v>15991.89</v>
          </cell>
          <cell r="AD108">
            <v>15451.99</v>
          </cell>
          <cell r="AE108">
            <v>15591.64</v>
          </cell>
          <cell r="AF108">
            <v>15940.91</v>
          </cell>
          <cell r="AG108">
            <v>15495.66</v>
          </cell>
          <cell r="AH108">
            <v>15591.28</v>
          </cell>
          <cell r="AI108">
            <v>15425.94</v>
          </cell>
          <cell r="AJ108">
            <v>15598.45</v>
          </cell>
          <cell r="AK108">
            <v>15244.15</v>
          </cell>
          <cell r="AL108">
            <v>15603.7</v>
          </cell>
          <cell r="AM108">
            <v>16021.59</v>
          </cell>
          <cell r="AN108">
            <v>15724.65</v>
          </cell>
          <cell r="AO108">
            <v>15817.51</v>
          </cell>
          <cell r="AP108">
            <v>15807.89</v>
          </cell>
          <cell r="AQ108">
            <v>15906.18</v>
          </cell>
          <cell r="AR108">
            <v>15490.6</v>
          </cell>
          <cell r="AS108">
            <v>15991.8</v>
          </cell>
          <cell r="AT108">
            <v>15737.6</v>
          </cell>
          <cell r="AU108">
            <v>15782.3</v>
          </cell>
          <cell r="AV108">
            <v>15882.08</v>
          </cell>
          <cell r="AW108">
            <v>15634.71</v>
          </cell>
          <cell r="AX108">
            <v>15171.6</v>
          </cell>
          <cell r="AY108">
            <v>15459.81</v>
          </cell>
          <cell r="AZ108">
            <v>15034.63</v>
          </cell>
          <cell r="BA108">
            <v>15034.63</v>
          </cell>
        </row>
      </sheetData>
      <sheetData sheetId="6" refreshError="1"/>
      <sheetData sheetId="7" refreshError="1">
        <row r="4">
          <cell r="H4" t="str">
            <v>H2500</v>
          </cell>
        </row>
        <row r="6">
          <cell r="AE6">
            <v>0.3</v>
          </cell>
        </row>
        <row r="7">
          <cell r="T7">
            <v>56403.02</v>
          </cell>
        </row>
        <row r="13">
          <cell r="AC13" t="str">
            <v>-</v>
          </cell>
        </row>
        <row r="14">
          <cell r="AC14" t="str">
            <v>名古屋営業所</v>
          </cell>
        </row>
        <row r="15">
          <cell r="AC15" t="str">
            <v>寺下</v>
          </cell>
        </row>
        <row r="34">
          <cell r="P34" t="str">
            <v>中部</v>
          </cell>
        </row>
        <row r="35">
          <cell r="F35" t="str">
            <v>ラフテレーン</v>
          </cell>
          <cell r="J35">
            <v>50</v>
          </cell>
        </row>
        <row r="36">
          <cell r="F36" t="str">
            <v>トラック</v>
          </cell>
          <cell r="J36">
            <v>4.9000000000000004</v>
          </cell>
        </row>
      </sheetData>
      <sheetData sheetId="8" refreshError="1"/>
      <sheetData sheetId="9" refreshError="1">
        <row r="3">
          <cell r="B3" t="str">
            <v>型枠工(一般)</v>
          </cell>
          <cell r="C3" t="str">
            <v>型枠工(基礎)</v>
          </cell>
          <cell r="D3" t="str">
            <v>基礎砕石</v>
          </cell>
          <cell r="E3" t="str">
            <v>鉄筋工(加工組立)</v>
          </cell>
          <cell r="H3" t="str">
            <v>なし</v>
          </cell>
          <cell r="I3" t="str">
            <v>35超え80t吊以下</v>
          </cell>
          <cell r="J3" t="str">
            <v>80越え150t吊以下</v>
          </cell>
          <cell r="K3" t="str">
            <v>150越え300t吊以下</v>
          </cell>
          <cell r="N3" t="str">
            <v>なし</v>
          </cell>
          <cell r="O3" t="str">
            <v>80t以上120t以下</v>
          </cell>
          <cell r="P3" t="str">
            <v>120t越え160t以下</v>
          </cell>
          <cell r="Q3" t="str">
            <v>160t越え360t以下</v>
          </cell>
          <cell r="T3" t="str">
            <v>なし</v>
          </cell>
          <cell r="U3" t="str">
            <v>35超え80t吊以下</v>
          </cell>
          <cell r="V3" t="str">
            <v>80越え150t吊以下</v>
          </cell>
          <cell r="W3" t="str">
            <v>150越え300t吊以下</v>
          </cell>
          <cell r="Z3" t="str">
            <v>なし</v>
          </cell>
          <cell r="AA3" t="str">
            <v>80t以上120t以下</v>
          </cell>
          <cell r="AB3" t="str">
            <v>120t越え160t以下</v>
          </cell>
          <cell r="AC3" t="str">
            <v>160t越え360t以下</v>
          </cell>
        </row>
        <row r="4">
          <cell r="B4">
            <v>8324</v>
          </cell>
          <cell r="C4">
            <v>4327</v>
          </cell>
          <cell r="D4">
            <v>1239</v>
          </cell>
          <cell r="E4">
            <v>64000</v>
          </cell>
          <cell r="H4">
            <v>0</v>
          </cell>
          <cell r="I4">
            <v>237200</v>
          </cell>
          <cell r="J4">
            <v>586200</v>
          </cell>
          <cell r="K4">
            <v>1070000</v>
          </cell>
          <cell r="N4">
            <v>0</v>
          </cell>
          <cell r="O4">
            <v>428800</v>
          </cell>
          <cell r="P4">
            <v>563100</v>
          </cell>
          <cell r="Q4">
            <v>1154000</v>
          </cell>
          <cell r="T4">
            <v>0</v>
          </cell>
          <cell r="U4">
            <v>735400</v>
          </cell>
          <cell r="V4">
            <v>1451000</v>
          </cell>
          <cell r="W4">
            <v>2640000</v>
          </cell>
          <cell r="Z4">
            <v>0</v>
          </cell>
          <cell r="AA4">
            <v>955800</v>
          </cell>
          <cell r="AB4">
            <v>1279000</v>
          </cell>
          <cell r="AC4">
            <v>2596000</v>
          </cell>
        </row>
        <row r="5">
          <cell r="B5">
            <v>8554</v>
          </cell>
          <cell r="C5">
            <v>4428</v>
          </cell>
          <cell r="D5">
            <v>1259</v>
          </cell>
          <cell r="E5">
            <v>66000</v>
          </cell>
          <cell r="H5">
            <v>0</v>
          </cell>
          <cell r="I5">
            <v>231900</v>
          </cell>
          <cell r="J5">
            <v>575800</v>
          </cell>
          <cell r="K5">
            <v>1051000</v>
          </cell>
          <cell r="N5">
            <v>0</v>
          </cell>
          <cell r="O5">
            <v>422000</v>
          </cell>
          <cell r="P5">
            <v>554000</v>
          </cell>
          <cell r="Q5">
            <v>1135000</v>
          </cell>
          <cell r="T5">
            <v>0</v>
          </cell>
          <cell r="U5">
            <v>718900</v>
          </cell>
          <cell r="V5">
            <v>1425000</v>
          </cell>
          <cell r="W5">
            <v>2593000</v>
          </cell>
          <cell r="Z5">
            <v>0</v>
          </cell>
          <cell r="AA5">
            <v>940700</v>
          </cell>
          <cell r="AB5">
            <v>1258000</v>
          </cell>
          <cell r="AC5">
            <v>2555000</v>
          </cell>
        </row>
        <row r="6">
          <cell r="B6">
            <v>9222</v>
          </cell>
          <cell r="C6">
            <v>4838</v>
          </cell>
          <cell r="D6">
            <v>1369</v>
          </cell>
          <cell r="E6">
            <v>66000</v>
          </cell>
          <cell r="H6">
            <v>0</v>
          </cell>
          <cell r="I6">
            <v>240600</v>
          </cell>
          <cell r="J6">
            <v>592800</v>
          </cell>
          <cell r="K6">
            <v>1082000</v>
          </cell>
          <cell r="N6">
            <v>0</v>
          </cell>
          <cell r="O6">
            <v>433100</v>
          </cell>
          <cell r="P6">
            <v>568800</v>
          </cell>
          <cell r="Q6">
            <v>1165000</v>
          </cell>
          <cell r="T6">
            <v>0</v>
          </cell>
          <cell r="U6">
            <v>745700</v>
          </cell>
          <cell r="V6">
            <v>1467000</v>
          </cell>
          <cell r="W6">
            <v>2669000</v>
          </cell>
          <cell r="Z6">
            <v>0</v>
          </cell>
          <cell r="AA6">
            <v>965200</v>
          </cell>
          <cell r="AB6">
            <v>1292000</v>
          </cell>
          <cell r="AC6">
            <v>2622000</v>
          </cell>
        </row>
        <row r="7">
          <cell r="B7">
            <v>7861</v>
          </cell>
          <cell r="C7">
            <v>4028</v>
          </cell>
          <cell r="D7">
            <v>1259</v>
          </cell>
          <cell r="E7">
            <v>64000</v>
          </cell>
          <cell r="H7">
            <v>0</v>
          </cell>
          <cell r="I7">
            <v>228600</v>
          </cell>
          <cell r="J7">
            <v>569200</v>
          </cell>
          <cell r="K7">
            <v>1039000</v>
          </cell>
          <cell r="N7">
            <v>0</v>
          </cell>
          <cell r="O7">
            <v>417800</v>
          </cell>
          <cell r="P7">
            <v>548300</v>
          </cell>
          <cell r="Q7">
            <v>1124000</v>
          </cell>
          <cell r="T7">
            <v>0</v>
          </cell>
          <cell r="U7">
            <v>708600</v>
          </cell>
          <cell r="V7">
            <v>1409000</v>
          </cell>
          <cell r="W7">
            <v>2564000</v>
          </cell>
          <cell r="Z7">
            <v>0</v>
          </cell>
          <cell r="AA7">
            <v>931200</v>
          </cell>
          <cell r="AB7">
            <v>1245000</v>
          </cell>
          <cell r="AC7">
            <v>2529000</v>
          </cell>
        </row>
        <row r="8">
          <cell r="B8">
            <v>7874</v>
          </cell>
          <cell r="C8">
            <v>4055</v>
          </cell>
          <cell r="D8">
            <v>1199</v>
          </cell>
          <cell r="E8">
            <v>64000</v>
          </cell>
          <cell r="H8">
            <v>0</v>
          </cell>
          <cell r="I8">
            <v>229200</v>
          </cell>
          <cell r="J8">
            <v>570200</v>
          </cell>
          <cell r="K8">
            <v>1042000</v>
          </cell>
          <cell r="N8">
            <v>0</v>
          </cell>
          <cell r="O8">
            <v>418700</v>
          </cell>
          <cell r="P8">
            <v>549400</v>
          </cell>
          <cell r="Q8">
            <v>1126000</v>
          </cell>
          <cell r="T8">
            <v>0</v>
          </cell>
          <cell r="U8">
            <v>710700</v>
          </cell>
          <cell r="V8">
            <v>1412000</v>
          </cell>
          <cell r="W8">
            <v>2570000</v>
          </cell>
          <cell r="Z8">
            <v>0</v>
          </cell>
          <cell r="AA8">
            <v>933100</v>
          </cell>
          <cell r="AB8">
            <v>1248000</v>
          </cell>
          <cell r="AC8">
            <v>2534000</v>
          </cell>
        </row>
        <row r="9">
          <cell r="B9">
            <v>7596</v>
          </cell>
          <cell r="C9">
            <v>3873</v>
          </cell>
          <cell r="D9">
            <v>1198</v>
          </cell>
          <cell r="E9">
            <v>66000</v>
          </cell>
          <cell r="H9">
            <v>0</v>
          </cell>
          <cell r="I9">
            <v>240600</v>
          </cell>
          <cell r="J9">
            <v>592800</v>
          </cell>
          <cell r="K9">
            <v>1082000</v>
          </cell>
          <cell r="N9">
            <v>0</v>
          </cell>
          <cell r="O9">
            <v>433100</v>
          </cell>
          <cell r="P9">
            <v>568800</v>
          </cell>
          <cell r="Q9">
            <v>1165000</v>
          </cell>
          <cell r="T9">
            <v>0</v>
          </cell>
          <cell r="U9">
            <v>745700</v>
          </cell>
          <cell r="V9">
            <v>1467000</v>
          </cell>
          <cell r="W9">
            <v>2669000</v>
          </cell>
          <cell r="Z9">
            <v>0</v>
          </cell>
          <cell r="AA9">
            <v>965200</v>
          </cell>
          <cell r="AB9">
            <v>1292000</v>
          </cell>
          <cell r="AC9">
            <v>2622000</v>
          </cell>
        </row>
        <row r="10">
          <cell r="B10">
            <v>7850</v>
          </cell>
          <cell r="C10">
            <v>4002</v>
          </cell>
          <cell r="D10">
            <v>1216</v>
          </cell>
          <cell r="E10">
            <v>63000</v>
          </cell>
          <cell r="H10">
            <v>0</v>
          </cell>
          <cell r="I10">
            <v>214000</v>
          </cell>
          <cell r="J10">
            <v>543300</v>
          </cell>
          <cell r="K10">
            <v>992300</v>
          </cell>
          <cell r="N10">
            <v>0</v>
          </cell>
          <cell r="O10">
            <v>399000</v>
          </cell>
          <cell r="P10">
            <v>523600</v>
          </cell>
          <cell r="Q10">
            <v>1073000</v>
          </cell>
          <cell r="T10">
            <v>0</v>
          </cell>
          <cell r="U10">
            <v>663400</v>
          </cell>
          <cell r="V10">
            <v>1345000</v>
          </cell>
          <cell r="W10">
            <v>2447000</v>
          </cell>
          <cell r="Z10">
            <v>0</v>
          </cell>
          <cell r="AA10">
            <v>889400</v>
          </cell>
          <cell r="AB10">
            <v>1189000</v>
          </cell>
          <cell r="AC10">
            <v>2415000</v>
          </cell>
        </row>
        <row r="11">
          <cell r="B11">
            <v>7660</v>
          </cell>
          <cell r="C11">
            <v>3921</v>
          </cell>
          <cell r="D11">
            <v>1086</v>
          </cell>
          <cell r="E11">
            <v>63000</v>
          </cell>
          <cell r="H11">
            <v>0</v>
          </cell>
          <cell r="I11">
            <v>212700</v>
          </cell>
          <cell r="J11">
            <v>540600</v>
          </cell>
          <cell r="K11">
            <v>987600</v>
          </cell>
          <cell r="N11">
            <v>0</v>
          </cell>
          <cell r="O11">
            <v>397300</v>
          </cell>
          <cell r="P11">
            <v>521299.99999999994</v>
          </cell>
          <cell r="Q11">
            <v>1069000</v>
          </cell>
          <cell r="T11">
            <v>0</v>
          </cell>
          <cell r="U11">
            <v>659300</v>
          </cell>
          <cell r="V11">
            <v>1338000</v>
          </cell>
          <cell r="W11">
            <v>2436000</v>
          </cell>
          <cell r="Z11">
            <v>0</v>
          </cell>
          <cell r="AA11">
            <v>885600</v>
          </cell>
          <cell r="AB11">
            <v>1184000</v>
          </cell>
          <cell r="AC11">
            <v>2405000</v>
          </cell>
        </row>
        <row r="12">
          <cell r="B12">
            <v>7767</v>
          </cell>
          <cell r="C12">
            <v>3957</v>
          </cell>
          <cell r="D12">
            <v>1252</v>
          </cell>
          <cell r="E12">
            <v>63000</v>
          </cell>
          <cell r="H12">
            <v>0</v>
          </cell>
          <cell r="I12">
            <v>212700</v>
          </cell>
          <cell r="J12">
            <v>540600</v>
          </cell>
          <cell r="K12">
            <v>987600</v>
          </cell>
          <cell r="N12">
            <v>0</v>
          </cell>
          <cell r="O12">
            <v>397300</v>
          </cell>
          <cell r="P12">
            <v>521299.99999999994</v>
          </cell>
          <cell r="Q12">
            <v>1069000</v>
          </cell>
          <cell r="T12">
            <v>0</v>
          </cell>
          <cell r="U12">
            <v>659300</v>
          </cell>
          <cell r="V12">
            <v>1338000</v>
          </cell>
          <cell r="W12">
            <v>2436000</v>
          </cell>
          <cell r="Z12">
            <v>0</v>
          </cell>
          <cell r="AA12">
            <v>885600</v>
          </cell>
          <cell r="AB12">
            <v>1184000</v>
          </cell>
          <cell r="AC12">
            <v>2405000</v>
          </cell>
        </row>
        <row r="13">
          <cell r="B13">
            <v>8091</v>
          </cell>
          <cell r="C13">
            <v>4138</v>
          </cell>
          <cell r="D13">
            <v>1113</v>
          </cell>
          <cell r="E13">
            <v>64000</v>
          </cell>
          <cell r="H13">
            <v>0</v>
          </cell>
          <cell r="I13">
            <v>222700</v>
          </cell>
          <cell r="J13">
            <v>560300</v>
          </cell>
          <cell r="K13">
            <v>1023000</v>
          </cell>
          <cell r="N13">
            <v>0</v>
          </cell>
          <cell r="O13">
            <v>410000</v>
          </cell>
          <cell r="P13">
            <v>538400</v>
          </cell>
          <cell r="Q13">
            <v>1103000</v>
          </cell>
          <cell r="T13">
            <v>0</v>
          </cell>
          <cell r="U13">
            <v>690200</v>
          </cell>
          <cell r="V13">
            <v>1387000</v>
          </cell>
          <cell r="W13">
            <v>2523000</v>
          </cell>
          <cell r="Z13">
            <v>0</v>
          </cell>
          <cell r="AA13">
            <v>913900</v>
          </cell>
          <cell r="AB13">
            <v>1223000</v>
          </cell>
          <cell r="AC13">
            <v>2482000</v>
          </cell>
        </row>
        <row r="14">
          <cell r="B14">
            <v>7919</v>
          </cell>
          <cell r="C14">
            <v>4035</v>
          </cell>
          <cell r="D14">
            <v>1162</v>
          </cell>
          <cell r="E14">
            <v>64000</v>
          </cell>
          <cell r="H14">
            <v>0</v>
          </cell>
          <cell r="I14">
            <v>228000</v>
          </cell>
          <cell r="J14">
            <v>570800</v>
          </cell>
          <cell r="K14">
            <v>1042000</v>
          </cell>
          <cell r="N14">
            <v>0</v>
          </cell>
          <cell r="O14">
            <v>416800</v>
          </cell>
          <cell r="P14">
            <v>547500</v>
          </cell>
          <cell r="Q14">
            <v>1122000</v>
          </cell>
          <cell r="T14">
            <v>0</v>
          </cell>
          <cell r="U14">
            <v>706700</v>
          </cell>
          <cell r="V14">
            <v>1413000</v>
          </cell>
          <cell r="W14">
            <v>2570000</v>
          </cell>
          <cell r="Z14">
            <v>0</v>
          </cell>
          <cell r="AA14">
            <v>929000</v>
          </cell>
          <cell r="AB14">
            <v>1244000</v>
          </cell>
          <cell r="AC14">
            <v>2524000</v>
          </cell>
        </row>
        <row r="15">
          <cell r="B15">
            <v>8255</v>
          </cell>
          <cell r="C15">
            <v>4201</v>
          </cell>
          <cell r="D15">
            <v>1092</v>
          </cell>
          <cell r="E15">
            <v>64000</v>
          </cell>
          <cell r="H15">
            <v>0</v>
          </cell>
          <cell r="I15">
            <v>231300</v>
          </cell>
          <cell r="J15">
            <v>577400</v>
          </cell>
          <cell r="K15">
            <v>1054000</v>
          </cell>
          <cell r="N15">
            <v>0</v>
          </cell>
          <cell r="O15">
            <v>421100</v>
          </cell>
          <cell r="P15">
            <v>553200</v>
          </cell>
          <cell r="Q15">
            <v>1133000</v>
          </cell>
          <cell r="T15">
            <v>0</v>
          </cell>
          <cell r="U15">
            <v>717000</v>
          </cell>
          <cell r="V15">
            <v>1429000</v>
          </cell>
          <cell r="W15">
            <v>2600000</v>
          </cell>
          <cell r="Z15">
            <v>0</v>
          </cell>
          <cell r="AA15">
            <v>938500</v>
          </cell>
          <cell r="AB15">
            <v>1256000</v>
          </cell>
          <cell r="AC15">
            <v>2550000</v>
          </cell>
        </row>
        <row r="16">
          <cell r="B16">
            <v>8251</v>
          </cell>
          <cell r="C16">
            <v>4194</v>
          </cell>
          <cell r="D16">
            <v>1123</v>
          </cell>
          <cell r="E16">
            <v>64000</v>
          </cell>
          <cell r="H16">
            <v>0</v>
          </cell>
          <cell r="I16">
            <v>232600</v>
          </cell>
          <cell r="J16">
            <v>580000</v>
          </cell>
          <cell r="K16">
            <v>1058000</v>
          </cell>
          <cell r="N16">
            <v>0</v>
          </cell>
          <cell r="O16">
            <v>422800</v>
          </cell>
          <cell r="P16">
            <v>555500</v>
          </cell>
          <cell r="Q16">
            <v>1138000</v>
          </cell>
          <cell r="T16">
            <v>0</v>
          </cell>
          <cell r="U16">
            <v>721200</v>
          </cell>
          <cell r="V16">
            <v>1436000</v>
          </cell>
          <cell r="W16">
            <v>2611000</v>
          </cell>
          <cell r="Z16">
            <v>0</v>
          </cell>
          <cell r="AA16">
            <v>942200</v>
          </cell>
          <cell r="AB16">
            <v>1262000</v>
          </cell>
          <cell r="AC16">
            <v>2560000</v>
          </cell>
        </row>
        <row r="17">
          <cell r="B17">
            <v>8208</v>
          </cell>
          <cell r="C17">
            <v>4186</v>
          </cell>
          <cell r="D17">
            <v>1361</v>
          </cell>
          <cell r="E17">
            <v>61000</v>
          </cell>
          <cell r="H17">
            <v>0</v>
          </cell>
          <cell r="I17">
            <v>225300</v>
          </cell>
          <cell r="J17">
            <v>565600</v>
          </cell>
          <cell r="K17">
            <v>1032000</v>
          </cell>
          <cell r="N17">
            <v>0</v>
          </cell>
          <cell r="O17">
            <v>413400</v>
          </cell>
          <cell r="P17">
            <v>543000</v>
          </cell>
          <cell r="Q17">
            <v>1112000</v>
          </cell>
          <cell r="T17">
            <v>0</v>
          </cell>
          <cell r="U17">
            <v>698500</v>
          </cell>
          <cell r="V17">
            <v>1400000</v>
          </cell>
          <cell r="W17">
            <v>2547000</v>
          </cell>
          <cell r="Z17">
            <v>0</v>
          </cell>
          <cell r="AA17">
            <v>921500</v>
          </cell>
          <cell r="AB17">
            <v>1233000</v>
          </cell>
          <cell r="AC17">
            <v>2503000</v>
          </cell>
        </row>
        <row r="18">
          <cell r="B18">
            <v>7409</v>
          </cell>
          <cell r="C18">
            <v>3749</v>
          </cell>
          <cell r="D18">
            <v>1351</v>
          </cell>
          <cell r="E18">
            <v>62000</v>
          </cell>
          <cell r="H18">
            <v>0</v>
          </cell>
          <cell r="I18">
            <v>220000</v>
          </cell>
          <cell r="J18">
            <v>555100</v>
          </cell>
          <cell r="K18">
            <v>1013000</v>
          </cell>
          <cell r="N18">
            <v>0</v>
          </cell>
          <cell r="O18">
            <v>406700</v>
          </cell>
          <cell r="P18">
            <v>533900</v>
          </cell>
          <cell r="Q18">
            <v>1094000</v>
          </cell>
          <cell r="T18">
            <v>0</v>
          </cell>
          <cell r="U18">
            <v>682000</v>
          </cell>
          <cell r="V18">
            <v>1374000</v>
          </cell>
          <cell r="W18">
            <v>2500000</v>
          </cell>
          <cell r="Z18">
            <v>0</v>
          </cell>
          <cell r="AA18">
            <v>906400</v>
          </cell>
          <cell r="AB18">
            <v>1212000</v>
          </cell>
          <cell r="AC18">
            <v>2462000</v>
          </cell>
        </row>
        <row r="19">
          <cell r="B19">
            <v>7247</v>
          </cell>
          <cell r="C19">
            <v>3687</v>
          </cell>
          <cell r="D19">
            <v>1191</v>
          </cell>
          <cell r="E19">
            <v>62000</v>
          </cell>
          <cell r="H19">
            <v>0</v>
          </cell>
          <cell r="I19">
            <v>215900</v>
          </cell>
          <cell r="J19">
            <v>535400</v>
          </cell>
          <cell r="K19">
            <v>977800</v>
          </cell>
          <cell r="N19">
            <v>0</v>
          </cell>
          <cell r="O19">
            <v>391400</v>
          </cell>
          <cell r="P19">
            <v>514100</v>
          </cell>
          <cell r="Q19">
            <v>1053000</v>
          </cell>
          <cell r="T19">
            <v>0</v>
          </cell>
          <cell r="U19">
            <v>669200</v>
          </cell>
          <cell r="V19">
            <v>1325000</v>
          </cell>
          <cell r="W19">
            <v>2411000</v>
          </cell>
          <cell r="Z19">
            <v>0</v>
          </cell>
          <cell r="AA19">
            <v>872500</v>
          </cell>
          <cell r="AB19">
            <v>1168000</v>
          </cell>
          <cell r="AC19">
            <v>2370000</v>
          </cell>
        </row>
        <row r="20">
          <cell r="B20">
            <v>7895</v>
          </cell>
          <cell r="C20">
            <v>4037</v>
          </cell>
          <cell r="D20">
            <v>1336</v>
          </cell>
          <cell r="E20">
            <v>60000</v>
          </cell>
          <cell r="H20">
            <v>0</v>
          </cell>
          <cell r="I20">
            <v>231800</v>
          </cell>
          <cell r="J20">
            <v>566900</v>
          </cell>
          <cell r="K20">
            <v>1034000</v>
          </cell>
          <cell r="N20">
            <v>0</v>
          </cell>
          <cell r="O20">
            <v>411800</v>
          </cell>
          <cell r="P20">
            <v>541500</v>
          </cell>
          <cell r="Q20">
            <v>1109000</v>
          </cell>
          <cell r="T20">
            <v>0</v>
          </cell>
          <cell r="U20">
            <v>718700</v>
          </cell>
          <cell r="V20">
            <v>1403000</v>
          </cell>
          <cell r="W20">
            <v>2552000</v>
          </cell>
          <cell r="Z20">
            <v>0</v>
          </cell>
          <cell r="AA20">
            <v>917800</v>
          </cell>
          <cell r="AB20">
            <v>1230000</v>
          </cell>
          <cell r="AC20">
            <v>2494000</v>
          </cell>
        </row>
        <row r="21">
          <cell r="B21">
            <v>7933</v>
          </cell>
          <cell r="C21">
            <v>4025</v>
          </cell>
          <cell r="D21">
            <v>1298</v>
          </cell>
          <cell r="E21">
            <v>59000</v>
          </cell>
          <cell r="H21">
            <v>0</v>
          </cell>
          <cell r="I21">
            <v>226500</v>
          </cell>
          <cell r="J21">
            <v>556400</v>
          </cell>
          <cell r="K21">
            <v>1015000</v>
          </cell>
          <cell r="N21">
            <v>0</v>
          </cell>
          <cell r="O21">
            <v>405000</v>
          </cell>
          <cell r="P21">
            <v>532300</v>
          </cell>
          <cell r="Q21">
            <v>1090000</v>
          </cell>
          <cell r="T21">
            <v>0</v>
          </cell>
          <cell r="U21">
            <v>702200</v>
          </cell>
          <cell r="V21">
            <v>1377000</v>
          </cell>
          <cell r="W21">
            <v>2505000</v>
          </cell>
          <cell r="Z21">
            <v>0</v>
          </cell>
          <cell r="AA21">
            <v>902700</v>
          </cell>
          <cell r="AB21">
            <v>1209000</v>
          </cell>
          <cell r="AC21">
            <v>2453000</v>
          </cell>
        </row>
        <row r="22">
          <cell r="B22">
            <v>8124</v>
          </cell>
          <cell r="C22">
            <v>4162</v>
          </cell>
          <cell r="D22">
            <v>1206</v>
          </cell>
          <cell r="E22">
            <v>58000</v>
          </cell>
          <cell r="H22">
            <v>0</v>
          </cell>
          <cell r="I22">
            <v>217900</v>
          </cell>
          <cell r="J22">
            <v>548000</v>
          </cell>
          <cell r="K22">
            <v>1000000</v>
          </cell>
          <cell r="N22">
            <v>0</v>
          </cell>
          <cell r="O22">
            <v>401100</v>
          </cell>
          <cell r="P22">
            <v>526600</v>
          </cell>
          <cell r="Q22">
            <v>1079000</v>
          </cell>
          <cell r="T22">
            <v>0</v>
          </cell>
          <cell r="U22">
            <v>675400</v>
          </cell>
          <cell r="V22">
            <v>1356000</v>
          </cell>
          <cell r="W22">
            <v>2468000</v>
          </cell>
          <cell r="Z22">
            <v>0</v>
          </cell>
          <cell r="AA22">
            <v>893900</v>
          </cell>
          <cell r="AB22">
            <v>1196000</v>
          </cell>
          <cell r="AC22">
            <v>2428000</v>
          </cell>
        </row>
        <row r="23">
          <cell r="B23">
            <v>7984</v>
          </cell>
          <cell r="C23">
            <v>4047</v>
          </cell>
          <cell r="D23">
            <v>1222</v>
          </cell>
          <cell r="E23">
            <v>58000</v>
          </cell>
          <cell r="H23">
            <v>0</v>
          </cell>
          <cell r="I23">
            <v>216500</v>
          </cell>
          <cell r="J23">
            <v>545400</v>
          </cell>
          <cell r="K23">
            <v>996000</v>
          </cell>
          <cell r="N23">
            <v>0</v>
          </cell>
          <cell r="O23">
            <v>399400</v>
          </cell>
          <cell r="P23">
            <v>524400</v>
          </cell>
          <cell r="Q23">
            <v>1074000</v>
          </cell>
          <cell r="T23">
            <v>0</v>
          </cell>
          <cell r="U23">
            <v>671300</v>
          </cell>
          <cell r="V23">
            <v>1350000</v>
          </cell>
          <cell r="W23">
            <v>2456000</v>
          </cell>
          <cell r="Z23">
            <v>0</v>
          </cell>
          <cell r="AA23">
            <v>890200</v>
          </cell>
          <cell r="AB23">
            <v>1191000</v>
          </cell>
          <cell r="AC23">
            <v>2418000</v>
          </cell>
        </row>
        <row r="24">
          <cell r="B24">
            <v>8182</v>
          </cell>
          <cell r="C24">
            <v>4198</v>
          </cell>
          <cell r="D24">
            <v>1235</v>
          </cell>
          <cell r="E24">
            <v>57000</v>
          </cell>
          <cell r="H24">
            <v>0</v>
          </cell>
          <cell r="I24">
            <v>223900</v>
          </cell>
          <cell r="J24">
            <v>559800</v>
          </cell>
          <cell r="K24">
            <v>1022000</v>
          </cell>
          <cell r="N24">
            <v>0</v>
          </cell>
          <cell r="O24">
            <v>408700</v>
          </cell>
          <cell r="P24">
            <v>536900</v>
          </cell>
          <cell r="Q24">
            <v>1100000</v>
          </cell>
          <cell r="T24">
            <v>0</v>
          </cell>
          <cell r="U24">
            <v>694000</v>
          </cell>
          <cell r="V24">
            <v>1386000</v>
          </cell>
          <cell r="W24">
            <v>2521000</v>
          </cell>
          <cell r="Z24">
            <v>0</v>
          </cell>
          <cell r="AA24">
            <v>910900</v>
          </cell>
          <cell r="AB24">
            <v>1219000</v>
          </cell>
          <cell r="AC24">
            <v>2475000</v>
          </cell>
        </row>
        <row r="25">
          <cell r="B25">
            <v>7737</v>
          </cell>
          <cell r="C25">
            <v>3955</v>
          </cell>
          <cell r="D25">
            <v>1235</v>
          </cell>
          <cell r="E25">
            <v>58000</v>
          </cell>
          <cell r="H25">
            <v>0</v>
          </cell>
          <cell r="I25">
            <v>217200</v>
          </cell>
          <cell r="J25">
            <v>546700</v>
          </cell>
          <cell r="K25">
            <v>998400</v>
          </cell>
          <cell r="N25">
            <v>0</v>
          </cell>
          <cell r="O25">
            <v>400200</v>
          </cell>
          <cell r="P25">
            <v>525500</v>
          </cell>
          <cell r="Q25">
            <v>1077000</v>
          </cell>
          <cell r="T25">
            <v>0</v>
          </cell>
          <cell r="U25">
            <v>673400</v>
          </cell>
          <cell r="V25">
            <v>1353000</v>
          </cell>
          <cell r="W25">
            <v>2462000</v>
          </cell>
          <cell r="Z25">
            <v>0</v>
          </cell>
          <cell r="AA25">
            <v>892100</v>
          </cell>
          <cell r="AB25">
            <v>1193000</v>
          </cell>
          <cell r="AC25">
            <v>2423000</v>
          </cell>
        </row>
        <row r="26">
          <cell r="B26">
            <v>6974</v>
          </cell>
          <cell r="C26">
            <v>3550</v>
          </cell>
          <cell r="D26">
            <v>1294</v>
          </cell>
          <cell r="E26">
            <v>60000</v>
          </cell>
          <cell r="H26">
            <v>0</v>
          </cell>
          <cell r="I26">
            <v>198800</v>
          </cell>
          <cell r="J26">
            <v>498800</v>
          </cell>
          <cell r="K26">
            <v>910900</v>
          </cell>
          <cell r="N26">
            <v>0</v>
          </cell>
          <cell r="O26">
            <v>365200</v>
          </cell>
          <cell r="P26">
            <v>479500</v>
          </cell>
          <cell r="Q26">
            <v>982900</v>
          </cell>
          <cell r="T26">
            <v>0</v>
          </cell>
          <cell r="U26">
            <v>616200</v>
          </cell>
          <cell r="V26">
            <v>1235000</v>
          </cell>
          <cell r="W26">
            <v>2246000</v>
          </cell>
          <cell r="Z26">
            <v>0</v>
          </cell>
          <cell r="AA26">
            <v>814000</v>
          </cell>
          <cell r="AB26">
            <v>1089000</v>
          </cell>
          <cell r="AC26">
            <v>2211000</v>
          </cell>
        </row>
        <row r="27">
          <cell r="B27">
            <v>7175</v>
          </cell>
          <cell r="C27">
            <v>3640</v>
          </cell>
          <cell r="D27">
            <v>1101</v>
          </cell>
          <cell r="E27">
            <v>51000</v>
          </cell>
          <cell r="H27">
            <v>0</v>
          </cell>
          <cell r="I27">
            <v>200100</v>
          </cell>
          <cell r="J27">
            <v>501400</v>
          </cell>
          <cell r="K27">
            <v>915700</v>
          </cell>
          <cell r="N27">
            <v>0</v>
          </cell>
          <cell r="O27">
            <v>366900</v>
          </cell>
          <cell r="P27">
            <v>481800</v>
          </cell>
          <cell r="Q27">
            <v>987600</v>
          </cell>
          <cell r="T27">
            <v>0</v>
          </cell>
          <cell r="U27">
            <v>620300</v>
          </cell>
          <cell r="V27">
            <v>1241000</v>
          </cell>
          <cell r="W27">
            <v>2258000</v>
          </cell>
          <cell r="Z27">
            <v>0</v>
          </cell>
          <cell r="AA27">
            <v>817800</v>
          </cell>
          <cell r="AB27">
            <v>1094000</v>
          </cell>
          <cell r="AC27">
            <v>2221000</v>
          </cell>
        </row>
        <row r="28">
          <cell r="B28">
            <v>7397</v>
          </cell>
          <cell r="C28">
            <v>3756</v>
          </cell>
          <cell r="D28">
            <v>1096</v>
          </cell>
          <cell r="E28">
            <v>51000</v>
          </cell>
          <cell r="H28">
            <v>0</v>
          </cell>
          <cell r="I28">
            <v>196800</v>
          </cell>
          <cell r="J28">
            <v>494800</v>
          </cell>
          <cell r="K28">
            <v>903800</v>
          </cell>
          <cell r="N28">
            <v>0</v>
          </cell>
          <cell r="O28">
            <v>362700</v>
          </cell>
          <cell r="P28">
            <v>476100</v>
          </cell>
          <cell r="Q28">
            <v>976000</v>
          </cell>
          <cell r="T28">
            <v>0</v>
          </cell>
          <cell r="U28">
            <v>610000</v>
          </cell>
          <cell r="V28">
            <v>1225000</v>
          </cell>
          <cell r="W28">
            <v>2229000</v>
          </cell>
          <cell r="Z28">
            <v>0</v>
          </cell>
          <cell r="AA28">
            <v>808400</v>
          </cell>
          <cell r="AB28">
            <v>1081000</v>
          </cell>
          <cell r="AC28">
            <v>2195000</v>
          </cell>
        </row>
        <row r="29">
          <cell r="B29">
            <v>7610</v>
          </cell>
          <cell r="C29">
            <v>3889</v>
          </cell>
          <cell r="D29">
            <v>983</v>
          </cell>
          <cell r="E29">
            <v>51000</v>
          </cell>
          <cell r="H29">
            <v>0</v>
          </cell>
          <cell r="I29">
            <v>205400</v>
          </cell>
          <cell r="J29">
            <v>511900</v>
          </cell>
          <cell r="K29">
            <v>934700</v>
          </cell>
          <cell r="N29">
            <v>0</v>
          </cell>
          <cell r="O29">
            <v>373700</v>
          </cell>
          <cell r="P29">
            <v>490900</v>
          </cell>
          <cell r="Q29">
            <v>1006000</v>
          </cell>
          <cell r="T29">
            <v>0</v>
          </cell>
          <cell r="U29">
            <v>636800</v>
          </cell>
          <cell r="V29">
            <v>1267000</v>
          </cell>
          <cell r="W29">
            <v>2305000</v>
          </cell>
          <cell r="Z29">
            <v>0</v>
          </cell>
          <cell r="AA29">
            <v>832900</v>
          </cell>
          <cell r="AB29">
            <v>1115000</v>
          </cell>
          <cell r="AC29">
            <v>2263000</v>
          </cell>
        </row>
        <row r="30">
          <cell r="B30">
            <v>7323</v>
          </cell>
          <cell r="C30">
            <v>3720</v>
          </cell>
          <cell r="D30">
            <v>1025</v>
          </cell>
          <cell r="E30">
            <v>51000</v>
          </cell>
          <cell r="H30">
            <v>0</v>
          </cell>
          <cell r="I30">
            <v>192100</v>
          </cell>
          <cell r="J30">
            <v>485700</v>
          </cell>
          <cell r="K30">
            <v>887100</v>
          </cell>
          <cell r="N30">
            <v>0</v>
          </cell>
          <cell r="O30">
            <v>356800</v>
          </cell>
          <cell r="P30">
            <v>468100</v>
          </cell>
          <cell r="Q30">
            <v>959900</v>
          </cell>
          <cell r="T30">
            <v>0</v>
          </cell>
          <cell r="U30">
            <v>595500</v>
          </cell>
          <cell r="V30">
            <v>1202000</v>
          </cell>
          <cell r="W30">
            <v>2188000</v>
          </cell>
          <cell r="Z30">
            <v>0</v>
          </cell>
          <cell r="AA30">
            <v>795200</v>
          </cell>
          <cell r="AB30">
            <v>1063000</v>
          </cell>
          <cell r="AC30">
            <v>2159000</v>
          </cell>
        </row>
        <row r="31">
          <cell r="B31">
            <v>7572</v>
          </cell>
          <cell r="C31">
            <v>3860</v>
          </cell>
          <cell r="D31">
            <v>1132</v>
          </cell>
          <cell r="E31">
            <v>51000</v>
          </cell>
          <cell r="H31">
            <v>0</v>
          </cell>
          <cell r="I31">
            <v>206700</v>
          </cell>
          <cell r="J31">
            <v>514500</v>
          </cell>
          <cell r="K31">
            <v>939400</v>
          </cell>
          <cell r="N31">
            <v>0</v>
          </cell>
          <cell r="O31">
            <v>375400</v>
          </cell>
          <cell r="P31">
            <v>493200</v>
          </cell>
          <cell r="Q31">
            <v>1010000</v>
          </cell>
          <cell r="T31">
            <v>0</v>
          </cell>
          <cell r="U31">
            <v>640900</v>
          </cell>
          <cell r="V31">
            <v>1274000</v>
          </cell>
          <cell r="W31">
            <v>2317000</v>
          </cell>
          <cell r="Z31">
            <v>0</v>
          </cell>
          <cell r="AA31">
            <v>836700</v>
          </cell>
          <cell r="AB31">
            <v>1120000</v>
          </cell>
          <cell r="AC31">
            <v>2273000</v>
          </cell>
        </row>
        <row r="32">
          <cell r="B32">
            <v>7655</v>
          </cell>
          <cell r="C32">
            <v>3905</v>
          </cell>
          <cell r="D32">
            <v>1114</v>
          </cell>
          <cell r="E32">
            <v>51000</v>
          </cell>
          <cell r="H32">
            <v>0</v>
          </cell>
          <cell r="I32">
            <v>202100</v>
          </cell>
          <cell r="J32">
            <v>505300</v>
          </cell>
          <cell r="K32">
            <v>922800</v>
          </cell>
          <cell r="N32">
            <v>0</v>
          </cell>
          <cell r="O32">
            <v>369500</v>
          </cell>
          <cell r="P32">
            <v>485200</v>
          </cell>
          <cell r="Q32">
            <v>994500</v>
          </cell>
          <cell r="T32">
            <v>0</v>
          </cell>
          <cell r="U32">
            <v>626500</v>
          </cell>
          <cell r="V32">
            <v>1251000</v>
          </cell>
          <cell r="W32">
            <v>2276000</v>
          </cell>
          <cell r="Z32">
            <v>0</v>
          </cell>
          <cell r="AA32">
            <v>823500</v>
          </cell>
          <cell r="AB32">
            <v>1102000</v>
          </cell>
          <cell r="AC32">
            <v>2237000</v>
          </cell>
        </row>
        <row r="33">
          <cell r="B33">
            <v>6469</v>
          </cell>
          <cell r="C33">
            <v>3332</v>
          </cell>
          <cell r="D33">
            <v>1225</v>
          </cell>
          <cell r="E33">
            <v>55000</v>
          </cell>
          <cell r="H33">
            <v>0</v>
          </cell>
          <cell r="I33">
            <v>189000</v>
          </cell>
          <cell r="J33">
            <v>491100</v>
          </cell>
          <cell r="K33">
            <v>897500</v>
          </cell>
          <cell r="N33">
            <v>0</v>
          </cell>
          <cell r="O33">
            <v>363300</v>
          </cell>
          <cell r="P33">
            <v>476100</v>
          </cell>
          <cell r="Q33">
            <v>977000</v>
          </cell>
          <cell r="T33">
            <v>0</v>
          </cell>
          <cell r="U33">
            <v>586000</v>
          </cell>
          <cell r="V33">
            <v>1216000</v>
          </cell>
          <cell r="W33">
            <v>2213000</v>
          </cell>
          <cell r="Z33">
            <v>0</v>
          </cell>
          <cell r="AA33">
            <v>809800</v>
          </cell>
          <cell r="AB33">
            <v>1081000</v>
          </cell>
          <cell r="AC33">
            <v>2198000</v>
          </cell>
        </row>
        <row r="34">
          <cell r="B34">
            <v>6438</v>
          </cell>
          <cell r="C34">
            <v>3292</v>
          </cell>
          <cell r="D34">
            <v>1398</v>
          </cell>
          <cell r="E34">
            <v>55000</v>
          </cell>
          <cell r="H34">
            <v>0</v>
          </cell>
          <cell r="I34">
            <v>191000</v>
          </cell>
          <cell r="J34">
            <v>495100</v>
          </cell>
          <cell r="K34">
            <v>904600</v>
          </cell>
          <cell r="N34">
            <v>0</v>
          </cell>
          <cell r="O34">
            <v>365900</v>
          </cell>
          <cell r="P34">
            <v>479500</v>
          </cell>
          <cell r="Q34">
            <v>983900</v>
          </cell>
          <cell r="T34">
            <v>0</v>
          </cell>
          <cell r="U34">
            <v>592200</v>
          </cell>
          <cell r="V34">
            <v>1225000</v>
          </cell>
          <cell r="W34">
            <v>2231000</v>
          </cell>
          <cell r="Z34">
            <v>0</v>
          </cell>
          <cell r="AA34">
            <v>815400</v>
          </cell>
          <cell r="AB34">
            <v>1089000</v>
          </cell>
          <cell r="AC34">
            <v>2213000</v>
          </cell>
        </row>
        <row r="35">
          <cell r="B35">
            <v>6937</v>
          </cell>
          <cell r="C35">
            <v>3545</v>
          </cell>
          <cell r="D35">
            <v>1121</v>
          </cell>
          <cell r="E35">
            <v>52000</v>
          </cell>
          <cell r="H35">
            <v>0</v>
          </cell>
          <cell r="I35">
            <v>197700</v>
          </cell>
          <cell r="J35">
            <v>508200</v>
          </cell>
          <cell r="K35">
            <v>928400</v>
          </cell>
          <cell r="N35">
            <v>0</v>
          </cell>
          <cell r="O35">
            <v>374300</v>
          </cell>
          <cell r="P35">
            <v>490900</v>
          </cell>
          <cell r="Q35">
            <v>1006000</v>
          </cell>
          <cell r="T35">
            <v>0</v>
          </cell>
          <cell r="U35">
            <v>612800</v>
          </cell>
          <cell r="V35">
            <v>1258000</v>
          </cell>
          <cell r="W35">
            <v>2290000</v>
          </cell>
          <cell r="Z35">
            <v>0</v>
          </cell>
          <cell r="AA35">
            <v>834300</v>
          </cell>
          <cell r="AB35">
            <v>1115000</v>
          </cell>
          <cell r="AC35">
            <v>2265000</v>
          </cell>
        </row>
        <row r="36">
          <cell r="B36">
            <v>6885</v>
          </cell>
          <cell r="C36">
            <v>3500</v>
          </cell>
          <cell r="D36">
            <v>1026</v>
          </cell>
          <cell r="E36">
            <v>52000</v>
          </cell>
          <cell r="H36">
            <v>0</v>
          </cell>
          <cell r="I36">
            <v>199700</v>
          </cell>
          <cell r="J36">
            <v>512100</v>
          </cell>
          <cell r="K36">
            <v>935500</v>
          </cell>
          <cell r="N36">
            <v>0</v>
          </cell>
          <cell r="O36">
            <v>376900</v>
          </cell>
          <cell r="P36">
            <v>494300</v>
          </cell>
          <cell r="Q36">
            <v>1013000</v>
          </cell>
          <cell r="T36">
            <v>0</v>
          </cell>
          <cell r="U36">
            <v>619000</v>
          </cell>
          <cell r="V36">
            <v>1268000</v>
          </cell>
          <cell r="W36">
            <v>2307000</v>
          </cell>
          <cell r="Z36">
            <v>0</v>
          </cell>
          <cell r="AA36">
            <v>840000</v>
          </cell>
          <cell r="AB36">
            <v>1123000</v>
          </cell>
          <cell r="AC36">
            <v>2280000</v>
          </cell>
        </row>
        <row r="37">
          <cell r="B37">
            <v>6558</v>
          </cell>
          <cell r="C37">
            <v>3334</v>
          </cell>
          <cell r="D37">
            <v>1170</v>
          </cell>
          <cell r="E37">
            <v>54000</v>
          </cell>
          <cell r="H37">
            <v>0</v>
          </cell>
          <cell r="I37">
            <v>191000</v>
          </cell>
          <cell r="J37">
            <v>495100</v>
          </cell>
          <cell r="K37">
            <v>904600</v>
          </cell>
          <cell r="N37">
            <v>0</v>
          </cell>
          <cell r="O37">
            <v>365900</v>
          </cell>
          <cell r="P37">
            <v>479500</v>
          </cell>
          <cell r="Q37">
            <v>983900</v>
          </cell>
          <cell r="T37">
            <v>0</v>
          </cell>
          <cell r="U37">
            <v>592200</v>
          </cell>
          <cell r="V37">
            <v>1225000</v>
          </cell>
          <cell r="W37">
            <v>2231000</v>
          </cell>
          <cell r="Z37">
            <v>0</v>
          </cell>
          <cell r="AA37">
            <v>815400</v>
          </cell>
          <cell r="AB37">
            <v>1089000</v>
          </cell>
          <cell r="AC37">
            <v>2213000</v>
          </cell>
        </row>
        <row r="38">
          <cell r="B38">
            <v>7104</v>
          </cell>
          <cell r="C38">
            <v>3602</v>
          </cell>
          <cell r="D38">
            <v>1123</v>
          </cell>
          <cell r="E38">
            <v>54000</v>
          </cell>
          <cell r="H38">
            <v>0</v>
          </cell>
          <cell r="I38">
            <v>209300</v>
          </cell>
          <cell r="J38">
            <v>534100</v>
          </cell>
          <cell r="K38">
            <v>975700</v>
          </cell>
          <cell r="N38">
            <v>0</v>
          </cell>
          <cell r="O38">
            <v>393100</v>
          </cell>
          <cell r="P38">
            <v>515600</v>
          </cell>
          <cell r="Q38">
            <v>1057000</v>
          </cell>
          <cell r="T38">
            <v>0</v>
          </cell>
          <cell r="U38">
            <v>649000</v>
          </cell>
          <cell r="V38">
            <v>1322000</v>
          </cell>
          <cell r="W38">
            <v>2406000</v>
          </cell>
          <cell r="Z38">
            <v>0</v>
          </cell>
          <cell r="AA38">
            <v>876200</v>
          </cell>
          <cell r="AB38">
            <v>1171000</v>
          </cell>
          <cell r="AC38">
            <v>2379000</v>
          </cell>
        </row>
        <row r="39">
          <cell r="B39">
            <v>7146</v>
          </cell>
          <cell r="C39">
            <v>3614</v>
          </cell>
          <cell r="D39">
            <v>1192</v>
          </cell>
          <cell r="E39">
            <v>54000</v>
          </cell>
          <cell r="H39">
            <v>0</v>
          </cell>
          <cell r="I39">
            <v>214700</v>
          </cell>
          <cell r="J39">
            <v>544600</v>
          </cell>
          <cell r="K39">
            <v>994700</v>
          </cell>
          <cell r="N39">
            <v>0</v>
          </cell>
          <cell r="O39">
            <v>399900</v>
          </cell>
          <cell r="P39">
            <v>524700</v>
          </cell>
          <cell r="Q39">
            <v>1075000</v>
          </cell>
          <cell r="T39">
            <v>0</v>
          </cell>
          <cell r="U39">
            <v>665500</v>
          </cell>
          <cell r="V39">
            <v>1348000</v>
          </cell>
          <cell r="W39">
            <v>2453000</v>
          </cell>
          <cell r="Z39">
            <v>0</v>
          </cell>
          <cell r="AA39">
            <v>891300</v>
          </cell>
          <cell r="AB39">
            <v>1192000</v>
          </cell>
          <cell r="AC39">
            <v>2420000</v>
          </cell>
        </row>
        <row r="40">
          <cell r="B40">
            <v>6882</v>
          </cell>
          <cell r="C40">
            <v>3505</v>
          </cell>
          <cell r="D40">
            <v>1146</v>
          </cell>
          <cell r="E40">
            <v>54000</v>
          </cell>
          <cell r="H40">
            <v>0</v>
          </cell>
          <cell r="I40">
            <v>206700</v>
          </cell>
          <cell r="J40">
            <v>528900</v>
          </cell>
          <cell r="K40">
            <v>966200</v>
          </cell>
          <cell r="N40">
            <v>0</v>
          </cell>
          <cell r="O40">
            <v>389700</v>
          </cell>
          <cell r="P40">
            <v>511100</v>
          </cell>
          <cell r="Q40">
            <v>1048000</v>
          </cell>
          <cell r="T40">
            <v>0</v>
          </cell>
          <cell r="U40">
            <v>640700</v>
          </cell>
          <cell r="V40">
            <v>1309000</v>
          </cell>
          <cell r="W40">
            <v>2383000</v>
          </cell>
          <cell r="Z40">
            <v>0</v>
          </cell>
          <cell r="AA40">
            <v>868600</v>
          </cell>
          <cell r="AB40">
            <v>1161000</v>
          </cell>
          <cell r="AC40">
            <v>2358000</v>
          </cell>
        </row>
        <row r="41">
          <cell r="B41">
            <v>6815</v>
          </cell>
          <cell r="C41">
            <v>3470</v>
          </cell>
          <cell r="D41">
            <v>1148</v>
          </cell>
          <cell r="E41">
            <v>54000</v>
          </cell>
          <cell r="H41">
            <v>0</v>
          </cell>
          <cell r="I41">
            <v>205300</v>
          </cell>
          <cell r="J41">
            <v>526200</v>
          </cell>
          <cell r="K41">
            <v>961400</v>
          </cell>
          <cell r="N41">
            <v>0</v>
          </cell>
          <cell r="O41">
            <v>388000</v>
          </cell>
          <cell r="P41">
            <v>508800</v>
          </cell>
          <cell r="Q41">
            <v>1043000</v>
          </cell>
          <cell r="T41">
            <v>0</v>
          </cell>
          <cell r="U41">
            <v>636600</v>
          </cell>
          <cell r="V41">
            <v>1303000</v>
          </cell>
          <cell r="W41">
            <v>2371000</v>
          </cell>
          <cell r="Z41">
            <v>0</v>
          </cell>
          <cell r="AA41">
            <v>864800</v>
          </cell>
          <cell r="AB41">
            <v>1156000</v>
          </cell>
          <cell r="AC41">
            <v>2348000</v>
          </cell>
        </row>
        <row r="42">
          <cell r="B42">
            <v>7198</v>
          </cell>
          <cell r="C42">
            <v>3645</v>
          </cell>
          <cell r="D42">
            <v>1242</v>
          </cell>
          <cell r="E42">
            <v>56000</v>
          </cell>
          <cell r="H42">
            <v>0</v>
          </cell>
          <cell r="I42">
            <v>209100</v>
          </cell>
          <cell r="J42">
            <v>536500</v>
          </cell>
          <cell r="K42">
            <v>979900</v>
          </cell>
          <cell r="N42">
            <v>0</v>
          </cell>
          <cell r="O42">
            <v>394100</v>
          </cell>
          <cell r="P42">
            <v>517100</v>
          </cell>
          <cell r="Q42">
            <v>1060000</v>
          </cell>
          <cell r="T42">
            <v>0</v>
          </cell>
          <cell r="U42">
            <v>648200</v>
          </cell>
          <cell r="V42">
            <v>1328000</v>
          </cell>
          <cell r="W42">
            <v>2417000</v>
          </cell>
          <cell r="Z42">
            <v>0</v>
          </cell>
          <cell r="AA42">
            <v>878400</v>
          </cell>
          <cell r="AB42">
            <v>1174000</v>
          </cell>
          <cell r="AC42">
            <v>2385000</v>
          </cell>
        </row>
        <row r="43">
          <cell r="B43">
            <v>7169</v>
          </cell>
          <cell r="C43">
            <v>3712</v>
          </cell>
          <cell r="D43">
            <v>1253</v>
          </cell>
          <cell r="E43">
            <v>55000</v>
          </cell>
          <cell r="H43">
            <v>0</v>
          </cell>
          <cell r="I43">
            <v>193100</v>
          </cell>
          <cell r="J43">
            <v>505000</v>
          </cell>
          <cell r="K43">
            <v>922800</v>
          </cell>
          <cell r="N43">
            <v>0</v>
          </cell>
          <cell r="O43">
            <v>373800</v>
          </cell>
          <cell r="P43">
            <v>489800</v>
          </cell>
          <cell r="Q43">
            <v>1005000</v>
          </cell>
          <cell r="T43">
            <v>0</v>
          </cell>
          <cell r="U43">
            <v>598700</v>
          </cell>
          <cell r="V43">
            <v>1250000</v>
          </cell>
          <cell r="W43">
            <v>2276000</v>
          </cell>
          <cell r="Z43">
            <v>0</v>
          </cell>
          <cell r="AA43">
            <v>833100</v>
          </cell>
          <cell r="AB43">
            <v>1112000</v>
          </cell>
          <cell r="AC43">
            <v>2261000</v>
          </cell>
        </row>
        <row r="44">
          <cell r="B44">
            <v>6870</v>
          </cell>
          <cell r="C44">
            <v>3510</v>
          </cell>
          <cell r="D44">
            <v>1164</v>
          </cell>
          <cell r="E44">
            <v>55000</v>
          </cell>
          <cell r="H44">
            <v>0</v>
          </cell>
          <cell r="I44">
            <v>198500</v>
          </cell>
          <cell r="J44">
            <v>515500</v>
          </cell>
          <cell r="K44">
            <v>941900</v>
          </cell>
          <cell r="N44">
            <v>0</v>
          </cell>
          <cell r="O44">
            <v>380600</v>
          </cell>
          <cell r="P44">
            <v>498900</v>
          </cell>
          <cell r="Q44">
            <v>1023000</v>
          </cell>
          <cell r="T44">
            <v>0</v>
          </cell>
          <cell r="U44">
            <v>615200</v>
          </cell>
          <cell r="V44">
            <v>1276000</v>
          </cell>
          <cell r="W44">
            <v>2323000</v>
          </cell>
          <cell r="Z44">
            <v>0</v>
          </cell>
          <cell r="AA44">
            <v>848200</v>
          </cell>
          <cell r="AB44">
            <v>1133000</v>
          </cell>
          <cell r="AC44">
            <v>2302000</v>
          </cell>
        </row>
        <row r="45">
          <cell r="B45">
            <v>6988</v>
          </cell>
          <cell r="C45">
            <v>3562</v>
          </cell>
          <cell r="D45">
            <v>1180</v>
          </cell>
          <cell r="E45">
            <v>59000</v>
          </cell>
          <cell r="H45">
            <v>0</v>
          </cell>
          <cell r="I45">
            <v>201100</v>
          </cell>
          <cell r="J45">
            <v>520700.00000000006</v>
          </cell>
          <cell r="K45">
            <v>951400</v>
          </cell>
          <cell r="N45">
            <v>0</v>
          </cell>
          <cell r="O45">
            <v>384000</v>
          </cell>
          <cell r="P45">
            <v>503500</v>
          </cell>
          <cell r="Q45">
            <v>1032000</v>
          </cell>
          <cell r="T45">
            <v>0</v>
          </cell>
          <cell r="U45">
            <v>623500</v>
          </cell>
          <cell r="V45">
            <v>1289000</v>
          </cell>
          <cell r="W45">
            <v>2346000</v>
          </cell>
          <cell r="Z45">
            <v>0</v>
          </cell>
          <cell r="AA45">
            <v>855800</v>
          </cell>
          <cell r="AB45">
            <v>1143000</v>
          </cell>
          <cell r="AC45">
            <v>2323000</v>
          </cell>
        </row>
        <row r="46">
          <cell r="B46">
            <v>6725</v>
          </cell>
          <cell r="C46">
            <v>3430</v>
          </cell>
          <cell r="D46">
            <v>1109</v>
          </cell>
          <cell r="E46">
            <v>54000</v>
          </cell>
          <cell r="H46">
            <v>0</v>
          </cell>
          <cell r="I46">
            <v>195100</v>
          </cell>
          <cell r="J46">
            <v>508900</v>
          </cell>
          <cell r="K46">
            <v>930000</v>
          </cell>
          <cell r="N46">
            <v>0</v>
          </cell>
          <cell r="O46">
            <v>376300</v>
          </cell>
          <cell r="P46">
            <v>493200</v>
          </cell>
          <cell r="Q46">
            <v>1012000</v>
          </cell>
          <cell r="T46">
            <v>0</v>
          </cell>
          <cell r="U46">
            <v>604900</v>
          </cell>
          <cell r="V46">
            <v>1260000</v>
          </cell>
          <cell r="W46">
            <v>2293000</v>
          </cell>
          <cell r="Z46">
            <v>0</v>
          </cell>
          <cell r="AA46">
            <v>838800</v>
          </cell>
          <cell r="AB46">
            <v>1120000</v>
          </cell>
          <cell r="AC46">
            <v>2276000</v>
          </cell>
        </row>
        <row r="47">
          <cell r="B47">
            <v>6880</v>
          </cell>
          <cell r="C47">
            <v>3532</v>
          </cell>
          <cell r="D47">
            <v>1240</v>
          </cell>
          <cell r="E47">
            <v>53000</v>
          </cell>
          <cell r="H47">
            <v>0</v>
          </cell>
          <cell r="I47">
            <v>209100</v>
          </cell>
          <cell r="J47">
            <v>536500</v>
          </cell>
          <cell r="K47">
            <v>979900</v>
          </cell>
          <cell r="N47">
            <v>0</v>
          </cell>
          <cell r="O47">
            <v>394100</v>
          </cell>
          <cell r="P47">
            <v>517100</v>
          </cell>
          <cell r="Q47">
            <v>1060000</v>
          </cell>
          <cell r="T47">
            <v>0</v>
          </cell>
          <cell r="U47">
            <v>648200</v>
          </cell>
          <cell r="V47">
            <v>1328000</v>
          </cell>
          <cell r="W47">
            <v>2417000</v>
          </cell>
          <cell r="Z47">
            <v>0</v>
          </cell>
          <cell r="AA47">
            <v>878400</v>
          </cell>
          <cell r="AB47">
            <v>1174000</v>
          </cell>
          <cell r="AC47">
            <v>2385000</v>
          </cell>
        </row>
        <row r="48">
          <cell r="B48">
            <v>7522</v>
          </cell>
          <cell r="C48">
            <v>3870</v>
          </cell>
          <cell r="D48">
            <v>1244</v>
          </cell>
          <cell r="E48">
            <v>55000</v>
          </cell>
          <cell r="H48">
            <v>0</v>
          </cell>
          <cell r="I48">
            <v>222400</v>
          </cell>
          <cell r="J48">
            <v>562700</v>
          </cell>
          <cell r="K48">
            <v>1027000</v>
          </cell>
          <cell r="N48">
            <v>0</v>
          </cell>
          <cell r="O48">
            <v>411100</v>
          </cell>
          <cell r="P48">
            <v>539900</v>
          </cell>
          <cell r="Q48">
            <v>1106000</v>
          </cell>
          <cell r="T48">
            <v>0</v>
          </cell>
          <cell r="U48">
            <v>689500</v>
          </cell>
          <cell r="V48">
            <v>1393000</v>
          </cell>
          <cell r="W48">
            <v>2534000</v>
          </cell>
          <cell r="Z48">
            <v>0</v>
          </cell>
          <cell r="AA48">
            <v>916200</v>
          </cell>
          <cell r="AB48">
            <v>1226000</v>
          </cell>
          <cell r="AC48">
            <v>2489000</v>
          </cell>
        </row>
        <row r="49">
          <cell r="B49">
            <v>9751</v>
          </cell>
          <cell r="C49">
            <v>5017</v>
          </cell>
          <cell r="D49">
            <v>1645</v>
          </cell>
          <cell r="E49">
            <v>50000</v>
          </cell>
          <cell r="H49">
            <v>0</v>
          </cell>
          <cell r="I49">
            <v>241800</v>
          </cell>
          <cell r="J49">
            <v>595200</v>
          </cell>
          <cell r="K49">
            <v>1086000</v>
          </cell>
          <cell r="N49">
            <v>0</v>
          </cell>
          <cell r="O49">
            <v>431600</v>
          </cell>
          <cell r="P49">
            <v>567700</v>
          </cell>
          <cell r="Q49">
            <v>1162000</v>
          </cell>
          <cell r="T49">
            <v>0</v>
          </cell>
          <cell r="U49">
            <v>749700</v>
          </cell>
          <cell r="V49">
            <v>1473000</v>
          </cell>
          <cell r="W49">
            <v>2679000</v>
          </cell>
          <cell r="Z49">
            <v>0</v>
          </cell>
          <cell r="AA49">
            <v>961900</v>
          </cell>
          <cell r="AB49">
            <v>1289000</v>
          </cell>
          <cell r="AC49">
            <v>2615000</v>
          </cell>
        </row>
        <row r="52">
          <cell r="A52" t="str">
            <v>2019.4建設物価</v>
          </cell>
        </row>
        <row r="54">
          <cell r="B54">
            <v>20</v>
          </cell>
          <cell r="C54">
            <v>25</v>
          </cell>
          <cell r="D54">
            <v>35</v>
          </cell>
          <cell r="E54">
            <v>45</v>
          </cell>
          <cell r="F54">
            <v>50</v>
          </cell>
          <cell r="G54">
            <v>60</v>
          </cell>
          <cell r="H54">
            <v>70</v>
          </cell>
          <cell r="I54">
            <v>80</v>
          </cell>
          <cell r="J54">
            <v>90</v>
          </cell>
          <cell r="K54">
            <v>100</v>
          </cell>
          <cell r="L54">
            <v>120</v>
          </cell>
          <cell r="M54">
            <v>150</v>
          </cell>
          <cell r="N54">
            <v>200</v>
          </cell>
          <cell r="O54">
            <v>4.9000000000000004</v>
          </cell>
          <cell r="P54">
            <v>100</v>
          </cell>
          <cell r="Q54">
            <v>120</v>
          </cell>
          <cell r="R54">
            <v>160</v>
          </cell>
          <cell r="S54">
            <v>200</v>
          </cell>
        </row>
        <row r="55">
          <cell r="A55" t="str">
            <v>関東</v>
          </cell>
          <cell r="B55">
            <v>50000</v>
          </cell>
          <cell r="C55">
            <v>53000</v>
          </cell>
          <cell r="D55">
            <v>73000</v>
          </cell>
          <cell r="E55">
            <v>90000</v>
          </cell>
          <cell r="F55">
            <v>95000</v>
          </cell>
          <cell r="G55">
            <v>106000</v>
          </cell>
          <cell r="H55">
            <v>130000</v>
          </cell>
          <cell r="I55">
            <v>84950</v>
          </cell>
          <cell r="J55">
            <v>96600</v>
          </cell>
          <cell r="K55">
            <v>109650</v>
          </cell>
          <cell r="L55">
            <v>114000</v>
          </cell>
          <cell r="M55">
            <v>138200</v>
          </cell>
          <cell r="N55">
            <v>155800</v>
          </cell>
          <cell r="O55">
            <v>41000</v>
          </cell>
          <cell r="P55">
            <v>200000</v>
          </cell>
          <cell r="Q55">
            <v>225000</v>
          </cell>
          <cell r="R55">
            <v>310000</v>
          </cell>
          <cell r="S55">
            <v>430000</v>
          </cell>
        </row>
        <row r="56">
          <cell r="A56" t="str">
            <v>近畿</v>
          </cell>
          <cell r="B56">
            <v>45000</v>
          </cell>
          <cell r="C56">
            <v>50000</v>
          </cell>
          <cell r="D56">
            <v>70000</v>
          </cell>
          <cell r="E56">
            <v>81000</v>
          </cell>
          <cell r="F56">
            <v>87000</v>
          </cell>
          <cell r="G56">
            <v>99000</v>
          </cell>
          <cell r="H56">
            <v>137000</v>
          </cell>
          <cell r="I56">
            <v>71910</v>
          </cell>
          <cell r="J56">
            <v>80080</v>
          </cell>
          <cell r="K56">
            <v>87040</v>
          </cell>
          <cell r="L56">
            <v>92260</v>
          </cell>
          <cell r="M56">
            <v>109940</v>
          </cell>
          <cell r="N56">
            <v>134060</v>
          </cell>
          <cell r="O56">
            <v>37000</v>
          </cell>
          <cell r="P56">
            <v>200000</v>
          </cell>
          <cell r="Q56">
            <v>225000</v>
          </cell>
          <cell r="R56">
            <v>290000</v>
          </cell>
          <cell r="S56">
            <v>420000</v>
          </cell>
        </row>
        <row r="57">
          <cell r="A57" t="str">
            <v>中部</v>
          </cell>
          <cell r="B57">
            <v>47000</v>
          </cell>
          <cell r="C57">
            <v>52000</v>
          </cell>
          <cell r="D57">
            <v>74000</v>
          </cell>
          <cell r="E57">
            <v>87000</v>
          </cell>
          <cell r="F57">
            <v>93000</v>
          </cell>
          <cell r="G57">
            <v>106000</v>
          </cell>
          <cell r="H57">
            <v>144000</v>
          </cell>
          <cell r="I57">
            <v>78860</v>
          </cell>
          <cell r="J57">
            <v>84000</v>
          </cell>
          <cell r="K57">
            <v>92260</v>
          </cell>
          <cell r="L57">
            <v>103560</v>
          </cell>
          <cell r="M57">
            <v>117330</v>
          </cell>
          <cell r="N57">
            <v>138840</v>
          </cell>
          <cell r="O57">
            <v>39000</v>
          </cell>
          <cell r="P57">
            <v>200000</v>
          </cell>
          <cell r="Q57">
            <v>225000</v>
          </cell>
          <cell r="R57">
            <v>301000</v>
          </cell>
          <cell r="S57">
            <v>417000</v>
          </cell>
        </row>
        <row r="58">
          <cell r="A58" t="str">
            <v>中国</v>
          </cell>
          <cell r="B58">
            <v>52000</v>
          </cell>
          <cell r="C58">
            <v>55000</v>
          </cell>
          <cell r="D58">
            <v>78000</v>
          </cell>
          <cell r="E58">
            <v>88000</v>
          </cell>
          <cell r="F58">
            <v>98000</v>
          </cell>
          <cell r="G58">
            <v>110000</v>
          </cell>
          <cell r="H58">
            <v>150000</v>
          </cell>
          <cell r="I58">
            <v>75530</v>
          </cell>
          <cell r="J58">
            <v>80480</v>
          </cell>
          <cell r="K58">
            <v>92980</v>
          </cell>
          <cell r="L58">
            <v>101310</v>
          </cell>
          <cell r="M58">
            <v>112110</v>
          </cell>
          <cell r="N58">
            <v>139400</v>
          </cell>
          <cell r="O58">
            <v>38000</v>
          </cell>
          <cell r="P58">
            <v>200000</v>
          </cell>
          <cell r="Q58">
            <v>230000</v>
          </cell>
          <cell r="R58">
            <v>320000</v>
          </cell>
          <cell r="S58">
            <v>470000</v>
          </cell>
        </row>
        <row r="59">
          <cell r="A59" t="str">
            <v>四国</v>
          </cell>
          <cell r="B59">
            <v>48000</v>
          </cell>
          <cell r="C59">
            <v>53000</v>
          </cell>
          <cell r="D59">
            <v>73000</v>
          </cell>
          <cell r="E59">
            <v>86000</v>
          </cell>
          <cell r="F59">
            <v>95000</v>
          </cell>
          <cell r="G59">
            <v>107000</v>
          </cell>
          <cell r="H59">
            <v>140000</v>
          </cell>
          <cell r="I59">
            <v>83860</v>
          </cell>
          <cell r="J59">
            <v>92980</v>
          </cell>
          <cell r="K59">
            <v>101310</v>
          </cell>
          <cell r="L59">
            <v>109650</v>
          </cell>
          <cell r="M59">
            <v>120440</v>
          </cell>
          <cell r="N59">
            <v>137320</v>
          </cell>
          <cell r="O59">
            <v>38000</v>
          </cell>
          <cell r="P59">
            <v>196000</v>
          </cell>
          <cell r="Q59">
            <v>233000</v>
          </cell>
          <cell r="R59">
            <v>328000</v>
          </cell>
          <cell r="S59">
            <v>470000</v>
          </cell>
        </row>
        <row r="60">
          <cell r="A60" t="str">
            <v>北陸</v>
          </cell>
          <cell r="B60">
            <v>46000</v>
          </cell>
          <cell r="C60">
            <v>52000</v>
          </cell>
          <cell r="D60">
            <v>74000</v>
          </cell>
          <cell r="E60">
            <v>85000</v>
          </cell>
          <cell r="F60">
            <v>90000</v>
          </cell>
          <cell r="G60">
            <v>102000</v>
          </cell>
          <cell r="H60">
            <v>125000</v>
          </cell>
          <cell r="I60">
            <v>79690</v>
          </cell>
          <cell r="J60">
            <v>92980</v>
          </cell>
          <cell r="K60">
            <v>94650</v>
          </cell>
          <cell r="L60">
            <v>109650</v>
          </cell>
          <cell r="M60">
            <v>112110</v>
          </cell>
          <cell r="N60">
            <v>137320</v>
          </cell>
          <cell r="O60">
            <v>36000</v>
          </cell>
          <cell r="P60">
            <v>195000</v>
          </cell>
          <cell r="Q60">
            <v>226000</v>
          </cell>
          <cell r="R60">
            <v>317000</v>
          </cell>
          <cell r="S60">
            <v>464000</v>
          </cell>
        </row>
        <row r="61">
          <cell r="A61" t="str">
            <v>東北</v>
          </cell>
          <cell r="B61">
            <v>53000</v>
          </cell>
          <cell r="C61">
            <v>58000</v>
          </cell>
          <cell r="D61">
            <v>80000</v>
          </cell>
          <cell r="E61">
            <v>92000</v>
          </cell>
          <cell r="F61">
            <v>99000</v>
          </cell>
          <cell r="G61">
            <v>110000</v>
          </cell>
          <cell r="H61">
            <v>140000</v>
          </cell>
          <cell r="I61">
            <v>83860</v>
          </cell>
          <cell r="J61">
            <v>92980</v>
          </cell>
          <cell r="K61">
            <v>105480</v>
          </cell>
          <cell r="L61">
            <v>109650</v>
          </cell>
          <cell r="M61">
            <v>128780</v>
          </cell>
          <cell r="N61">
            <v>149820</v>
          </cell>
          <cell r="O61">
            <v>43000</v>
          </cell>
          <cell r="P61">
            <v>210000</v>
          </cell>
          <cell r="Q61">
            <v>240000</v>
          </cell>
          <cell r="R61">
            <v>340000</v>
          </cell>
          <cell r="S61">
            <v>450000</v>
          </cell>
        </row>
        <row r="62">
          <cell r="A62" t="str">
            <v>九州</v>
          </cell>
          <cell r="B62">
            <v>48000</v>
          </cell>
          <cell r="C62">
            <v>51000</v>
          </cell>
          <cell r="D62">
            <v>75000</v>
          </cell>
          <cell r="E62">
            <v>87000</v>
          </cell>
          <cell r="F62">
            <v>94000</v>
          </cell>
          <cell r="G62">
            <v>102000</v>
          </cell>
          <cell r="H62">
            <v>140000</v>
          </cell>
          <cell r="I62">
            <v>79280</v>
          </cell>
          <cell r="J62">
            <v>87560</v>
          </cell>
          <cell r="K62">
            <v>96310</v>
          </cell>
          <cell r="L62">
            <v>106310</v>
          </cell>
          <cell r="M62">
            <v>113360</v>
          </cell>
          <cell r="N62">
            <v>135240</v>
          </cell>
          <cell r="O62">
            <v>37000</v>
          </cell>
          <cell r="P62">
            <v>200000</v>
          </cell>
          <cell r="Q62">
            <v>241000</v>
          </cell>
          <cell r="R62">
            <v>349000</v>
          </cell>
          <cell r="S62">
            <v>470000</v>
          </cell>
        </row>
        <row r="63">
          <cell r="A63" t="str">
            <v>沖縄</v>
          </cell>
          <cell r="B63">
            <v>48000</v>
          </cell>
          <cell r="C63">
            <v>52000</v>
          </cell>
          <cell r="D63">
            <v>73000</v>
          </cell>
          <cell r="E63">
            <v>87000</v>
          </cell>
          <cell r="F63">
            <v>93000</v>
          </cell>
          <cell r="G63">
            <v>100000</v>
          </cell>
          <cell r="H63">
            <v>160000</v>
          </cell>
          <cell r="I63">
            <v>92190</v>
          </cell>
          <cell r="J63">
            <v>105480</v>
          </cell>
          <cell r="K63">
            <v>113810</v>
          </cell>
          <cell r="L63">
            <v>122150</v>
          </cell>
          <cell r="M63">
            <v>137110</v>
          </cell>
          <cell r="N63">
            <v>158150</v>
          </cell>
          <cell r="O63">
            <v>36000</v>
          </cell>
          <cell r="P63">
            <v>228000</v>
          </cell>
          <cell r="Q63">
            <v>270000</v>
          </cell>
          <cell r="R63">
            <v>380000</v>
          </cell>
          <cell r="S63">
            <v>590000</v>
          </cell>
        </row>
        <row r="72">
          <cell r="I72">
            <v>80</v>
          </cell>
          <cell r="J72">
            <v>90</v>
          </cell>
          <cell r="K72">
            <v>100</v>
          </cell>
          <cell r="L72">
            <v>120</v>
          </cell>
          <cell r="M72">
            <v>150</v>
          </cell>
          <cell r="N72">
            <v>200</v>
          </cell>
        </row>
        <row r="73">
          <cell r="A73" t="str">
            <v>H1500①ふた部材下</v>
          </cell>
          <cell r="B73" t="str">
            <v>H1500</v>
          </cell>
          <cell r="C73" t="str">
            <v>①ふた部材下</v>
          </cell>
          <cell r="D73">
            <v>36360</v>
          </cell>
          <cell r="E73">
            <v>63800</v>
          </cell>
          <cell r="H73" t="str">
            <v>関東</v>
          </cell>
          <cell r="I73">
            <v>1750000</v>
          </cell>
          <cell r="J73">
            <v>2000000</v>
          </cell>
          <cell r="K73">
            <v>2300000</v>
          </cell>
          <cell r="L73">
            <v>2400000</v>
          </cell>
          <cell r="M73">
            <v>2900000</v>
          </cell>
          <cell r="N73">
            <v>3300000</v>
          </cell>
        </row>
        <row r="74">
          <cell r="A74" t="str">
            <v>H1500②本体部材下</v>
          </cell>
          <cell r="B74" t="str">
            <v>H1500</v>
          </cell>
          <cell r="C74" t="str">
            <v>②本体部材下</v>
          </cell>
          <cell r="D74">
            <v>44110</v>
          </cell>
          <cell r="E74">
            <v>77400</v>
          </cell>
          <cell r="H74" t="str">
            <v>近畿</v>
          </cell>
          <cell r="I74">
            <v>1450000</v>
          </cell>
          <cell r="J74">
            <v>1620000</v>
          </cell>
          <cell r="K74">
            <v>1780000</v>
          </cell>
          <cell r="L74">
            <v>1900000</v>
          </cell>
          <cell r="M74">
            <v>2250000</v>
          </cell>
          <cell r="N74">
            <v>2800000</v>
          </cell>
        </row>
        <row r="75">
          <cell r="A75" t="str">
            <v>H2000①ふた部材下</v>
          </cell>
          <cell r="B75" t="str">
            <v>H2000</v>
          </cell>
          <cell r="C75" t="str">
            <v>①ふた部材下</v>
          </cell>
          <cell r="D75">
            <v>52250</v>
          </cell>
          <cell r="E75">
            <v>95000</v>
          </cell>
          <cell r="H75" t="str">
            <v>中部</v>
          </cell>
          <cell r="I75">
            <v>1610000</v>
          </cell>
          <cell r="J75">
            <v>1710000</v>
          </cell>
          <cell r="K75">
            <v>1900000</v>
          </cell>
          <cell r="L75">
            <v>2160000</v>
          </cell>
          <cell r="M75">
            <v>2420000</v>
          </cell>
          <cell r="N75">
            <v>2910000</v>
          </cell>
        </row>
        <row r="76">
          <cell r="A76" t="str">
            <v>H2000②本体部材下</v>
          </cell>
          <cell r="B76" t="str">
            <v>H2000</v>
          </cell>
          <cell r="C76" t="str">
            <v>②本体部材下</v>
          </cell>
          <cell r="D76">
            <v>52740</v>
          </cell>
          <cell r="E76">
            <v>95900</v>
          </cell>
          <cell r="H76" t="str">
            <v>中国</v>
          </cell>
          <cell r="I76">
            <v>1600000</v>
          </cell>
          <cell r="J76">
            <v>1700000</v>
          </cell>
          <cell r="K76">
            <v>2000000</v>
          </cell>
          <cell r="L76">
            <v>2200000</v>
          </cell>
          <cell r="M76">
            <v>2400000</v>
          </cell>
          <cell r="N76">
            <v>3050000</v>
          </cell>
        </row>
        <row r="77">
          <cell r="A77" t="str">
            <v>H2500①ふた部材下</v>
          </cell>
          <cell r="B77" t="str">
            <v>H2500</v>
          </cell>
          <cell r="C77" t="str">
            <v>①ふた部材下</v>
          </cell>
          <cell r="D77">
            <v>64460</v>
          </cell>
          <cell r="E77">
            <v>117200</v>
          </cell>
          <cell r="H77" t="str">
            <v>四国</v>
          </cell>
          <cell r="I77">
            <v>1800000</v>
          </cell>
          <cell r="J77">
            <v>2000000</v>
          </cell>
          <cell r="K77">
            <v>2200000</v>
          </cell>
          <cell r="L77">
            <v>2400000</v>
          </cell>
          <cell r="M77">
            <v>2600000</v>
          </cell>
          <cell r="N77">
            <v>3000000</v>
          </cell>
        </row>
        <row r="78">
          <cell r="A78" t="str">
            <v>H2500②本体部材下</v>
          </cell>
          <cell r="B78" t="str">
            <v>H2500</v>
          </cell>
          <cell r="C78" t="str">
            <v>②本体部材下</v>
          </cell>
          <cell r="D78">
            <v>78320</v>
          </cell>
          <cell r="E78">
            <v>142400</v>
          </cell>
          <cell r="H78" t="str">
            <v>北陸</v>
          </cell>
          <cell r="I78">
            <v>1700000</v>
          </cell>
          <cell r="J78">
            <v>2000000</v>
          </cell>
          <cell r="K78">
            <v>2040000</v>
          </cell>
          <cell r="L78">
            <v>2400000</v>
          </cell>
          <cell r="M78">
            <v>2400000</v>
          </cell>
          <cell r="N78">
            <v>3000000</v>
          </cell>
        </row>
        <row r="79">
          <cell r="A79" t="str">
            <v>H3000①ふた部材下</v>
          </cell>
          <cell r="B79" t="str">
            <v>H3000</v>
          </cell>
          <cell r="C79" t="str">
            <v>①ふた部材下</v>
          </cell>
          <cell r="D79">
            <v>70560</v>
          </cell>
          <cell r="E79">
            <v>128300</v>
          </cell>
          <cell r="H79" t="str">
            <v>東北</v>
          </cell>
          <cell r="I79">
            <v>1800000</v>
          </cell>
          <cell r="J79">
            <v>2000000</v>
          </cell>
          <cell r="K79">
            <v>2300000</v>
          </cell>
          <cell r="L79">
            <v>2400000</v>
          </cell>
          <cell r="M79">
            <v>2800000</v>
          </cell>
          <cell r="N79">
            <v>3300000</v>
          </cell>
        </row>
        <row r="80">
          <cell r="A80" t="str">
            <v>H3000②本体部材下</v>
          </cell>
          <cell r="B80" t="str">
            <v>H3000</v>
          </cell>
          <cell r="C80" t="str">
            <v>②本体部材下</v>
          </cell>
          <cell r="D80">
            <v>85090</v>
          </cell>
          <cell r="E80">
            <v>172900</v>
          </cell>
          <cell r="H80" t="str">
            <v>九州</v>
          </cell>
          <cell r="I80">
            <v>1690000</v>
          </cell>
          <cell r="J80">
            <v>1870000</v>
          </cell>
          <cell r="K80">
            <v>2080000</v>
          </cell>
          <cell r="L80">
            <v>2320000</v>
          </cell>
          <cell r="M80">
            <v>2430000</v>
          </cell>
          <cell r="N80">
            <v>2950000</v>
          </cell>
        </row>
        <row r="81">
          <cell r="A81" t="str">
            <v>H3500①ふた部材下</v>
          </cell>
          <cell r="B81" t="str">
            <v>H3500</v>
          </cell>
          <cell r="C81" t="str">
            <v>①ふた部材下</v>
          </cell>
          <cell r="D81">
            <v>87720</v>
          </cell>
          <cell r="E81">
            <v>159500</v>
          </cell>
          <cell r="H81" t="str">
            <v>沖縄</v>
          </cell>
          <cell r="I81">
            <v>2000000</v>
          </cell>
          <cell r="J81">
            <v>2300000</v>
          </cell>
          <cell r="K81">
            <v>2500000</v>
          </cell>
          <cell r="L81">
            <v>2700000</v>
          </cell>
          <cell r="M81">
            <v>3000000</v>
          </cell>
          <cell r="N81">
            <v>3500000</v>
          </cell>
        </row>
        <row r="82">
          <cell r="A82" t="str">
            <v>H3500②本体部材下</v>
          </cell>
          <cell r="B82" t="str">
            <v>H3500</v>
          </cell>
          <cell r="C82" t="str">
            <v>②本体部材下</v>
          </cell>
          <cell r="D82">
            <v>109570</v>
          </cell>
          <cell r="E82">
            <v>217400</v>
          </cell>
        </row>
        <row r="83">
          <cell r="A83" t="str">
            <v>H4000①ふた部材下</v>
          </cell>
          <cell r="B83" t="str">
            <v>H4000</v>
          </cell>
          <cell r="C83" t="str">
            <v>①ふた部材下</v>
          </cell>
          <cell r="D83">
            <v>104880</v>
          </cell>
          <cell r="E83">
            <v>190700</v>
          </cell>
        </row>
        <row r="84">
          <cell r="A84" t="str">
            <v>H4000②本体部材下</v>
          </cell>
          <cell r="B84" t="str">
            <v>H4000</v>
          </cell>
          <cell r="C84" t="str">
            <v>②本体部材下</v>
          </cell>
          <cell r="D84">
            <v>127390</v>
          </cell>
          <cell r="E84">
            <v>249800</v>
          </cell>
        </row>
        <row r="85">
          <cell r="A85" t="str">
            <v>H4500①ふた部材下</v>
          </cell>
          <cell r="B85" t="str">
            <v>H4500</v>
          </cell>
          <cell r="C85" t="str">
            <v>①ふた部材下</v>
          </cell>
          <cell r="D85">
            <v>110990</v>
          </cell>
          <cell r="E85">
            <v>201800</v>
          </cell>
        </row>
        <row r="86">
          <cell r="A86" t="str">
            <v>H4500②本体部材下</v>
          </cell>
          <cell r="B86" t="str">
            <v>H4500</v>
          </cell>
          <cell r="C86" t="str">
            <v>②本体部材下</v>
          </cell>
          <cell r="D86">
            <v>147560</v>
          </cell>
          <cell r="E86">
            <v>268300</v>
          </cell>
        </row>
        <row r="87">
          <cell r="A87" t="str">
            <v>リアガード3段</v>
          </cell>
          <cell r="B87" t="str">
            <v>3段</v>
          </cell>
          <cell r="C87" t="str">
            <v>-</v>
          </cell>
          <cell r="D87">
            <v>45000</v>
          </cell>
          <cell r="E87">
            <v>60000</v>
          </cell>
        </row>
        <row r="88">
          <cell r="A88" t="str">
            <v>リアガード4段</v>
          </cell>
          <cell r="B88" t="str">
            <v>4段</v>
          </cell>
          <cell r="C88" t="str">
            <v>-</v>
          </cell>
          <cell r="D88">
            <v>60000</v>
          </cell>
          <cell r="E88">
            <v>80000</v>
          </cell>
        </row>
        <row r="89">
          <cell r="A89" t="str">
            <v>リアガード5段</v>
          </cell>
          <cell r="B89" t="str">
            <v>5段</v>
          </cell>
          <cell r="C89" t="str">
            <v>-</v>
          </cell>
          <cell r="D89">
            <v>75000</v>
          </cell>
          <cell r="E89">
            <v>100000</v>
          </cell>
        </row>
      </sheetData>
      <sheetData sheetId="10" refreshError="1">
        <row r="1">
          <cell r="A1">
            <v>2018</v>
          </cell>
        </row>
        <row r="3">
          <cell r="C3" t="str">
            <v>特殊作業員</v>
          </cell>
          <cell r="D3" t="str">
            <v>普通作業員</v>
          </cell>
          <cell r="E3" t="str">
            <v>軽作業員</v>
          </cell>
          <cell r="F3" t="str">
            <v>とび工</v>
          </cell>
          <cell r="G3" t="str">
            <v>ブロック工</v>
          </cell>
          <cell r="H3" t="str">
            <v>運転手（特殊）</v>
          </cell>
          <cell r="I3" t="str">
            <v>橋りょう世話役</v>
          </cell>
          <cell r="J3" t="str">
            <v>世話役</v>
          </cell>
          <cell r="K3" t="str">
            <v>型わく工</v>
          </cell>
          <cell r="L3" t="str">
            <v>左官</v>
          </cell>
          <cell r="M3" t="str">
            <v>防水工</v>
          </cell>
          <cell r="N3" t="str">
            <v>鉄筋工</v>
          </cell>
          <cell r="O3" t="str">
            <v>塗装工</v>
          </cell>
          <cell r="P3" t="str">
            <v>運転手（一般）</v>
          </cell>
          <cell r="Q3" t="str">
            <v>大工</v>
          </cell>
          <cell r="R3" t="str">
            <v>はつり工</v>
          </cell>
          <cell r="S3" t="str">
            <v>交通誘導員A</v>
          </cell>
          <cell r="T3" t="str">
            <v>交通誘導員B</v>
          </cell>
          <cell r="U3" t="str">
            <v>地域</v>
          </cell>
        </row>
        <row r="4">
          <cell r="B4" t="str">
            <v>北海道</v>
          </cell>
          <cell r="C4">
            <v>20500</v>
          </cell>
          <cell r="D4">
            <v>16900</v>
          </cell>
          <cell r="E4">
            <v>14000</v>
          </cell>
          <cell r="F4">
            <v>22600</v>
          </cell>
          <cell r="G4">
            <v>21600</v>
          </cell>
          <cell r="H4">
            <v>20200</v>
          </cell>
          <cell r="I4">
            <v>36700</v>
          </cell>
          <cell r="J4">
            <v>21500</v>
          </cell>
          <cell r="K4">
            <v>22300</v>
          </cell>
          <cell r="L4">
            <v>23900</v>
          </cell>
          <cell r="M4">
            <v>25100</v>
          </cell>
          <cell r="N4">
            <v>23100</v>
          </cell>
          <cell r="O4">
            <v>23100</v>
          </cell>
          <cell r="P4">
            <v>17200</v>
          </cell>
          <cell r="Q4">
            <v>23900</v>
          </cell>
          <cell r="R4">
            <v>24200</v>
          </cell>
          <cell r="S4">
            <v>13700</v>
          </cell>
          <cell r="T4">
            <v>11600</v>
          </cell>
          <cell r="U4" t="str">
            <v>北海道</v>
          </cell>
        </row>
        <row r="5">
          <cell r="B5" t="str">
            <v>青森</v>
          </cell>
          <cell r="C5">
            <v>23800</v>
          </cell>
          <cell r="D5">
            <v>17500</v>
          </cell>
          <cell r="E5">
            <v>13400</v>
          </cell>
          <cell r="F5">
            <v>23600</v>
          </cell>
          <cell r="G5">
            <v>25400</v>
          </cell>
          <cell r="H5">
            <v>25700</v>
          </cell>
          <cell r="I5">
            <v>35600</v>
          </cell>
          <cell r="J5">
            <v>25600</v>
          </cell>
          <cell r="K5">
            <v>28500</v>
          </cell>
          <cell r="L5">
            <v>25500</v>
          </cell>
          <cell r="M5">
            <v>22300</v>
          </cell>
          <cell r="N5">
            <v>25100</v>
          </cell>
          <cell r="O5">
            <v>21100</v>
          </cell>
          <cell r="P5">
            <v>23400</v>
          </cell>
          <cell r="Q5">
            <v>25300</v>
          </cell>
          <cell r="R5">
            <v>23500</v>
          </cell>
          <cell r="S5">
            <v>12700</v>
          </cell>
          <cell r="T5">
            <v>11200</v>
          </cell>
          <cell r="U5" t="str">
            <v>東北</v>
          </cell>
        </row>
        <row r="6">
          <cell r="B6" t="str">
            <v>岩手</v>
          </cell>
          <cell r="C6">
            <v>22900</v>
          </cell>
          <cell r="D6">
            <v>18900</v>
          </cell>
          <cell r="E6">
            <v>13900</v>
          </cell>
          <cell r="F6">
            <v>22600</v>
          </cell>
          <cell r="G6">
            <v>26600</v>
          </cell>
          <cell r="H6">
            <v>25400</v>
          </cell>
          <cell r="I6">
            <v>36800</v>
          </cell>
          <cell r="J6">
            <v>25500</v>
          </cell>
          <cell r="K6">
            <v>28700</v>
          </cell>
          <cell r="L6">
            <v>27000</v>
          </cell>
          <cell r="M6">
            <v>22400</v>
          </cell>
          <cell r="N6">
            <v>24900</v>
          </cell>
          <cell r="O6">
            <v>22000</v>
          </cell>
          <cell r="P6">
            <v>21500</v>
          </cell>
          <cell r="Q6">
            <v>25900</v>
          </cell>
          <cell r="R6">
            <v>23500</v>
          </cell>
          <cell r="S6">
            <v>13600</v>
          </cell>
          <cell r="T6">
            <v>11800</v>
          </cell>
          <cell r="U6" t="str">
            <v>東北</v>
          </cell>
        </row>
        <row r="7">
          <cell r="B7" t="str">
            <v>宮城</v>
          </cell>
          <cell r="C7">
            <v>24200</v>
          </cell>
          <cell r="D7">
            <v>18800</v>
          </cell>
          <cell r="E7">
            <v>14900</v>
          </cell>
          <cell r="F7">
            <v>25600</v>
          </cell>
          <cell r="G7">
            <v>27300</v>
          </cell>
          <cell r="H7">
            <v>26600</v>
          </cell>
          <cell r="I7">
            <v>40100</v>
          </cell>
          <cell r="J7">
            <v>25600</v>
          </cell>
          <cell r="K7">
            <v>32300</v>
          </cell>
          <cell r="L7">
            <v>29200</v>
          </cell>
          <cell r="M7">
            <v>24400</v>
          </cell>
          <cell r="N7">
            <v>29900</v>
          </cell>
          <cell r="O7">
            <v>25700</v>
          </cell>
          <cell r="P7">
            <v>23900</v>
          </cell>
          <cell r="Q7">
            <v>28100</v>
          </cell>
          <cell r="R7">
            <v>23200</v>
          </cell>
          <cell r="S7">
            <v>14900</v>
          </cell>
          <cell r="T7">
            <v>12700</v>
          </cell>
          <cell r="U7" t="str">
            <v>東北</v>
          </cell>
        </row>
        <row r="8">
          <cell r="B8" t="str">
            <v>秋田</v>
          </cell>
          <cell r="C8">
            <v>22400</v>
          </cell>
          <cell r="D8">
            <v>17700</v>
          </cell>
          <cell r="E8">
            <v>14300</v>
          </cell>
          <cell r="F8">
            <v>23300</v>
          </cell>
          <cell r="G8">
            <v>26600</v>
          </cell>
          <cell r="H8">
            <v>24700</v>
          </cell>
          <cell r="I8">
            <v>36600</v>
          </cell>
          <cell r="J8">
            <v>26400</v>
          </cell>
          <cell r="K8">
            <v>25600</v>
          </cell>
          <cell r="L8">
            <v>25700</v>
          </cell>
          <cell r="M8">
            <v>22800</v>
          </cell>
          <cell r="N8">
            <v>25600</v>
          </cell>
          <cell r="O8">
            <v>22700</v>
          </cell>
          <cell r="P8">
            <v>23900</v>
          </cell>
          <cell r="Q8">
            <v>27800</v>
          </cell>
          <cell r="R8">
            <v>23500</v>
          </cell>
          <cell r="S8">
            <v>12800</v>
          </cell>
          <cell r="T8">
            <v>11000</v>
          </cell>
          <cell r="U8" t="str">
            <v>東北</v>
          </cell>
        </row>
        <row r="9">
          <cell r="B9" t="str">
            <v>山形</v>
          </cell>
          <cell r="C9">
            <v>22500</v>
          </cell>
          <cell r="D9">
            <v>17700</v>
          </cell>
          <cell r="E9">
            <v>15000</v>
          </cell>
          <cell r="F9">
            <v>23400</v>
          </cell>
          <cell r="G9">
            <v>27400</v>
          </cell>
          <cell r="H9">
            <v>23400</v>
          </cell>
          <cell r="I9">
            <v>35800</v>
          </cell>
          <cell r="J9">
            <v>24700</v>
          </cell>
          <cell r="K9">
            <v>26100</v>
          </cell>
          <cell r="L9">
            <v>25300</v>
          </cell>
          <cell r="M9">
            <v>25500</v>
          </cell>
          <cell r="N9">
            <v>26100</v>
          </cell>
          <cell r="O9">
            <v>25300</v>
          </cell>
          <cell r="P9">
            <v>21200</v>
          </cell>
          <cell r="Q9">
            <v>24200</v>
          </cell>
          <cell r="R9">
            <v>23500</v>
          </cell>
          <cell r="S9">
            <v>14500</v>
          </cell>
          <cell r="T9">
            <v>12400</v>
          </cell>
          <cell r="U9" t="str">
            <v>東北</v>
          </cell>
        </row>
        <row r="10">
          <cell r="B10" t="str">
            <v>福島</v>
          </cell>
          <cell r="C10">
            <v>24300</v>
          </cell>
          <cell r="D10">
            <v>18700</v>
          </cell>
          <cell r="E10">
            <v>16200</v>
          </cell>
          <cell r="F10">
            <v>25400</v>
          </cell>
          <cell r="G10">
            <v>27800</v>
          </cell>
          <cell r="H10">
            <v>22600</v>
          </cell>
          <cell r="I10">
            <v>35800</v>
          </cell>
          <cell r="J10">
            <v>23300</v>
          </cell>
          <cell r="K10">
            <v>24200</v>
          </cell>
          <cell r="L10">
            <v>25400</v>
          </cell>
          <cell r="M10">
            <v>25200</v>
          </cell>
          <cell r="N10">
            <v>26400</v>
          </cell>
          <cell r="O10">
            <v>25400</v>
          </cell>
          <cell r="P10">
            <v>20400</v>
          </cell>
          <cell r="Q10">
            <v>26900</v>
          </cell>
          <cell r="R10">
            <v>23300</v>
          </cell>
          <cell r="S10">
            <v>14900</v>
          </cell>
          <cell r="T10">
            <v>12700</v>
          </cell>
          <cell r="U10" t="str">
            <v>東北</v>
          </cell>
        </row>
        <row r="11">
          <cell r="B11" t="str">
            <v>茨城</v>
          </cell>
          <cell r="C11">
            <v>21500</v>
          </cell>
          <cell r="D11">
            <v>19900</v>
          </cell>
          <cell r="E11">
            <v>13900</v>
          </cell>
          <cell r="F11">
            <v>25300</v>
          </cell>
          <cell r="G11">
            <v>25100</v>
          </cell>
          <cell r="H11">
            <v>23300</v>
          </cell>
          <cell r="I11">
            <v>33000</v>
          </cell>
          <cell r="J11">
            <v>23100</v>
          </cell>
          <cell r="K11">
            <v>24500</v>
          </cell>
          <cell r="L11">
            <v>26400</v>
          </cell>
          <cell r="M11">
            <v>26600</v>
          </cell>
          <cell r="N11">
            <v>24800</v>
          </cell>
          <cell r="O11">
            <v>24600</v>
          </cell>
          <cell r="P11">
            <v>19200</v>
          </cell>
          <cell r="Q11">
            <v>25600</v>
          </cell>
          <cell r="R11">
            <v>24600</v>
          </cell>
          <cell r="S11">
            <v>14400</v>
          </cell>
          <cell r="T11">
            <v>13100</v>
          </cell>
          <cell r="U11" t="str">
            <v>関東</v>
          </cell>
        </row>
        <row r="12">
          <cell r="B12" t="str">
            <v>栃木</v>
          </cell>
          <cell r="C12">
            <v>21300</v>
          </cell>
          <cell r="D12">
            <v>18700</v>
          </cell>
          <cell r="E12">
            <v>13800</v>
          </cell>
          <cell r="F12">
            <v>24000</v>
          </cell>
          <cell r="G12">
            <v>25200</v>
          </cell>
          <cell r="H12">
            <v>21000</v>
          </cell>
          <cell r="I12">
            <v>33400</v>
          </cell>
          <cell r="J12">
            <v>23000</v>
          </cell>
          <cell r="K12">
            <v>24400</v>
          </cell>
          <cell r="L12">
            <v>26700</v>
          </cell>
          <cell r="M12">
            <v>27500</v>
          </cell>
          <cell r="N12">
            <v>24900</v>
          </cell>
          <cell r="O12">
            <v>26000</v>
          </cell>
          <cell r="P12">
            <v>20000</v>
          </cell>
          <cell r="Q12">
            <v>26000</v>
          </cell>
          <cell r="R12">
            <v>24800</v>
          </cell>
          <cell r="S12">
            <v>14000</v>
          </cell>
          <cell r="T12">
            <v>12100</v>
          </cell>
          <cell r="U12" t="str">
            <v>関東</v>
          </cell>
        </row>
        <row r="13">
          <cell r="B13" t="str">
            <v>群馬</v>
          </cell>
          <cell r="C13">
            <v>21300</v>
          </cell>
          <cell r="D13">
            <v>19700</v>
          </cell>
          <cell r="E13">
            <v>14700</v>
          </cell>
          <cell r="F13">
            <v>22800</v>
          </cell>
          <cell r="G13">
            <v>25000</v>
          </cell>
          <cell r="H13">
            <v>21300</v>
          </cell>
          <cell r="I13">
            <v>33300</v>
          </cell>
          <cell r="J13">
            <v>23100</v>
          </cell>
          <cell r="K13">
            <v>24200</v>
          </cell>
          <cell r="L13">
            <v>23500</v>
          </cell>
          <cell r="M13">
            <v>25300</v>
          </cell>
          <cell r="N13">
            <v>24100</v>
          </cell>
          <cell r="O13">
            <v>22600</v>
          </cell>
          <cell r="P13">
            <v>17900</v>
          </cell>
          <cell r="Q13">
            <v>25100</v>
          </cell>
          <cell r="R13">
            <v>24800</v>
          </cell>
          <cell r="S13">
            <v>13400</v>
          </cell>
          <cell r="T13">
            <v>11800</v>
          </cell>
          <cell r="U13" t="str">
            <v>関東</v>
          </cell>
        </row>
        <row r="14">
          <cell r="B14" t="str">
            <v>埼玉</v>
          </cell>
          <cell r="C14">
            <v>22900</v>
          </cell>
          <cell r="D14">
            <v>20200</v>
          </cell>
          <cell r="E14">
            <v>14600</v>
          </cell>
          <cell r="F14">
            <v>26400</v>
          </cell>
          <cell r="G14">
            <v>25300</v>
          </cell>
          <cell r="H14">
            <v>24200</v>
          </cell>
          <cell r="I14">
            <v>33600</v>
          </cell>
          <cell r="J14">
            <v>23400</v>
          </cell>
          <cell r="K14">
            <v>25600</v>
          </cell>
          <cell r="L14">
            <v>26500</v>
          </cell>
          <cell r="M14">
            <v>28500</v>
          </cell>
          <cell r="N14">
            <v>26700</v>
          </cell>
          <cell r="O14">
            <v>26400</v>
          </cell>
          <cell r="P14">
            <v>21100</v>
          </cell>
          <cell r="Q14">
            <v>25300</v>
          </cell>
          <cell r="R14">
            <v>24800</v>
          </cell>
          <cell r="S14">
            <v>14300</v>
          </cell>
          <cell r="T14">
            <v>12600</v>
          </cell>
          <cell r="U14" t="str">
            <v>関東</v>
          </cell>
        </row>
        <row r="15">
          <cell r="B15" t="str">
            <v>千葉</v>
          </cell>
          <cell r="C15">
            <v>23700</v>
          </cell>
          <cell r="D15">
            <v>19900</v>
          </cell>
          <cell r="E15">
            <v>14500</v>
          </cell>
          <cell r="F15">
            <v>27300</v>
          </cell>
          <cell r="G15">
            <v>25300</v>
          </cell>
          <cell r="H15">
            <v>23600</v>
          </cell>
          <cell r="I15">
            <v>33600</v>
          </cell>
          <cell r="J15">
            <v>23900</v>
          </cell>
          <cell r="K15">
            <v>24800</v>
          </cell>
          <cell r="L15">
            <v>27000</v>
          </cell>
          <cell r="M15">
            <v>28600</v>
          </cell>
          <cell r="N15">
            <v>27700</v>
          </cell>
          <cell r="O15">
            <v>26600</v>
          </cell>
          <cell r="P15">
            <v>21000</v>
          </cell>
          <cell r="Q15">
            <v>25300</v>
          </cell>
          <cell r="R15">
            <v>24800</v>
          </cell>
          <cell r="S15">
            <v>14700</v>
          </cell>
          <cell r="T15">
            <v>12800</v>
          </cell>
          <cell r="U15" t="str">
            <v>関東</v>
          </cell>
        </row>
        <row r="16">
          <cell r="B16" t="str">
            <v>東京</v>
          </cell>
          <cell r="C16">
            <v>24200</v>
          </cell>
          <cell r="D16">
            <v>21100</v>
          </cell>
          <cell r="E16">
            <v>15100</v>
          </cell>
          <cell r="F16">
            <v>27000</v>
          </cell>
          <cell r="G16">
            <v>25300</v>
          </cell>
          <cell r="H16">
            <v>23800</v>
          </cell>
          <cell r="I16">
            <v>34000</v>
          </cell>
          <cell r="J16">
            <v>24600</v>
          </cell>
          <cell r="K16">
            <v>25700</v>
          </cell>
          <cell r="L16">
            <v>27300</v>
          </cell>
          <cell r="M16">
            <v>29600</v>
          </cell>
          <cell r="N16">
            <v>27200</v>
          </cell>
          <cell r="O16">
            <v>27900</v>
          </cell>
          <cell r="P16">
            <v>19700</v>
          </cell>
          <cell r="Q16">
            <v>25300</v>
          </cell>
          <cell r="R16">
            <v>24800</v>
          </cell>
          <cell r="S16">
            <v>15200</v>
          </cell>
          <cell r="T16">
            <v>13200</v>
          </cell>
          <cell r="U16" t="str">
            <v>関東</v>
          </cell>
        </row>
        <row r="17">
          <cell r="B17" t="str">
            <v>神奈川</v>
          </cell>
          <cell r="C17">
            <v>24400</v>
          </cell>
          <cell r="D17">
            <v>21100</v>
          </cell>
          <cell r="E17">
            <v>14800</v>
          </cell>
          <cell r="F17">
            <v>27100</v>
          </cell>
          <cell r="G17">
            <v>25100</v>
          </cell>
          <cell r="H17">
            <v>24700</v>
          </cell>
          <cell r="I17">
            <v>33200</v>
          </cell>
          <cell r="J17">
            <v>25100</v>
          </cell>
          <cell r="K17">
            <v>25600</v>
          </cell>
          <cell r="L17">
            <v>26600</v>
          </cell>
          <cell r="M17">
            <v>27100</v>
          </cell>
          <cell r="N17">
            <v>25600</v>
          </cell>
          <cell r="O17">
            <v>27900</v>
          </cell>
          <cell r="P17">
            <v>21100</v>
          </cell>
          <cell r="Q17">
            <v>25300</v>
          </cell>
          <cell r="R17">
            <v>24800</v>
          </cell>
          <cell r="S17">
            <v>15100</v>
          </cell>
          <cell r="T17">
            <v>13200</v>
          </cell>
          <cell r="U17" t="str">
            <v>関東</v>
          </cell>
        </row>
        <row r="18">
          <cell r="B18" t="str">
            <v>山梨</v>
          </cell>
          <cell r="C18">
            <v>23300</v>
          </cell>
          <cell r="D18">
            <v>21000</v>
          </cell>
          <cell r="E18">
            <v>14500</v>
          </cell>
          <cell r="F18">
            <v>24200</v>
          </cell>
          <cell r="G18">
            <v>24900</v>
          </cell>
          <cell r="H18">
            <v>23800</v>
          </cell>
          <cell r="I18">
            <v>32700</v>
          </cell>
          <cell r="J18">
            <v>23800</v>
          </cell>
          <cell r="K18">
            <v>25700</v>
          </cell>
          <cell r="L18">
            <v>26200</v>
          </cell>
          <cell r="M18">
            <v>26700</v>
          </cell>
          <cell r="N18">
            <v>25100</v>
          </cell>
          <cell r="O18">
            <v>26400</v>
          </cell>
          <cell r="P18">
            <v>20600</v>
          </cell>
          <cell r="Q18">
            <v>25400</v>
          </cell>
          <cell r="R18">
            <v>24800</v>
          </cell>
          <cell r="S18">
            <v>13800</v>
          </cell>
          <cell r="T18">
            <v>12100</v>
          </cell>
          <cell r="U18" t="str">
            <v>関東</v>
          </cell>
        </row>
        <row r="19">
          <cell r="B19" t="str">
            <v>長野</v>
          </cell>
          <cell r="C19">
            <v>22500</v>
          </cell>
          <cell r="D19">
            <v>19400</v>
          </cell>
          <cell r="E19">
            <v>15400</v>
          </cell>
          <cell r="F19">
            <v>23900</v>
          </cell>
          <cell r="G19">
            <v>23600</v>
          </cell>
          <cell r="H19">
            <v>21400</v>
          </cell>
          <cell r="I19">
            <v>32500</v>
          </cell>
          <cell r="J19">
            <v>23200</v>
          </cell>
          <cell r="K19">
            <v>22700</v>
          </cell>
          <cell r="L19">
            <v>22800</v>
          </cell>
          <cell r="M19">
            <v>25100</v>
          </cell>
          <cell r="N19">
            <v>23600</v>
          </cell>
          <cell r="O19">
            <v>23800</v>
          </cell>
          <cell r="P19">
            <v>18600</v>
          </cell>
          <cell r="Q19">
            <v>25000</v>
          </cell>
          <cell r="R19">
            <v>25100</v>
          </cell>
          <cell r="S19">
            <v>12800</v>
          </cell>
          <cell r="T19">
            <v>10900</v>
          </cell>
          <cell r="U19" t="str">
            <v>関東</v>
          </cell>
        </row>
        <row r="20">
          <cell r="B20" t="str">
            <v>新潟</v>
          </cell>
          <cell r="C20">
            <v>22000</v>
          </cell>
          <cell r="D20">
            <v>18600</v>
          </cell>
          <cell r="E20">
            <v>16300</v>
          </cell>
          <cell r="F20">
            <v>23300</v>
          </cell>
          <cell r="G20">
            <v>23900</v>
          </cell>
          <cell r="H20">
            <v>21800</v>
          </cell>
          <cell r="I20">
            <v>33000</v>
          </cell>
          <cell r="J20">
            <v>21400</v>
          </cell>
          <cell r="K20">
            <v>23200</v>
          </cell>
          <cell r="L20">
            <v>23200</v>
          </cell>
          <cell r="M20">
            <v>23600</v>
          </cell>
          <cell r="N20">
            <v>24400</v>
          </cell>
          <cell r="O20">
            <v>23800</v>
          </cell>
          <cell r="P20">
            <v>19100</v>
          </cell>
          <cell r="Q20">
            <v>23600</v>
          </cell>
          <cell r="R20">
            <v>23000</v>
          </cell>
          <cell r="S20">
            <v>14200</v>
          </cell>
          <cell r="T20">
            <v>12400</v>
          </cell>
          <cell r="U20" t="str">
            <v>北陸</v>
          </cell>
        </row>
        <row r="21">
          <cell r="B21" t="str">
            <v>富山</v>
          </cell>
          <cell r="C21">
            <v>24500</v>
          </cell>
          <cell r="D21">
            <v>19700</v>
          </cell>
          <cell r="E21">
            <v>15200</v>
          </cell>
          <cell r="F21">
            <v>26100</v>
          </cell>
          <cell r="G21">
            <v>24900</v>
          </cell>
          <cell r="H21">
            <v>23000</v>
          </cell>
          <cell r="I21">
            <v>33900</v>
          </cell>
          <cell r="J21">
            <v>22700</v>
          </cell>
          <cell r="K21">
            <v>25700</v>
          </cell>
          <cell r="L21">
            <v>24000</v>
          </cell>
          <cell r="M21">
            <v>23600</v>
          </cell>
          <cell r="N21">
            <v>26300</v>
          </cell>
          <cell r="O21">
            <v>25400</v>
          </cell>
          <cell r="P21">
            <v>19100</v>
          </cell>
          <cell r="Q21">
            <v>24200</v>
          </cell>
          <cell r="R21">
            <v>22900</v>
          </cell>
          <cell r="S21">
            <v>14100</v>
          </cell>
          <cell r="T21">
            <v>12800</v>
          </cell>
          <cell r="U21" t="str">
            <v>北陸</v>
          </cell>
        </row>
        <row r="22">
          <cell r="B22" t="str">
            <v>石川</v>
          </cell>
          <cell r="C22">
            <v>23600</v>
          </cell>
          <cell r="D22">
            <v>20300</v>
          </cell>
          <cell r="E22">
            <v>15100</v>
          </cell>
          <cell r="F22">
            <v>26100</v>
          </cell>
          <cell r="G22">
            <v>24900</v>
          </cell>
          <cell r="H22">
            <v>22500</v>
          </cell>
          <cell r="I22">
            <v>34400</v>
          </cell>
          <cell r="J22">
            <v>24200</v>
          </cell>
          <cell r="K22">
            <v>25100</v>
          </cell>
          <cell r="L22">
            <v>23500</v>
          </cell>
          <cell r="M22">
            <v>24500</v>
          </cell>
          <cell r="N22">
            <v>25800</v>
          </cell>
          <cell r="O22">
            <v>24900</v>
          </cell>
          <cell r="P22">
            <v>19900</v>
          </cell>
          <cell r="Q22">
            <v>24100</v>
          </cell>
          <cell r="R22">
            <v>22900</v>
          </cell>
          <cell r="S22">
            <v>14600</v>
          </cell>
          <cell r="T22">
            <v>12700</v>
          </cell>
          <cell r="U22" t="str">
            <v>北陸</v>
          </cell>
        </row>
        <row r="23">
          <cell r="B23" t="str">
            <v>岐阜</v>
          </cell>
          <cell r="C23">
            <v>22200</v>
          </cell>
          <cell r="D23">
            <v>19800</v>
          </cell>
          <cell r="E23">
            <v>14700</v>
          </cell>
          <cell r="F23">
            <v>25400</v>
          </cell>
          <cell r="G23">
            <v>26300</v>
          </cell>
          <cell r="H23">
            <v>23000</v>
          </cell>
          <cell r="I23">
            <v>32800</v>
          </cell>
          <cell r="J23">
            <v>23600</v>
          </cell>
          <cell r="K23">
            <v>26000</v>
          </cell>
          <cell r="L23">
            <v>23600</v>
          </cell>
          <cell r="M23">
            <v>24100</v>
          </cell>
          <cell r="N23">
            <v>24300</v>
          </cell>
          <cell r="O23">
            <v>24600</v>
          </cell>
          <cell r="P23">
            <v>19900</v>
          </cell>
          <cell r="Q23">
            <v>26200</v>
          </cell>
          <cell r="R23">
            <v>24800</v>
          </cell>
          <cell r="S23">
            <v>14200</v>
          </cell>
          <cell r="T23">
            <v>12800</v>
          </cell>
          <cell r="U23" t="str">
            <v>中部</v>
          </cell>
        </row>
        <row r="24">
          <cell r="B24" t="str">
            <v>静岡</v>
          </cell>
          <cell r="C24">
            <v>22000</v>
          </cell>
          <cell r="D24">
            <v>20900</v>
          </cell>
          <cell r="E24">
            <v>13400</v>
          </cell>
          <cell r="F24">
            <v>24600</v>
          </cell>
          <cell r="G24">
            <v>27500</v>
          </cell>
          <cell r="H24">
            <v>22500</v>
          </cell>
          <cell r="I24">
            <v>33100</v>
          </cell>
          <cell r="J24">
            <v>23800</v>
          </cell>
          <cell r="K24">
            <v>24600</v>
          </cell>
          <cell r="L24">
            <v>25000</v>
          </cell>
          <cell r="M24">
            <v>26500</v>
          </cell>
          <cell r="N24">
            <v>24900</v>
          </cell>
          <cell r="O24">
            <v>26200</v>
          </cell>
          <cell r="P24">
            <v>20200</v>
          </cell>
          <cell r="Q24">
            <v>26200</v>
          </cell>
          <cell r="R24">
            <v>24900</v>
          </cell>
          <cell r="S24">
            <v>14700</v>
          </cell>
          <cell r="T24">
            <v>12700</v>
          </cell>
          <cell r="U24" t="str">
            <v>中部</v>
          </cell>
        </row>
        <row r="25">
          <cell r="B25" t="str">
            <v>愛知</v>
          </cell>
          <cell r="C25">
            <v>23100</v>
          </cell>
          <cell r="D25">
            <v>19800</v>
          </cell>
          <cell r="E25">
            <v>15100</v>
          </cell>
          <cell r="F25">
            <v>26100</v>
          </cell>
          <cell r="G25">
            <v>27500</v>
          </cell>
          <cell r="H25">
            <v>22700</v>
          </cell>
          <cell r="I25">
            <v>32400</v>
          </cell>
          <cell r="J25">
            <v>23600</v>
          </cell>
          <cell r="K25">
            <v>26300</v>
          </cell>
          <cell r="L25">
            <v>24300</v>
          </cell>
          <cell r="M25">
            <v>26000</v>
          </cell>
          <cell r="N25">
            <v>24300</v>
          </cell>
          <cell r="O25">
            <v>25700</v>
          </cell>
          <cell r="P25">
            <v>20500</v>
          </cell>
          <cell r="Q25">
            <v>26200</v>
          </cell>
          <cell r="R25">
            <v>24800</v>
          </cell>
          <cell r="S25">
            <v>15100</v>
          </cell>
          <cell r="T25">
            <v>13000</v>
          </cell>
          <cell r="U25" t="str">
            <v>中部</v>
          </cell>
        </row>
        <row r="26">
          <cell r="B26" t="str">
            <v>三重</v>
          </cell>
          <cell r="C26">
            <v>22100</v>
          </cell>
          <cell r="D26">
            <v>19100</v>
          </cell>
          <cell r="E26">
            <v>14300</v>
          </cell>
          <cell r="F26">
            <v>26700</v>
          </cell>
          <cell r="G26">
            <v>24900</v>
          </cell>
          <cell r="H26">
            <v>22300</v>
          </cell>
          <cell r="I26">
            <v>33700</v>
          </cell>
          <cell r="J26">
            <v>22800</v>
          </cell>
          <cell r="K26">
            <v>24600</v>
          </cell>
          <cell r="L26">
            <v>23800</v>
          </cell>
          <cell r="M26">
            <v>25900</v>
          </cell>
          <cell r="N26">
            <v>24600</v>
          </cell>
          <cell r="O26">
            <v>25000</v>
          </cell>
          <cell r="P26">
            <v>19700</v>
          </cell>
          <cell r="Q26">
            <v>26200</v>
          </cell>
          <cell r="R26">
            <v>24900</v>
          </cell>
          <cell r="S26">
            <v>14400</v>
          </cell>
          <cell r="T26">
            <v>12400</v>
          </cell>
          <cell r="U26" t="str">
            <v>中部</v>
          </cell>
        </row>
        <row r="27">
          <cell r="B27" t="str">
            <v>福井</v>
          </cell>
          <cell r="C27">
            <v>20100</v>
          </cell>
          <cell r="D27">
            <v>17100</v>
          </cell>
          <cell r="E27">
            <v>13000</v>
          </cell>
          <cell r="F27">
            <v>21800</v>
          </cell>
          <cell r="G27">
            <v>22200</v>
          </cell>
          <cell r="H27">
            <v>19400</v>
          </cell>
          <cell r="I27">
            <v>32100</v>
          </cell>
          <cell r="J27">
            <v>22100</v>
          </cell>
          <cell r="K27">
            <v>21900</v>
          </cell>
          <cell r="L27">
            <v>21400</v>
          </cell>
          <cell r="M27">
            <v>22500</v>
          </cell>
          <cell r="N27">
            <v>22100</v>
          </cell>
          <cell r="O27">
            <v>23500</v>
          </cell>
          <cell r="P27">
            <v>19000</v>
          </cell>
          <cell r="Q27">
            <v>20600</v>
          </cell>
          <cell r="R27">
            <v>22700</v>
          </cell>
          <cell r="S27">
            <v>13400</v>
          </cell>
          <cell r="T27">
            <v>11800</v>
          </cell>
          <cell r="U27" t="str">
            <v>近畿</v>
          </cell>
        </row>
        <row r="28">
          <cell r="B28" t="str">
            <v>滋賀</v>
          </cell>
          <cell r="C28">
            <v>20300</v>
          </cell>
          <cell r="D28">
            <v>18300</v>
          </cell>
          <cell r="E28">
            <v>13900</v>
          </cell>
          <cell r="F28">
            <v>23100</v>
          </cell>
          <cell r="G28">
            <v>22900</v>
          </cell>
          <cell r="H28">
            <v>20500</v>
          </cell>
          <cell r="I28">
            <v>31700</v>
          </cell>
          <cell r="J28">
            <v>22300</v>
          </cell>
          <cell r="K28">
            <v>22200</v>
          </cell>
          <cell r="L28">
            <v>22100</v>
          </cell>
          <cell r="M28">
            <v>23100</v>
          </cell>
          <cell r="N28">
            <v>23200</v>
          </cell>
          <cell r="O28">
            <v>23500</v>
          </cell>
          <cell r="P28">
            <v>18200</v>
          </cell>
          <cell r="Q28">
            <v>21500</v>
          </cell>
          <cell r="R28">
            <v>22600</v>
          </cell>
          <cell r="S28">
            <v>12900</v>
          </cell>
          <cell r="T28">
            <v>10900</v>
          </cell>
          <cell r="U28" t="str">
            <v>近畿</v>
          </cell>
        </row>
        <row r="29">
          <cell r="B29" t="str">
            <v>京都</v>
          </cell>
          <cell r="C29">
            <v>19800</v>
          </cell>
          <cell r="D29">
            <v>19100</v>
          </cell>
          <cell r="E29">
            <v>13100</v>
          </cell>
          <cell r="F29">
            <v>22800</v>
          </cell>
          <cell r="G29">
            <v>23100</v>
          </cell>
          <cell r="H29">
            <v>19500</v>
          </cell>
          <cell r="I29">
            <v>31700</v>
          </cell>
          <cell r="J29">
            <v>22000</v>
          </cell>
          <cell r="K29">
            <v>22900</v>
          </cell>
          <cell r="L29">
            <v>22400</v>
          </cell>
          <cell r="M29">
            <v>23100</v>
          </cell>
          <cell r="N29">
            <v>22400</v>
          </cell>
          <cell r="O29">
            <v>24300</v>
          </cell>
          <cell r="P29">
            <v>17400</v>
          </cell>
          <cell r="Q29">
            <v>21300</v>
          </cell>
          <cell r="R29">
            <v>22600</v>
          </cell>
          <cell r="S29">
            <v>13000</v>
          </cell>
          <cell r="T29">
            <v>10500</v>
          </cell>
          <cell r="U29" t="str">
            <v>近畿</v>
          </cell>
        </row>
        <row r="30">
          <cell r="B30" t="str">
            <v>大阪</v>
          </cell>
          <cell r="C30">
            <v>21200</v>
          </cell>
          <cell r="D30">
            <v>18700</v>
          </cell>
          <cell r="E30">
            <v>13000</v>
          </cell>
          <cell r="F30">
            <v>24300</v>
          </cell>
          <cell r="G30">
            <v>22900</v>
          </cell>
          <cell r="H30">
            <v>21000</v>
          </cell>
          <cell r="I30">
            <v>32300</v>
          </cell>
          <cell r="J30">
            <v>22800</v>
          </cell>
          <cell r="K30">
            <v>24100</v>
          </cell>
          <cell r="L30">
            <v>22500</v>
          </cell>
          <cell r="M30">
            <v>23200</v>
          </cell>
          <cell r="N30">
            <v>22800</v>
          </cell>
          <cell r="O30">
            <v>25000</v>
          </cell>
          <cell r="P30">
            <v>17600</v>
          </cell>
          <cell r="Q30">
            <v>20900</v>
          </cell>
          <cell r="R30">
            <v>22600</v>
          </cell>
          <cell r="S30">
            <v>12800</v>
          </cell>
          <cell r="T30">
            <v>11100</v>
          </cell>
          <cell r="U30" t="str">
            <v>近畿</v>
          </cell>
        </row>
        <row r="31">
          <cell r="B31" t="str">
            <v>兵庫</v>
          </cell>
          <cell r="C31">
            <v>19100</v>
          </cell>
          <cell r="D31">
            <v>18900</v>
          </cell>
          <cell r="E31">
            <v>12500</v>
          </cell>
          <cell r="F31">
            <v>23100</v>
          </cell>
          <cell r="G31">
            <v>23000</v>
          </cell>
          <cell r="H31">
            <v>19700</v>
          </cell>
          <cell r="I31">
            <v>32000</v>
          </cell>
          <cell r="J31">
            <v>21700</v>
          </cell>
          <cell r="K31">
            <v>22700</v>
          </cell>
          <cell r="L31">
            <v>21400</v>
          </cell>
          <cell r="M31">
            <v>22400</v>
          </cell>
          <cell r="N31">
            <v>21400</v>
          </cell>
          <cell r="O31">
            <v>22400</v>
          </cell>
          <cell r="P31">
            <v>17400</v>
          </cell>
          <cell r="Q31">
            <v>21200</v>
          </cell>
          <cell r="R31">
            <v>22600</v>
          </cell>
          <cell r="S31">
            <v>13100</v>
          </cell>
          <cell r="T31">
            <v>10900</v>
          </cell>
          <cell r="U31" t="str">
            <v>近畿</v>
          </cell>
        </row>
        <row r="32">
          <cell r="B32" t="str">
            <v>奈良</v>
          </cell>
          <cell r="C32">
            <v>21400</v>
          </cell>
          <cell r="D32">
            <v>18800</v>
          </cell>
          <cell r="E32">
            <v>13800</v>
          </cell>
          <cell r="F32">
            <v>23600</v>
          </cell>
          <cell r="G32">
            <v>23100</v>
          </cell>
          <cell r="H32">
            <v>20300</v>
          </cell>
          <cell r="I32">
            <v>31500</v>
          </cell>
          <cell r="J32">
            <v>23000</v>
          </cell>
          <cell r="K32">
            <v>23800</v>
          </cell>
          <cell r="L32">
            <v>23000</v>
          </cell>
          <cell r="M32">
            <v>23100</v>
          </cell>
          <cell r="N32">
            <v>22900</v>
          </cell>
          <cell r="O32">
            <v>24900</v>
          </cell>
          <cell r="P32">
            <v>17800</v>
          </cell>
          <cell r="Q32">
            <v>21500</v>
          </cell>
          <cell r="R32">
            <v>22600</v>
          </cell>
          <cell r="S32">
            <v>13200</v>
          </cell>
          <cell r="T32">
            <v>11000</v>
          </cell>
          <cell r="U32" t="str">
            <v>近畿</v>
          </cell>
        </row>
        <row r="33">
          <cell r="B33" t="str">
            <v>和歌山</v>
          </cell>
          <cell r="C33">
            <v>20700</v>
          </cell>
          <cell r="D33">
            <v>19000</v>
          </cell>
          <cell r="E33">
            <v>13000</v>
          </cell>
          <cell r="F33">
            <v>23400</v>
          </cell>
          <cell r="G33">
            <v>23100</v>
          </cell>
          <cell r="H33">
            <v>19100</v>
          </cell>
          <cell r="I33">
            <v>31600</v>
          </cell>
          <cell r="J33">
            <v>23000</v>
          </cell>
          <cell r="K33">
            <v>24200</v>
          </cell>
          <cell r="L33">
            <v>22600</v>
          </cell>
          <cell r="M33">
            <v>22900</v>
          </cell>
          <cell r="N33">
            <v>22000</v>
          </cell>
          <cell r="O33">
            <v>24300</v>
          </cell>
          <cell r="P33">
            <v>17300</v>
          </cell>
          <cell r="Q33">
            <v>21300</v>
          </cell>
          <cell r="R33">
            <v>22600</v>
          </cell>
          <cell r="S33">
            <v>12800</v>
          </cell>
          <cell r="T33">
            <v>10900</v>
          </cell>
          <cell r="U33" t="str">
            <v>近畿</v>
          </cell>
        </row>
        <row r="34">
          <cell r="B34" t="str">
            <v>鳥取</v>
          </cell>
          <cell r="C34">
            <v>18200</v>
          </cell>
          <cell r="D34">
            <v>14800</v>
          </cell>
          <cell r="E34">
            <v>13000</v>
          </cell>
          <cell r="F34">
            <v>21300</v>
          </cell>
          <cell r="G34">
            <v>19200</v>
          </cell>
          <cell r="H34">
            <v>17000</v>
          </cell>
          <cell r="I34">
            <v>29500</v>
          </cell>
          <cell r="J34">
            <v>19800</v>
          </cell>
          <cell r="K34">
            <v>20700</v>
          </cell>
          <cell r="L34">
            <v>20200</v>
          </cell>
          <cell r="M34">
            <v>22700</v>
          </cell>
          <cell r="N34">
            <v>21000</v>
          </cell>
          <cell r="O34">
            <v>20900</v>
          </cell>
          <cell r="P34">
            <v>14900</v>
          </cell>
          <cell r="Q34">
            <v>21000</v>
          </cell>
          <cell r="R34">
            <v>20900</v>
          </cell>
          <cell r="S34">
            <v>13400</v>
          </cell>
          <cell r="T34">
            <v>10700</v>
          </cell>
          <cell r="U34" t="str">
            <v>中国</v>
          </cell>
        </row>
        <row r="35">
          <cell r="B35" t="str">
            <v>島根</v>
          </cell>
          <cell r="C35">
            <v>18500</v>
          </cell>
          <cell r="D35">
            <v>15900</v>
          </cell>
          <cell r="E35">
            <v>13100</v>
          </cell>
          <cell r="F35">
            <v>21200</v>
          </cell>
          <cell r="G35">
            <v>19200</v>
          </cell>
          <cell r="H35">
            <v>18500</v>
          </cell>
          <cell r="I35">
            <v>29200</v>
          </cell>
          <cell r="J35">
            <v>19000</v>
          </cell>
          <cell r="K35">
            <v>20000</v>
          </cell>
          <cell r="L35">
            <v>19500</v>
          </cell>
          <cell r="M35">
            <v>21600</v>
          </cell>
          <cell r="N35">
            <v>20300</v>
          </cell>
          <cell r="O35">
            <v>19400</v>
          </cell>
          <cell r="P35">
            <v>15200</v>
          </cell>
          <cell r="Q35">
            <v>21400</v>
          </cell>
          <cell r="R35">
            <v>20900</v>
          </cell>
          <cell r="S35">
            <v>13400</v>
          </cell>
          <cell r="T35">
            <v>11400</v>
          </cell>
          <cell r="U35" t="str">
            <v>中国</v>
          </cell>
        </row>
        <row r="36">
          <cell r="B36" t="str">
            <v>岡山</v>
          </cell>
          <cell r="C36">
            <v>19600</v>
          </cell>
          <cell r="D36">
            <v>17300</v>
          </cell>
          <cell r="E36">
            <v>13300</v>
          </cell>
          <cell r="F36">
            <v>22100</v>
          </cell>
          <cell r="G36">
            <v>19200</v>
          </cell>
          <cell r="H36">
            <v>19900</v>
          </cell>
          <cell r="I36">
            <v>29500</v>
          </cell>
          <cell r="J36">
            <v>20400</v>
          </cell>
          <cell r="K36">
            <v>21500</v>
          </cell>
          <cell r="L36">
            <v>20500</v>
          </cell>
          <cell r="M36">
            <v>23000</v>
          </cell>
          <cell r="N36">
            <v>21600</v>
          </cell>
          <cell r="O36">
            <v>20800</v>
          </cell>
          <cell r="P36">
            <v>17100</v>
          </cell>
          <cell r="Q36">
            <v>21000</v>
          </cell>
          <cell r="R36">
            <v>20900</v>
          </cell>
          <cell r="S36">
            <v>13900</v>
          </cell>
          <cell r="T36">
            <v>12000</v>
          </cell>
          <cell r="U36" t="str">
            <v>中国</v>
          </cell>
        </row>
        <row r="37">
          <cell r="B37" t="str">
            <v>広島</v>
          </cell>
          <cell r="C37">
            <v>19900</v>
          </cell>
          <cell r="D37">
            <v>18000</v>
          </cell>
          <cell r="E37">
            <v>13200</v>
          </cell>
          <cell r="F37">
            <v>21800</v>
          </cell>
          <cell r="G37">
            <v>19300</v>
          </cell>
          <cell r="H37">
            <v>20300</v>
          </cell>
          <cell r="I37">
            <v>29600</v>
          </cell>
          <cell r="J37">
            <v>19800</v>
          </cell>
          <cell r="K37">
            <v>20900</v>
          </cell>
          <cell r="L37">
            <v>20200</v>
          </cell>
          <cell r="M37">
            <v>22200</v>
          </cell>
          <cell r="N37">
            <v>21400</v>
          </cell>
          <cell r="O37">
            <v>19800</v>
          </cell>
          <cell r="P37">
            <v>17100</v>
          </cell>
          <cell r="Q37">
            <v>21300</v>
          </cell>
          <cell r="R37">
            <v>20900</v>
          </cell>
          <cell r="S37">
            <v>13900</v>
          </cell>
          <cell r="T37">
            <v>11800</v>
          </cell>
          <cell r="U37" t="str">
            <v>中国</v>
          </cell>
        </row>
        <row r="38">
          <cell r="B38" t="str">
            <v>山口</v>
          </cell>
          <cell r="C38">
            <v>18600</v>
          </cell>
          <cell r="D38">
            <v>16600</v>
          </cell>
          <cell r="E38">
            <v>13200</v>
          </cell>
          <cell r="F38">
            <v>21900</v>
          </cell>
          <cell r="G38">
            <v>19300</v>
          </cell>
          <cell r="H38">
            <v>18800</v>
          </cell>
          <cell r="I38">
            <v>29600</v>
          </cell>
          <cell r="J38">
            <v>20300</v>
          </cell>
          <cell r="K38">
            <v>20100</v>
          </cell>
          <cell r="L38">
            <v>20000</v>
          </cell>
          <cell r="M38">
            <v>22000</v>
          </cell>
          <cell r="N38">
            <v>20900</v>
          </cell>
          <cell r="O38">
            <v>19200</v>
          </cell>
          <cell r="P38">
            <v>16500</v>
          </cell>
          <cell r="Q38">
            <v>21600</v>
          </cell>
          <cell r="R38">
            <v>21000</v>
          </cell>
          <cell r="S38">
            <v>13700</v>
          </cell>
          <cell r="T38">
            <v>11400</v>
          </cell>
          <cell r="U38" t="str">
            <v>中国</v>
          </cell>
        </row>
        <row r="39">
          <cell r="B39" t="str">
            <v>徳島</v>
          </cell>
          <cell r="C39">
            <v>20400</v>
          </cell>
          <cell r="D39">
            <v>18300</v>
          </cell>
          <cell r="E39">
            <v>13700</v>
          </cell>
          <cell r="F39">
            <v>21700</v>
          </cell>
          <cell r="G39">
            <v>26600</v>
          </cell>
          <cell r="H39">
            <v>18300</v>
          </cell>
          <cell r="I39">
            <v>29000</v>
          </cell>
          <cell r="J39">
            <v>20800</v>
          </cell>
          <cell r="K39">
            <v>21300</v>
          </cell>
          <cell r="L39">
            <v>22000</v>
          </cell>
          <cell r="M39">
            <v>21700</v>
          </cell>
          <cell r="N39">
            <v>20700</v>
          </cell>
          <cell r="O39">
            <v>20300</v>
          </cell>
          <cell r="P39">
            <v>17100</v>
          </cell>
          <cell r="Q39">
            <v>21200</v>
          </cell>
          <cell r="R39">
            <v>20900</v>
          </cell>
          <cell r="S39">
            <v>13400</v>
          </cell>
          <cell r="T39">
            <v>12000</v>
          </cell>
          <cell r="U39" t="str">
            <v>四国</v>
          </cell>
        </row>
        <row r="40">
          <cell r="B40" t="str">
            <v>香川</v>
          </cell>
          <cell r="C40">
            <v>21200</v>
          </cell>
          <cell r="D40">
            <v>18800</v>
          </cell>
          <cell r="E40">
            <v>13700</v>
          </cell>
          <cell r="F40">
            <v>21800</v>
          </cell>
          <cell r="G40">
            <v>27300</v>
          </cell>
          <cell r="H40">
            <v>19600</v>
          </cell>
          <cell r="I40">
            <v>29300</v>
          </cell>
          <cell r="J40">
            <v>20800</v>
          </cell>
          <cell r="K40">
            <v>21200</v>
          </cell>
          <cell r="L40">
            <v>22000</v>
          </cell>
          <cell r="M40">
            <v>21800</v>
          </cell>
          <cell r="N40">
            <v>20900</v>
          </cell>
          <cell r="O40">
            <v>20300</v>
          </cell>
          <cell r="P40">
            <v>17900</v>
          </cell>
          <cell r="Q40">
            <v>21200</v>
          </cell>
          <cell r="R40">
            <v>20900</v>
          </cell>
          <cell r="S40">
            <v>13500</v>
          </cell>
          <cell r="T40">
            <v>12100</v>
          </cell>
          <cell r="U40" t="str">
            <v>四国</v>
          </cell>
        </row>
        <row r="41">
          <cell r="B41" t="str">
            <v>愛媛</v>
          </cell>
          <cell r="C41">
            <v>20000</v>
          </cell>
          <cell r="D41">
            <v>16400</v>
          </cell>
          <cell r="E41">
            <v>13300</v>
          </cell>
          <cell r="F41">
            <v>21600</v>
          </cell>
          <cell r="G41">
            <v>26500</v>
          </cell>
          <cell r="H41">
            <v>19900</v>
          </cell>
          <cell r="I41">
            <v>28300</v>
          </cell>
          <cell r="J41">
            <v>21800</v>
          </cell>
          <cell r="K41">
            <v>21100</v>
          </cell>
          <cell r="L41">
            <v>21800</v>
          </cell>
          <cell r="M41">
            <v>21500</v>
          </cell>
          <cell r="N41">
            <v>19700</v>
          </cell>
          <cell r="O41">
            <v>20200</v>
          </cell>
          <cell r="P41">
            <v>17600</v>
          </cell>
          <cell r="Q41">
            <v>21200</v>
          </cell>
          <cell r="R41">
            <v>20900</v>
          </cell>
          <cell r="S41">
            <v>12900</v>
          </cell>
          <cell r="T41">
            <v>10900</v>
          </cell>
          <cell r="U41" t="str">
            <v>四国</v>
          </cell>
        </row>
        <row r="42">
          <cell r="B42" t="str">
            <v>高知</v>
          </cell>
          <cell r="C42">
            <v>19800</v>
          </cell>
          <cell r="D42">
            <v>16700</v>
          </cell>
          <cell r="E42">
            <v>14100</v>
          </cell>
          <cell r="F42">
            <v>22000</v>
          </cell>
          <cell r="G42">
            <v>26500</v>
          </cell>
          <cell r="H42">
            <v>20300</v>
          </cell>
          <cell r="I42">
            <v>29000</v>
          </cell>
          <cell r="J42">
            <v>20600</v>
          </cell>
          <cell r="K42">
            <v>20800</v>
          </cell>
          <cell r="L42">
            <v>21700</v>
          </cell>
          <cell r="M42">
            <v>21500</v>
          </cell>
          <cell r="N42">
            <v>19800</v>
          </cell>
          <cell r="O42">
            <v>20500</v>
          </cell>
          <cell r="P42">
            <v>18000</v>
          </cell>
          <cell r="Q42">
            <v>21200</v>
          </cell>
          <cell r="R42">
            <v>20900</v>
          </cell>
          <cell r="S42">
            <v>12300</v>
          </cell>
          <cell r="T42">
            <v>10400</v>
          </cell>
          <cell r="U42" t="str">
            <v>四国</v>
          </cell>
        </row>
        <row r="43">
          <cell r="B43" t="str">
            <v>福岡</v>
          </cell>
          <cell r="C43">
            <v>21500</v>
          </cell>
          <cell r="D43">
            <v>19200</v>
          </cell>
          <cell r="E43">
            <v>13500</v>
          </cell>
          <cell r="F43">
            <v>23100</v>
          </cell>
          <cell r="G43">
            <v>23200</v>
          </cell>
          <cell r="H43">
            <v>20900</v>
          </cell>
          <cell r="I43">
            <v>33000</v>
          </cell>
          <cell r="J43">
            <v>22600</v>
          </cell>
          <cell r="K43">
            <v>22400</v>
          </cell>
          <cell r="L43">
            <v>22600</v>
          </cell>
          <cell r="M43">
            <v>22300</v>
          </cell>
          <cell r="N43">
            <v>22400</v>
          </cell>
          <cell r="O43">
            <v>23100</v>
          </cell>
          <cell r="P43">
            <v>18000</v>
          </cell>
          <cell r="Q43">
            <v>23800</v>
          </cell>
          <cell r="R43">
            <v>20400</v>
          </cell>
          <cell r="S43">
            <v>13200</v>
          </cell>
          <cell r="T43">
            <v>11700</v>
          </cell>
          <cell r="U43" t="str">
            <v>九州</v>
          </cell>
        </row>
        <row r="44">
          <cell r="B44" t="str">
            <v>佐賀</v>
          </cell>
          <cell r="C44">
            <v>19000</v>
          </cell>
          <cell r="D44">
            <v>16400</v>
          </cell>
          <cell r="E44">
            <v>13000</v>
          </cell>
          <cell r="F44">
            <v>21700</v>
          </cell>
          <cell r="G44">
            <v>23500</v>
          </cell>
          <cell r="H44">
            <v>23000</v>
          </cell>
          <cell r="I44">
            <v>33300</v>
          </cell>
          <cell r="J44">
            <v>21600</v>
          </cell>
          <cell r="K44">
            <v>24200</v>
          </cell>
          <cell r="L44">
            <v>22700</v>
          </cell>
          <cell r="M44">
            <v>22400</v>
          </cell>
          <cell r="N44">
            <v>22000</v>
          </cell>
          <cell r="O44">
            <v>23800</v>
          </cell>
          <cell r="P44">
            <v>18600</v>
          </cell>
          <cell r="Q44">
            <v>23900</v>
          </cell>
          <cell r="R44">
            <v>20400</v>
          </cell>
          <cell r="S44">
            <v>13100</v>
          </cell>
          <cell r="T44">
            <v>11500</v>
          </cell>
          <cell r="U44" t="str">
            <v>九州</v>
          </cell>
        </row>
        <row r="45">
          <cell r="B45" t="str">
            <v>長崎</v>
          </cell>
          <cell r="C45">
            <v>19800</v>
          </cell>
          <cell r="D45">
            <v>17300</v>
          </cell>
          <cell r="E45">
            <v>13800</v>
          </cell>
          <cell r="F45">
            <v>21600</v>
          </cell>
          <cell r="G45">
            <v>23300</v>
          </cell>
          <cell r="H45">
            <v>19600</v>
          </cell>
          <cell r="I45">
            <v>33200</v>
          </cell>
          <cell r="J45">
            <v>21200</v>
          </cell>
          <cell r="K45">
            <v>22100</v>
          </cell>
          <cell r="L45">
            <v>22600</v>
          </cell>
          <cell r="M45">
            <v>22100</v>
          </cell>
          <cell r="N45">
            <v>21900</v>
          </cell>
          <cell r="O45">
            <v>23400</v>
          </cell>
          <cell r="P45">
            <v>17200</v>
          </cell>
          <cell r="Q45">
            <v>23800</v>
          </cell>
          <cell r="R45">
            <v>20500</v>
          </cell>
          <cell r="S45">
            <v>13300</v>
          </cell>
          <cell r="T45">
            <v>12200</v>
          </cell>
          <cell r="U45" t="str">
            <v>九州</v>
          </cell>
        </row>
        <row r="46">
          <cell r="B46" t="str">
            <v>熊本</v>
          </cell>
          <cell r="C46">
            <v>20200</v>
          </cell>
          <cell r="D46">
            <v>17700</v>
          </cell>
          <cell r="E46">
            <v>14500</v>
          </cell>
          <cell r="F46">
            <v>22600</v>
          </cell>
          <cell r="G46">
            <v>23100</v>
          </cell>
          <cell r="H46">
            <v>20400</v>
          </cell>
          <cell r="I46">
            <v>32100</v>
          </cell>
          <cell r="J46">
            <v>22100</v>
          </cell>
          <cell r="K46">
            <v>22300</v>
          </cell>
          <cell r="L46">
            <v>22300</v>
          </cell>
          <cell r="M46">
            <v>22300</v>
          </cell>
          <cell r="N46">
            <v>22600</v>
          </cell>
          <cell r="O46">
            <v>23300</v>
          </cell>
          <cell r="P46">
            <v>17700</v>
          </cell>
          <cell r="Q46">
            <v>23800</v>
          </cell>
          <cell r="R46">
            <v>20600</v>
          </cell>
          <cell r="S46">
            <v>12900</v>
          </cell>
          <cell r="T46">
            <v>11100</v>
          </cell>
          <cell r="U46" t="str">
            <v>九州</v>
          </cell>
        </row>
        <row r="47">
          <cell r="B47" t="str">
            <v>大分</v>
          </cell>
          <cell r="C47">
            <v>19300</v>
          </cell>
          <cell r="D47">
            <v>16500</v>
          </cell>
          <cell r="E47">
            <v>13700</v>
          </cell>
          <cell r="F47">
            <v>22200</v>
          </cell>
          <cell r="G47">
            <v>22800</v>
          </cell>
          <cell r="H47">
            <v>21800</v>
          </cell>
          <cell r="I47">
            <v>32500</v>
          </cell>
          <cell r="J47">
            <v>22300</v>
          </cell>
          <cell r="K47">
            <v>21600</v>
          </cell>
          <cell r="L47">
            <v>22400</v>
          </cell>
          <cell r="M47">
            <v>22300</v>
          </cell>
          <cell r="N47">
            <v>22400</v>
          </cell>
          <cell r="O47">
            <v>22300</v>
          </cell>
          <cell r="P47">
            <v>19800</v>
          </cell>
          <cell r="Q47">
            <v>23500</v>
          </cell>
          <cell r="R47">
            <v>20400</v>
          </cell>
          <cell r="S47">
            <v>13100</v>
          </cell>
          <cell r="T47">
            <v>10600</v>
          </cell>
          <cell r="U47" t="str">
            <v>九州</v>
          </cell>
        </row>
        <row r="48">
          <cell r="B48" t="str">
            <v>宮崎</v>
          </cell>
          <cell r="C48">
            <v>21500</v>
          </cell>
          <cell r="D48">
            <v>16100</v>
          </cell>
          <cell r="E48">
            <v>13800</v>
          </cell>
          <cell r="F48">
            <v>22400</v>
          </cell>
          <cell r="G48">
            <v>22800</v>
          </cell>
          <cell r="H48">
            <v>21800</v>
          </cell>
          <cell r="I48">
            <v>33000</v>
          </cell>
          <cell r="J48">
            <v>22600</v>
          </cell>
          <cell r="K48">
            <v>22600</v>
          </cell>
          <cell r="L48">
            <v>22300</v>
          </cell>
          <cell r="M48">
            <v>22000</v>
          </cell>
          <cell r="N48">
            <v>21100</v>
          </cell>
          <cell r="O48">
            <v>22800</v>
          </cell>
          <cell r="P48">
            <v>18400</v>
          </cell>
          <cell r="Q48">
            <v>23300</v>
          </cell>
          <cell r="R48">
            <v>20400</v>
          </cell>
          <cell r="S48">
            <v>13100</v>
          </cell>
          <cell r="T48">
            <v>10200</v>
          </cell>
          <cell r="U48" t="str">
            <v>九州</v>
          </cell>
        </row>
        <row r="49">
          <cell r="B49" t="str">
            <v>鹿児島</v>
          </cell>
          <cell r="C49">
            <v>23600</v>
          </cell>
          <cell r="D49">
            <v>17400</v>
          </cell>
          <cell r="E49">
            <v>14800</v>
          </cell>
          <cell r="F49">
            <v>22800</v>
          </cell>
          <cell r="G49">
            <v>22800</v>
          </cell>
          <cell r="H49">
            <v>24100</v>
          </cell>
          <cell r="I49">
            <v>33300</v>
          </cell>
          <cell r="J49">
            <v>24500</v>
          </cell>
          <cell r="K49">
            <v>24900</v>
          </cell>
          <cell r="L49">
            <v>22700</v>
          </cell>
          <cell r="M49">
            <v>22100</v>
          </cell>
          <cell r="N49">
            <v>22300</v>
          </cell>
          <cell r="O49">
            <v>23200</v>
          </cell>
          <cell r="P49">
            <v>21100</v>
          </cell>
          <cell r="Q49">
            <v>23900</v>
          </cell>
          <cell r="R49">
            <v>20400</v>
          </cell>
          <cell r="S49">
            <v>14000</v>
          </cell>
          <cell r="T49">
            <v>11900</v>
          </cell>
          <cell r="U49" t="str">
            <v>九州</v>
          </cell>
        </row>
        <row r="50">
          <cell r="B50" t="str">
            <v>沖縄</v>
          </cell>
          <cell r="C50">
            <v>21200</v>
          </cell>
          <cell r="D50">
            <v>18700</v>
          </cell>
          <cell r="E50">
            <v>14400</v>
          </cell>
          <cell r="F50">
            <v>27300</v>
          </cell>
          <cell r="G50">
            <v>17200</v>
          </cell>
          <cell r="H50">
            <v>24100</v>
          </cell>
          <cell r="I50">
            <v>38400</v>
          </cell>
          <cell r="J50">
            <v>24000</v>
          </cell>
          <cell r="K50">
            <v>25800</v>
          </cell>
          <cell r="L50">
            <v>24900</v>
          </cell>
          <cell r="M50">
            <v>29500</v>
          </cell>
          <cell r="N50">
            <v>25000</v>
          </cell>
          <cell r="O50">
            <v>23700</v>
          </cell>
          <cell r="P50">
            <v>21200</v>
          </cell>
          <cell r="Q50">
            <v>23800</v>
          </cell>
          <cell r="R50">
            <v>17400</v>
          </cell>
          <cell r="S50">
            <v>11700</v>
          </cell>
          <cell r="T50">
            <v>10300</v>
          </cell>
          <cell r="U50" t="str">
            <v>沖縄</v>
          </cell>
        </row>
      </sheetData>
      <sheetData sheetId="11" refreshError="1">
        <row r="5">
          <cell r="C5" t="str">
            <v>大阪</v>
          </cell>
        </row>
        <row r="6">
          <cell r="C6" t="str">
            <v>H4500</v>
          </cell>
        </row>
        <row r="7">
          <cell r="C7">
            <v>5000</v>
          </cell>
        </row>
        <row r="8">
          <cell r="C8">
            <v>2</v>
          </cell>
        </row>
        <row r="9">
          <cell r="C9">
            <v>0</v>
          </cell>
          <cell r="H9">
            <v>2370.3049999999998</v>
          </cell>
        </row>
        <row r="12">
          <cell r="C12">
            <v>45</v>
          </cell>
        </row>
      </sheetData>
      <sheetData sheetId="12" refreshError="1">
        <row r="3">
          <cell r="B3" t="str">
            <v>関東営業所</v>
          </cell>
          <cell r="C3" t="str">
            <v>東京都千代田区麹町5-7-2(4F)
TEL:03-3263-0102  FAX:03-3263-2005</v>
          </cell>
        </row>
        <row r="4">
          <cell r="B4" t="str">
            <v>神奈川営業所</v>
          </cell>
          <cell r="C4" t="str">
            <v>神奈川県相模原市緑区西橋本5-1-1(ラ・フロール4階 4-F号室)
TEL:042-703-7390  FAX:042-703-7391</v>
          </cell>
        </row>
        <row r="5">
          <cell r="B5" t="str">
            <v>東北営業所</v>
          </cell>
          <cell r="C5" t="str">
            <v>宮城県仙台市青葉区錦町1-10-11(5F)
TEL:022-706-4016  FAX:022-212-5113</v>
          </cell>
        </row>
        <row r="6">
          <cell r="B6" t="str">
            <v>大阪営業所</v>
          </cell>
          <cell r="C6" t="str">
            <v>大阪府吹田市垂水町3-15-27（ホクコン大阪ビル5F）
TEL:06-6380-3650  FAX:06-6368-3486</v>
          </cell>
        </row>
        <row r="7">
          <cell r="B7" t="str">
            <v>和歌山営業所</v>
          </cell>
          <cell r="C7" t="str">
            <v>和歌山県和歌山市太田1-6-13（駅前第一ビル4F）
TEL:073-473-1280  FAX:073-473-1282</v>
          </cell>
        </row>
        <row r="8">
          <cell r="B8" t="str">
            <v>兵庫営業所</v>
          </cell>
          <cell r="C8" t="str">
            <v>兵庫県明石市本町1-2-29（明石追手ビル7F 703）
TEL:078-915-0017  FAX:078-915-0037</v>
          </cell>
        </row>
        <row r="9">
          <cell r="B9" t="str">
            <v>京都営業所</v>
          </cell>
          <cell r="C9" t="str">
            <v>京都府城陽市寺田南堤下8-1
TEL:0774-52-3389  FAX:0774-52-6702</v>
          </cell>
        </row>
        <row r="10">
          <cell r="B10" t="str">
            <v>奈良営業所</v>
          </cell>
          <cell r="C10" t="str">
            <v>奈良県奈良市北之庄町41-2（キノシタビル3F）
TEL:0742-50-3500  FAX:0742-50-3501</v>
          </cell>
        </row>
        <row r="11">
          <cell r="B11" t="str">
            <v>滋賀営業所</v>
          </cell>
          <cell r="C11" t="str">
            <v>滋賀県愛知郡愛荘町岩倉635
TEL:0749-37-2525  FAX:0749-37-2526</v>
          </cell>
        </row>
        <row r="12">
          <cell r="B12" t="str">
            <v>北近畿営業所</v>
          </cell>
          <cell r="C12" t="str">
            <v>京都府福知山市和久市町142-1
TEL:0773-22-2857  FAX:0773-22-6542</v>
          </cell>
        </row>
        <row r="13">
          <cell r="B13" t="str">
            <v>石川営業所</v>
          </cell>
          <cell r="C13" t="str">
            <v>石川県金沢市西念2-2-1（デスタン12ビル2F）
TEL:076-263-1321  FAX:076-263-1325</v>
          </cell>
        </row>
        <row r="14">
          <cell r="B14" t="str">
            <v>富山営業所</v>
          </cell>
          <cell r="C14" t="str">
            <v>富山県富山市布瀬本町4-12
TEL:076-422-0811  FAX:076-491-1473</v>
          </cell>
        </row>
        <row r="15">
          <cell r="B15" t="str">
            <v>魚津営業所</v>
          </cell>
          <cell r="C15" t="str">
            <v>富山県魚津市上村木1-14-14（ルネ宮田ビル２Ｆ）
TEL:0765-22-7720  FAX:0765-22-7727</v>
          </cell>
        </row>
        <row r="16">
          <cell r="B16" t="str">
            <v>福井営業所</v>
          </cell>
          <cell r="C16" t="str">
            <v>福井県福井市今市町66-20-2（ホクコン本社ビル）
TEL:0776-38-6360　　FAX:0776-38-6361</v>
          </cell>
        </row>
        <row r="17">
          <cell r="B17" t="str">
            <v>小浜営業所</v>
          </cell>
          <cell r="C17" t="str">
            <v>福井県小浜市千種1-3-20（千種ビル2A-1）
TEL:0770-52-1894  FAX:0770-52-2980</v>
          </cell>
        </row>
        <row r="18">
          <cell r="B18" t="str">
            <v>名古屋営業所</v>
          </cell>
          <cell r="C18" t="str">
            <v>愛知県名古屋市中村区岩塚本通2-1-2　MSビル3F
TEL:052-419-1010  FAX:052-413-1003</v>
          </cell>
        </row>
        <row r="19">
          <cell r="B19" t="str">
            <v>三河営業所</v>
          </cell>
          <cell r="C19" t="str">
            <v>愛知県岡崎市吹矢町89（鶴田ビル2F）
TEL:0564-22-7152  FAX:0564-22-7153</v>
          </cell>
        </row>
        <row r="20">
          <cell r="B20" t="str">
            <v>三重営業所</v>
          </cell>
          <cell r="C20" t="str">
            <v>三重県津市栄町2-478
TEL:059-226-2631  FAX:059-226-2665</v>
          </cell>
        </row>
        <row r="21">
          <cell r="B21" t="str">
            <v>岐阜営業所</v>
          </cell>
          <cell r="C21" t="str">
            <v>岐阜県岐阜市茜部菱野1-54（栄進ビル3F）
TEL:058-268-8730  FAX:058-268-8725</v>
          </cell>
        </row>
        <row r="22">
          <cell r="B22" t="str">
            <v>静岡営業所</v>
          </cell>
          <cell r="C22" t="str">
            <v>静岡県静岡市葵区黒金町59-6（大同生命静岡ビル10F）
TEL:054-250-0015  FAX:054-250-0017</v>
          </cell>
        </row>
        <row r="23">
          <cell r="B23" t="str">
            <v>富士営業所</v>
          </cell>
          <cell r="C23" t="str">
            <v>静岡県富士市加島町9-17（フェリックス富士4階）
TEL:0545-32-7541  FAX:0545-32-7547</v>
          </cell>
        </row>
        <row r="24">
          <cell r="B24" t="str">
            <v>山陰営業所</v>
          </cell>
          <cell r="C24" t="str">
            <v>鳥取県西伯郡大山町神原113-4
TEL:0859-53-4511  FAX:0859-53-4701</v>
          </cell>
        </row>
        <row r="25">
          <cell r="B25" t="str">
            <v>鳥取営業所</v>
          </cell>
          <cell r="C25" t="str">
            <v>鳥取県鳥取市秋里882-11（シティハイツアキサト101）
TEL:0857-23-4261  FAX:0857-23-6320</v>
          </cell>
        </row>
        <row r="26">
          <cell r="B26" t="str">
            <v>島根営業所</v>
          </cell>
          <cell r="C26" t="str">
            <v>島根県出雲市大津新崎町1-46-2（栄光ビル2FB）
TEL:0853-22-4511  FAX:0853-22-4531</v>
          </cell>
        </row>
      </sheetData>
      <sheetData sheetId="13" refreshError="1"/>
      <sheetData sheetId="14" refreshError="1"/>
      <sheetData sheetId="15" refreshError="1"/>
      <sheetData sheetId="16" refreshError="1"/>
      <sheetData sheetId="17" refreshError="1">
        <row r="74">
          <cell r="C74">
            <v>101</v>
          </cell>
        </row>
      </sheetData>
      <sheetData sheetId="18" refreshError="1"/>
      <sheetData sheetId="19" refreshError="1"/>
      <sheetData sheetId="20" refreshError="1"/>
      <sheetData sheetId="21" refreshError="1">
        <row r="2">
          <cell r="AI2">
            <v>0</v>
          </cell>
        </row>
        <row r="99">
          <cell r="AL99">
            <v>2500</v>
          </cell>
        </row>
      </sheetData>
      <sheetData sheetId="22" refreshError="1"/>
      <sheetData sheetId="23" refreshError="1"/>
      <sheetData sheetId="24" refreshError="1">
        <row r="160">
          <cell r="B160">
            <v>150</v>
          </cell>
          <cell r="C160">
            <v>202</v>
          </cell>
          <cell r="D160">
            <v>250</v>
          </cell>
        </row>
        <row r="161">
          <cell r="B161">
            <v>200</v>
          </cell>
          <cell r="C161">
            <v>254</v>
          </cell>
          <cell r="D161">
            <v>300</v>
          </cell>
        </row>
        <row r="162">
          <cell r="B162">
            <v>250</v>
          </cell>
          <cell r="C162">
            <v>306</v>
          </cell>
          <cell r="D162">
            <v>350</v>
          </cell>
        </row>
        <row r="163">
          <cell r="B163">
            <v>300</v>
          </cell>
          <cell r="C163">
            <v>360</v>
          </cell>
          <cell r="D163">
            <v>450</v>
          </cell>
        </row>
        <row r="164">
          <cell r="B164">
            <v>350</v>
          </cell>
          <cell r="C164">
            <v>414</v>
          </cell>
          <cell r="D164">
            <v>450</v>
          </cell>
        </row>
        <row r="165">
          <cell r="B165">
            <v>400</v>
          </cell>
          <cell r="C165">
            <v>470</v>
          </cell>
          <cell r="D165">
            <v>550</v>
          </cell>
        </row>
        <row r="166">
          <cell r="B166">
            <v>450</v>
          </cell>
          <cell r="C166">
            <v>526</v>
          </cell>
          <cell r="D166">
            <v>600</v>
          </cell>
        </row>
        <row r="167">
          <cell r="B167">
            <v>500</v>
          </cell>
          <cell r="C167">
            <v>584</v>
          </cell>
          <cell r="D167">
            <v>650</v>
          </cell>
        </row>
        <row r="168">
          <cell r="B168">
            <v>600</v>
          </cell>
          <cell r="C168">
            <v>700</v>
          </cell>
          <cell r="D168">
            <v>800</v>
          </cell>
        </row>
        <row r="169">
          <cell r="B169">
            <v>700</v>
          </cell>
          <cell r="C169">
            <v>816</v>
          </cell>
          <cell r="D169">
            <v>900</v>
          </cell>
        </row>
        <row r="170">
          <cell r="B170">
            <v>800</v>
          </cell>
          <cell r="C170">
            <v>932</v>
          </cell>
          <cell r="D170">
            <v>1000</v>
          </cell>
        </row>
        <row r="171">
          <cell r="B171">
            <v>900</v>
          </cell>
          <cell r="C171">
            <v>1050</v>
          </cell>
          <cell r="D171">
            <v>1150</v>
          </cell>
        </row>
        <row r="172">
          <cell r="B172">
            <v>1000</v>
          </cell>
          <cell r="C172">
            <v>1164</v>
          </cell>
          <cell r="D172">
            <v>1250</v>
          </cell>
        </row>
        <row r="173">
          <cell r="B173">
            <v>1100</v>
          </cell>
          <cell r="C173">
            <v>1276</v>
          </cell>
          <cell r="D173">
            <v>1350</v>
          </cell>
        </row>
        <row r="174">
          <cell r="B174">
            <v>1200</v>
          </cell>
          <cell r="C174">
            <v>1390</v>
          </cell>
          <cell r="D174">
            <v>1500</v>
          </cell>
        </row>
        <row r="175">
          <cell r="B175">
            <v>1350</v>
          </cell>
          <cell r="C175">
            <v>1556</v>
          </cell>
          <cell r="D175">
            <v>1650</v>
          </cell>
        </row>
        <row r="179">
          <cell r="B179">
            <v>50</v>
          </cell>
          <cell r="C179">
            <v>60</v>
          </cell>
          <cell r="D179">
            <v>150</v>
          </cell>
        </row>
        <row r="180">
          <cell r="B180">
            <v>65</v>
          </cell>
          <cell r="C180">
            <v>76</v>
          </cell>
          <cell r="D180">
            <v>150</v>
          </cell>
        </row>
        <row r="181">
          <cell r="B181">
            <v>75</v>
          </cell>
          <cell r="C181">
            <v>89</v>
          </cell>
          <cell r="D181">
            <v>150</v>
          </cell>
        </row>
        <row r="182">
          <cell r="B182">
            <v>100</v>
          </cell>
          <cell r="C182">
            <v>114</v>
          </cell>
          <cell r="D182">
            <v>200</v>
          </cell>
        </row>
        <row r="183">
          <cell r="B183">
            <v>125</v>
          </cell>
          <cell r="C183">
            <v>140</v>
          </cell>
          <cell r="D183">
            <v>200</v>
          </cell>
        </row>
        <row r="184">
          <cell r="B184">
            <v>150</v>
          </cell>
          <cell r="C184">
            <v>165</v>
          </cell>
          <cell r="D184">
            <v>250</v>
          </cell>
        </row>
        <row r="185">
          <cell r="B185">
            <v>200</v>
          </cell>
          <cell r="C185">
            <v>216</v>
          </cell>
          <cell r="D185">
            <v>300</v>
          </cell>
        </row>
        <row r="186">
          <cell r="B186">
            <v>250</v>
          </cell>
          <cell r="C186">
            <v>267</v>
          </cell>
          <cell r="D186">
            <v>350</v>
          </cell>
        </row>
        <row r="187">
          <cell r="B187">
            <v>300</v>
          </cell>
          <cell r="C187">
            <v>318</v>
          </cell>
          <cell r="D187">
            <v>400</v>
          </cell>
        </row>
        <row r="188">
          <cell r="B188">
            <v>350</v>
          </cell>
          <cell r="C188">
            <v>370</v>
          </cell>
          <cell r="D188">
            <v>450</v>
          </cell>
        </row>
        <row r="189">
          <cell r="B189">
            <v>400</v>
          </cell>
          <cell r="C189">
            <v>420</v>
          </cell>
          <cell r="D189">
            <v>500</v>
          </cell>
        </row>
        <row r="190">
          <cell r="B190">
            <v>450</v>
          </cell>
          <cell r="C190">
            <v>470</v>
          </cell>
          <cell r="D190">
            <v>550</v>
          </cell>
        </row>
        <row r="191">
          <cell r="B191">
            <v>500</v>
          </cell>
          <cell r="C191">
            <v>520</v>
          </cell>
          <cell r="D191">
            <v>600</v>
          </cell>
        </row>
        <row r="192">
          <cell r="B192">
            <v>600</v>
          </cell>
          <cell r="C192">
            <v>630</v>
          </cell>
          <cell r="D192">
            <v>700</v>
          </cell>
        </row>
      </sheetData>
      <sheetData sheetId="25" refreshError="1">
        <row r="3">
          <cell r="D3" t="str">
            <v>1500本体A</v>
          </cell>
          <cell r="E3">
            <v>6820</v>
          </cell>
          <cell r="F3" t="str">
            <v>H1500</v>
          </cell>
        </row>
        <row r="4">
          <cell r="D4" t="str">
            <v>1500本体A1</v>
          </cell>
          <cell r="E4">
            <v>7230</v>
          </cell>
          <cell r="F4" t="str">
            <v>H1500</v>
          </cell>
        </row>
        <row r="5">
          <cell r="D5" t="str">
            <v>1500本体A3</v>
          </cell>
          <cell r="E5">
            <v>7255</v>
          </cell>
          <cell r="F5" t="str">
            <v>H1500</v>
          </cell>
        </row>
        <row r="6">
          <cell r="D6" t="str">
            <v>1500本体A4</v>
          </cell>
          <cell r="E6">
            <v>6410</v>
          </cell>
          <cell r="F6" t="str">
            <v>H1500</v>
          </cell>
        </row>
        <row r="7">
          <cell r="D7" t="str">
            <v>1500本体A5</v>
          </cell>
          <cell r="E7">
            <v>6820</v>
          </cell>
          <cell r="F7" t="str">
            <v>H1500</v>
          </cell>
        </row>
        <row r="8">
          <cell r="D8" t="str">
            <v>1500本体B</v>
          </cell>
          <cell r="E8">
            <v>6580</v>
          </cell>
          <cell r="F8" t="str">
            <v>H1500</v>
          </cell>
        </row>
        <row r="9">
          <cell r="D9" t="str">
            <v>1500本体B1</v>
          </cell>
          <cell r="E9">
            <v>6990</v>
          </cell>
          <cell r="F9" t="str">
            <v>H1500</v>
          </cell>
        </row>
        <row r="10">
          <cell r="D10" t="str">
            <v>1500本体B2</v>
          </cell>
          <cell r="E10">
            <v>7400</v>
          </cell>
          <cell r="F10" t="str">
            <v>H1500</v>
          </cell>
        </row>
        <row r="11">
          <cell r="D11" t="str">
            <v>1500本体B3</v>
          </cell>
          <cell r="E11">
            <v>7185</v>
          </cell>
          <cell r="F11" t="str">
            <v>H1500</v>
          </cell>
        </row>
        <row r="12">
          <cell r="D12" t="str">
            <v>1500本体B4</v>
          </cell>
          <cell r="E12">
            <v>7015</v>
          </cell>
          <cell r="F12" t="str">
            <v>H1500</v>
          </cell>
        </row>
        <row r="13">
          <cell r="D13" t="str">
            <v>1500本体B5</v>
          </cell>
          <cell r="E13">
            <v>7425</v>
          </cell>
          <cell r="F13" t="str">
            <v>H1500</v>
          </cell>
        </row>
        <row r="14">
          <cell r="D14" t="str">
            <v>1500本体C</v>
          </cell>
          <cell r="E14">
            <v>7060</v>
          </cell>
          <cell r="F14" t="str">
            <v>H1500</v>
          </cell>
        </row>
        <row r="15">
          <cell r="D15" t="str">
            <v>1500端面A</v>
          </cell>
          <cell r="E15">
            <v>6880</v>
          </cell>
          <cell r="F15" t="str">
            <v>H1500</v>
          </cell>
        </row>
        <row r="16">
          <cell r="D16" t="str">
            <v>1500端面B</v>
          </cell>
          <cell r="E16">
            <v>6880</v>
          </cell>
          <cell r="F16" t="str">
            <v>H1500</v>
          </cell>
        </row>
        <row r="17">
          <cell r="D17" t="str">
            <v>1500端面C</v>
          </cell>
          <cell r="E17">
            <v>7075</v>
          </cell>
          <cell r="F17" t="str">
            <v>H1500</v>
          </cell>
        </row>
        <row r="18">
          <cell r="D18" t="str">
            <v>1500端面D15A</v>
          </cell>
          <cell r="E18">
            <v>3525</v>
          </cell>
          <cell r="F18" t="str">
            <v>3000×1900×250</v>
          </cell>
          <cell r="G18" t="str">
            <v>B=3.0m</v>
          </cell>
        </row>
        <row r="19">
          <cell r="D19" t="str">
            <v>1500端面D15B</v>
          </cell>
          <cell r="E19">
            <v>2930</v>
          </cell>
          <cell r="F19" t="str">
            <v>2500×1900×250</v>
          </cell>
          <cell r="G19" t="str">
            <v>B=2.5m</v>
          </cell>
        </row>
        <row r="20">
          <cell r="D20" t="str">
            <v>1500端面D15C</v>
          </cell>
          <cell r="E20">
            <v>2340</v>
          </cell>
          <cell r="F20" t="str">
            <v>2000×1900×250</v>
          </cell>
          <cell r="G20" t="str">
            <v>B=2.0m</v>
          </cell>
        </row>
        <row r="21">
          <cell r="D21" t="str">
            <v>1500端面D15D</v>
          </cell>
          <cell r="E21">
            <v>3620</v>
          </cell>
          <cell r="F21" t="str">
            <v>3000×1950×250</v>
          </cell>
          <cell r="G21" t="str">
            <v>B=3.0m,ふたt=250</v>
          </cell>
        </row>
        <row r="22">
          <cell r="D22" t="str">
            <v>1500端面D15E</v>
          </cell>
          <cell r="E22">
            <v>3010</v>
          </cell>
          <cell r="F22" t="str">
            <v>2500×1950×250</v>
          </cell>
          <cell r="G22" t="str">
            <v>B=2.5m,ふたt=250</v>
          </cell>
        </row>
        <row r="23">
          <cell r="D23" t="str">
            <v>1500端面D15F</v>
          </cell>
          <cell r="E23">
            <v>2400</v>
          </cell>
          <cell r="F23" t="str">
            <v>2000×1950×250</v>
          </cell>
          <cell r="G23" t="str">
            <v>B=2.0m,ふたt=250</v>
          </cell>
        </row>
        <row r="24">
          <cell r="D24" t="str">
            <v>1500端面E</v>
          </cell>
          <cell r="E24">
            <v>6685</v>
          </cell>
          <cell r="F24" t="str">
            <v>H1500</v>
          </cell>
        </row>
        <row r="25">
          <cell r="D25" t="str">
            <v>1500ふたA1A</v>
          </cell>
          <cell r="E25">
            <v>2940</v>
          </cell>
          <cell r="F25" t="str">
            <v>3000×2000×200</v>
          </cell>
          <cell r="G25" t="str">
            <v>B=3.0m,L=2.0m</v>
          </cell>
        </row>
        <row r="26">
          <cell r="D26" t="str">
            <v>1500ふたA2A</v>
          </cell>
          <cell r="E26">
            <v>2445</v>
          </cell>
          <cell r="F26" t="str">
            <v>2500×2000×200</v>
          </cell>
          <cell r="G26" t="str">
            <v>B=2.5m,L=2.0m</v>
          </cell>
        </row>
        <row r="27">
          <cell r="D27" t="str">
            <v>1500ふたA3A</v>
          </cell>
          <cell r="E27">
            <v>1945</v>
          </cell>
          <cell r="F27" t="str">
            <v>2000×2000×200</v>
          </cell>
          <cell r="G27" t="str">
            <v>B=2.0m,L=2.0m</v>
          </cell>
        </row>
        <row r="28">
          <cell r="D28" t="str">
            <v>1500ふたA4A</v>
          </cell>
          <cell r="E28">
            <v>1090</v>
          </cell>
          <cell r="F28" t="str">
            <v>3000× 750×200</v>
          </cell>
          <cell r="G28" t="str">
            <v>B=3.0m,L=0.75m</v>
          </cell>
        </row>
        <row r="29">
          <cell r="D29" t="str">
            <v>1500ふたA5A</v>
          </cell>
          <cell r="E29">
            <v>905</v>
          </cell>
          <cell r="F29" t="str">
            <v>2500× 750×200</v>
          </cell>
          <cell r="G29" t="str">
            <v>B=2.5m,L=0.75m</v>
          </cell>
        </row>
        <row r="30">
          <cell r="D30" t="str">
            <v>1500ふたA6A</v>
          </cell>
          <cell r="E30">
            <v>720</v>
          </cell>
          <cell r="F30" t="str">
            <v>2000× 750×200</v>
          </cell>
          <cell r="G30" t="str">
            <v>B=2.0m,L=0.75m</v>
          </cell>
        </row>
        <row r="31">
          <cell r="D31" t="str">
            <v>1500ふたA1B</v>
          </cell>
          <cell r="E31">
            <v>3680</v>
          </cell>
          <cell r="F31" t="str">
            <v>3000×2000×250</v>
          </cell>
          <cell r="G31" t="str">
            <v>B=3.0m,L=2.0m,t=250</v>
          </cell>
        </row>
        <row r="32">
          <cell r="D32" t="str">
            <v>1500ふたA2B</v>
          </cell>
          <cell r="E32">
            <v>3055</v>
          </cell>
          <cell r="F32" t="str">
            <v>2500×2000×250</v>
          </cell>
          <cell r="G32" t="str">
            <v>B=2.5m,L=2.0m,t=250</v>
          </cell>
        </row>
        <row r="33">
          <cell r="D33" t="str">
            <v>1500ふたA3B</v>
          </cell>
          <cell r="E33">
            <v>2435</v>
          </cell>
          <cell r="F33" t="str">
            <v>2000×2000×250</v>
          </cell>
          <cell r="G33" t="str">
            <v>B=2.0m,L=2.0m,t=250</v>
          </cell>
        </row>
        <row r="34">
          <cell r="D34" t="str">
            <v>1500ふたA4B</v>
          </cell>
          <cell r="E34">
            <v>1365</v>
          </cell>
          <cell r="F34" t="str">
            <v>3000× 750×250</v>
          </cell>
          <cell r="G34" t="str">
            <v>B=3.0m,L=0.75m,t=250</v>
          </cell>
        </row>
        <row r="35">
          <cell r="D35" t="str">
            <v>1500ふたA5B</v>
          </cell>
          <cell r="E35">
            <v>1135</v>
          </cell>
          <cell r="F35" t="str">
            <v>2500× 750×250</v>
          </cell>
          <cell r="G35" t="str">
            <v>B=2.5m,L=0.75m,t=250</v>
          </cell>
        </row>
        <row r="36">
          <cell r="D36" t="str">
            <v>1500ふたA6B</v>
          </cell>
          <cell r="E36">
            <v>905</v>
          </cell>
          <cell r="F36" t="str">
            <v>2000× 750×250</v>
          </cell>
          <cell r="G36" t="str">
            <v>B=2.0m,L=0.75m,t=250</v>
          </cell>
        </row>
        <row r="37">
          <cell r="D37" t="str">
            <v>2000本体A</v>
          </cell>
          <cell r="E37">
            <v>7570</v>
          </cell>
          <cell r="F37" t="str">
            <v>H2000</v>
          </cell>
        </row>
        <row r="38">
          <cell r="D38" t="str">
            <v>2000本体A1</v>
          </cell>
          <cell r="E38">
            <v>8230</v>
          </cell>
          <cell r="F38" t="str">
            <v>H2000</v>
          </cell>
        </row>
        <row r="39">
          <cell r="D39" t="str">
            <v>2000本体A3</v>
          </cell>
          <cell r="E39">
            <v>8300</v>
          </cell>
          <cell r="F39" t="str">
            <v>H2000</v>
          </cell>
        </row>
        <row r="40">
          <cell r="D40" t="str">
            <v>2000本体A4</v>
          </cell>
          <cell r="E40">
            <v>6910</v>
          </cell>
          <cell r="F40" t="str">
            <v>H2000</v>
          </cell>
        </row>
        <row r="41">
          <cell r="D41" t="str">
            <v>2000本体A5</v>
          </cell>
          <cell r="E41">
            <v>7570</v>
          </cell>
          <cell r="F41" t="str">
            <v>H2000</v>
          </cell>
        </row>
        <row r="42">
          <cell r="D42" t="str">
            <v>2000本体B</v>
          </cell>
          <cell r="E42">
            <v>7080</v>
          </cell>
          <cell r="F42" t="str">
            <v>H2000</v>
          </cell>
        </row>
        <row r="43">
          <cell r="D43" t="str">
            <v>2000本体B1</v>
          </cell>
          <cell r="E43">
            <v>7740</v>
          </cell>
          <cell r="F43" t="str">
            <v>H2000</v>
          </cell>
        </row>
        <row r="44">
          <cell r="D44" t="str">
            <v>2000本体B2</v>
          </cell>
          <cell r="E44">
            <v>8400</v>
          </cell>
          <cell r="F44" t="str">
            <v>H2000</v>
          </cell>
        </row>
        <row r="45">
          <cell r="D45" t="str">
            <v>2000本体B3</v>
          </cell>
          <cell r="E45">
            <v>8185</v>
          </cell>
          <cell r="F45" t="str">
            <v>H2000</v>
          </cell>
        </row>
        <row r="46">
          <cell r="D46" t="str">
            <v>2000本体B4</v>
          </cell>
          <cell r="E46">
            <v>7805</v>
          </cell>
          <cell r="F46" t="str">
            <v>H2000</v>
          </cell>
        </row>
        <row r="47">
          <cell r="D47" t="str">
            <v>2000本体B5</v>
          </cell>
          <cell r="E47">
            <v>8465</v>
          </cell>
          <cell r="F47" t="str">
            <v>H2000</v>
          </cell>
        </row>
        <row r="48">
          <cell r="D48" t="str">
            <v>2000本体C</v>
          </cell>
          <cell r="E48">
            <v>8060</v>
          </cell>
          <cell r="F48" t="str">
            <v>H2000</v>
          </cell>
        </row>
        <row r="49">
          <cell r="D49" t="str">
            <v>2000端面A</v>
          </cell>
          <cell r="E49">
            <v>8360</v>
          </cell>
          <cell r="F49" t="str">
            <v>H2000</v>
          </cell>
        </row>
        <row r="50">
          <cell r="D50" t="str">
            <v>2000端面B</v>
          </cell>
          <cell r="E50">
            <v>8360</v>
          </cell>
          <cell r="F50" t="str">
            <v>H2000</v>
          </cell>
        </row>
        <row r="51">
          <cell r="D51" t="str">
            <v>2000端面C</v>
          </cell>
          <cell r="E51">
            <v>8595</v>
          </cell>
          <cell r="F51" t="str">
            <v>H2000</v>
          </cell>
        </row>
        <row r="52">
          <cell r="D52" t="str">
            <v>2000端面D20A</v>
          </cell>
          <cell r="E52">
            <v>4455</v>
          </cell>
          <cell r="F52" t="str">
            <v>3000×2400×250</v>
          </cell>
        </row>
        <row r="53">
          <cell r="D53" t="str">
            <v>2000端面D20B</v>
          </cell>
          <cell r="E53">
            <v>3705</v>
          </cell>
          <cell r="F53" t="str">
            <v>2500×2400×250</v>
          </cell>
        </row>
        <row r="54">
          <cell r="D54" t="str">
            <v>2000端面D20C</v>
          </cell>
          <cell r="E54">
            <v>2955</v>
          </cell>
          <cell r="F54" t="str">
            <v>2000×2400×250</v>
          </cell>
        </row>
        <row r="55">
          <cell r="D55" t="str">
            <v>2000端面D20D</v>
          </cell>
          <cell r="E55">
            <v>4545</v>
          </cell>
          <cell r="F55" t="str">
            <v>3000×2450×250</v>
          </cell>
        </row>
        <row r="56">
          <cell r="D56" t="str">
            <v>2000端面D20E</v>
          </cell>
          <cell r="E56">
            <v>3780</v>
          </cell>
          <cell r="F56" t="str">
            <v>2500×2450×250</v>
          </cell>
        </row>
        <row r="57">
          <cell r="D57" t="str">
            <v>2000端面D20F</v>
          </cell>
          <cell r="E57">
            <v>3015</v>
          </cell>
          <cell r="F57" t="str">
            <v>2000×2450×250</v>
          </cell>
        </row>
        <row r="58">
          <cell r="D58" t="str">
            <v>2000端面E</v>
          </cell>
          <cell r="E58">
            <v>8120</v>
          </cell>
          <cell r="F58" t="str">
            <v>H2000</v>
          </cell>
        </row>
        <row r="59">
          <cell r="D59" t="str">
            <v>2000ふたA1A</v>
          </cell>
          <cell r="E59">
            <v>2940</v>
          </cell>
          <cell r="F59" t="str">
            <v>3000×2000×200</v>
          </cell>
          <cell r="G59" t="str">
            <v>B=3.0m,L=2.0m</v>
          </cell>
        </row>
        <row r="60">
          <cell r="D60" t="str">
            <v>2000ふたA2A</v>
          </cell>
          <cell r="E60">
            <v>2445</v>
          </cell>
          <cell r="F60" t="str">
            <v>2500×2000×200</v>
          </cell>
          <cell r="G60" t="str">
            <v>B=2.5m,L=2.0m</v>
          </cell>
        </row>
        <row r="61">
          <cell r="D61" t="str">
            <v>2000ふたA3A</v>
          </cell>
          <cell r="E61">
            <v>1945</v>
          </cell>
          <cell r="F61" t="str">
            <v>2000×2000×200</v>
          </cell>
          <cell r="G61" t="str">
            <v>B=2.0m,L=2.0m</v>
          </cell>
        </row>
        <row r="62">
          <cell r="D62" t="str">
            <v>2000ふたA4A</v>
          </cell>
          <cell r="E62">
            <v>1090</v>
          </cell>
          <cell r="F62" t="str">
            <v>3000× 750×200</v>
          </cell>
          <cell r="G62" t="str">
            <v>B=3.0m,L=0.75m</v>
          </cell>
        </row>
        <row r="63">
          <cell r="D63" t="str">
            <v>2000ふたA5A</v>
          </cell>
          <cell r="E63">
            <v>905</v>
          </cell>
          <cell r="F63" t="str">
            <v>2500× 750×200</v>
          </cell>
          <cell r="G63" t="str">
            <v>B=2.5m,L=0.75m</v>
          </cell>
        </row>
        <row r="64">
          <cell r="D64" t="str">
            <v>2000ふたA6A</v>
          </cell>
          <cell r="E64">
            <v>720</v>
          </cell>
          <cell r="F64" t="str">
            <v>2000× 750×200</v>
          </cell>
          <cell r="G64" t="str">
            <v>B=2.0m,L=0.75m</v>
          </cell>
        </row>
        <row r="65">
          <cell r="D65" t="str">
            <v>2000ふたA1B</v>
          </cell>
          <cell r="E65">
            <v>3680</v>
          </cell>
          <cell r="F65" t="str">
            <v>3000×2000×250</v>
          </cell>
          <cell r="G65" t="str">
            <v>B=3.0m,L=2.0m,t=250</v>
          </cell>
        </row>
        <row r="66">
          <cell r="D66" t="str">
            <v>2000ふたA2B</v>
          </cell>
          <cell r="E66">
            <v>3055</v>
          </cell>
          <cell r="F66" t="str">
            <v>2500×2000×250</v>
          </cell>
          <cell r="G66" t="str">
            <v>B=2.5m,L=2.0m,t=250</v>
          </cell>
        </row>
        <row r="67">
          <cell r="D67" t="str">
            <v>2000ふたA3B</v>
          </cell>
          <cell r="E67">
            <v>2435</v>
          </cell>
          <cell r="F67" t="str">
            <v>2000×2000×250</v>
          </cell>
          <cell r="G67" t="str">
            <v>B=2.0m,L=2.0m,t=250</v>
          </cell>
        </row>
        <row r="68">
          <cell r="D68" t="str">
            <v>2000ふたA4B</v>
          </cell>
          <cell r="E68">
            <v>1365</v>
          </cell>
          <cell r="F68" t="str">
            <v>3000× 750×250</v>
          </cell>
          <cell r="G68" t="str">
            <v>B=3.0m,L=0.75m,t=250</v>
          </cell>
        </row>
        <row r="69">
          <cell r="D69" t="str">
            <v>2000ふたA5B</v>
          </cell>
          <cell r="E69">
            <v>1135</v>
          </cell>
          <cell r="F69" t="str">
            <v>2500× 750×250</v>
          </cell>
          <cell r="G69" t="str">
            <v>B=2.5m,L=0.75m,t=250</v>
          </cell>
        </row>
        <row r="70">
          <cell r="D70" t="str">
            <v>2000ふたA6B</v>
          </cell>
          <cell r="E70">
            <v>905</v>
          </cell>
          <cell r="F70" t="str">
            <v>2000× 750×250</v>
          </cell>
          <cell r="G70" t="str">
            <v>B=2.0m,L=0.75m,t=250</v>
          </cell>
        </row>
        <row r="71">
          <cell r="D71" t="str">
            <v>2500本体A</v>
          </cell>
          <cell r="E71">
            <v>6550</v>
          </cell>
          <cell r="F71" t="str">
            <v>H2500</v>
          </cell>
        </row>
        <row r="72">
          <cell r="D72" t="str">
            <v>2500本体A1</v>
          </cell>
          <cell r="E72">
            <v>7390</v>
          </cell>
          <cell r="F72" t="str">
            <v>H2500</v>
          </cell>
        </row>
        <row r="73">
          <cell r="D73" t="str">
            <v>2500本体A3</v>
          </cell>
          <cell r="E73">
            <v>7520</v>
          </cell>
          <cell r="F73" t="str">
            <v>H2500</v>
          </cell>
        </row>
        <row r="74">
          <cell r="D74" t="str">
            <v>2500本体A4</v>
          </cell>
          <cell r="E74">
            <v>5705</v>
          </cell>
          <cell r="F74" t="str">
            <v>H2500</v>
          </cell>
        </row>
        <row r="75">
          <cell r="D75" t="str">
            <v>2500本体A5</v>
          </cell>
          <cell r="E75">
            <v>6550</v>
          </cell>
          <cell r="F75" t="str">
            <v>H2500</v>
          </cell>
        </row>
        <row r="76">
          <cell r="D76" t="str">
            <v>2500本体B</v>
          </cell>
          <cell r="E76">
            <v>5835</v>
          </cell>
          <cell r="F76" t="str">
            <v>H2500</v>
          </cell>
        </row>
        <row r="77">
          <cell r="D77" t="str">
            <v>2500本体B1</v>
          </cell>
          <cell r="E77">
            <v>6675</v>
          </cell>
          <cell r="F77" t="str">
            <v>H2500</v>
          </cell>
        </row>
        <row r="78">
          <cell r="D78" t="str">
            <v>2500本体B2</v>
          </cell>
          <cell r="E78">
            <v>7515</v>
          </cell>
          <cell r="F78" t="str">
            <v>H2500</v>
          </cell>
        </row>
        <row r="79">
          <cell r="D79" t="str">
            <v>2500本体B3</v>
          </cell>
          <cell r="E79">
            <v>7345</v>
          </cell>
          <cell r="F79" t="str">
            <v>H2500</v>
          </cell>
        </row>
        <row r="80">
          <cell r="D80" t="str">
            <v>2500本体B4</v>
          </cell>
          <cell r="E80">
            <v>6805</v>
          </cell>
          <cell r="F80" t="str">
            <v>H2500</v>
          </cell>
        </row>
        <row r="81">
          <cell r="D81" t="str">
            <v>2500本体B5</v>
          </cell>
          <cell r="E81">
            <v>7645</v>
          </cell>
          <cell r="F81" t="str">
            <v>H2500</v>
          </cell>
        </row>
        <row r="82">
          <cell r="D82" t="str">
            <v>2500本体C</v>
          </cell>
          <cell r="E82">
            <v>7260</v>
          </cell>
          <cell r="F82" t="str">
            <v>H2500</v>
          </cell>
        </row>
        <row r="83">
          <cell r="D83" t="str">
            <v>2500端面A</v>
          </cell>
          <cell r="E83">
            <v>7210</v>
          </cell>
          <cell r="F83" t="str">
            <v>H2500</v>
          </cell>
        </row>
        <row r="84">
          <cell r="D84" t="str">
            <v>2500端面B</v>
          </cell>
          <cell r="E84">
            <v>7210</v>
          </cell>
          <cell r="F84" t="str">
            <v>H2500</v>
          </cell>
        </row>
        <row r="85">
          <cell r="D85" t="str">
            <v>2500端面C</v>
          </cell>
          <cell r="E85">
            <v>7465</v>
          </cell>
          <cell r="F85" t="str">
            <v>H2500</v>
          </cell>
        </row>
        <row r="86">
          <cell r="D86" t="str">
            <v>2500端面D25A</v>
          </cell>
          <cell r="E86">
            <v>5380</v>
          </cell>
          <cell r="F86" t="str">
            <v>3000×2900×250</v>
          </cell>
        </row>
        <row r="87">
          <cell r="D87" t="str">
            <v>2500端面D25B</v>
          </cell>
          <cell r="E87">
            <v>4475</v>
          </cell>
          <cell r="F87" t="str">
            <v>2500×2900×250</v>
          </cell>
        </row>
        <row r="88">
          <cell r="D88" t="str">
            <v>2500端面D25C</v>
          </cell>
          <cell r="E88">
            <v>3570</v>
          </cell>
          <cell r="F88" t="str">
            <v>2000×2900×250</v>
          </cell>
        </row>
        <row r="89">
          <cell r="D89" t="str">
            <v>2500端面D25D</v>
          </cell>
          <cell r="E89">
            <v>5475</v>
          </cell>
          <cell r="F89" t="str">
            <v>3000×2950×250</v>
          </cell>
        </row>
        <row r="90">
          <cell r="D90" t="str">
            <v>2500端面D25E</v>
          </cell>
          <cell r="E90">
            <v>4555</v>
          </cell>
          <cell r="F90" t="str">
            <v>2500×2950×250</v>
          </cell>
        </row>
        <row r="91">
          <cell r="D91" t="str">
            <v>2500端面D25F</v>
          </cell>
          <cell r="E91">
            <v>3630</v>
          </cell>
          <cell r="F91" t="str">
            <v>2000×2950×250</v>
          </cell>
        </row>
        <row r="92">
          <cell r="D92" t="str">
            <v>2500端面E</v>
          </cell>
          <cell r="E92">
            <v>6950</v>
          </cell>
          <cell r="F92" t="str">
            <v>H2500</v>
          </cell>
        </row>
        <row r="93">
          <cell r="D93" t="str">
            <v>2500ふたB1A</v>
          </cell>
          <cell r="E93">
            <v>2200</v>
          </cell>
          <cell r="F93" t="str">
            <v>3000×1500×200</v>
          </cell>
          <cell r="G93" t="str">
            <v>B=3.0m,L=1.5m</v>
          </cell>
        </row>
        <row r="94">
          <cell r="D94" t="str">
            <v>2500ふたB2A</v>
          </cell>
          <cell r="E94">
            <v>1830</v>
          </cell>
          <cell r="F94" t="str">
            <v>2500×1500×200</v>
          </cell>
          <cell r="G94" t="str">
            <v>B=2.5m,L=1.5m</v>
          </cell>
        </row>
        <row r="95">
          <cell r="D95" t="str">
            <v>2500ふたB3A</v>
          </cell>
          <cell r="E95">
            <v>1455</v>
          </cell>
          <cell r="F95" t="str">
            <v>2000×1500×200</v>
          </cell>
          <cell r="G95" t="str">
            <v>B=2.0m,L=1.5m</v>
          </cell>
        </row>
        <row r="96">
          <cell r="D96" t="str">
            <v>2500ふたB4A</v>
          </cell>
          <cell r="E96">
            <v>720</v>
          </cell>
          <cell r="F96" t="str">
            <v>3000× 500×200</v>
          </cell>
          <cell r="G96" t="str">
            <v>B=3.0m,L=0.50m</v>
          </cell>
        </row>
        <row r="97">
          <cell r="D97" t="str">
            <v>2500ふたB5A</v>
          </cell>
          <cell r="E97">
            <v>600</v>
          </cell>
          <cell r="F97" t="str">
            <v>2500× 500×200</v>
          </cell>
          <cell r="G97" t="str">
            <v>B=2.5m,L=0.50m</v>
          </cell>
        </row>
        <row r="98">
          <cell r="D98" t="str">
            <v>2500ふたB6A</v>
          </cell>
          <cell r="E98">
            <v>475</v>
          </cell>
          <cell r="F98" t="str">
            <v>2000× 500×200</v>
          </cell>
          <cell r="G98" t="str">
            <v>B=2.0m,L=0.50m</v>
          </cell>
        </row>
        <row r="99">
          <cell r="D99" t="str">
            <v>2500ふたB1B</v>
          </cell>
          <cell r="E99">
            <v>2755</v>
          </cell>
          <cell r="F99" t="str">
            <v>3000×1500×250</v>
          </cell>
          <cell r="G99" t="str">
            <v>B=3.0m,L=1.5m,t=250</v>
          </cell>
        </row>
        <row r="100">
          <cell r="D100" t="str">
            <v>2500ふたB2B</v>
          </cell>
          <cell r="E100">
            <v>2290</v>
          </cell>
          <cell r="F100" t="str">
            <v>2500×1500×250</v>
          </cell>
          <cell r="G100" t="str">
            <v>B=2.5m,L=1.5m,t=250</v>
          </cell>
        </row>
        <row r="101">
          <cell r="D101" t="str">
            <v>2500ふたB3B</v>
          </cell>
          <cell r="E101">
            <v>1820</v>
          </cell>
          <cell r="F101" t="str">
            <v>2000×1500×250</v>
          </cell>
          <cell r="G101" t="str">
            <v>B=2.0m,L=1.5m,t=250</v>
          </cell>
        </row>
        <row r="102">
          <cell r="D102" t="str">
            <v>2500ふたB4B</v>
          </cell>
          <cell r="E102">
            <v>905</v>
          </cell>
          <cell r="F102" t="str">
            <v>3000× 500×250</v>
          </cell>
          <cell r="G102" t="str">
            <v>B=3.0m,L=0.50m,t=250</v>
          </cell>
        </row>
        <row r="103">
          <cell r="D103" t="str">
            <v>2500ふたB5B</v>
          </cell>
          <cell r="E103">
            <v>750</v>
          </cell>
          <cell r="F103" t="str">
            <v>2500× 500×250</v>
          </cell>
          <cell r="G103" t="str">
            <v>B=2.5m,L=0.50m,t=250</v>
          </cell>
        </row>
        <row r="104">
          <cell r="D104" t="str">
            <v>2500ふたB6B</v>
          </cell>
          <cell r="E104">
            <v>595</v>
          </cell>
          <cell r="F104" t="str">
            <v>2000× 500×250</v>
          </cell>
          <cell r="G104" t="str">
            <v>B=2.0m,L=0.50m,t=250</v>
          </cell>
        </row>
        <row r="105">
          <cell r="D105" t="str">
            <v>3000本体A</v>
          </cell>
          <cell r="E105">
            <v>7250</v>
          </cell>
          <cell r="F105" t="str">
            <v>H3000</v>
          </cell>
        </row>
        <row r="106">
          <cell r="D106" t="str">
            <v>3000本体A1</v>
          </cell>
          <cell r="E106">
            <v>8325</v>
          </cell>
          <cell r="F106" t="str">
            <v>H3000</v>
          </cell>
        </row>
        <row r="107">
          <cell r="D107" t="str">
            <v>3000本体A3</v>
          </cell>
          <cell r="E107">
            <v>8500</v>
          </cell>
          <cell r="F107" t="str">
            <v>H3000</v>
          </cell>
        </row>
        <row r="108">
          <cell r="D108" t="str">
            <v>3000本体A4</v>
          </cell>
          <cell r="E108">
            <v>6175</v>
          </cell>
          <cell r="F108" t="str">
            <v>H3000</v>
          </cell>
        </row>
        <row r="109">
          <cell r="D109" t="str">
            <v>3000本体A5</v>
          </cell>
          <cell r="E109">
            <v>7250</v>
          </cell>
          <cell r="F109" t="str">
            <v>H3000</v>
          </cell>
        </row>
        <row r="110">
          <cell r="D110" t="str">
            <v>3000本体B</v>
          </cell>
          <cell r="E110">
            <v>6305</v>
          </cell>
          <cell r="F110" t="str">
            <v>H3000</v>
          </cell>
        </row>
        <row r="111">
          <cell r="D111" t="str">
            <v>3000本体B1</v>
          </cell>
          <cell r="E111">
            <v>7380</v>
          </cell>
          <cell r="F111" t="str">
            <v>H3000</v>
          </cell>
        </row>
        <row r="112">
          <cell r="D112" t="str">
            <v>3000本体B2</v>
          </cell>
          <cell r="E112">
            <v>8455</v>
          </cell>
          <cell r="F112" t="str">
            <v>H3000</v>
          </cell>
        </row>
        <row r="113">
          <cell r="D113" t="str">
            <v>3000本体B3</v>
          </cell>
          <cell r="E113">
            <v>8285</v>
          </cell>
          <cell r="F113" t="str">
            <v>H3000</v>
          </cell>
        </row>
        <row r="114">
          <cell r="D114" t="str">
            <v>3000本体B4</v>
          </cell>
          <cell r="E114">
            <v>7550</v>
          </cell>
          <cell r="F114" t="str">
            <v>H3000</v>
          </cell>
        </row>
        <row r="115">
          <cell r="D115" t="str">
            <v>3000本体B5</v>
          </cell>
          <cell r="E115">
            <v>8625</v>
          </cell>
          <cell r="F115" t="str">
            <v>H3000</v>
          </cell>
        </row>
        <row r="116">
          <cell r="D116" t="str">
            <v>3000本体C</v>
          </cell>
          <cell r="E116">
            <v>8200</v>
          </cell>
          <cell r="F116" t="str">
            <v>H3000</v>
          </cell>
        </row>
        <row r="117">
          <cell r="D117" t="str">
            <v>3000端面A</v>
          </cell>
          <cell r="E117">
            <v>8345</v>
          </cell>
          <cell r="F117" t="str">
            <v>H3000</v>
          </cell>
        </row>
        <row r="118">
          <cell r="D118" t="str">
            <v>3000端面B</v>
          </cell>
          <cell r="E118">
            <v>8345</v>
          </cell>
          <cell r="F118" t="str">
            <v>H3000</v>
          </cell>
        </row>
        <row r="119">
          <cell r="D119" t="str">
            <v>3000端面C</v>
          </cell>
          <cell r="E119">
            <v>8645</v>
          </cell>
          <cell r="F119" t="str">
            <v>H3000</v>
          </cell>
        </row>
        <row r="120">
          <cell r="D120" t="str">
            <v>3000端面D30A</v>
          </cell>
          <cell r="E120">
            <v>6310</v>
          </cell>
          <cell r="F120" t="str">
            <v>3000×3400×250</v>
          </cell>
        </row>
        <row r="121">
          <cell r="D121" t="str">
            <v>3000端面D30B</v>
          </cell>
          <cell r="E121">
            <v>5250</v>
          </cell>
          <cell r="F121" t="str">
            <v>2500×3400×250</v>
          </cell>
        </row>
        <row r="122">
          <cell r="D122" t="str">
            <v>3000端面D30C</v>
          </cell>
          <cell r="E122">
            <v>4185</v>
          </cell>
          <cell r="F122" t="str">
            <v>2000×3400×250</v>
          </cell>
        </row>
        <row r="123">
          <cell r="D123" t="str">
            <v>3000端面D30D</v>
          </cell>
          <cell r="E123">
            <v>6405</v>
          </cell>
          <cell r="F123" t="str">
            <v>3000×3450×250</v>
          </cell>
        </row>
        <row r="124">
          <cell r="D124" t="str">
            <v>3000端面D30E</v>
          </cell>
          <cell r="E124">
            <v>5325</v>
          </cell>
          <cell r="F124" t="str">
            <v>2500×3450×250</v>
          </cell>
        </row>
        <row r="125">
          <cell r="D125" t="str">
            <v>3000端面D30F</v>
          </cell>
          <cell r="E125">
            <v>4245</v>
          </cell>
          <cell r="F125" t="str">
            <v>2000×3450×250</v>
          </cell>
        </row>
        <row r="126">
          <cell r="D126" t="str">
            <v>3000端面E</v>
          </cell>
          <cell r="E126">
            <v>8045</v>
          </cell>
          <cell r="F126" t="str">
            <v>H3000</v>
          </cell>
        </row>
        <row r="127">
          <cell r="D127" t="str">
            <v>3000ふたB1A</v>
          </cell>
          <cell r="E127">
            <v>2200</v>
          </cell>
          <cell r="F127" t="str">
            <v>3000×1500×200</v>
          </cell>
          <cell r="G127" t="str">
            <v>B=3.0m,L=1.5m</v>
          </cell>
        </row>
        <row r="128">
          <cell r="D128" t="str">
            <v>3000ふたB2A</v>
          </cell>
          <cell r="E128">
            <v>1830</v>
          </cell>
          <cell r="F128" t="str">
            <v>2500×1500×200</v>
          </cell>
          <cell r="G128" t="str">
            <v>B=2.5m,L=1.5m</v>
          </cell>
        </row>
        <row r="129">
          <cell r="D129" t="str">
            <v>3000ふたB3A</v>
          </cell>
          <cell r="E129">
            <v>1455</v>
          </cell>
          <cell r="F129" t="str">
            <v>2000×1500×200</v>
          </cell>
          <cell r="G129" t="str">
            <v>B=2.0m,L=1.5m</v>
          </cell>
        </row>
        <row r="130">
          <cell r="D130" t="str">
            <v>3000ふたB4A</v>
          </cell>
          <cell r="E130">
            <v>720</v>
          </cell>
          <cell r="F130" t="str">
            <v>3000× 500×200</v>
          </cell>
          <cell r="G130" t="str">
            <v>B=3.0m,L=0.50m</v>
          </cell>
        </row>
        <row r="131">
          <cell r="D131" t="str">
            <v>3000ふたB5A</v>
          </cell>
          <cell r="E131">
            <v>600</v>
          </cell>
          <cell r="F131" t="str">
            <v>2500× 500×200</v>
          </cell>
          <cell r="G131" t="str">
            <v>B=2.5m,L=0.50m</v>
          </cell>
        </row>
        <row r="132">
          <cell r="D132" t="str">
            <v>3000ふたB6A</v>
          </cell>
          <cell r="E132">
            <v>475</v>
          </cell>
          <cell r="F132" t="str">
            <v>2000× 500×200</v>
          </cell>
          <cell r="G132" t="str">
            <v>B=2.0m,L=0.50m</v>
          </cell>
        </row>
        <row r="133">
          <cell r="D133" t="str">
            <v>3000ふたB1B</v>
          </cell>
          <cell r="E133">
            <v>2755</v>
          </cell>
          <cell r="F133" t="str">
            <v>3000×1500×250</v>
          </cell>
          <cell r="G133" t="str">
            <v>B=3.0m,L=1.5m,t=250</v>
          </cell>
        </row>
        <row r="134">
          <cell r="D134" t="str">
            <v>3000ふたB2B</v>
          </cell>
          <cell r="E134">
            <v>2290</v>
          </cell>
          <cell r="F134" t="str">
            <v>2500×1500×250</v>
          </cell>
          <cell r="G134" t="str">
            <v>B=2.5m,L=1.5m,t=250</v>
          </cell>
        </row>
        <row r="135">
          <cell r="D135" t="str">
            <v>3000ふたB3B</v>
          </cell>
          <cell r="E135">
            <v>1820</v>
          </cell>
          <cell r="F135" t="str">
            <v>2000×1500×250</v>
          </cell>
          <cell r="G135" t="str">
            <v>B=2.0m,L=1.5m,t=250</v>
          </cell>
        </row>
        <row r="136">
          <cell r="D136" t="str">
            <v>3000ふたB4B</v>
          </cell>
          <cell r="E136">
            <v>905</v>
          </cell>
          <cell r="F136" t="str">
            <v>3000× 500×250</v>
          </cell>
          <cell r="G136" t="str">
            <v>B=3.0m,L=0.50m,t=250</v>
          </cell>
        </row>
        <row r="137">
          <cell r="D137" t="str">
            <v>3000ふたB5B</v>
          </cell>
          <cell r="E137">
            <v>750</v>
          </cell>
          <cell r="F137" t="str">
            <v>2500× 500×250</v>
          </cell>
          <cell r="G137" t="str">
            <v>B=2.5m,L=0.50m,t=250</v>
          </cell>
        </row>
        <row r="138">
          <cell r="D138" t="str">
            <v>3000ふたB6B</v>
          </cell>
          <cell r="E138">
            <v>595</v>
          </cell>
          <cell r="F138" t="str">
            <v>2000× 500×250</v>
          </cell>
          <cell r="G138" t="str">
            <v>B=2.0m,L=0.50m,t=250</v>
          </cell>
        </row>
        <row r="139">
          <cell r="D139" t="str">
            <v>3500本体A</v>
          </cell>
          <cell r="E139">
            <v>7955</v>
          </cell>
          <cell r="F139" t="str">
            <v>H3500</v>
          </cell>
        </row>
        <row r="140">
          <cell r="D140" t="str">
            <v>3500本体A1</v>
          </cell>
          <cell r="E140">
            <v>9265</v>
          </cell>
        </row>
        <row r="141">
          <cell r="D141" t="str">
            <v>3500本体A3</v>
          </cell>
          <cell r="E141">
            <v>9480</v>
          </cell>
          <cell r="F141" t="str">
            <v>H3500</v>
          </cell>
        </row>
        <row r="142">
          <cell r="D142" t="str">
            <v>3500本体A4</v>
          </cell>
          <cell r="E142">
            <v>6645</v>
          </cell>
          <cell r="F142" t="str">
            <v>H3500</v>
          </cell>
        </row>
        <row r="143">
          <cell r="D143" t="str">
            <v>3500本体A5</v>
          </cell>
          <cell r="E143">
            <v>7955</v>
          </cell>
          <cell r="F143" t="str">
            <v>H3500</v>
          </cell>
        </row>
        <row r="144">
          <cell r="D144" t="str">
            <v>3500本体B</v>
          </cell>
          <cell r="E144">
            <v>6770</v>
          </cell>
          <cell r="F144" t="str">
            <v>H3500</v>
          </cell>
        </row>
        <row r="145">
          <cell r="D145" t="str">
            <v>3500本体B1</v>
          </cell>
          <cell r="E145">
            <v>8080</v>
          </cell>
          <cell r="F145" t="str">
            <v>H3500</v>
          </cell>
        </row>
        <row r="146">
          <cell r="D146" t="str">
            <v>3500本体B2</v>
          </cell>
          <cell r="E146">
            <v>9390</v>
          </cell>
          <cell r="F146" t="str">
            <v>H3500</v>
          </cell>
        </row>
        <row r="147">
          <cell r="D147" t="str">
            <v>3500本体B3</v>
          </cell>
          <cell r="E147">
            <v>9220</v>
          </cell>
          <cell r="F147" t="str">
            <v>H3500</v>
          </cell>
        </row>
        <row r="148">
          <cell r="D148" t="str">
            <v>3500本体B4</v>
          </cell>
          <cell r="E148">
            <v>8295</v>
          </cell>
          <cell r="F148" t="str">
            <v>H3500</v>
          </cell>
        </row>
        <row r="149">
          <cell r="D149" t="str">
            <v>3500本体B5</v>
          </cell>
          <cell r="E149">
            <v>9605</v>
          </cell>
          <cell r="F149" t="str">
            <v>H3500</v>
          </cell>
        </row>
        <row r="150">
          <cell r="D150" t="str">
            <v>3500本体C</v>
          </cell>
          <cell r="E150">
            <v>9135</v>
          </cell>
          <cell r="F150" t="str">
            <v>H3500</v>
          </cell>
        </row>
        <row r="151">
          <cell r="D151" t="str">
            <v>3500端面A</v>
          </cell>
          <cell r="E151">
            <v>9480</v>
          </cell>
          <cell r="F151" t="str">
            <v>H3500</v>
          </cell>
        </row>
        <row r="152">
          <cell r="D152" t="str">
            <v>3500端面B</v>
          </cell>
          <cell r="E152">
            <v>9480</v>
          </cell>
          <cell r="F152" t="str">
            <v>H3500</v>
          </cell>
        </row>
        <row r="153">
          <cell r="D153" t="str">
            <v>3500端面C</v>
          </cell>
          <cell r="E153">
            <v>9820</v>
          </cell>
          <cell r="F153" t="str">
            <v>H3500</v>
          </cell>
        </row>
        <row r="154">
          <cell r="D154" t="str">
            <v>3500端面D35A</v>
          </cell>
          <cell r="E154">
            <v>7240</v>
          </cell>
          <cell r="F154" t="str">
            <v>3000×3900×250</v>
          </cell>
        </row>
        <row r="155">
          <cell r="D155" t="str">
            <v>3500端面D35B</v>
          </cell>
          <cell r="E155">
            <v>6020</v>
          </cell>
          <cell r="F155" t="str">
            <v>2500×3900×250</v>
          </cell>
        </row>
        <row r="156">
          <cell r="D156" t="str">
            <v>3500端面D35C</v>
          </cell>
          <cell r="E156">
            <v>4800</v>
          </cell>
          <cell r="F156" t="str">
            <v>2000×3900×250</v>
          </cell>
        </row>
        <row r="157">
          <cell r="D157" t="str">
            <v>3500端面D35D</v>
          </cell>
          <cell r="E157">
            <v>7330</v>
          </cell>
          <cell r="F157" t="str">
            <v>3000×3950×250</v>
          </cell>
        </row>
        <row r="158">
          <cell r="D158" t="str">
            <v>3500端面D35E</v>
          </cell>
          <cell r="E158">
            <v>6095</v>
          </cell>
          <cell r="F158" t="str">
            <v>2500×3950×250</v>
          </cell>
        </row>
        <row r="159">
          <cell r="D159" t="str">
            <v>3500端面D35F</v>
          </cell>
          <cell r="E159">
            <v>4860</v>
          </cell>
          <cell r="F159" t="str">
            <v>2000×3950×250</v>
          </cell>
        </row>
        <row r="160">
          <cell r="D160" t="str">
            <v>3500端面E</v>
          </cell>
          <cell r="E160">
            <v>9140</v>
          </cell>
          <cell r="F160" t="str">
            <v>H3500</v>
          </cell>
        </row>
        <row r="161">
          <cell r="D161" t="str">
            <v>3500ふたB1A</v>
          </cell>
          <cell r="E161">
            <v>2200</v>
          </cell>
          <cell r="F161" t="str">
            <v>3000×1500×200</v>
          </cell>
          <cell r="G161" t="str">
            <v>B=3.0m,L=1.5m</v>
          </cell>
        </row>
        <row r="162">
          <cell r="D162" t="str">
            <v>3500ふたB2A</v>
          </cell>
          <cell r="E162">
            <v>1830</v>
          </cell>
          <cell r="F162" t="str">
            <v>2500×1500×200</v>
          </cell>
          <cell r="G162" t="str">
            <v>B=2.5m,L=1.5m</v>
          </cell>
        </row>
        <row r="163">
          <cell r="D163" t="str">
            <v>3500ふたB3A</v>
          </cell>
          <cell r="E163">
            <v>1455</v>
          </cell>
          <cell r="F163" t="str">
            <v>2000×1500×200</v>
          </cell>
          <cell r="G163" t="str">
            <v>B=2.0m,L=1.5m</v>
          </cell>
        </row>
        <row r="164">
          <cell r="D164" t="str">
            <v>3500ふたB4A</v>
          </cell>
          <cell r="E164">
            <v>720</v>
          </cell>
          <cell r="F164" t="str">
            <v>3000× 500×200</v>
          </cell>
          <cell r="G164" t="str">
            <v>B=3.0m,L=0.50m</v>
          </cell>
        </row>
        <row r="165">
          <cell r="D165" t="str">
            <v>3500ふたB5A</v>
          </cell>
          <cell r="E165">
            <v>600</v>
          </cell>
          <cell r="F165" t="str">
            <v>2500× 500×200</v>
          </cell>
          <cell r="G165" t="str">
            <v>B=2.5m,L=0.50m</v>
          </cell>
        </row>
        <row r="166">
          <cell r="D166" t="str">
            <v>3500ふたB6A</v>
          </cell>
          <cell r="E166">
            <v>475</v>
          </cell>
          <cell r="F166" t="str">
            <v>2000× 500×200</v>
          </cell>
          <cell r="G166" t="str">
            <v>B=2.0m,L=0.50m</v>
          </cell>
        </row>
        <row r="167">
          <cell r="D167" t="str">
            <v>3500ふたB1B</v>
          </cell>
          <cell r="E167">
            <v>2755</v>
          </cell>
          <cell r="F167" t="str">
            <v>3000×1500×250</v>
          </cell>
          <cell r="G167" t="str">
            <v>B=3.0m,L=1.5m,t=250</v>
          </cell>
        </row>
        <row r="168">
          <cell r="D168" t="str">
            <v>3500ふたB2B</v>
          </cell>
          <cell r="E168">
            <v>2290</v>
          </cell>
          <cell r="F168" t="str">
            <v>2500×1500×250</v>
          </cell>
          <cell r="G168" t="str">
            <v>B=2.5m,L=1.5m,t=250</v>
          </cell>
        </row>
        <row r="169">
          <cell r="D169" t="str">
            <v>3500ふたB3B</v>
          </cell>
          <cell r="E169">
            <v>1820</v>
          </cell>
          <cell r="F169" t="str">
            <v>2000×1500×250</v>
          </cell>
          <cell r="G169" t="str">
            <v>B=2.0m,L=1.5m,t=250</v>
          </cell>
        </row>
        <row r="170">
          <cell r="D170" t="str">
            <v>3500ふたB4B</v>
          </cell>
          <cell r="E170">
            <v>905</v>
          </cell>
          <cell r="F170" t="str">
            <v>3000× 500×250</v>
          </cell>
          <cell r="G170" t="str">
            <v>B=3.0m,L=0.50m,t=250</v>
          </cell>
        </row>
        <row r="171">
          <cell r="D171" t="str">
            <v>3500ふたB5B</v>
          </cell>
          <cell r="E171">
            <v>750</v>
          </cell>
          <cell r="F171" t="str">
            <v>2500× 500×250</v>
          </cell>
          <cell r="G171" t="str">
            <v>B=2.5m,L=0.50m,t=250</v>
          </cell>
        </row>
        <row r="172">
          <cell r="D172" t="str">
            <v>3500ふたB6B</v>
          </cell>
          <cell r="E172">
            <v>595</v>
          </cell>
          <cell r="F172" t="str">
            <v>2000× 500×250</v>
          </cell>
          <cell r="G172" t="str">
            <v>B=2.0m,L=0.50m,t=250</v>
          </cell>
        </row>
        <row r="173">
          <cell r="D173" t="str">
            <v>4000本体A</v>
          </cell>
          <cell r="E173">
            <v>10485</v>
          </cell>
          <cell r="F173" t="str">
            <v>H4000</v>
          </cell>
        </row>
        <row r="174">
          <cell r="D174" t="str">
            <v>4000本体A1</v>
          </cell>
          <cell r="E174">
            <v>12340</v>
          </cell>
          <cell r="F174" t="str">
            <v>H4000</v>
          </cell>
        </row>
        <row r="175">
          <cell r="D175" t="str">
            <v>4000本体A3</v>
          </cell>
          <cell r="E175">
            <v>12595</v>
          </cell>
          <cell r="F175" t="str">
            <v>H4000</v>
          </cell>
        </row>
        <row r="176">
          <cell r="D176" t="str">
            <v>4000本体A4</v>
          </cell>
          <cell r="E176">
            <v>8635</v>
          </cell>
          <cell r="F176" t="str">
            <v>H4000</v>
          </cell>
        </row>
        <row r="177">
          <cell r="D177" t="str">
            <v>4000本体A5</v>
          </cell>
          <cell r="E177">
            <v>10485</v>
          </cell>
          <cell r="F177" t="str">
            <v>H4000</v>
          </cell>
        </row>
        <row r="178">
          <cell r="D178" t="str">
            <v>4000本体B</v>
          </cell>
          <cell r="E178">
            <v>8760</v>
          </cell>
          <cell r="F178" t="str">
            <v>H4000</v>
          </cell>
        </row>
        <row r="179">
          <cell r="D179" t="str">
            <v>4000本体B1</v>
          </cell>
          <cell r="E179">
            <v>10615</v>
          </cell>
          <cell r="F179" t="str">
            <v>H4000</v>
          </cell>
        </row>
        <row r="180">
          <cell r="D180" t="str">
            <v>4000本体B2</v>
          </cell>
          <cell r="E180">
            <v>12465</v>
          </cell>
          <cell r="F180" t="str">
            <v>H4000</v>
          </cell>
        </row>
        <row r="181">
          <cell r="D181" t="str">
            <v>4000本体B3</v>
          </cell>
          <cell r="E181">
            <v>12295</v>
          </cell>
          <cell r="F181" t="str">
            <v>H4000</v>
          </cell>
        </row>
        <row r="182">
          <cell r="D182" t="str">
            <v>4000本体B4</v>
          </cell>
          <cell r="E182">
            <v>10870</v>
          </cell>
          <cell r="F182" t="str">
            <v>H4000</v>
          </cell>
        </row>
        <row r="183">
          <cell r="D183" t="str">
            <v>4000本体B5</v>
          </cell>
          <cell r="E183">
            <v>12725</v>
          </cell>
          <cell r="F183" t="str">
            <v>H4000</v>
          </cell>
        </row>
        <row r="184">
          <cell r="D184" t="str">
            <v>4000本体C</v>
          </cell>
          <cell r="E184">
            <v>12210</v>
          </cell>
          <cell r="F184" t="str">
            <v>H4000</v>
          </cell>
        </row>
        <row r="185">
          <cell r="D185" t="str">
            <v>4000端面A</v>
          </cell>
          <cell r="E185">
            <v>11685</v>
          </cell>
          <cell r="F185" t="str">
            <v>H4000</v>
          </cell>
        </row>
        <row r="186">
          <cell r="D186" t="str">
            <v>4000端面B</v>
          </cell>
          <cell r="E186">
            <v>11685</v>
          </cell>
          <cell r="F186" t="str">
            <v>H4000</v>
          </cell>
        </row>
        <row r="187">
          <cell r="D187" t="str">
            <v>4000端面C</v>
          </cell>
          <cell r="E187">
            <v>12070</v>
          </cell>
          <cell r="F187" t="str">
            <v>H4000</v>
          </cell>
        </row>
        <row r="188">
          <cell r="D188" t="str">
            <v>4000端面D40A</v>
          </cell>
          <cell r="E188">
            <v>8260</v>
          </cell>
          <cell r="F188" t="str">
            <v>3000×4450×250</v>
          </cell>
        </row>
        <row r="189">
          <cell r="D189" t="str">
            <v>4000端面D40B</v>
          </cell>
          <cell r="E189">
            <v>6870</v>
          </cell>
          <cell r="F189" t="str">
            <v>2500×4450×250</v>
          </cell>
        </row>
        <row r="190">
          <cell r="D190" t="str">
            <v>4000端面D40C</v>
          </cell>
          <cell r="E190">
            <v>5480</v>
          </cell>
          <cell r="F190" t="str">
            <v>2000×4450×250</v>
          </cell>
        </row>
        <row r="191">
          <cell r="D191" t="str">
            <v>4000端面D40D</v>
          </cell>
          <cell r="E191">
            <v>8350</v>
          </cell>
          <cell r="F191" t="str">
            <v>3000×4500×250</v>
          </cell>
        </row>
        <row r="192">
          <cell r="D192" t="str">
            <v>4000端面D40E</v>
          </cell>
          <cell r="E192">
            <v>6945</v>
          </cell>
          <cell r="F192" t="str">
            <v>2500×4500×250</v>
          </cell>
        </row>
        <row r="193">
          <cell r="D193" t="str">
            <v>4000端面D40F</v>
          </cell>
          <cell r="E193">
            <v>5540</v>
          </cell>
          <cell r="F193" t="str">
            <v>2000×4500×250</v>
          </cell>
        </row>
        <row r="194">
          <cell r="D194" t="str">
            <v>4000端面E</v>
          </cell>
          <cell r="E194">
            <v>11300</v>
          </cell>
          <cell r="F194" t="str">
            <v>H4000</v>
          </cell>
        </row>
        <row r="195">
          <cell r="D195" t="str">
            <v>4000ふたB1A</v>
          </cell>
          <cell r="E195">
            <v>2200</v>
          </cell>
          <cell r="F195" t="str">
            <v>3000×1500×200</v>
          </cell>
          <cell r="G195" t="str">
            <v>B=3.0m,L=1.5m</v>
          </cell>
        </row>
        <row r="196">
          <cell r="D196" t="str">
            <v>4000ふたB2A</v>
          </cell>
          <cell r="E196">
            <v>1830</v>
          </cell>
          <cell r="F196" t="str">
            <v>2500×1500×200</v>
          </cell>
          <cell r="G196" t="str">
            <v>B=2.5m,L=1.5m</v>
          </cell>
        </row>
        <row r="197">
          <cell r="D197" t="str">
            <v>4000ふたB3A</v>
          </cell>
          <cell r="E197">
            <v>1455</v>
          </cell>
          <cell r="F197" t="str">
            <v>2000×1500×200</v>
          </cell>
          <cell r="G197" t="str">
            <v>B=2.0m,L=1.5m</v>
          </cell>
        </row>
        <row r="198">
          <cell r="D198" t="str">
            <v>4000ふたB4A</v>
          </cell>
          <cell r="E198">
            <v>720</v>
          </cell>
          <cell r="F198" t="str">
            <v>3000× 500×200</v>
          </cell>
          <cell r="G198" t="str">
            <v>B=3.0m,L=0.50m</v>
          </cell>
        </row>
        <row r="199">
          <cell r="D199" t="str">
            <v>4000ふたB5A</v>
          </cell>
          <cell r="E199">
            <v>600</v>
          </cell>
          <cell r="F199" t="str">
            <v>2500× 500×200</v>
          </cell>
          <cell r="G199" t="str">
            <v>B=2.5m,L=0.50m</v>
          </cell>
        </row>
        <row r="200">
          <cell r="D200" t="str">
            <v>4000ふたB6A</v>
          </cell>
          <cell r="E200">
            <v>475</v>
          </cell>
          <cell r="F200" t="str">
            <v>2000× 500×200</v>
          </cell>
          <cell r="G200" t="str">
            <v>B=2.0m,L=0.50m</v>
          </cell>
        </row>
        <row r="201">
          <cell r="D201" t="str">
            <v>4000ふたB1B</v>
          </cell>
          <cell r="E201">
            <v>2755</v>
          </cell>
          <cell r="F201" t="str">
            <v>3000×1500×250</v>
          </cell>
          <cell r="G201" t="str">
            <v>B=3.0m,L=1.5m,t=250</v>
          </cell>
        </row>
        <row r="202">
          <cell r="D202" t="str">
            <v>4000ふたB2B</v>
          </cell>
          <cell r="E202">
            <v>2290</v>
          </cell>
          <cell r="F202" t="str">
            <v>2500×1500×250</v>
          </cell>
          <cell r="G202" t="str">
            <v>B=2.5m,L=1.5m,t=250</v>
          </cell>
        </row>
        <row r="203">
          <cell r="D203" t="str">
            <v>4000ふたB3B</v>
          </cell>
          <cell r="E203">
            <v>1820</v>
          </cell>
          <cell r="F203" t="str">
            <v>2000×1500×250</v>
          </cell>
          <cell r="G203" t="str">
            <v>B=2.0m,L=1.5m,t=250</v>
          </cell>
        </row>
        <row r="204">
          <cell r="D204" t="str">
            <v>4000ふたB4B</v>
          </cell>
          <cell r="E204">
            <v>905</v>
          </cell>
          <cell r="F204" t="str">
            <v>3000× 500×250</v>
          </cell>
          <cell r="G204" t="str">
            <v>B=3.0m,L=0.50m,t=250</v>
          </cell>
        </row>
        <row r="205">
          <cell r="D205" t="str">
            <v>4000ふたB5B</v>
          </cell>
          <cell r="E205">
            <v>750</v>
          </cell>
          <cell r="F205" t="str">
            <v>2500× 500×250</v>
          </cell>
          <cell r="G205" t="str">
            <v>B=2.5m,L=0.50m,t=250</v>
          </cell>
        </row>
        <row r="206">
          <cell r="D206" t="str">
            <v>4000ふたB6B</v>
          </cell>
          <cell r="E206">
            <v>595</v>
          </cell>
          <cell r="F206" t="str">
            <v>2000× 500×250</v>
          </cell>
          <cell r="G206" t="str">
            <v>B=2.0m,L=0.50m,t=250</v>
          </cell>
        </row>
        <row r="207">
          <cell r="D207" t="str">
            <v>4500本体A</v>
          </cell>
          <cell r="E207">
            <v>11330</v>
          </cell>
          <cell r="F207" t="str">
            <v>H4500</v>
          </cell>
        </row>
        <row r="208">
          <cell r="D208" t="str">
            <v>4500本体A1</v>
          </cell>
          <cell r="E208">
            <v>13465</v>
          </cell>
          <cell r="F208" t="str">
            <v>H4500</v>
          </cell>
        </row>
        <row r="209">
          <cell r="D209" t="str">
            <v>4500本体A3</v>
          </cell>
          <cell r="E209">
            <v>13765</v>
          </cell>
          <cell r="F209" t="str">
            <v>H4500</v>
          </cell>
        </row>
        <row r="210">
          <cell r="D210" t="str">
            <v>4500本体A4</v>
          </cell>
          <cell r="E210">
            <v>9195</v>
          </cell>
          <cell r="F210" t="str">
            <v>H4500</v>
          </cell>
        </row>
        <row r="211">
          <cell r="D211" t="str">
            <v>4500本体A5</v>
          </cell>
          <cell r="E211">
            <v>11330</v>
          </cell>
          <cell r="F211" t="str">
            <v>H4500</v>
          </cell>
        </row>
        <row r="212">
          <cell r="D212" t="str">
            <v>4500本体B</v>
          </cell>
          <cell r="E212">
            <v>9325</v>
          </cell>
          <cell r="F212" t="str">
            <v>H4500</v>
          </cell>
        </row>
        <row r="213">
          <cell r="D213" t="str">
            <v>4500本体B1</v>
          </cell>
          <cell r="E213">
            <v>11455</v>
          </cell>
          <cell r="F213" t="str">
            <v>H4500</v>
          </cell>
        </row>
        <row r="214">
          <cell r="D214" t="str">
            <v>4500本体B2</v>
          </cell>
          <cell r="E214">
            <v>13590</v>
          </cell>
          <cell r="F214" t="str">
            <v>H4500</v>
          </cell>
        </row>
        <row r="215">
          <cell r="D215" t="str">
            <v>4500本体B3</v>
          </cell>
          <cell r="E215">
            <v>13420</v>
          </cell>
          <cell r="F215" t="str">
            <v>H4500</v>
          </cell>
        </row>
        <row r="216">
          <cell r="D216" t="str">
            <v>4500本体B4</v>
          </cell>
          <cell r="E216">
            <v>11755</v>
          </cell>
          <cell r="F216" t="str">
            <v>H4500</v>
          </cell>
        </row>
        <row r="217">
          <cell r="D217" t="str">
            <v>4500本体B5</v>
          </cell>
          <cell r="E217">
            <v>13890</v>
          </cell>
          <cell r="F217" t="str">
            <v>H4500</v>
          </cell>
        </row>
        <row r="218">
          <cell r="D218" t="str">
            <v>4500本体C</v>
          </cell>
          <cell r="E218">
            <v>13335</v>
          </cell>
          <cell r="F218" t="str">
            <v>H4500</v>
          </cell>
        </row>
        <row r="219">
          <cell r="D219" t="str">
            <v>4500端面A</v>
          </cell>
          <cell r="E219">
            <v>12915</v>
          </cell>
          <cell r="F219" t="str">
            <v>H4500</v>
          </cell>
        </row>
        <row r="220">
          <cell r="D220" t="str">
            <v>4500端面B</v>
          </cell>
          <cell r="E220">
            <v>12915</v>
          </cell>
          <cell r="F220" t="str">
            <v>H4500</v>
          </cell>
        </row>
        <row r="221">
          <cell r="D221" t="str">
            <v>4500端面C</v>
          </cell>
          <cell r="E221">
            <v>13340</v>
          </cell>
          <cell r="F221" t="str">
            <v>H4500</v>
          </cell>
        </row>
        <row r="222">
          <cell r="D222" t="str">
            <v>4500端面D45A</v>
          </cell>
          <cell r="E222">
            <v>9185</v>
          </cell>
          <cell r="F222" t="str">
            <v>3000×4950×250</v>
          </cell>
        </row>
        <row r="223">
          <cell r="D223" t="str">
            <v>4500端面D45B</v>
          </cell>
          <cell r="E223">
            <v>7640</v>
          </cell>
          <cell r="F223" t="str">
            <v>2500×4950×250</v>
          </cell>
        </row>
        <row r="224">
          <cell r="D224" t="str">
            <v>4500端面D45C</v>
          </cell>
          <cell r="E224">
            <v>6095</v>
          </cell>
          <cell r="F224" t="str">
            <v>2000×4950×250</v>
          </cell>
        </row>
        <row r="225">
          <cell r="D225" t="str">
            <v>4500端面D45D</v>
          </cell>
          <cell r="E225">
            <v>9280</v>
          </cell>
          <cell r="F225" t="str">
            <v>3000×5000×250</v>
          </cell>
        </row>
        <row r="226">
          <cell r="D226" t="str">
            <v>4500端面D45E</v>
          </cell>
          <cell r="E226">
            <v>7715</v>
          </cell>
          <cell r="F226" t="str">
            <v>2500×5000×250</v>
          </cell>
        </row>
        <row r="227">
          <cell r="D227" t="str">
            <v>4500端面D45F</v>
          </cell>
          <cell r="E227">
            <v>6155</v>
          </cell>
          <cell r="F227" t="str">
            <v>2000×5000×250</v>
          </cell>
        </row>
        <row r="228">
          <cell r="D228" t="str">
            <v>4500端面E</v>
          </cell>
          <cell r="E228">
            <v>12490</v>
          </cell>
          <cell r="F228" t="str">
            <v>H4500</v>
          </cell>
        </row>
        <row r="229">
          <cell r="D229" t="str">
            <v>4500ふたB1A</v>
          </cell>
          <cell r="E229">
            <v>2200</v>
          </cell>
          <cell r="F229" t="str">
            <v>3000×1500×200</v>
          </cell>
          <cell r="G229" t="str">
            <v>B=3.0m,L=1.5m</v>
          </cell>
        </row>
        <row r="230">
          <cell r="D230" t="str">
            <v>4500ふたB2A</v>
          </cell>
          <cell r="E230">
            <v>1830</v>
          </cell>
          <cell r="F230" t="str">
            <v>2500×1500×200</v>
          </cell>
          <cell r="G230" t="str">
            <v>B=2.5m,L=1.5m</v>
          </cell>
        </row>
        <row r="231">
          <cell r="D231" t="str">
            <v>4500ふたB3A</v>
          </cell>
          <cell r="E231">
            <v>1455</v>
          </cell>
          <cell r="F231" t="str">
            <v>2000×1500×200</v>
          </cell>
          <cell r="G231" t="str">
            <v>B=2.0m,L=1.5m</v>
          </cell>
        </row>
        <row r="232">
          <cell r="D232" t="str">
            <v>4500ふたB4A</v>
          </cell>
          <cell r="E232">
            <v>720</v>
          </cell>
          <cell r="F232" t="str">
            <v>3000× 500×200</v>
          </cell>
          <cell r="G232" t="str">
            <v>B=3.0m,L=0.50m</v>
          </cell>
        </row>
        <row r="233">
          <cell r="D233" t="str">
            <v>4500ふたB5A</v>
          </cell>
          <cell r="E233">
            <v>600</v>
          </cell>
          <cell r="F233" t="str">
            <v>2500× 500×200</v>
          </cell>
          <cell r="G233" t="str">
            <v>B=2.5m,L=0.50m</v>
          </cell>
        </row>
        <row r="234">
          <cell r="D234" t="str">
            <v>4500ふたB6A</v>
          </cell>
          <cell r="E234">
            <v>475</v>
          </cell>
          <cell r="F234" t="str">
            <v>2000× 500×200</v>
          </cell>
          <cell r="G234" t="str">
            <v>B=2.0m,L=0.50m</v>
          </cell>
        </row>
        <row r="235">
          <cell r="D235" t="str">
            <v>4500ふたB1B</v>
          </cell>
          <cell r="E235">
            <v>2755</v>
          </cell>
          <cell r="F235" t="str">
            <v>3000×1500×250</v>
          </cell>
          <cell r="G235" t="str">
            <v>B=3.0m,L=1.5m,t=250</v>
          </cell>
        </row>
        <row r="236">
          <cell r="D236" t="str">
            <v>4500ふたB2B</v>
          </cell>
          <cell r="E236">
            <v>2290</v>
          </cell>
          <cell r="F236" t="str">
            <v>2500×1500×250</v>
          </cell>
          <cell r="G236" t="str">
            <v>B=2.5m,L=1.5m,t=250</v>
          </cell>
        </row>
        <row r="237">
          <cell r="D237" t="str">
            <v>4500ふたB3B</v>
          </cell>
          <cell r="E237">
            <v>1820</v>
          </cell>
          <cell r="F237" t="str">
            <v>2000×1500×250</v>
          </cell>
          <cell r="G237" t="str">
            <v>B=2.0m,L=1.5m,t=250</v>
          </cell>
        </row>
        <row r="238">
          <cell r="D238" t="str">
            <v>4500ふたB4B</v>
          </cell>
          <cell r="E238">
            <v>905</v>
          </cell>
          <cell r="F238" t="str">
            <v>3000× 500×250</v>
          </cell>
          <cell r="G238" t="str">
            <v>B=3.0m,L=0.50m,t=250</v>
          </cell>
        </row>
        <row r="239">
          <cell r="D239" t="str">
            <v>4500ふたB5B</v>
          </cell>
          <cell r="E239">
            <v>750</v>
          </cell>
          <cell r="F239" t="str">
            <v>2500× 500×250</v>
          </cell>
          <cell r="G239" t="str">
            <v>B=2.5m,L=0.50m,t=250</v>
          </cell>
        </row>
        <row r="240">
          <cell r="D240" t="str">
            <v>4500ふたB6B</v>
          </cell>
          <cell r="E240">
            <v>595</v>
          </cell>
          <cell r="F240" t="str">
            <v>2000× 500×250</v>
          </cell>
          <cell r="G240" t="str">
            <v>B=2.0m,L=0.50m,t=250</v>
          </cell>
        </row>
      </sheetData>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row r="23">
          <cell r="B23" t="str">
            <v>3000×200×2000</v>
          </cell>
          <cell r="C23">
            <v>3000</v>
          </cell>
          <cell r="D23">
            <v>200</v>
          </cell>
          <cell r="E23">
            <v>2000</v>
          </cell>
          <cell r="F23" t="str">
            <v>A1A</v>
          </cell>
        </row>
        <row r="24">
          <cell r="B24" t="str">
            <v>2500×200×2000</v>
          </cell>
          <cell r="C24">
            <v>2500</v>
          </cell>
          <cell r="D24">
            <v>200</v>
          </cell>
          <cell r="E24">
            <v>2000</v>
          </cell>
          <cell r="F24" t="str">
            <v>A2A</v>
          </cell>
        </row>
        <row r="25">
          <cell r="B25" t="str">
            <v>2000×200×2000</v>
          </cell>
          <cell r="C25">
            <v>2000</v>
          </cell>
          <cell r="D25">
            <v>200</v>
          </cell>
          <cell r="E25">
            <v>2000</v>
          </cell>
          <cell r="F25" t="str">
            <v>A3A</v>
          </cell>
        </row>
        <row r="26">
          <cell r="B26" t="str">
            <v>3000×200×750</v>
          </cell>
          <cell r="C26">
            <v>3000</v>
          </cell>
          <cell r="D26">
            <v>200</v>
          </cell>
          <cell r="E26">
            <v>750</v>
          </cell>
          <cell r="F26" t="str">
            <v>A4A</v>
          </cell>
        </row>
        <row r="27">
          <cell r="B27" t="str">
            <v>2500×200×750</v>
          </cell>
          <cell r="C27">
            <v>2500</v>
          </cell>
          <cell r="D27">
            <v>200</v>
          </cell>
          <cell r="E27">
            <v>750</v>
          </cell>
          <cell r="F27" t="str">
            <v>A5A</v>
          </cell>
        </row>
        <row r="28">
          <cell r="B28" t="str">
            <v>2000×200×750</v>
          </cell>
          <cell r="C28">
            <v>2000</v>
          </cell>
          <cell r="D28">
            <v>200</v>
          </cell>
          <cell r="E28">
            <v>750</v>
          </cell>
          <cell r="F28" t="str">
            <v>A6A</v>
          </cell>
        </row>
        <row r="29">
          <cell r="B29" t="str">
            <v>3000×200×1500</v>
          </cell>
          <cell r="C29">
            <v>3000</v>
          </cell>
          <cell r="D29">
            <v>200</v>
          </cell>
          <cell r="E29">
            <v>1500</v>
          </cell>
          <cell r="F29" t="str">
            <v>B1A</v>
          </cell>
        </row>
        <row r="30">
          <cell r="B30" t="str">
            <v>2500×200×1500</v>
          </cell>
          <cell r="C30">
            <v>2500</v>
          </cell>
          <cell r="D30">
            <v>200</v>
          </cell>
          <cell r="E30">
            <v>1500</v>
          </cell>
          <cell r="F30" t="str">
            <v>B2A</v>
          </cell>
        </row>
        <row r="31">
          <cell r="B31" t="str">
            <v>2000×200×1500</v>
          </cell>
          <cell r="C31">
            <v>2000</v>
          </cell>
          <cell r="D31">
            <v>200</v>
          </cell>
          <cell r="E31">
            <v>1500</v>
          </cell>
          <cell r="F31" t="str">
            <v>B3A</v>
          </cell>
        </row>
        <row r="32">
          <cell r="B32" t="str">
            <v>3000×200×500</v>
          </cell>
          <cell r="C32">
            <v>3000</v>
          </cell>
          <cell r="D32">
            <v>200</v>
          </cell>
          <cell r="E32">
            <v>500</v>
          </cell>
          <cell r="F32" t="str">
            <v>B4A</v>
          </cell>
        </row>
        <row r="33">
          <cell r="B33" t="str">
            <v>2500×200×500</v>
          </cell>
          <cell r="C33">
            <v>2500</v>
          </cell>
          <cell r="D33">
            <v>200</v>
          </cell>
          <cell r="E33">
            <v>500</v>
          </cell>
          <cell r="F33" t="str">
            <v>B5A</v>
          </cell>
        </row>
        <row r="34">
          <cell r="B34" t="str">
            <v>2000×200×500</v>
          </cell>
          <cell r="C34">
            <v>2000</v>
          </cell>
          <cell r="D34">
            <v>200</v>
          </cell>
          <cell r="E34">
            <v>500</v>
          </cell>
          <cell r="F34" t="str">
            <v>B6A</v>
          </cell>
        </row>
        <row r="35">
          <cell r="B35" t="str">
            <v>3000×250×2000</v>
          </cell>
          <cell r="C35">
            <v>3000</v>
          </cell>
          <cell r="D35">
            <v>250</v>
          </cell>
          <cell r="E35">
            <v>2000</v>
          </cell>
          <cell r="F35" t="str">
            <v>A1B</v>
          </cell>
        </row>
        <row r="36">
          <cell r="B36" t="str">
            <v>2500×250×2000</v>
          </cell>
          <cell r="C36">
            <v>2500</v>
          </cell>
          <cell r="D36">
            <v>250</v>
          </cell>
          <cell r="E36">
            <v>2000</v>
          </cell>
          <cell r="F36" t="str">
            <v>A2B</v>
          </cell>
        </row>
        <row r="37">
          <cell r="B37" t="str">
            <v>2000×250×2000</v>
          </cell>
          <cell r="C37">
            <v>2000</v>
          </cell>
          <cell r="D37">
            <v>250</v>
          </cell>
          <cell r="E37">
            <v>2000</v>
          </cell>
          <cell r="F37" t="str">
            <v>A3B</v>
          </cell>
        </row>
        <row r="38">
          <cell r="B38" t="str">
            <v>3000×250×750</v>
          </cell>
          <cell r="C38">
            <v>3000</v>
          </cell>
          <cell r="D38">
            <v>250</v>
          </cell>
          <cell r="E38">
            <v>750</v>
          </cell>
          <cell r="F38" t="str">
            <v>A4B</v>
          </cell>
        </row>
        <row r="39">
          <cell r="B39" t="str">
            <v>2500×250×750</v>
          </cell>
          <cell r="C39">
            <v>2500</v>
          </cell>
          <cell r="D39">
            <v>250</v>
          </cell>
          <cell r="E39">
            <v>750</v>
          </cell>
          <cell r="F39" t="str">
            <v>A5B</v>
          </cell>
        </row>
        <row r="40">
          <cell r="B40" t="str">
            <v>2000×250×750</v>
          </cell>
          <cell r="C40">
            <v>2000</v>
          </cell>
          <cell r="D40">
            <v>250</v>
          </cell>
          <cell r="E40">
            <v>750</v>
          </cell>
          <cell r="F40" t="str">
            <v>A6B</v>
          </cell>
        </row>
        <row r="41">
          <cell r="B41" t="str">
            <v>3000×250×1500</v>
          </cell>
          <cell r="C41">
            <v>3000</v>
          </cell>
          <cell r="D41">
            <v>250</v>
          </cell>
          <cell r="E41">
            <v>1500</v>
          </cell>
          <cell r="F41" t="str">
            <v>B1B</v>
          </cell>
        </row>
        <row r="42">
          <cell r="B42" t="str">
            <v>2500×250×1500</v>
          </cell>
          <cell r="C42">
            <v>2500</v>
          </cell>
          <cell r="D42">
            <v>250</v>
          </cell>
          <cell r="E42">
            <v>1500</v>
          </cell>
          <cell r="F42" t="str">
            <v>B2B</v>
          </cell>
        </row>
        <row r="43">
          <cell r="B43" t="str">
            <v>2000×250×500</v>
          </cell>
          <cell r="C43">
            <v>2000</v>
          </cell>
          <cell r="D43">
            <v>250</v>
          </cell>
          <cell r="E43">
            <v>500</v>
          </cell>
          <cell r="F43" t="str">
            <v>B3B</v>
          </cell>
        </row>
        <row r="44">
          <cell r="B44" t="str">
            <v>3000×250×500</v>
          </cell>
          <cell r="C44">
            <v>3000</v>
          </cell>
          <cell r="D44">
            <v>250</v>
          </cell>
          <cell r="E44">
            <v>500</v>
          </cell>
          <cell r="F44" t="str">
            <v>B4B</v>
          </cell>
        </row>
        <row r="45">
          <cell r="B45" t="str">
            <v>2500×250×500</v>
          </cell>
          <cell r="C45">
            <v>2500</v>
          </cell>
          <cell r="D45">
            <v>250</v>
          </cell>
          <cell r="E45">
            <v>500</v>
          </cell>
          <cell r="F45" t="str">
            <v>B5B</v>
          </cell>
        </row>
        <row r="46">
          <cell r="B46" t="str">
            <v>2000×250×500</v>
          </cell>
          <cell r="C46">
            <v>2000</v>
          </cell>
          <cell r="D46">
            <v>250</v>
          </cell>
          <cell r="E46">
            <v>500</v>
          </cell>
          <cell r="F46" t="str">
            <v>B6B</v>
          </cell>
        </row>
        <row r="50">
          <cell r="B50" t="str">
            <v>3000×1900×250</v>
          </cell>
          <cell r="C50">
            <v>1500</v>
          </cell>
          <cell r="D50">
            <v>3000</v>
          </cell>
          <cell r="E50">
            <v>200</v>
          </cell>
          <cell r="F50">
            <v>250</v>
          </cell>
          <cell r="G50" t="str">
            <v>端面D15A</v>
          </cell>
        </row>
        <row r="51">
          <cell r="B51" t="str">
            <v>2500×1900×250</v>
          </cell>
          <cell r="C51">
            <v>1500</v>
          </cell>
          <cell r="D51">
            <v>2500</v>
          </cell>
          <cell r="E51">
            <v>200</v>
          </cell>
          <cell r="F51">
            <v>250</v>
          </cell>
          <cell r="G51" t="str">
            <v>端面D15B</v>
          </cell>
        </row>
        <row r="52">
          <cell r="B52" t="str">
            <v>2000×1900×250</v>
          </cell>
          <cell r="C52">
            <v>1500</v>
          </cell>
          <cell r="D52">
            <v>2000</v>
          </cell>
          <cell r="E52">
            <v>200</v>
          </cell>
          <cell r="F52">
            <v>250</v>
          </cell>
          <cell r="G52" t="str">
            <v>端面D15C</v>
          </cell>
        </row>
        <row r="53">
          <cell r="B53" t="str">
            <v>3000×1950×250</v>
          </cell>
          <cell r="C53">
            <v>1500</v>
          </cell>
          <cell r="D53">
            <v>3000</v>
          </cell>
          <cell r="E53">
            <v>250</v>
          </cell>
          <cell r="F53">
            <v>250</v>
          </cell>
          <cell r="G53" t="str">
            <v>端面D15D</v>
          </cell>
        </row>
        <row r="54">
          <cell r="B54" t="str">
            <v>2500×1950×250</v>
          </cell>
          <cell r="C54">
            <v>1500</v>
          </cell>
          <cell r="D54">
            <v>2500</v>
          </cell>
          <cell r="E54">
            <v>250</v>
          </cell>
          <cell r="F54">
            <v>250</v>
          </cell>
          <cell r="G54" t="str">
            <v>端面D15E</v>
          </cell>
        </row>
        <row r="55">
          <cell r="B55" t="str">
            <v>2000×1950×250</v>
          </cell>
          <cell r="C55">
            <v>1500</v>
          </cell>
          <cell r="D55">
            <v>2000</v>
          </cell>
          <cell r="E55">
            <v>250</v>
          </cell>
          <cell r="F55">
            <v>250</v>
          </cell>
          <cell r="G55" t="str">
            <v>端面D15F</v>
          </cell>
        </row>
        <row r="56">
          <cell r="B56" t="str">
            <v>3000×2400×250</v>
          </cell>
          <cell r="C56">
            <v>2000</v>
          </cell>
          <cell r="D56">
            <v>3000</v>
          </cell>
          <cell r="E56">
            <v>200</v>
          </cell>
          <cell r="F56">
            <v>250</v>
          </cell>
          <cell r="G56" t="str">
            <v>端面D20A</v>
          </cell>
        </row>
        <row r="57">
          <cell r="B57" t="str">
            <v>2500×2400×250</v>
          </cell>
          <cell r="C57">
            <v>2000</v>
          </cell>
          <cell r="D57">
            <v>2500</v>
          </cell>
          <cell r="E57">
            <v>200</v>
          </cell>
          <cell r="F57">
            <v>250</v>
          </cell>
          <cell r="G57" t="str">
            <v>端面D20B</v>
          </cell>
        </row>
        <row r="58">
          <cell r="B58" t="str">
            <v>2000×2400×250</v>
          </cell>
          <cell r="C58">
            <v>2000</v>
          </cell>
          <cell r="D58">
            <v>2000</v>
          </cell>
          <cell r="E58">
            <v>200</v>
          </cell>
          <cell r="F58">
            <v>250</v>
          </cell>
          <cell r="G58" t="str">
            <v>端面D20C</v>
          </cell>
        </row>
        <row r="59">
          <cell r="B59" t="str">
            <v>3000×2450×250</v>
          </cell>
          <cell r="C59">
            <v>2000</v>
          </cell>
          <cell r="D59">
            <v>3000</v>
          </cell>
          <cell r="E59">
            <v>250</v>
          </cell>
          <cell r="F59">
            <v>250</v>
          </cell>
          <cell r="G59" t="str">
            <v>端面D20D</v>
          </cell>
        </row>
        <row r="60">
          <cell r="B60" t="str">
            <v>2500×2450×250</v>
          </cell>
          <cell r="C60">
            <v>2000</v>
          </cell>
          <cell r="D60">
            <v>2500</v>
          </cell>
          <cell r="E60">
            <v>250</v>
          </cell>
          <cell r="F60">
            <v>250</v>
          </cell>
          <cell r="G60" t="str">
            <v>端面D20E</v>
          </cell>
        </row>
        <row r="61">
          <cell r="B61" t="str">
            <v>2000×2450×250</v>
          </cell>
          <cell r="C61">
            <v>2000</v>
          </cell>
          <cell r="D61">
            <v>2000</v>
          </cell>
          <cell r="E61">
            <v>250</v>
          </cell>
          <cell r="F61">
            <v>250</v>
          </cell>
          <cell r="G61" t="str">
            <v>端面D20F</v>
          </cell>
        </row>
        <row r="62">
          <cell r="B62" t="str">
            <v>3000×2900×250</v>
          </cell>
          <cell r="C62">
            <v>2500</v>
          </cell>
          <cell r="D62">
            <v>3000</v>
          </cell>
          <cell r="E62">
            <v>200</v>
          </cell>
          <cell r="F62">
            <v>250</v>
          </cell>
          <cell r="G62" t="str">
            <v>端面D25A</v>
          </cell>
        </row>
        <row r="63">
          <cell r="B63" t="str">
            <v>2500×2900×250</v>
          </cell>
          <cell r="C63">
            <v>2500</v>
          </cell>
          <cell r="D63">
            <v>2500</v>
          </cell>
          <cell r="E63">
            <v>200</v>
          </cell>
          <cell r="F63">
            <v>250</v>
          </cell>
          <cell r="G63" t="str">
            <v>端面D25B</v>
          </cell>
        </row>
        <row r="64">
          <cell r="B64" t="str">
            <v>2000×2900×250</v>
          </cell>
          <cell r="C64">
            <v>2500</v>
          </cell>
          <cell r="D64">
            <v>2000</v>
          </cell>
          <cell r="E64">
            <v>200</v>
          </cell>
          <cell r="F64">
            <v>250</v>
          </cell>
          <cell r="G64" t="str">
            <v>端面D25C</v>
          </cell>
        </row>
        <row r="65">
          <cell r="B65" t="str">
            <v>3000×2950×250</v>
          </cell>
          <cell r="C65">
            <v>2500</v>
          </cell>
          <cell r="D65">
            <v>3000</v>
          </cell>
          <cell r="E65">
            <v>250</v>
          </cell>
          <cell r="F65">
            <v>250</v>
          </cell>
          <cell r="G65" t="str">
            <v>端面D25D</v>
          </cell>
        </row>
        <row r="66">
          <cell r="B66" t="str">
            <v>2500×2950×250</v>
          </cell>
          <cell r="C66">
            <v>2500</v>
          </cell>
          <cell r="D66">
            <v>2500</v>
          </cell>
          <cell r="E66">
            <v>250</v>
          </cell>
          <cell r="F66">
            <v>250</v>
          </cell>
          <cell r="G66" t="str">
            <v>端面D25E</v>
          </cell>
        </row>
        <row r="67">
          <cell r="B67" t="str">
            <v>2000×2950×250</v>
          </cell>
          <cell r="C67">
            <v>2500</v>
          </cell>
          <cell r="D67">
            <v>2000</v>
          </cell>
          <cell r="E67">
            <v>250</v>
          </cell>
          <cell r="F67">
            <v>250</v>
          </cell>
          <cell r="G67" t="str">
            <v>端面D25F</v>
          </cell>
        </row>
        <row r="68">
          <cell r="B68" t="str">
            <v>3000×3400×250</v>
          </cell>
          <cell r="C68">
            <v>3000</v>
          </cell>
          <cell r="D68">
            <v>3000</v>
          </cell>
          <cell r="E68">
            <v>200</v>
          </cell>
          <cell r="F68">
            <v>250</v>
          </cell>
          <cell r="G68" t="str">
            <v>端面D30A</v>
          </cell>
        </row>
        <row r="69">
          <cell r="B69" t="str">
            <v>2500×3400×250</v>
          </cell>
          <cell r="C69">
            <v>3000</v>
          </cell>
          <cell r="D69">
            <v>2500</v>
          </cell>
          <cell r="E69">
            <v>200</v>
          </cell>
          <cell r="F69">
            <v>250</v>
          </cell>
          <cell r="G69" t="str">
            <v>端面D30B</v>
          </cell>
        </row>
        <row r="70">
          <cell r="B70" t="str">
            <v>2000×3400×250</v>
          </cell>
          <cell r="C70">
            <v>3000</v>
          </cell>
          <cell r="D70">
            <v>2000</v>
          </cell>
          <cell r="E70">
            <v>200</v>
          </cell>
          <cell r="F70">
            <v>250</v>
          </cell>
          <cell r="G70" t="str">
            <v>端面D30C</v>
          </cell>
        </row>
        <row r="71">
          <cell r="B71" t="str">
            <v>3000×3450×250</v>
          </cell>
          <cell r="C71">
            <v>3000</v>
          </cell>
          <cell r="D71">
            <v>3000</v>
          </cell>
          <cell r="E71">
            <v>250</v>
          </cell>
          <cell r="F71">
            <v>250</v>
          </cell>
          <cell r="G71" t="str">
            <v>端面D30D</v>
          </cell>
        </row>
        <row r="72">
          <cell r="B72" t="str">
            <v>2500×3450×250</v>
          </cell>
          <cell r="C72">
            <v>3000</v>
          </cell>
          <cell r="D72">
            <v>2500</v>
          </cell>
          <cell r="E72">
            <v>250</v>
          </cell>
          <cell r="F72">
            <v>250</v>
          </cell>
          <cell r="G72" t="str">
            <v>端面D30E</v>
          </cell>
        </row>
        <row r="73">
          <cell r="B73" t="str">
            <v>2000×3450×250</v>
          </cell>
          <cell r="C73">
            <v>3000</v>
          </cell>
          <cell r="D73">
            <v>2000</v>
          </cell>
          <cell r="E73">
            <v>250</v>
          </cell>
          <cell r="F73">
            <v>250</v>
          </cell>
          <cell r="G73" t="str">
            <v>端面D30F</v>
          </cell>
        </row>
        <row r="74">
          <cell r="B74" t="str">
            <v>3000×3900×250</v>
          </cell>
          <cell r="C74">
            <v>3500</v>
          </cell>
          <cell r="D74">
            <v>3000</v>
          </cell>
          <cell r="E74">
            <v>200</v>
          </cell>
          <cell r="F74">
            <v>250</v>
          </cell>
          <cell r="G74" t="str">
            <v>端面D35A</v>
          </cell>
        </row>
        <row r="75">
          <cell r="B75" t="str">
            <v>2500×3900×250</v>
          </cell>
          <cell r="C75">
            <v>3500</v>
          </cell>
          <cell r="D75">
            <v>2500</v>
          </cell>
          <cell r="E75">
            <v>200</v>
          </cell>
          <cell r="F75">
            <v>250</v>
          </cell>
          <cell r="G75" t="str">
            <v>端面D35B</v>
          </cell>
        </row>
        <row r="76">
          <cell r="B76" t="str">
            <v>2000×3900×250</v>
          </cell>
          <cell r="C76">
            <v>3500</v>
          </cell>
          <cell r="D76">
            <v>2000</v>
          </cell>
          <cell r="E76">
            <v>200</v>
          </cell>
          <cell r="F76">
            <v>250</v>
          </cell>
          <cell r="G76" t="str">
            <v>端面D35C</v>
          </cell>
        </row>
        <row r="77">
          <cell r="B77" t="str">
            <v>3000×3950×250</v>
          </cell>
          <cell r="C77">
            <v>3500</v>
          </cell>
          <cell r="D77">
            <v>3000</v>
          </cell>
          <cell r="E77">
            <v>250</v>
          </cell>
          <cell r="F77">
            <v>250</v>
          </cell>
          <cell r="G77" t="str">
            <v>端面D35D</v>
          </cell>
        </row>
        <row r="78">
          <cell r="B78" t="str">
            <v>2500×3950×250</v>
          </cell>
          <cell r="C78">
            <v>3500</v>
          </cell>
          <cell r="D78">
            <v>2500</v>
          </cell>
          <cell r="E78">
            <v>250</v>
          </cell>
          <cell r="F78">
            <v>250</v>
          </cell>
          <cell r="G78" t="str">
            <v>端面D35E</v>
          </cell>
        </row>
        <row r="79">
          <cell r="B79" t="str">
            <v>2000×3950×250</v>
          </cell>
          <cell r="C79">
            <v>3500</v>
          </cell>
          <cell r="D79">
            <v>2000</v>
          </cell>
          <cell r="E79">
            <v>250</v>
          </cell>
          <cell r="F79">
            <v>250</v>
          </cell>
          <cell r="G79" t="str">
            <v>端面D35F</v>
          </cell>
        </row>
        <row r="80">
          <cell r="B80" t="str">
            <v>3000×4400×250</v>
          </cell>
          <cell r="C80">
            <v>4000</v>
          </cell>
          <cell r="D80">
            <v>3000</v>
          </cell>
          <cell r="E80">
            <v>200</v>
          </cell>
          <cell r="F80">
            <v>250</v>
          </cell>
          <cell r="G80" t="str">
            <v>端面D40A</v>
          </cell>
        </row>
        <row r="81">
          <cell r="B81" t="str">
            <v>2500×4400×250</v>
          </cell>
          <cell r="C81">
            <v>4000</v>
          </cell>
          <cell r="D81">
            <v>2500</v>
          </cell>
          <cell r="E81">
            <v>200</v>
          </cell>
          <cell r="F81">
            <v>250</v>
          </cell>
          <cell r="G81" t="str">
            <v>端面D40B</v>
          </cell>
        </row>
        <row r="82">
          <cell r="B82" t="str">
            <v>2000×4400×250</v>
          </cell>
          <cell r="C82">
            <v>4000</v>
          </cell>
          <cell r="D82">
            <v>2000</v>
          </cell>
          <cell r="E82">
            <v>200</v>
          </cell>
          <cell r="F82">
            <v>250</v>
          </cell>
          <cell r="G82" t="str">
            <v>端面D40C</v>
          </cell>
        </row>
        <row r="83">
          <cell r="B83" t="str">
            <v>3000×4450×250</v>
          </cell>
          <cell r="C83">
            <v>4000</v>
          </cell>
          <cell r="D83">
            <v>3000</v>
          </cell>
          <cell r="E83">
            <v>250</v>
          </cell>
          <cell r="F83">
            <v>250</v>
          </cell>
          <cell r="G83" t="str">
            <v>端面D40D</v>
          </cell>
        </row>
        <row r="84">
          <cell r="B84" t="str">
            <v>2500×4450×250</v>
          </cell>
          <cell r="C84">
            <v>4000</v>
          </cell>
          <cell r="D84">
            <v>2500</v>
          </cell>
          <cell r="E84">
            <v>250</v>
          </cell>
          <cell r="F84">
            <v>250</v>
          </cell>
          <cell r="G84" t="str">
            <v>端面D40E</v>
          </cell>
        </row>
        <row r="85">
          <cell r="B85" t="str">
            <v>2000×4450×250</v>
          </cell>
          <cell r="C85">
            <v>4000</v>
          </cell>
          <cell r="D85">
            <v>2000</v>
          </cell>
          <cell r="E85">
            <v>250</v>
          </cell>
          <cell r="F85">
            <v>250</v>
          </cell>
          <cell r="G85" t="str">
            <v>端面D40F</v>
          </cell>
        </row>
        <row r="86">
          <cell r="B86" t="str">
            <v>3000×4900×250</v>
          </cell>
          <cell r="C86">
            <v>4500</v>
          </cell>
          <cell r="D86">
            <v>3000</v>
          </cell>
          <cell r="E86">
            <v>200</v>
          </cell>
          <cell r="F86">
            <v>250</v>
          </cell>
          <cell r="G86" t="str">
            <v>端面D45A</v>
          </cell>
        </row>
        <row r="87">
          <cell r="B87" t="str">
            <v>2500×4900×250</v>
          </cell>
          <cell r="C87">
            <v>4500</v>
          </cell>
          <cell r="D87">
            <v>2500</v>
          </cell>
          <cell r="E87">
            <v>200</v>
          </cell>
          <cell r="F87">
            <v>250</v>
          </cell>
          <cell r="G87" t="str">
            <v>端面D45B</v>
          </cell>
        </row>
        <row r="88">
          <cell r="B88" t="str">
            <v>2000×4900×250</v>
          </cell>
          <cell r="C88">
            <v>4500</v>
          </cell>
          <cell r="D88">
            <v>2000</v>
          </cell>
          <cell r="E88">
            <v>200</v>
          </cell>
          <cell r="F88">
            <v>250</v>
          </cell>
          <cell r="G88" t="str">
            <v>端面D45C</v>
          </cell>
        </row>
        <row r="89">
          <cell r="B89" t="str">
            <v>3000×4950×250</v>
          </cell>
          <cell r="C89">
            <v>4500</v>
          </cell>
          <cell r="D89">
            <v>3000</v>
          </cell>
          <cell r="E89">
            <v>250</v>
          </cell>
          <cell r="F89">
            <v>250</v>
          </cell>
          <cell r="G89" t="str">
            <v>端面D45D</v>
          </cell>
        </row>
        <row r="90">
          <cell r="B90" t="str">
            <v>2500×4950×250</v>
          </cell>
          <cell r="C90">
            <v>4500</v>
          </cell>
          <cell r="D90">
            <v>2500</v>
          </cell>
          <cell r="E90">
            <v>250</v>
          </cell>
          <cell r="F90">
            <v>250</v>
          </cell>
          <cell r="G90" t="str">
            <v>端面D45E</v>
          </cell>
        </row>
        <row r="91">
          <cell r="B91" t="str">
            <v>2000×4950×250</v>
          </cell>
          <cell r="C91">
            <v>4500</v>
          </cell>
          <cell r="D91">
            <v>2000</v>
          </cell>
          <cell r="E91">
            <v>250</v>
          </cell>
          <cell r="F91">
            <v>250</v>
          </cell>
          <cell r="G91" t="str">
            <v>端面D45F</v>
          </cell>
        </row>
      </sheetData>
      <sheetData sheetId="3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
      <sheetName val="表紙"/>
      <sheetName val="Ａ・Ｂ代価"/>
      <sheetName val="Ｃ代価"/>
      <sheetName val="Ｄ代価"/>
      <sheetName val="Ｅ代価"/>
      <sheetName val="Ｆ代価"/>
    </sheetNames>
    <sheetDataSet>
      <sheetData sheetId="0">
        <row r="4">
          <cell r="G4">
            <v>250</v>
          </cell>
        </row>
        <row r="5">
          <cell r="G5">
            <v>238.2</v>
          </cell>
        </row>
        <row r="6">
          <cell r="G6">
            <v>236.4</v>
          </cell>
        </row>
      </sheetData>
      <sheetData sheetId="1" refreshError="1"/>
      <sheetData sheetId="2" refreshError="1"/>
      <sheetData sheetId="3" refreshError="1"/>
      <sheetData sheetId="4" refreshError="1"/>
      <sheetData sheetId="5" refreshError="1"/>
      <sheetData sheetId="6"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W概算"/>
      <sheetName val="CW概略図"/>
      <sheetName val="CW施工日数"/>
      <sheetName val="mst"/>
      <sheetName val="mst_CW桝"/>
      <sheetName val="mst_規格"/>
      <sheetName val="mst_労務"/>
      <sheetName val="mst_営業所"/>
      <sheetName val="mst_物価版"/>
    </sheetNames>
    <sheetDataSet>
      <sheetData sheetId="0"/>
      <sheetData sheetId="1"/>
      <sheetData sheetId="2"/>
      <sheetData sheetId="3" refreshError="1"/>
      <sheetData sheetId="4" refreshError="1"/>
      <sheetData sheetId="5">
        <row r="13">
          <cell r="AM13">
            <v>0.1</v>
          </cell>
          <cell r="AN13">
            <v>0.1</v>
          </cell>
          <cell r="AO13">
            <v>0.7</v>
          </cell>
          <cell r="AP13">
            <v>0.5</v>
          </cell>
        </row>
        <row r="14">
          <cell r="AM14">
            <v>0.1</v>
          </cell>
          <cell r="AN14">
            <v>0.1</v>
          </cell>
          <cell r="AO14">
            <v>0.7</v>
          </cell>
          <cell r="AP14">
            <v>0.5</v>
          </cell>
        </row>
        <row r="15">
          <cell r="AM15">
            <v>0.1</v>
          </cell>
          <cell r="AN15">
            <v>0.1</v>
          </cell>
          <cell r="AO15">
            <v>0.8</v>
          </cell>
          <cell r="AP15">
            <v>0.6</v>
          </cell>
        </row>
        <row r="16">
          <cell r="AM16">
            <v>0.1</v>
          </cell>
          <cell r="AN16">
            <v>0.1</v>
          </cell>
          <cell r="AO16">
            <v>0.9</v>
          </cell>
          <cell r="AP16">
            <v>0.7</v>
          </cell>
        </row>
        <row r="17">
          <cell r="AM17">
            <v>0.1</v>
          </cell>
          <cell r="AN17">
            <v>0.1</v>
          </cell>
          <cell r="AO17">
            <v>0.7</v>
          </cell>
          <cell r="AP17">
            <v>0.5</v>
          </cell>
        </row>
      </sheetData>
      <sheetData sheetId="6" refreshError="1"/>
      <sheetData sheetId="7" refreshError="1"/>
      <sheetData sheetId="8"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経営企画課"/>
      <sheetName val="人事"/>
      <sheetName val="調整"/>
      <sheetName val="ﾏｰｹﾃｨﾝｸﾞ"/>
      <sheetName val="国際"/>
      <sheetName val="競技一・二"/>
      <sheetName val="宿泊"/>
      <sheetName val="計画一"/>
      <sheetName val="計画二"/>
      <sheetName val="情報ｼｽﾃﾑ"/>
      <sheetName val="マスタ"/>
      <sheetName val="検算"/>
      <sheetName val="全体一覧表(アジア)"/>
    </sheetNames>
    <sheetDataSet>
      <sheetData sheetId="0"/>
      <sheetData sheetId="1"/>
      <sheetData sheetId="2"/>
      <sheetData sheetId="3"/>
      <sheetData sheetId="4"/>
      <sheetData sheetId="5"/>
      <sheetData sheetId="6"/>
      <sheetData sheetId="7"/>
      <sheetData sheetId="8"/>
      <sheetData sheetId="9"/>
      <sheetData sheetId="10"/>
      <sheetData sheetId="11"/>
      <sheetData sheetId="12" refreshError="1"/>
    </sheetDataSet>
  </externalBook>
</externalLink>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BE906E-2C63-406F-BE67-1AE6E9701C71}">
  <sheetPr codeName="Sheet17">
    <tabColor rgb="FFCC99FF"/>
    <pageSetUpPr fitToPage="1"/>
  </sheetPr>
  <dimension ref="B1:AV43"/>
  <sheetViews>
    <sheetView tabSelected="1" view="pageBreakPreview" topLeftCell="D2" zoomScale="55" zoomScaleNormal="55" zoomScaleSheetLayoutView="55" workbookViewId="0">
      <selection activeCell="L3" sqref="L3"/>
    </sheetView>
  </sheetViews>
  <sheetFormatPr defaultColWidth="8.83203125" defaultRowHeight="13.5" customHeight="1" x14ac:dyDescent="0.55000000000000004"/>
  <cols>
    <col min="1" max="1" width="1.58203125" style="4" customWidth="1"/>
    <col min="2" max="2" width="22.08203125" style="3" customWidth="1"/>
    <col min="3" max="3" width="30.5" style="4" customWidth="1"/>
    <col min="4" max="11" width="17.5" style="4" customWidth="1"/>
    <col min="12" max="39" width="10.58203125" style="4" customWidth="1"/>
    <col min="40" max="41" width="10.5" style="4" customWidth="1"/>
    <col min="42" max="64" width="13.08203125" style="4" customWidth="1"/>
    <col min="65" max="16384" width="8.83203125" style="4"/>
  </cols>
  <sheetData>
    <row r="1" spans="2:48" ht="21" customHeight="1" thickBot="1" x14ac:dyDescent="0.6">
      <c r="P1" s="3"/>
      <c r="Q1" s="3"/>
      <c r="R1" s="3"/>
      <c r="W1" s="3"/>
      <c r="Y1" s="3"/>
      <c r="Z1" s="5"/>
      <c r="AA1" s="3"/>
      <c r="AD1" s="3"/>
    </row>
    <row r="2" spans="2:48" ht="54" customHeight="1" thickBot="1" x14ac:dyDescent="0.6">
      <c r="B2" s="143" t="s">
        <v>39</v>
      </c>
      <c r="C2" s="144"/>
      <c r="D2" s="145" t="s">
        <v>155</v>
      </c>
      <c r="E2" s="145"/>
      <c r="F2" s="145"/>
      <c r="G2" s="145"/>
      <c r="H2" s="145"/>
      <c r="I2" s="145"/>
      <c r="J2" s="145"/>
      <c r="K2" s="145"/>
      <c r="L2" s="145"/>
      <c r="M2" s="145"/>
      <c r="N2" s="145"/>
      <c r="O2" s="6" t="s">
        <v>40</v>
      </c>
      <c r="P2" s="3"/>
      <c r="Q2" s="3"/>
      <c r="R2" s="131"/>
      <c r="S2" s="132"/>
      <c r="T2" s="133" t="b">
        <v>1</v>
      </c>
      <c r="U2" s="128"/>
      <c r="V2" s="128"/>
      <c r="W2" s="129"/>
      <c r="X2" s="128"/>
      <c r="Y2" s="129"/>
      <c r="Z2" s="130"/>
      <c r="AA2" s="3"/>
      <c r="AD2" s="3"/>
      <c r="AK2" s="7"/>
      <c r="AL2" s="103"/>
      <c r="AM2" s="103"/>
      <c r="AN2" s="103" t="s">
        <v>41</v>
      </c>
    </row>
    <row r="3" spans="2:48" ht="54" customHeight="1" thickBot="1" x14ac:dyDescent="0.6">
      <c r="R3" s="132"/>
      <c r="S3" s="132"/>
      <c r="T3" s="134" t="b">
        <v>0</v>
      </c>
      <c r="U3" s="125"/>
      <c r="V3" s="125"/>
      <c r="W3" s="125"/>
      <c r="X3" s="126"/>
      <c r="Y3" s="125"/>
      <c r="Z3" s="127"/>
    </row>
    <row r="4" spans="2:48" ht="23.5" customHeight="1" x14ac:dyDescent="0.55000000000000004">
      <c r="X4" s="3"/>
    </row>
    <row r="5" spans="2:48" ht="23.15" customHeight="1" thickBot="1" x14ac:dyDescent="0.6">
      <c r="B5" s="8" t="s">
        <v>42</v>
      </c>
      <c r="Q5" s="3"/>
      <c r="R5" s="8"/>
      <c r="Z5" s="3"/>
      <c r="AA5" s="3"/>
      <c r="AB5" s="3"/>
      <c r="AH5" s="9"/>
      <c r="AJ5" s="3"/>
      <c r="AM5" s="3"/>
      <c r="AR5" s="3"/>
      <c r="AS5" s="3"/>
      <c r="AT5" s="3"/>
      <c r="AU5" s="3"/>
      <c r="AV5" s="3"/>
    </row>
    <row r="6" spans="2:48" s="10" customFormat="1" ht="80.5" customHeight="1" thickBot="1" x14ac:dyDescent="0.6">
      <c r="B6" s="146" t="s">
        <v>43</v>
      </c>
      <c r="C6" s="149" t="s">
        <v>44</v>
      </c>
      <c r="D6" s="152" t="s">
        <v>45</v>
      </c>
      <c r="E6" s="153"/>
      <c r="F6" s="154" t="s">
        <v>46</v>
      </c>
      <c r="G6" s="154" t="s">
        <v>47</v>
      </c>
      <c r="H6" s="157" t="s">
        <v>48</v>
      </c>
      <c r="I6" s="160" t="s">
        <v>49</v>
      </c>
      <c r="J6" s="160" t="s">
        <v>50</v>
      </c>
      <c r="K6" s="163" t="s">
        <v>51</v>
      </c>
      <c r="L6" s="138" t="s">
        <v>52</v>
      </c>
      <c r="M6" s="139"/>
      <c r="N6" s="139"/>
      <c r="O6" s="139"/>
      <c r="P6" s="139"/>
      <c r="Q6" s="139"/>
      <c r="R6" s="139"/>
      <c r="S6" s="139"/>
      <c r="T6" s="139"/>
      <c r="U6" s="139"/>
      <c r="V6" s="139"/>
      <c r="W6" s="139"/>
      <c r="X6" s="139"/>
      <c r="Y6" s="139"/>
      <c r="Z6" s="139"/>
      <c r="AA6" s="139"/>
      <c r="AB6" s="139"/>
      <c r="AC6" s="139"/>
      <c r="AD6" s="139"/>
      <c r="AE6" s="139"/>
      <c r="AF6" s="139"/>
      <c r="AG6" s="139"/>
      <c r="AH6" s="139"/>
      <c r="AI6" s="139"/>
      <c r="AJ6" s="139"/>
      <c r="AK6" s="139"/>
      <c r="AL6" s="139"/>
      <c r="AM6" s="139"/>
      <c r="AN6" s="139"/>
      <c r="AO6" s="140"/>
    </row>
    <row r="7" spans="2:48" s="10" customFormat="1" ht="32.5" customHeight="1" x14ac:dyDescent="0.55000000000000004">
      <c r="B7" s="147"/>
      <c r="C7" s="150"/>
      <c r="D7" s="166" t="s">
        <v>53</v>
      </c>
      <c r="E7" s="168" t="s">
        <v>54</v>
      </c>
      <c r="F7" s="155"/>
      <c r="G7" s="155"/>
      <c r="H7" s="158"/>
      <c r="I7" s="161"/>
      <c r="J7" s="161"/>
      <c r="K7" s="164"/>
      <c r="L7" s="11">
        <v>46272</v>
      </c>
      <c r="M7" s="12">
        <v>46273</v>
      </c>
      <c r="N7" s="12">
        <v>46274</v>
      </c>
      <c r="O7" s="12">
        <v>46275</v>
      </c>
      <c r="P7" s="12">
        <v>46276</v>
      </c>
      <c r="Q7" s="105">
        <v>46277</v>
      </c>
      <c r="R7" s="105">
        <v>46278</v>
      </c>
      <c r="S7" s="105">
        <v>46279</v>
      </c>
      <c r="T7" s="105">
        <v>46280</v>
      </c>
      <c r="U7" s="105">
        <v>46281</v>
      </c>
      <c r="V7" s="105">
        <v>46282</v>
      </c>
      <c r="W7" s="105">
        <v>46283</v>
      </c>
      <c r="X7" s="105">
        <v>46284</v>
      </c>
      <c r="Y7" s="105">
        <v>46285</v>
      </c>
      <c r="Z7" s="105">
        <v>46286</v>
      </c>
      <c r="AA7" s="105">
        <v>46287</v>
      </c>
      <c r="AB7" s="105">
        <v>46288</v>
      </c>
      <c r="AC7" s="105">
        <v>46289</v>
      </c>
      <c r="AD7" s="105">
        <v>46290</v>
      </c>
      <c r="AE7" s="105">
        <v>46291</v>
      </c>
      <c r="AF7" s="105">
        <v>46292</v>
      </c>
      <c r="AG7" s="105">
        <v>46293</v>
      </c>
      <c r="AH7" s="105">
        <v>46294</v>
      </c>
      <c r="AI7" s="105">
        <v>46295</v>
      </c>
      <c r="AJ7" s="105">
        <v>46296</v>
      </c>
      <c r="AK7" s="105">
        <v>46297</v>
      </c>
      <c r="AL7" s="105">
        <v>46298</v>
      </c>
      <c r="AM7" s="105">
        <v>46299</v>
      </c>
      <c r="AN7" s="12">
        <v>46300</v>
      </c>
      <c r="AO7" s="123">
        <v>46301</v>
      </c>
    </row>
    <row r="8" spans="2:48" s="10" customFormat="1" ht="32.5" customHeight="1" x14ac:dyDescent="0.55000000000000004">
      <c r="B8" s="148"/>
      <c r="C8" s="151"/>
      <c r="D8" s="167"/>
      <c r="E8" s="169"/>
      <c r="F8" s="156"/>
      <c r="G8" s="156"/>
      <c r="H8" s="159"/>
      <c r="I8" s="162"/>
      <c r="J8" s="162"/>
      <c r="K8" s="165"/>
      <c r="L8" s="14" t="s">
        <v>55</v>
      </c>
      <c r="M8" s="15" t="s">
        <v>56</v>
      </c>
      <c r="N8" s="15" t="s">
        <v>57</v>
      </c>
      <c r="O8" s="15" t="s">
        <v>58</v>
      </c>
      <c r="P8" s="15" t="s">
        <v>59</v>
      </c>
      <c r="Q8" s="106" t="s">
        <v>60</v>
      </c>
      <c r="R8" s="106" t="s">
        <v>61</v>
      </c>
      <c r="S8" s="107" t="s">
        <v>55</v>
      </c>
      <c r="T8" s="107" t="s">
        <v>56</v>
      </c>
      <c r="U8" s="107" t="s">
        <v>62</v>
      </c>
      <c r="V8" s="107" t="s">
        <v>63</v>
      </c>
      <c r="W8" s="107" t="s">
        <v>59</v>
      </c>
      <c r="X8" s="106" t="s">
        <v>60</v>
      </c>
      <c r="Y8" s="106" t="s">
        <v>61</v>
      </c>
      <c r="Z8" s="106" t="s">
        <v>55</v>
      </c>
      <c r="AA8" s="106" t="s">
        <v>56</v>
      </c>
      <c r="AB8" s="106" t="s">
        <v>62</v>
      </c>
      <c r="AC8" s="107" t="s">
        <v>63</v>
      </c>
      <c r="AD8" s="107" t="s">
        <v>59</v>
      </c>
      <c r="AE8" s="106" t="s">
        <v>60</v>
      </c>
      <c r="AF8" s="106" t="s">
        <v>61</v>
      </c>
      <c r="AG8" s="107" t="s">
        <v>55</v>
      </c>
      <c r="AH8" s="107" t="s">
        <v>56</v>
      </c>
      <c r="AI8" s="107" t="s">
        <v>62</v>
      </c>
      <c r="AJ8" s="107" t="s">
        <v>63</v>
      </c>
      <c r="AK8" s="107" t="s">
        <v>59</v>
      </c>
      <c r="AL8" s="106" t="s">
        <v>60</v>
      </c>
      <c r="AM8" s="106" t="s">
        <v>61</v>
      </c>
      <c r="AN8" s="15" t="s">
        <v>55</v>
      </c>
      <c r="AO8" s="124" t="s">
        <v>64</v>
      </c>
    </row>
    <row r="9" spans="2:48" ht="32.15" customHeight="1" x14ac:dyDescent="0.55000000000000004">
      <c r="B9" s="141" t="s">
        <v>65</v>
      </c>
      <c r="C9" s="17" t="s">
        <v>66</v>
      </c>
      <c r="D9" s="18">
        <v>5060</v>
      </c>
      <c r="E9" s="19"/>
      <c r="F9" s="38">
        <f>IF(COUNTA($L9:$AO9)=0, "", SUM($L9:$AO9))</f>
        <v>2795</v>
      </c>
      <c r="G9" s="38">
        <f>IF(AND(D9="", E9="", F9=""), "", IF(D9&lt;&gt;"", D9*F9, E9*F9))</f>
        <v>14142700</v>
      </c>
      <c r="H9" s="20">
        <v>3000</v>
      </c>
      <c r="I9" s="18">
        <v>4740</v>
      </c>
      <c r="J9" s="38">
        <f>IF(OR(H9="", I9=""), "", H9*I9)</f>
        <v>14220000</v>
      </c>
      <c r="K9" s="38">
        <f>IF(AND(G9="", G10="", J9=""), "", SUM(G9:G10) - J9)</f>
        <v>11267020</v>
      </c>
      <c r="L9" s="21"/>
      <c r="M9" s="21"/>
      <c r="N9" s="136"/>
      <c r="O9" s="136"/>
      <c r="P9" s="136"/>
      <c r="Q9" s="136"/>
      <c r="R9" s="21"/>
      <c r="S9" s="136"/>
      <c r="T9" s="136"/>
      <c r="U9" s="136">
        <f>ROUNDDOWN(U$16*0.6,0)</f>
        <v>215</v>
      </c>
      <c r="V9" s="136">
        <f t="shared" ref="V9:AG9" si="0">ROUNDDOWN(V$16*0.6,0)</f>
        <v>215</v>
      </c>
      <c r="W9" s="136">
        <f t="shared" si="0"/>
        <v>215</v>
      </c>
      <c r="X9" s="136">
        <f t="shared" si="0"/>
        <v>215</v>
      </c>
      <c r="Y9" s="136">
        <f t="shared" si="0"/>
        <v>215</v>
      </c>
      <c r="Z9" s="136">
        <f t="shared" si="0"/>
        <v>215</v>
      </c>
      <c r="AA9" s="136">
        <f t="shared" si="0"/>
        <v>215</v>
      </c>
      <c r="AB9" s="136">
        <f t="shared" si="0"/>
        <v>215</v>
      </c>
      <c r="AC9" s="136">
        <f t="shared" si="0"/>
        <v>215</v>
      </c>
      <c r="AD9" s="136">
        <f t="shared" si="0"/>
        <v>215</v>
      </c>
      <c r="AE9" s="136">
        <f t="shared" si="0"/>
        <v>215</v>
      </c>
      <c r="AF9" s="136">
        <f t="shared" si="0"/>
        <v>215</v>
      </c>
      <c r="AG9" s="136">
        <f t="shared" si="0"/>
        <v>215</v>
      </c>
      <c r="AH9" s="136"/>
      <c r="AI9" s="136"/>
      <c r="AJ9" s="136"/>
      <c r="AK9" s="136"/>
      <c r="AL9" s="21"/>
      <c r="AM9" s="136"/>
      <c r="AN9" s="136"/>
      <c r="AO9" s="136"/>
    </row>
    <row r="10" spans="2:48" ht="32.15" customHeight="1" x14ac:dyDescent="0.55000000000000004">
      <c r="B10" s="142"/>
      <c r="C10" s="17" t="s">
        <v>67</v>
      </c>
      <c r="D10" s="18"/>
      <c r="E10" s="24">
        <v>6060</v>
      </c>
      <c r="F10" s="39">
        <f t="shared" ref="F10:F15" si="1">IF(COUNTA($L10:$AO10)=0, "", SUM($L10:$AO10))</f>
        <v>1872</v>
      </c>
      <c r="G10" s="39">
        <f t="shared" ref="G10:G15" si="2">IF(AND(D10="", E10="", F10=""), "", IF(D10&lt;&gt;"", D10*F10, E10*F10))</f>
        <v>11344320</v>
      </c>
      <c r="H10" s="41"/>
      <c r="I10" s="41"/>
      <c r="J10" s="41"/>
      <c r="K10" s="41"/>
      <c r="L10" s="92"/>
      <c r="M10" s="92"/>
      <c r="N10" s="137"/>
      <c r="O10" s="137"/>
      <c r="P10" s="137"/>
      <c r="Q10" s="137"/>
      <c r="R10" s="92"/>
      <c r="S10" s="137"/>
      <c r="T10" s="137"/>
      <c r="U10" s="137">
        <f>U$16-U$9</f>
        <v>144</v>
      </c>
      <c r="V10" s="137">
        <f t="shared" ref="V10:AG10" si="3">V$16-V$9</f>
        <v>144</v>
      </c>
      <c r="W10" s="137">
        <f t="shared" si="3"/>
        <v>144</v>
      </c>
      <c r="X10" s="137">
        <f t="shared" si="3"/>
        <v>144</v>
      </c>
      <c r="Y10" s="137">
        <f t="shared" si="3"/>
        <v>144</v>
      </c>
      <c r="Z10" s="137">
        <f t="shared" si="3"/>
        <v>144</v>
      </c>
      <c r="AA10" s="137">
        <f t="shared" si="3"/>
        <v>144</v>
      </c>
      <c r="AB10" s="137">
        <f t="shared" si="3"/>
        <v>144</v>
      </c>
      <c r="AC10" s="137">
        <f t="shared" si="3"/>
        <v>144</v>
      </c>
      <c r="AD10" s="137">
        <f t="shared" si="3"/>
        <v>144</v>
      </c>
      <c r="AE10" s="137">
        <f t="shared" si="3"/>
        <v>144</v>
      </c>
      <c r="AF10" s="137">
        <f t="shared" si="3"/>
        <v>144</v>
      </c>
      <c r="AG10" s="137">
        <f t="shared" si="3"/>
        <v>144</v>
      </c>
      <c r="AH10" s="137"/>
      <c r="AI10" s="137"/>
      <c r="AJ10" s="137"/>
      <c r="AK10" s="137"/>
      <c r="AL10" s="92"/>
      <c r="AM10" s="137"/>
      <c r="AN10" s="137"/>
      <c r="AO10" s="137"/>
    </row>
    <row r="11" spans="2:48" ht="32.15" customHeight="1" x14ac:dyDescent="0.55000000000000004">
      <c r="B11" s="141" t="s">
        <v>68</v>
      </c>
      <c r="C11" s="17" t="s">
        <v>66</v>
      </c>
      <c r="D11" s="18">
        <v>11220</v>
      </c>
      <c r="E11" s="25"/>
      <c r="F11" s="39">
        <f t="shared" si="1"/>
        <v>2795</v>
      </c>
      <c r="G11" s="95">
        <f t="shared" si="2"/>
        <v>31359900</v>
      </c>
      <c r="H11" s="41"/>
      <c r="I11" s="41"/>
      <c r="J11" s="41"/>
      <c r="K11" s="39">
        <f>G11</f>
        <v>31359900</v>
      </c>
      <c r="L11" s="92"/>
      <c r="M11" s="92"/>
      <c r="N11" s="93"/>
      <c r="O11" s="93"/>
      <c r="P11" s="93"/>
      <c r="Q11" s="93"/>
      <c r="R11" s="92"/>
      <c r="S11" s="93"/>
      <c r="T11" s="93"/>
      <c r="U11" s="136">
        <f>ROUNDDOWN(U$16*0.6,0)</f>
        <v>215</v>
      </c>
      <c r="V11" s="136">
        <f t="shared" ref="V11:AG11" si="4">ROUNDDOWN(V$16*0.6,0)</f>
        <v>215</v>
      </c>
      <c r="W11" s="136">
        <f t="shared" si="4"/>
        <v>215</v>
      </c>
      <c r="X11" s="136">
        <f t="shared" si="4"/>
        <v>215</v>
      </c>
      <c r="Y11" s="136">
        <f t="shared" si="4"/>
        <v>215</v>
      </c>
      <c r="Z11" s="136">
        <f t="shared" si="4"/>
        <v>215</v>
      </c>
      <c r="AA11" s="136">
        <f t="shared" si="4"/>
        <v>215</v>
      </c>
      <c r="AB11" s="136">
        <f t="shared" si="4"/>
        <v>215</v>
      </c>
      <c r="AC11" s="136">
        <f t="shared" si="4"/>
        <v>215</v>
      </c>
      <c r="AD11" s="136">
        <f t="shared" si="4"/>
        <v>215</v>
      </c>
      <c r="AE11" s="136">
        <f t="shared" si="4"/>
        <v>215</v>
      </c>
      <c r="AF11" s="136">
        <f t="shared" si="4"/>
        <v>215</v>
      </c>
      <c r="AG11" s="136">
        <f t="shared" si="4"/>
        <v>215</v>
      </c>
      <c r="AH11" s="93"/>
      <c r="AI11" s="93"/>
      <c r="AJ11" s="93"/>
      <c r="AK11" s="93"/>
      <c r="AL11" s="92"/>
      <c r="AM11" s="93"/>
      <c r="AN11" s="121"/>
      <c r="AO11" s="94"/>
    </row>
    <row r="12" spans="2:48" ht="32.15" customHeight="1" x14ac:dyDescent="0.55000000000000004">
      <c r="B12" s="142"/>
      <c r="C12" s="17" t="s">
        <v>69</v>
      </c>
      <c r="D12" s="18"/>
      <c r="E12" s="24">
        <v>11220</v>
      </c>
      <c r="F12" s="39">
        <f t="shared" si="1"/>
        <v>1872</v>
      </c>
      <c r="G12" s="96">
        <f t="shared" si="2"/>
        <v>21003840</v>
      </c>
      <c r="H12" s="43"/>
      <c r="I12" s="41"/>
      <c r="J12" s="41"/>
      <c r="K12" s="39">
        <f t="shared" ref="K12:K15" si="5">G12</f>
        <v>21003840</v>
      </c>
      <c r="L12" s="92"/>
      <c r="M12" s="92"/>
      <c r="N12" s="93"/>
      <c r="O12" s="93"/>
      <c r="P12" s="93"/>
      <c r="Q12" s="93"/>
      <c r="R12" s="92"/>
      <c r="S12" s="93"/>
      <c r="T12" s="93"/>
      <c r="U12" s="137">
        <f>U$16-U$9</f>
        <v>144</v>
      </c>
      <c r="V12" s="137">
        <f t="shared" ref="V12:AG12" si="6">V$16-V$9</f>
        <v>144</v>
      </c>
      <c r="W12" s="137">
        <f t="shared" si="6"/>
        <v>144</v>
      </c>
      <c r="X12" s="137">
        <f t="shared" si="6"/>
        <v>144</v>
      </c>
      <c r="Y12" s="137">
        <f t="shared" si="6"/>
        <v>144</v>
      </c>
      <c r="Z12" s="137">
        <f t="shared" si="6"/>
        <v>144</v>
      </c>
      <c r="AA12" s="137">
        <f t="shared" si="6"/>
        <v>144</v>
      </c>
      <c r="AB12" s="137">
        <f t="shared" si="6"/>
        <v>144</v>
      </c>
      <c r="AC12" s="137">
        <f t="shared" si="6"/>
        <v>144</v>
      </c>
      <c r="AD12" s="137">
        <f t="shared" si="6"/>
        <v>144</v>
      </c>
      <c r="AE12" s="137">
        <f t="shared" si="6"/>
        <v>144</v>
      </c>
      <c r="AF12" s="137">
        <f t="shared" si="6"/>
        <v>144</v>
      </c>
      <c r="AG12" s="137">
        <f t="shared" si="6"/>
        <v>144</v>
      </c>
      <c r="AH12" s="93"/>
      <c r="AI12" s="93"/>
      <c r="AJ12" s="93"/>
      <c r="AK12" s="93"/>
      <c r="AL12" s="92"/>
      <c r="AM12" s="93"/>
      <c r="AN12" s="121"/>
      <c r="AO12" s="94"/>
    </row>
    <row r="13" spans="2:48" ht="32.15" customHeight="1" x14ac:dyDescent="0.55000000000000004">
      <c r="B13" s="141" t="s">
        <v>70</v>
      </c>
      <c r="C13" s="17" t="s">
        <v>66</v>
      </c>
      <c r="D13" s="18">
        <v>12980</v>
      </c>
      <c r="E13" s="25"/>
      <c r="F13" s="39">
        <f t="shared" si="1"/>
        <v>2795</v>
      </c>
      <c r="G13" s="96">
        <f t="shared" si="2"/>
        <v>36279100</v>
      </c>
      <c r="H13" s="43"/>
      <c r="I13" s="41"/>
      <c r="J13" s="41"/>
      <c r="K13" s="39">
        <f t="shared" si="5"/>
        <v>36279100</v>
      </c>
      <c r="L13" s="92"/>
      <c r="M13" s="92"/>
      <c r="N13" s="93"/>
      <c r="O13" s="93"/>
      <c r="P13" s="93"/>
      <c r="Q13" s="93"/>
      <c r="R13" s="92"/>
      <c r="S13" s="93"/>
      <c r="T13" s="93"/>
      <c r="U13" s="136">
        <f>ROUNDDOWN(U$16*0.6,0)</f>
        <v>215</v>
      </c>
      <c r="V13" s="136">
        <f t="shared" ref="V13:AG13" si="7">ROUNDDOWN(V$16*0.6,0)</f>
        <v>215</v>
      </c>
      <c r="W13" s="136">
        <f t="shared" si="7"/>
        <v>215</v>
      </c>
      <c r="X13" s="136">
        <f t="shared" si="7"/>
        <v>215</v>
      </c>
      <c r="Y13" s="136">
        <f t="shared" si="7"/>
        <v>215</v>
      </c>
      <c r="Z13" s="136">
        <f t="shared" si="7"/>
        <v>215</v>
      </c>
      <c r="AA13" s="136">
        <f t="shared" si="7"/>
        <v>215</v>
      </c>
      <c r="AB13" s="136">
        <f t="shared" si="7"/>
        <v>215</v>
      </c>
      <c r="AC13" s="136">
        <f t="shared" si="7"/>
        <v>215</v>
      </c>
      <c r="AD13" s="136">
        <f t="shared" si="7"/>
        <v>215</v>
      </c>
      <c r="AE13" s="136">
        <f t="shared" si="7"/>
        <v>215</v>
      </c>
      <c r="AF13" s="136">
        <f t="shared" si="7"/>
        <v>215</v>
      </c>
      <c r="AG13" s="136">
        <f t="shared" si="7"/>
        <v>215</v>
      </c>
      <c r="AH13" s="93"/>
      <c r="AI13" s="93"/>
      <c r="AJ13" s="93"/>
      <c r="AK13" s="93"/>
      <c r="AL13" s="92"/>
      <c r="AM13" s="93"/>
      <c r="AN13" s="121"/>
      <c r="AO13" s="94"/>
    </row>
    <row r="14" spans="2:48" ht="32.15" customHeight="1" x14ac:dyDescent="0.55000000000000004">
      <c r="B14" s="142"/>
      <c r="C14" s="17" t="s">
        <v>69</v>
      </c>
      <c r="D14" s="18"/>
      <c r="E14" s="24">
        <v>12980</v>
      </c>
      <c r="F14" s="39">
        <f t="shared" si="1"/>
        <v>1872</v>
      </c>
      <c r="G14" s="96">
        <f t="shared" si="2"/>
        <v>24298560</v>
      </c>
      <c r="H14" s="43"/>
      <c r="I14" s="41"/>
      <c r="J14" s="41"/>
      <c r="K14" s="39">
        <f t="shared" si="5"/>
        <v>24298560</v>
      </c>
      <c r="L14" s="92"/>
      <c r="M14" s="92"/>
      <c r="N14" s="93"/>
      <c r="O14" s="93"/>
      <c r="P14" s="93"/>
      <c r="Q14" s="93"/>
      <c r="R14" s="92"/>
      <c r="S14" s="93"/>
      <c r="T14" s="93"/>
      <c r="U14" s="137">
        <f>U$16-U$9</f>
        <v>144</v>
      </c>
      <c r="V14" s="137">
        <f t="shared" ref="V14:AG14" si="8">V$16-V$9</f>
        <v>144</v>
      </c>
      <c r="W14" s="137">
        <f t="shared" si="8"/>
        <v>144</v>
      </c>
      <c r="X14" s="137">
        <f t="shared" si="8"/>
        <v>144</v>
      </c>
      <c r="Y14" s="137">
        <f t="shared" si="8"/>
        <v>144</v>
      </c>
      <c r="Z14" s="137">
        <f t="shared" si="8"/>
        <v>144</v>
      </c>
      <c r="AA14" s="137">
        <f t="shared" si="8"/>
        <v>144</v>
      </c>
      <c r="AB14" s="137">
        <f t="shared" si="8"/>
        <v>144</v>
      </c>
      <c r="AC14" s="137">
        <f t="shared" si="8"/>
        <v>144</v>
      </c>
      <c r="AD14" s="137">
        <f t="shared" si="8"/>
        <v>144</v>
      </c>
      <c r="AE14" s="137">
        <f t="shared" si="8"/>
        <v>144</v>
      </c>
      <c r="AF14" s="137">
        <f t="shared" si="8"/>
        <v>144</v>
      </c>
      <c r="AG14" s="137">
        <f t="shared" si="8"/>
        <v>144</v>
      </c>
      <c r="AH14" s="93"/>
      <c r="AI14" s="93"/>
      <c r="AJ14" s="93"/>
      <c r="AK14" s="93"/>
      <c r="AL14" s="92"/>
      <c r="AM14" s="93"/>
      <c r="AN14" s="121"/>
      <c r="AO14" s="94"/>
    </row>
    <row r="15" spans="2:48" ht="32.15" customHeight="1" thickBot="1" x14ac:dyDescent="0.6">
      <c r="B15" s="26" t="s">
        <v>71</v>
      </c>
      <c r="C15" s="27"/>
      <c r="D15" s="28">
        <v>3000</v>
      </c>
      <c r="E15" s="29"/>
      <c r="F15" s="40">
        <f t="shared" si="1"/>
        <v>1404</v>
      </c>
      <c r="G15" s="97">
        <f t="shared" si="2"/>
        <v>4212000</v>
      </c>
      <c r="H15" s="42"/>
      <c r="I15" s="29"/>
      <c r="J15" s="29"/>
      <c r="K15" s="40">
        <f t="shared" si="5"/>
        <v>4212000</v>
      </c>
      <c r="L15" s="98"/>
      <c r="M15" s="98"/>
      <c r="N15" s="99"/>
      <c r="O15" s="99"/>
      <c r="P15" s="99"/>
      <c r="Q15" s="99"/>
      <c r="R15" s="98"/>
      <c r="S15" s="99"/>
      <c r="T15" s="99"/>
      <c r="U15" s="99">
        <f>ROUNDUP(U16*0.3,0)</f>
        <v>108</v>
      </c>
      <c r="V15" s="99">
        <f t="shared" ref="V15:AG15" si="9">ROUNDUP(V16*0.3,0)</f>
        <v>108</v>
      </c>
      <c r="W15" s="99">
        <f t="shared" si="9"/>
        <v>108</v>
      </c>
      <c r="X15" s="99">
        <f t="shared" si="9"/>
        <v>108</v>
      </c>
      <c r="Y15" s="99">
        <f t="shared" si="9"/>
        <v>108</v>
      </c>
      <c r="Z15" s="99">
        <f t="shared" si="9"/>
        <v>108</v>
      </c>
      <c r="AA15" s="99">
        <f t="shared" si="9"/>
        <v>108</v>
      </c>
      <c r="AB15" s="99">
        <f t="shared" si="9"/>
        <v>108</v>
      </c>
      <c r="AC15" s="99">
        <f t="shared" si="9"/>
        <v>108</v>
      </c>
      <c r="AD15" s="99">
        <f t="shared" si="9"/>
        <v>108</v>
      </c>
      <c r="AE15" s="99">
        <f t="shared" si="9"/>
        <v>108</v>
      </c>
      <c r="AF15" s="99">
        <f t="shared" si="9"/>
        <v>108</v>
      </c>
      <c r="AG15" s="99">
        <f t="shared" si="9"/>
        <v>108</v>
      </c>
      <c r="AH15" s="99"/>
      <c r="AI15" s="99"/>
      <c r="AJ15" s="99"/>
      <c r="AK15" s="99"/>
      <c r="AL15" s="98"/>
      <c r="AM15" s="99"/>
      <c r="AN15" s="122"/>
      <c r="AO15" s="100"/>
    </row>
    <row r="16" spans="2:48" ht="32.15" customHeight="1" x14ac:dyDescent="0.55000000000000004">
      <c r="C16" s="30"/>
      <c r="D16" s="31"/>
      <c r="E16" s="31"/>
      <c r="F16" s="45"/>
      <c r="G16" s="45"/>
      <c r="H16" s="31"/>
      <c r="I16" s="45"/>
      <c r="J16" s="101" t="s">
        <v>72</v>
      </c>
      <c r="K16" s="45">
        <f>SUM(K9:K15)</f>
        <v>128420420</v>
      </c>
      <c r="L16" s="30"/>
      <c r="M16" s="30"/>
      <c r="N16" s="32"/>
      <c r="O16" s="3"/>
      <c r="P16" s="32"/>
      <c r="Q16" s="3"/>
      <c r="R16" s="3"/>
      <c r="U16" s="4">
        <v>359</v>
      </c>
      <c r="V16" s="4">
        <v>359</v>
      </c>
      <c r="W16" s="3">
        <v>359</v>
      </c>
      <c r="X16" s="3">
        <v>359</v>
      </c>
      <c r="Y16" s="30">
        <v>359</v>
      </c>
      <c r="Z16" s="31">
        <v>359</v>
      </c>
      <c r="AA16" s="33">
        <v>359</v>
      </c>
      <c r="AB16" s="30">
        <v>359</v>
      </c>
      <c r="AC16" s="32">
        <v>359</v>
      </c>
      <c r="AD16" s="32">
        <v>359</v>
      </c>
      <c r="AE16" s="3">
        <v>359</v>
      </c>
      <c r="AF16" s="32">
        <v>359</v>
      </c>
      <c r="AG16" s="3">
        <v>359</v>
      </c>
      <c r="AH16" s="3"/>
      <c r="AP16" s="3"/>
      <c r="AS16" s="3"/>
    </row>
    <row r="17" spans="2:48" ht="32.15" customHeight="1" x14ac:dyDescent="0.55000000000000004">
      <c r="C17" s="30"/>
      <c r="D17" s="31"/>
      <c r="E17" s="31"/>
      <c r="F17" s="45"/>
      <c r="G17" s="45"/>
      <c r="H17" s="31"/>
      <c r="I17" s="45"/>
      <c r="J17" s="101" t="s">
        <v>73</v>
      </c>
      <c r="K17" s="45">
        <f>ROUNDDOWN(K16*1.1,0)</f>
        <v>141262462</v>
      </c>
      <c r="L17" s="30"/>
      <c r="M17" s="30"/>
      <c r="N17" s="32"/>
      <c r="O17" s="3"/>
      <c r="P17" s="32"/>
      <c r="Q17" s="3"/>
      <c r="R17" s="3"/>
      <c r="W17" s="3"/>
      <c r="X17" s="3"/>
      <c r="Y17" s="30"/>
      <c r="Z17" s="31"/>
      <c r="AA17" s="33"/>
      <c r="AB17" s="30"/>
      <c r="AC17" s="32"/>
      <c r="AD17" s="32"/>
      <c r="AE17" s="3"/>
      <c r="AF17" s="32"/>
      <c r="AG17" s="3"/>
      <c r="AH17" s="3"/>
      <c r="AP17" s="3"/>
      <c r="AS17" s="3"/>
    </row>
    <row r="18" spans="2:48" ht="23.15" customHeight="1" thickBot="1" x14ac:dyDescent="0.6">
      <c r="B18" s="8" t="s">
        <v>74</v>
      </c>
      <c r="Q18" s="3"/>
      <c r="R18" s="8"/>
      <c r="Z18" s="3"/>
      <c r="AA18" s="3"/>
      <c r="AB18" s="3"/>
      <c r="AH18" s="9"/>
      <c r="AJ18" s="3"/>
      <c r="AM18" s="3"/>
      <c r="AR18" s="3"/>
      <c r="AS18" s="3"/>
      <c r="AT18" s="3"/>
      <c r="AU18" s="3"/>
      <c r="AV18" s="3"/>
    </row>
    <row r="19" spans="2:48" s="10" customFormat="1" ht="80.5" customHeight="1" thickBot="1" x14ac:dyDescent="0.6">
      <c r="B19" s="146" t="s">
        <v>43</v>
      </c>
      <c r="C19" s="149" t="s">
        <v>44</v>
      </c>
      <c r="D19" s="152" t="s">
        <v>45</v>
      </c>
      <c r="E19" s="153"/>
      <c r="F19" s="154" t="s">
        <v>46</v>
      </c>
      <c r="G19" s="154" t="s">
        <v>47</v>
      </c>
      <c r="H19" s="157" t="s">
        <v>48</v>
      </c>
      <c r="I19" s="160" t="s">
        <v>49</v>
      </c>
      <c r="J19" s="160" t="s">
        <v>50</v>
      </c>
      <c r="K19" s="163" t="s">
        <v>51</v>
      </c>
      <c r="L19" s="138" t="s">
        <v>75</v>
      </c>
      <c r="M19" s="139"/>
      <c r="N19" s="139"/>
      <c r="O19" s="139"/>
      <c r="P19" s="139"/>
      <c r="Q19" s="139"/>
      <c r="R19" s="139"/>
      <c r="S19" s="139"/>
      <c r="T19" s="139"/>
      <c r="U19" s="139"/>
      <c r="V19" s="139"/>
      <c r="W19" s="139"/>
      <c r="X19" s="139"/>
      <c r="Y19" s="139"/>
      <c r="Z19" s="139"/>
      <c r="AA19" s="139"/>
      <c r="AB19" s="139"/>
      <c r="AC19" s="139"/>
      <c r="AD19" s="140"/>
    </row>
    <row r="20" spans="2:48" s="10" customFormat="1" ht="32.5" customHeight="1" x14ac:dyDescent="0.55000000000000004">
      <c r="B20" s="147"/>
      <c r="C20" s="150"/>
      <c r="D20" s="166" t="s">
        <v>53</v>
      </c>
      <c r="E20" s="168" t="s">
        <v>54</v>
      </c>
      <c r="F20" s="155"/>
      <c r="G20" s="155"/>
      <c r="H20" s="158"/>
      <c r="I20" s="161"/>
      <c r="J20" s="161"/>
      <c r="K20" s="164"/>
      <c r="L20" s="12">
        <v>46304</v>
      </c>
      <c r="M20" s="105">
        <v>46305</v>
      </c>
      <c r="N20" s="105">
        <v>46306</v>
      </c>
      <c r="O20" s="105">
        <v>46307</v>
      </c>
      <c r="P20" s="105">
        <v>46308</v>
      </c>
      <c r="Q20" s="105">
        <v>46309</v>
      </c>
      <c r="R20" s="105">
        <v>46310</v>
      </c>
      <c r="S20" s="105">
        <v>46311</v>
      </c>
      <c r="T20" s="105">
        <v>46312</v>
      </c>
      <c r="U20" s="105">
        <v>46313</v>
      </c>
      <c r="V20" s="105">
        <v>46314</v>
      </c>
      <c r="W20" s="12">
        <v>46315</v>
      </c>
      <c r="X20" s="12">
        <v>46316</v>
      </c>
      <c r="Y20" s="12">
        <v>46317</v>
      </c>
      <c r="Z20" s="12">
        <v>46318</v>
      </c>
      <c r="AA20" s="34">
        <v>46319</v>
      </c>
      <c r="AB20" s="12">
        <v>46320</v>
      </c>
      <c r="AC20" s="104">
        <v>46321</v>
      </c>
      <c r="AD20" s="13">
        <v>46322</v>
      </c>
    </row>
    <row r="21" spans="2:48" s="10" customFormat="1" ht="32.5" customHeight="1" x14ac:dyDescent="0.55000000000000004">
      <c r="B21" s="148"/>
      <c r="C21" s="151"/>
      <c r="D21" s="167"/>
      <c r="E21" s="169"/>
      <c r="F21" s="156"/>
      <c r="G21" s="156"/>
      <c r="H21" s="159"/>
      <c r="I21" s="162"/>
      <c r="J21" s="162"/>
      <c r="K21" s="165"/>
      <c r="L21" s="15" t="s">
        <v>59</v>
      </c>
      <c r="M21" s="106" t="s">
        <v>60</v>
      </c>
      <c r="N21" s="106" t="s">
        <v>61</v>
      </c>
      <c r="O21" s="107" t="s">
        <v>55</v>
      </c>
      <c r="P21" s="107" t="s">
        <v>56</v>
      </c>
      <c r="Q21" s="107" t="s">
        <v>62</v>
      </c>
      <c r="R21" s="107" t="s">
        <v>63</v>
      </c>
      <c r="S21" s="107" t="s">
        <v>59</v>
      </c>
      <c r="T21" s="107" t="s">
        <v>60</v>
      </c>
      <c r="U21" s="106" t="s">
        <v>61</v>
      </c>
      <c r="V21" s="107" t="s">
        <v>55</v>
      </c>
      <c r="W21" s="15" t="s">
        <v>56</v>
      </c>
      <c r="X21" s="15" t="s">
        <v>62</v>
      </c>
      <c r="Y21" s="15" t="s">
        <v>63</v>
      </c>
      <c r="Z21" s="15" t="s">
        <v>59</v>
      </c>
      <c r="AA21" s="15" t="s">
        <v>60</v>
      </c>
      <c r="AB21" s="15" t="s">
        <v>61</v>
      </c>
      <c r="AC21" s="14" t="s">
        <v>55</v>
      </c>
      <c r="AD21" s="16" t="s">
        <v>56</v>
      </c>
    </row>
    <row r="22" spans="2:48" ht="32.15" customHeight="1" x14ac:dyDescent="0.55000000000000004">
      <c r="B22" s="141" t="s">
        <v>65</v>
      </c>
      <c r="C22" s="17" t="s">
        <v>66</v>
      </c>
      <c r="D22" s="18">
        <v>5500</v>
      </c>
      <c r="E22" s="19"/>
      <c r="F22" s="38">
        <f t="shared" ref="F22:F28" si="10">IF(COUNTA($L22:$AM22)=0, "", SUM($L22:$AM22))</f>
        <v>2720</v>
      </c>
      <c r="G22" s="38">
        <f>IF(AND(D22="", E22="", F22=""), "", IF(D22&lt;&gt;"", D22*F22, E22*F22))</f>
        <v>14960000</v>
      </c>
      <c r="H22" s="20">
        <v>3000</v>
      </c>
      <c r="I22" s="18">
        <v>5925</v>
      </c>
      <c r="J22" s="38">
        <f>IF(OR(H22="", I22=""), "", H22*I22)</f>
        <v>17775000</v>
      </c>
      <c r="K22" s="38">
        <f>IF(AND(G22="", G23="", J22=""), "", SUM(G22:G23) - J22)</f>
        <v>7217000</v>
      </c>
      <c r="L22" s="22"/>
      <c r="M22" s="22"/>
      <c r="N22" s="22">
        <f>ROUNDDOWN(N$29*0.6,0)</f>
        <v>170</v>
      </c>
      <c r="O22" s="22">
        <f>ROUNDDOWN(O$29*0.6,0)</f>
        <v>170</v>
      </c>
      <c r="P22" s="22">
        <f t="shared" ref="P22:AC26" si="11">ROUNDDOWN(P$29*0.6,0)</f>
        <v>170</v>
      </c>
      <c r="Q22" s="22">
        <f t="shared" si="11"/>
        <v>170</v>
      </c>
      <c r="R22" s="22">
        <f t="shared" si="11"/>
        <v>170</v>
      </c>
      <c r="S22" s="22">
        <f t="shared" si="11"/>
        <v>170</v>
      </c>
      <c r="T22" s="22">
        <f t="shared" si="11"/>
        <v>170</v>
      </c>
      <c r="U22" s="22">
        <f t="shared" si="11"/>
        <v>170</v>
      </c>
      <c r="V22" s="22">
        <f t="shared" si="11"/>
        <v>170</v>
      </c>
      <c r="W22" s="22">
        <f t="shared" si="11"/>
        <v>170</v>
      </c>
      <c r="X22" s="22">
        <f t="shared" si="11"/>
        <v>170</v>
      </c>
      <c r="Y22" s="22">
        <f t="shared" si="11"/>
        <v>170</v>
      </c>
      <c r="Z22" s="22">
        <f t="shared" si="11"/>
        <v>170</v>
      </c>
      <c r="AA22" s="22">
        <f t="shared" si="11"/>
        <v>170</v>
      </c>
      <c r="AB22" s="22">
        <f t="shared" si="11"/>
        <v>170</v>
      </c>
      <c r="AC22" s="22">
        <f t="shared" si="11"/>
        <v>170</v>
      </c>
      <c r="AD22" s="23"/>
    </row>
    <row r="23" spans="2:48" ht="32.15" customHeight="1" x14ac:dyDescent="0.55000000000000004">
      <c r="B23" s="142"/>
      <c r="C23" s="17" t="s">
        <v>67</v>
      </c>
      <c r="D23" s="18"/>
      <c r="E23" s="24">
        <v>5500</v>
      </c>
      <c r="F23" s="39">
        <f t="shared" si="10"/>
        <v>1824</v>
      </c>
      <c r="G23" s="39">
        <f t="shared" ref="G23:G28" si="12">IF(AND(D23="", E23="", F23=""), "", IF(D23&lt;&gt;"", D23*F23, E23*F23))</f>
        <v>10032000</v>
      </c>
      <c r="H23" s="41"/>
      <c r="I23" s="41"/>
      <c r="J23" s="41"/>
      <c r="K23" s="41"/>
      <c r="L23" s="93"/>
      <c r="M23" s="93"/>
      <c r="N23" s="93">
        <f>N$29-N22</f>
        <v>114</v>
      </c>
      <c r="O23" s="93">
        <f t="shared" ref="O23:AC23" si="13">O$29-O22</f>
        <v>114</v>
      </c>
      <c r="P23" s="93">
        <f t="shared" si="13"/>
        <v>114</v>
      </c>
      <c r="Q23" s="93">
        <f t="shared" si="13"/>
        <v>114</v>
      </c>
      <c r="R23" s="93">
        <f t="shared" si="13"/>
        <v>114</v>
      </c>
      <c r="S23" s="93">
        <f t="shared" si="13"/>
        <v>114</v>
      </c>
      <c r="T23" s="93">
        <f t="shared" si="13"/>
        <v>114</v>
      </c>
      <c r="U23" s="93">
        <f t="shared" si="13"/>
        <v>114</v>
      </c>
      <c r="V23" s="93">
        <f t="shared" si="13"/>
        <v>114</v>
      </c>
      <c r="W23" s="93">
        <f t="shared" si="13"/>
        <v>114</v>
      </c>
      <c r="X23" s="93">
        <f t="shared" si="13"/>
        <v>114</v>
      </c>
      <c r="Y23" s="93">
        <f t="shared" si="13"/>
        <v>114</v>
      </c>
      <c r="Z23" s="93">
        <f t="shared" si="13"/>
        <v>114</v>
      </c>
      <c r="AA23" s="93">
        <f t="shared" si="13"/>
        <v>114</v>
      </c>
      <c r="AB23" s="93">
        <f t="shared" si="13"/>
        <v>114</v>
      </c>
      <c r="AC23" s="93">
        <f t="shared" si="13"/>
        <v>114</v>
      </c>
      <c r="AD23" s="94"/>
    </row>
    <row r="24" spans="2:48" ht="32.15" customHeight="1" x14ac:dyDescent="0.55000000000000004">
      <c r="B24" s="141" t="s">
        <v>68</v>
      </c>
      <c r="C24" s="17" t="s">
        <v>66</v>
      </c>
      <c r="D24" s="18">
        <v>11880</v>
      </c>
      <c r="E24" s="25"/>
      <c r="F24" s="39">
        <f t="shared" si="10"/>
        <v>2720</v>
      </c>
      <c r="G24" s="95">
        <f t="shared" si="12"/>
        <v>32313600</v>
      </c>
      <c r="H24" s="41"/>
      <c r="I24" s="41"/>
      <c r="J24" s="41"/>
      <c r="K24" s="39">
        <f>G24</f>
        <v>32313600</v>
      </c>
      <c r="L24" s="93"/>
      <c r="M24" s="93"/>
      <c r="N24" s="22">
        <f>ROUNDDOWN(N$29*0.6,0)</f>
        <v>170</v>
      </c>
      <c r="O24" s="22">
        <f>ROUNDDOWN(O$29*0.6,0)</f>
        <v>170</v>
      </c>
      <c r="P24" s="22">
        <f t="shared" si="11"/>
        <v>170</v>
      </c>
      <c r="Q24" s="22">
        <f t="shared" si="11"/>
        <v>170</v>
      </c>
      <c r="R24" s="22">
        <f t="shared" si="11"/>
        <v>170</v>
      </c>
      <c r="S24" s="22">
        <f t="shared" si="11"/>
        <v>170</v>
      </c>
      <c r="T24" s="22">
        <f t="shared" si="11"/>
        <v>170</v>
      </c>
      <c r="U24" s="22">
        <f t="shared" si="11"/>
        <v>170</v>
      </c>
      <c r="V24" s="22">
        <f t="shared" si="11"/>
        <v>170</v>
      </c>
      <c r="W24" s="22">
        <f t="shared" si="11"/>
        <v>170</v>
      </c>
      <c r="X24" s="22">
        <f t="shared" si="11"/>
        <v>170</v>
      </c>
      <c r="Y24" s="22">
        <f t="shared" si="11"/>
        <v>170</v>
      </c>
      <c r="Z24" s="22">
        <f t="shared" si="11"/>
        <v>170</v>
      </c>
      <c r="AA24" s="22">
        <f t="shared" si="11"/>
        <v>170</v>
      </c>
      <c r="AB24" s="22">
        <f t="shared" si="11"/>
        <v>170</v>
      </c>
      <c r="AC24" s="22">
        <f t="shared" si="11"/>
        <v>170</v>
      </c>
      <c r="AD24" s="94"/>
    </row>
    <row r="25" spans="2:48" ht="32.15" customHeight="1" x14ac:dyDescent="0.55000000000000004">
      <c r="B25" s="142"/>
      <c r="C25" s="35" t="s">
        <v>69</v>
      </c>
      <c r="D25" s="18"/>
      <c r="E25" s="24">
        <v>11880</v>
      </c>
      <c r="F25" s="39">
        <f t="shared" si="10"/>
        <v>1824</v>
      </c>
      <c r="G25" s="96">
        <f t="shared" si="12"/>
        <v>21669120</v>
      </c>
      <c r="H25" s="43"/>
      <c r="I25" s="41"/>
      <c r="J25" s="41"/>
      <c r="K25" s="39">
        <f t="shared" ref="K25:K28" si="14">G25</f>
        <v>21669120</v>
      </c>
      <c r="L25" s="93"/>
      <c r="M25" s="93"/>
      <c r="N25" s="93">
        <f t="shared" ref="N25:AC25" si="15">N$29-N24</f>
        <v>114</v>
      </c>
      <c r="O25" s="93">
        <f t="shared" si="15"/>
        <v>114</v>
      </c>
      <c r="P25" s="93">
        <f t="shared" si="15"/>
        <v>114</v>
      </c>
      <c r="Q25" s="93">
        <f t="shared" si="15"/>
        <v>114</v>
      </c>
      <c r="R25" s="93">
        <f t="shared" si="15"/>
        <v>114</v>
      </c>
      <c r="S25" s="93">
        <f t="shared" si="15"/>
        <v>114</v>
      </c>
      <c r="T25" s="93">
        <f t="shared" si="15"/>
        <v>114</v>
      </c>
      <c r="U25" s="93">
        <f t="shared" si="15"/>
        <v>114</v>
      </c>
      <c r="V25" s="93">
        <f t="shared" si="15"/>
        <v>114</v>
      </c>
      <c r="W25" s="93">
        <f t="shared" si="15"/>
        <v>114</v>
      </c>
      <c r="X25" s="93">
        <f t="shared" si="15"/>
        <v>114</v>
      </c>
      <c r="Y25" s="93">
        <f t="shared" si="15"/>
        <v>114</v>
      </c>
      <c r="Z25" s="93">
        <f t="shared" si="15"/>
        <v>114</v>
      </c>
      <c r="AA25" s="93">
        <f t="shared" si="15"/>
        <v>114</v>
      </c>
      <c r="AB25" s="93">
        <f t="shared" si="15"/>
        <v>114</v>
      </c>
      <c r="AC25" s="93">
        <f t="shared" si="15"/>
        <v>114</v>
      </c>
      <c r="AD25" s="94"/>
    </row>
    <row r="26" spans="2:48" ht="32.15" customHeight="1" x14ac:dyDescent="0.55000000000000004">
      <c r="B26" s="141" t="s">
        <v>70</v>
      </c>
      <c r="C26" s="35" t="s">
        <v>66</v>
      </c>
      <c r="D26" s="18">
        <v>14080</v>
      </c>
      <c r="E26" s="25"/>
      <c r="F26" s="39">
        <f t="shared" si="10"/>
        <v>2720</v>
      </c>
      <c r="G26" s="96">
        <f t="shared" si="12"/>
        <v>38297600</v>
      </c>
      <c r="H26" s="43"/>
      <c r="I26" s="41"/>
      <c r="J26" s="41"/>
      <c r="K26" s="39">
        <f t="shared" si="14"/>
        <v>38297600</v>
      </c>
      <c r="L26" s="93"/>
      <c r="M26" s="93"/>
      <c r="N26" s="22">
        <f>ROUNDDOWN(N$29*0.6,0)</f>
        <v>170</v>
      </c>
      <c r="O26" s="22">
        <f>ROUNDDOWN(O$29*0.6,0)</f>
        <v>170</v>
      </c>
      <c r="P26" s="22">
        <f t="shared" si="11"/>
        <v>170</v>
      </c>
      <c r="Q26" s="22">
        <f t="shared" si="11"/>
        <v>170</v>
      </c>
      <c r="R26" s="22">
        <f t="shared" si="11"/>
        <v>170</v>
      </c>
      <c r="S26" s="22">
        <f t="shared" si="11"/>
        <v>170</v>
      </c>
      <c r="T26" s="22">
        <f t="shared" si="11"/>
        <v>170</v>
      </c>
      <c r="U26" s="22">
        <f t="shared" si="11"/>
        <v>170</v>
      </c>
      <c r="V26" s="22">
        <f t="shared" si="11"/>
        <v>170</v>
      </c>
      <c r="W26" s="22">
        <f t="shared" si="11"/>
        <v>170</v>
      </c>
      <c r="X26" s="22">
        <f t="shared" si="11"/>
        <v>170</v>
      </c>
      <c r="Y26" s="22">
        <f t="shared" si="11"/>
        <v>170</v>
      </c>
      <c r="Z26" s="22">
        <f t="shared" si="11"/>
        <v>170</v>
      </c>
      <c r="AA26" s="22">
        <f t="shared" si="11"/>
        <v>170</v>
      </c>
      <c r="AB26" s="22">
        <f t="shared" si="11"/>
        <v>170</v>
      </c>
      <c r="AC26" s="22">
        <f t="shared" si="11"/>
        <v>170</v>
      </c>
      <c r="AD26" s="94"/>
    </row>
    <row r="27" spans="2:48" ht="32.15" customHeight="1" x14ac:dyDescent="0.55000000000000004">
      <c r="B27" s="142"/>
      <c r="C27" s="35" t="s">
        <v>69</v>
      </c>
      <c r="D27" s="18"/>
      <c r="E27" s="24">
        <v>14080</v>
      </c>
      <c r="F27" s="39">
        <f t="shared" si="10"/>
        <v>1824</v>
      </c>
      <c r="G27" s="96">
        <f t="shared" si="12"/>
        <v>25681920</v>
      </c>
      <c r="H27" s="43"/>
      <c r="I27" s="41"/>
      <c r="J27" s="41"/>
      <c r="K27" s="39">
        <f t="shared" si="14"/>
        <v>25681920</v>
      </c>
      <c r="L27" s="93"/>
      <c r="M27" s="93"/>
      <c r="N27" s="93">
        <f t="shared" ref="N27" si="16">N$29-N26</f>
        <v>114</v>
      </c>
      <c r="O27" s="93">
        <f t="shared" ref="O27" si="17">O$29-O26</f>
        <v>114</v>
      </c>
      <c r="P27" s="93">
        <f t="shared" ref="P27" si="18">P$29-P26</f>
        <v>114</v>
      </c>
      <c r="Q27" s="93">
        <f t="shared" ref="Q27" si="19">Q$29-Q26</f>
        <v>114</v>
      </c>
      <c r="R27" s="93">
        <f t="shared" ref="R27" si="20">R$29-R26</f>
        <v>114</v>
      </c>
      <c r="S27" s="93">
        <f t="shared" ref="S27" si="21">S$29-S26</f>
        <v>114</v>
      </c>
      <c r="T27" s="93">
        <f t="shared" ref="T27" si="22">T$29-T26</f>
        <v>114</v>
      </c>
      <c r="U27" s="93">
        <f t="shared" ref="U27" si="23">U$29-U26</f>
        <v>114</v>
      </c>
      <c r="V27" s="93">
        <f t="shared" ref="V27" si="24">V$29-V26</f>
        <v>114</v>
      </c>
      <c r="W27" s="93">
        <f t="shared" ref="W27" si="25">W$29-W26</f>
        <v>114</v>
      </c>
      <c r="X27" s="93">
        <f t="shared" ref="X27" si="26">X$29-X26</f>
        <v>114</v>
      </c>
      <c r="Y27" s="93">
        <f t="shared" ref="Y27" si="27">Y$29-Y26</f>
        <v>114</v>
      </c>
      <c r="Z27" s="93">
        <f t="shared" ref="Z27" si="28">Z$29-Z26</f>
        <v>114</v>
      </c>
      <c r="AA27" s="93">
        <f t="shared" ref="AA27" si="29">AA$29-AA26</f>
        <v>114</v>
      </c>
      <c r="AB27" s="93">
        <f t="shared" ref="AB27" si="30">AB$29-AB26</f>
        <v>114</v>
      </c>
      <c r="AC27" s="93">
        <f t="shared" ref="AC27" si="31">AC$29-AC26</f>
        <v>114</v>
      </c>
      <c r="AD27" s="94"/>
    </row>
    <row r="28" spans="2:48" ht="32.15" customHeight="1" thickBot="1" x14ac:dyDescent="0.6">
      <c r="B28" s="26" t="s">
        <v>71</v>
      </c>
      <c r="C28" s="27"/>
      <c r="D28" s="28">
        <v>3500</v>
      </c>
      <c r="E28" s="29"/>
      <c r="F28" s="40">
        <f t="shared" si="10"/>
        <v>1376</v>
      </c>
      <c r="G28" s="97">
        <f t="shared" si="12"/>
        <v>4816000</v>
      </c>
      <c r="H28" s="42"/>
      <c r="I28" s="29"/>
      <c r="J28" s="29"/>
      <c r="K28" s="40">
        <f t="shared" si="14"/>
        <v>4816000</v>
      </c>
      <c r="L28" s="99"/>
      <c r="M28" s="99"/>
      <c r="N28" s="99">
        <f>ROUNDUP(N29*0.3,0)</f>
        <v>86</v>
      </c>
      <c r="O28" s="99">
        <f t="shared" ref="O28:AC28" si="32">ROUNDUP(O29*0.3,0)</f>
        <v>86</v>
      </c>
      <c r="P28" s="99">
        <f t="shared" si="32"/>
        <v>86</v>
      </c>
      <c r="Q28" s="99">
        <f t="shared" si="32"/>
        <v>86</v>
      </c>
      <c r="R28" s="99">
        <f t="shared" si="32"/>
        <v>86</v>
      </c>
      <c r="S28" s="99">
        <f t="shared" si="32"/>
        <v>86</v>
      </c>
      <c r="T28" s="99">
        <f t="shared" si="32"/>
        <v>86</v>
      </c>
      <c r="U28" s="99">
        <f t="shared" si="32"/>
        <v>86</v>
      </c>
      <c r="V28" s="99">
        <f t="shared" si="32"/>
        <v>86</v>
      </c>
      <c r="W28" s="99">
        <f t="shared" si="32"/>
        <v>86</v>
      </c>
      <c r="X28" s="99">
        <f t="shared" si="32"/>
        <v>86</v>
      </c>
      <c r="Y28" s="99">
        <f t="shared" si="32"/>
        <v>86</v>
      </c>
      <c r="Z28" s="99">
        <f t="shared" si="32"/>
        <v>86</v>
      </c>
      <c r="AA28" s="99">
        <f t="shared" si="32"/>
        <v>86</v>
      </c>
      <c r="AB28" s="99">
        <f t="shared" si="32"/>
        <v>86</v>
      </c>
      <c r="AC28" s="99">
        <f t="shared" si="32"/>
        <v>86</v>
      </c>
      <c r="AD28" s="100"/>
    </row>
    <row r="29" spans="2:48" ht="32.15" customHeight="1" x14ac:dyDescent="0.55000000000000004">
      <c r="D29" s="31"/>
      <c r="E29" s="31"/>
      <c r="F29" s="45"/>
      <c r="G29" s="45"/>
      <c r="H29" s="31"/>
      <c r="I29" s="45"/>
      <c r="J29" s="101" t="s">
        <v>72</v>
      </c>
      <c r="K29" s="45">
        <f>SUM(K22:K28)</f>
        <v>129995240</v>
      </c>
      <c r="L29" s="30"/>
      <c r="M29" s="30"/>
      <c r="N29" s="32">
        <v>284</v>
      </c>
      <c r="O29" s="32">
        <v>284</v>
      </c>
      <c r="P29" s="32">
        <v>284</v>
      </c>
      <c r="Q29" s="32">
        <v>284</v>
      </c>
      <c r="R29" s="32">
        <v>284</v>
      </c>
      <c r="S29" s="32">
        <v>284</v>
      </c>
      <c r="T29" s="32">
        <v>284</v>
      </c>
      <c r="U29" s="32">
        <v>284</v>
      </c>
      <c r="V29" s="32">
        <v>284</v>
      </c>
      <c r="W29" s="32">
        <v>284</v>
      </c>
      <c r="X29" s="32">
        <v>284</v>
      </c>
      <c r="Y29" s="32">
        <v>284</v>
      </c>
      <c r="Z29" s="32">
        <v>284</v>
      </c>
      <c r="AA29" s="32">
        <v>284</v>
      </c>
      <c r="AB29" s="32">
        <v>284</v>
      </c>
      <c r="AC29" s="32">
        <v>284</v>
      </c>
      <c r="AD29" s="32"/>
      <c r="AE29" s="3"/>
      <c r="AF29" s="32"/>
      <c r="AG29" s="3"/>
      <c r="AH29" s="3"/>
      <c r="AP29" s="3"/>
      <c r="AS29" s="3"/>
    </row>
    <row r="30" spans="2:48" ht="32.15" customHeight="1" x14ac:dyDescent="0.55000000000000004">
      <c r="D30" s="31"/>
      <c r="E30" s="31"/>
      <c r="F30" s="45"/>
      <c r="G30" s="45"/>
      <c r="H30" s="31"/>
      <c r="I30" s="45"/>
      <c r="J30" s="101" t="s">
        <v>73</v>
      </c>
      <c r="K30" s="45">
        <f>ROUNDDOWN(K29*1.1,0)</f>
        <v>142994764</v>
      </c>
      <c r="L30" s="30"/>
      <c r="M30" s="30"/>
      <c r="N30" s="32"/>
      <c r="O30" s="3"/>
      <c r="P30" s="32"/>
      <c r="Q30" s="3"/>
      <c r="R30" s="3"/>
      <c r="W30" s="3"/>
      <c r="X30" s="3"/>
      <c r="Y30" s="30"/>
      <c r="Z30" s="31"/>
      <c r="AA30" s="33"/>
      <c r="AB30" s="30"/>
      <c r="AC30" s="32"/>
      <c r="AD30" s="32"/>
      <c r="AE30" s="3"/>
      <c r="AF30" s="32"/>
      <c r="AG30" s="3"/>
      <c r="AH30" s="3"/>
      <c r="AP30" s="3"/>
      <c r="AS30" s="3"/>
    </row>
    <row r="31" spans="2:48" ht="36" customHeight="1" x14ac:dyDescent="0.55000000000000004">
      <c r="B31" s="36" t="s">
        <v>76</v>
      </c>
      <c r="X31" s="3"/>
    </row>
    <row r="32" spans="2:48" ht="36" customHeight="1" x14ac:dyDescent="0.55000000000000004">
      <c r="B32" s="36" t="s">
        <v>77</v>
      </c>
    </row>
    <row r="33" spans="2:2" ht="36" customHeight="1" x14ac:dyDescent="0.55000000000000004">
      <c r="B33" s="36" t="s">
        <v>78</v>
      </c>
    </row>
    <row r="34" spans="2:2" ht="36" customHeight="1" x14ac:dyDescent="0.55000000000000004">
      <c r="B34" s="36" t="s">
        <v>79</v>
      </c>
    </row>
    <row r="35" spans="2:2" ht="36" customHeight="1" x14ac:dyDescent="0.55000000000000004">
      <c r="B35" s="36" t="s">
        <v>80</v>
      </c>
    </row>
    <row r="36" spans="2:2" ht="36" customHeight="1" x14ac:dyDescent="0.55000000000000004">
      <c r="B36" s="36" t="s">
        <v>81</v>
      </c>
    </row>
    <row r="37" spans="2:2" ht="36" customHeight="1" x14ac:dyDescent="0.55000000000000004">
      <c r="B37" s="44" t="s">
        <v>82</v>
      </c>
    </row>
    <row r="38" spans="2:2" ht="36" customHeight="1" x14ac:dyDescent="0.55000000000000004">
      <c r="B38" s="36" t="s">
        <v>83</v>
      </c>
    </row>
    <row r="39" spans="2:2" ht="36" customHeight="1" x14ac:dyDescent="0.55000000000000004"/>
    <row r="40" spans="2:2" ht="36" customHeight="1" x14ac:dyDescent="0.55000000000000004">
      <c r="B40" s="37"/>
    </row>
    <row r="41" spans="2:2" ht="36" customHeight="1" x14ac:dyDescent="0.55000000000000004"/>
    <row r="42" spans="2:2" ht="36" customHeight="1" x14ac:dyDescent="0.55000000000000004"/>
    <row r="43" spans="2:2" ht="10" customHeight="1" x14ac:dyDescent="0.55000000000000004"/>
  </sheetData>
  <mergeCells count="32">
    <mergeCell ref="B22:B23"/>
    <mergeCell ref="B24:B25"/>
    <mergeCell ref="B26:B27"/>
    <mergeCell ref="H19:H21"/>
    <mergeCell ref="I19:I21"/>
    <mergeCell ref="F19:F21"/>
    <mergeCell ref="J19:J21"/>
    <mergeCell ref="K19:K21"/>
    <mergeCell ref="D20:D21"/>
    <mergeCell ref="E20:E21"/>
    <mergeCell ref="G19:G21"/>
    <mergeCell ref="B9:B10"/>
    <mergeCell ref="B13:B14"/>
    <mergeCell ref="B19:B21"/>
    <mergeCell ref="C19:C21"/>
    <mergeCell ref="D19:E19"/>
    <mergeCell ref="L6:AO6"/>
    <mergeCell ref="L19:AD19"/>
    <mergeCell ref="B11:B12"/>
    <mergeCell ref="B2:C2"/>
    <mergeCell ref="D2:N2"/>
    <mergeCell ref="B6:B8"/>
    <mergeCell ref="C6:C8"/>
    <mergeCell ref="D6:E6"/>
    <mergeCell ref="F6:F8"/>
    <mergeCell ref="G6:G8"/>
    <mergeCell ref="H6:H8"/>
    <mergeCell ref="I6:I8"/>
    <mergeCell ref="J6:J8"/>
    <mergeCell ref="K6:K8"/>
    <mergeCell ref="D7:D8"/>
    <mergeCell ref="E7:E8"/>
  </mergeCells>
  <phoneticPr fontId="1"/>
  <conditionalFormatting sqref="D2 D9:D15 E10 E12 E14 H9 H22 L9:AO15 L22:AD28 D22:D28 E23 E25 E27">
    <cfRule type="containsBlanks" dxfId="23" priority="4">
      <formula>LEN(TRIM(D2))=0</formula>
    </cfRule>
  </conditionalFormatting>
  <conditionalFormatting sqref="B22 B24 B26 B28">
    <cfRule type="containsBlanks" dxfId="22" priority="3">
      <formula>LEN(TRIM(B22))=0</formula>
    </cfRule>
  </conditionalFormatting>
  <conditionalFormatting sqref="I9">
    <cfRule type="containsBlanks" dxfId="21" priority="2">
      <formula>LEN(TRIM(I9))=0</formula>
    </cfRule>
  </conditionalFormatting>
  <conditionalFormatting sqref="I22">
    <cfRule type="containsBlanks" dxfId="20" priority="1">
      <formula>LEN(TRIM(I22))=0</formula>
    </cfRule>
  </conditionalFormatting>
  <dataValidations count="1">
    <dataValidation allowBlank="1" showInputMessage="1" showErrorMessage="1" promptTitle="注意" prompt="左右いずれかの欄に入力" sqref="D10:E10 D12:E12 D14:E14 D23:E23 D25:E25 D27:E27" xr:uid="{2BE8990B-3F6A-4854-99D7-008978F07F00}"/>
  </dataValidations>
  <printOptions horizontalCentered="1"/>
  <pageMargins left="0.78740157480314965" right="0.23622047244094491" top="0.74803149606299213" bottom="0.74803149606299213" header="0.31496062992125984" footer="0.31496062992125984"/>
  <pageSetup paperSize="8" scale="35" orientation="landscape" r:id="rId1"/>
  <headerFooter>
    <oddHeader>&amp;R&amp;G</oddHeader>
  </headerFooter>
  <rowBreaks count="1" manualBreakCount="1">
    <brk id="30" max="40" man="1"/>
  </rowBreaks>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C0F4B5-DCB5-4992-8D0E-4AF937026D98}">
  <sheetPr codeName="Sheet1">
    <tabColor rgb="FFCC99FF"/>
    <pageSetUpPr fitToPage="1"/>
  </sheetPr>
  <dimension ref="A1:M34"/>
  <sheetViews>
    <sheetView view="pageBreakPreview" zoomScaleNormal="85" zoomScaleSheetLayoutView="100" workbookViewId="0">
      <selection activeCell="E10" sqref="E10:M10"/>
    </sheetView>
  </sheetViews>
  <sheetFormatPr defaultRowHeight="18" x14ac:dyDescent="0.55000000000000004"/>
  <cols>
    <col min="1" max="1" width="16.08203125" customWidth="1"/>
    <col min="2" max="2" width="7" customWidth="1"/>
    <col min="3" max="3" width="4.33203125" style="46" customWidth="1"/>
    <col min="4" max="4" width="7" customWidth="1"/>
    <col min="5" max="5" width="4.33203125" style="46" customWidth="1"/>
    <col min="6" max="6" width="7" customWidth="1"/>
    <col min="7" max="7" width="4.33203125" style="46" customWidth="1"/>
    <col min="8" max="8" width="7" customWidth="1"/>
    <col min="9" max="9" width="4.33203125" style="46" customWidth="1"/>
    <col min="10" max="10" width="7" customWidth="1"/>
    <col min="11" max="11" width="4.33203125" style="46" customWidth="1"/>
    <col min="12" max="12" width="7" customWidth="1"/>
    <col min="13" max="13" width="4.33203125" style="46" customWidth="1"/>
  </cols>
  <sheetData>
    <row r="1" spans="1:13" ht="22.5" customHeight="1" x14ac:dyDescent="0.55000000000000004">
      <c r="A1" s="170" t="s">
        <v>84</v>
      </c>
      <c r="B1" s="170"/>
      <c r="C1" s="170"/>
      <c r="D1" s="170"/>
      <c r="E1" s="170"/>
      <c r="F1" s="170"/>
      <c r="G1" s="170"/>
      <c r="H1" s="170"/>
      <c r="I1" s="170"/>
      <c r="J1" s="170"/>
      <c r="K1" s="170"/>
      <c r="L1" s="170"/>
      <c r="M1" s="170"/>
    </row>
    <row r="2" spans="1:13" ht="22.5" customHeight="1" x14ac:dyDescent="0.55000000000000004">
      <c r="A2" s="50"/>
      <c r="B2" s="50"/>
      <c r="C2" s="47"/>
      <c r="D2" s="50"/>
      <c r="E2" s="47"/>
      <c r="F2" s="50"/>
      <c r="G2" s="47"/>
      <c r="H2" s="50"/>
      <c r="I2" s="47"/>
      <c r="J2" s="50"/>
      <c r="K2" s="47"/>
      <c r="L2" s="50" t="s">
        <v>85</v>
      </c>
      <c r="M2" s="47"/>
    </row>
    <row r="3" spans="1:13" ht="22.5" customHeight="1" x14ac:dyDescent="0.55000000000000004">
      <c r="A3" s="50"/>
      <c r="B3" s="50"/>
      <c r="C3" s="47"/>
      <c r="D3" s="50"/>
      <c r="E3" s="47"/>
      <c r="F3" s="50"/>
      <c r="G3" s="47"/>
      <c r="H3" s="48"/>
      <c r="I3" s="47" t="s">
        <v>86</v>
      </c>
      <c r="J3" s="48"/>
      <c r="K3" s="47" t="s">
        <v>87</v>
      </c>
      <c r="L3" s="48"/>
      <c r="M3" s="47" t="s">
        <v>88</v>
      </c>
    </row>
    <row r="4" spans="1:13" ht="22.5" customHeight="1" x14ac:dyDescent="0.55000000000000004">
      <c r="A4" s="50"/>
      <c r="B4" s="50"/>
      <c r="C4" s="47"/>
      <c r="D4" s="50"/>
      <c r="E4" s="47"/>
      <c r="F4" s="50"/>
      <c r="G4" s="47"/>
      <c r="H4" s="50"/>
      <c r="I4" s="47"/>
      <c r="J4" s="50"/>
      <c r="K4" s="47"/>
      <c r="L4" s="50"/>
      <c r="M4" s="47"/>
    </row>
    <row r="5" spans="1:13" ht="22.5" customHeight="1" x14ac:dyDescent="0.55000000000000004">
      <c r="A5" s="50" t="s">
        <v>89</v>
      </c>
      <c r="B5" s="50"/>
      <c r="C5" s="47"/>
      <c r="D5" s="50"/>
      <c r="E5" s="47"/>
      <c r="F5" s="50"/>
      <c r="G5" s="47"/>
      <c r="H5" s="50"/>
      <c r="I5" s="47"/>
      <c r="J5" s="50"/>
      <c r="K5" s="47"/>
      <c r="L5" s="50"/>
      <c r="M5" s="47"/>
    </row>
    <row r="6" spans="1:13" ht="22.5" customHeight="1" x14ac:dyDescent="0.55000000000000004">
      <c r="A6" s="50" t="s">
        <v>90</v>
      </c>
      <c r="B6" s="50"/>
      <c r="C6" s="47"/>
      <c r="D6" s="50"/>
      <c r="E6" s="47"/>
      <c r="F6" s="50"/>
      <c r="G6" s="47"/>
      <c r="H6" s="50"/>
      <c r="I6" s="47"/>
      <c r="J6" s="50"/>
      <c r="K6" s="47"/>
      <c r="L6" s="50"/>
      <c r="M6" s="47"/>
    </row>
    <row r="7" spans="1:13" ht="22.5" customHeight="1" x14ac:dyDescent="0.55000000000000004">
      <c r="A7" s="50"/>
      <c r="B7" s="50"/>
      <c r="C7" s="47"/>
      <c r="D7" s="50"/>
      <c r="E7" s="47"/>
      <c r="F7" s="50"/>
      <c r="G7" s="47"/>
      <c r="H7" s="50"/>
      <c r="I7" s="47"/>
      <c r="J7" s="50"/>
      <c r="K7" s="47"/>
      <c r="L7" s="50"/>
      <c r="M7" s="47"/>
    </row>
    <row r="8" spans="1:13" ht="22.5" customHeight="1" x14ac:dyDescent="0.55000000000000004">
      <c r="A8" s="50"/>
      <c r="B8" s="50"/>
      <c r="C8" s="172" t="s">
        <v>91</v>
      </c>
      <c r="D8" s="172"/>
      <c r="E8" s="171"/>
      <c r="F8" s="171"/>
      <c r="G8" s="171"/>
      <c r="H8" s="171"/>
      <c r="I8" s="171"/>
      <c r="J8" s="171"/>
      <c r="K8" s="171"/>
      <c r="L8" s="171"/>
      <c r="M8" s="171"/>
    </row>
    <row r="9" spans="1:13" ht="22.5" customHeight="1" x14ac:dyDescent="0.55000000000000004">
      <c r="A9" s="50"/>
      <c r="B9" s="50"/>
      <c r="C9" s="172" t="s">
        <v>92</v>
      </c>
      <c r="D9" s="172"/>
      <c r="E9" s="171"/>
      <c r="F9" s="171"/>
      <c r="G9" s="171"/>
      <c r="H9" s="171"/>
      <c r="I9" s="171"/>
      <c r="J9" s="171"/>
      <c r="K9" s="171"/>
      <c r="L9" s="171"/>
      <c r="M9" s="171"/>
    </row>
    <row r="10" spans="1:13" ht="22.5" customHeight="1" x14ac:dyDescent="0.55000000000000004">
      <c r="A10" s="50"/>
      <c r="B10" s="50"/>
      <c r="C10" s="172" t="s">
        <v>93</v>
      </c>
      <c r="D10" s="172"/>
      <c r="E10" s="171"/>
      <c r="F10" s="171"/>
      <c r="G10" s="171"/>
      <c r="H10" s="171"/>
      <c r="I10" s="171"/>
      <c r="J10" s="171"/>
      <c r="K10" s="171"/>
      <c r="L10" s="171"/>
      <c r="M10" s="171"/>
    </row>
    <row r="11" spans="1:13" ht="22.5" customHeight="1" x14ac:dyDescent="0.55000000000000004">
      <c r="A11" s="50"/>
      <c r="B11" s="50"/>
      <c r="C11" s="47"/>
      <c r="D11" s="50"/>
      <c r="E11" s="47"/>
      <c r="F11" s="50"/>
      <c r="G11" s="47"/>
      <c r="H11" s="50"/>
      <c r="I11" s="47"/>
      <c r="J11" s="50"/>
      <c r="K11" s="47"/>
      <c r="L11" s="50"/>
      <c r="M11" s="47"/>
    </row>
    <row r="12" spans="1:13" ht="22.5" customHeight="1" x14ac:dyDescent="0.55000000000000004">
      <c r="A12" s="172" t="s">
        <v>94</v>
      </c>
      <c r="B12" s="172"/>
      <c r="C12" s="172"/>
      <c r="D12" s="172"/>
      <c r="E12" s="172"/>
      <c r="F12" s="172"/>
      <c r="G12" s="172"/>
      <c r="H12" s="172"/>
      <c r="I12" s="172"/>
      <c r="J12" s="172"/>
      <c r="K12" s="172"/>
      <c r="L12" s="172"/>
      <c r="M12" s="172"/>
    </row>
    <row r="13" spans="1:13" ht="22.5" customHeight="1" x14ac:dyDescent="0.55000000000000004">
      <c r="A13" s="50"/>
      <c r="B13" s="50"/>
      <c r="C13" s="47"/>
      <c r="D13" s="50"/>
      <c r="E13" s="47"/>
      <c r="F13" s="50"/>
      <c r="G13" s="47"/>
      <c r="H13" s="50"/>
      <c r="I13" s="47"/>
      <c r="J13" s="50"/>
      <c r="K13" s="47"/>
      <c r="L13" s="50"/>
      <c r="M13" s="47"/>
    </row>
    <row r="14" spans="1:13" ht="22.5" customHeight="1" x14ac:dyDescent="0.55000000000000004">
      <c r="A14" s="176" t="s">
        <v>95</v>
      </c>
      <c r="B14" s="176"/>
      <c r="C14" s="176"/>
      <c r="D14" s="176"/>
      <c r="E14" s="176"/>
      <c r="F14" s="176"/>
      <c r="G14" s="176"/>
      <c r="H14" s="176"/>
      <c r="I14" s="176"/>
      <c r="J14" s="176"/>
      <c r="K14" s="176"/>
      <c r="L14" s="176"/>
      <c r="M14" s="176"/>
    </row>
    <row r="15" spans="1:13" ht="22.5" customHeight="1" x14ac:dyDescent="0.55000000000000004">
      <c r="A15" s="52"/>
      <c r="B15" s="52"/>
      <c r="C15" s="51"/>
      <c r="D15" s="52"/>
      <c r="E15" s="51"/>
      <c r="F15" s="50"/>
      <c r="G15" s="47"/>
      <c r="H15" s="50"/>
      <c r="I15" s="47"/>
      <c r="J15" s="50"/>
      <c r="K15" s="47"/>
      <c r="L15" s="50"/>
      <c r="M15" s="47"/>
    </row>
    <row r="16" spans="1:13" ht="22.5" customHeight="1" x14ac:dyDescent="0.55000000000000004">
      <c r="A16" s="52" t="s">
        <v>96</v>
      </c>
      <c r="B16" s="177" t="s">
        <v>97</v>
      </c>
      <c r="C16" s="172"/>
      <c r="D16" s="172"/>
      <c r="E16" s="172"/>
      <c r="F16" s="172"/>
      <c r="G16" s="172"/>
      <c r="H16" s="172"/>
      <c r="I16" s="172"/>
      <c r="J16" s="172"/>
      <c r="K16" s="172"/>
      <c r="L16" s="172"/>
      <c r="M16" s="172"/>
    </row>
    <row r="17" spans="1:13" ht="22.5" customHeight="1" x14ac:dyDescent="0.55000000000000004">
      <c r="A17" s="52"/>
      <c r="B17" s="174" t="s">
        <v>98</v>
      </c>
      <c r="C17" s="174"/>
      <c r="D17" s="174"/>
      <c r="E17" s="174"/>
      <c r="F17" s="174"/>
      <c r="G17" s="174"/>
      <c r="H17" s="174"/>
      <c r="I17" s="174"/>
      <c r="J17" s="174"/>
      <c r="K17" s="174"/>
      <c r="L17" s="174"/>
      <c r="M17" s="174"/>
    </row>
    <row r="18" spans="1:13" ht="22.5" customHeight="1" x14ac:dyDescent="0.55000000000000004">
      <c r="A18" s="52"/>
      <c r="B18" s="53"/>
      <c r="C18" s="54"/>
      <c r="D18" s="53"/>
      <c r="E18" s="54"/>
      <c r="F18" s="53"/>
      <c r="G18" s="54"/>
      <c r="H18" s="53"/>
      <c r="I18" s="54"/>
      <c r="J18" s="53"/>
      <c r="K18" s="54"/>
      <c r="L18" s="53"/>
      <c r="M18" s="54"/>
    </row>
    <row r="19" spans="1:13" ht="22.5" customHeight="1" x14ac:dyDescent="0.55000000000000004">
      <c r="A19" s="52" t="s">
        <v>99</v>
      </c>
      <c r="B19" s="172" t="s">
        <v>100</v>
      </c>
      <c r="C19" s="172"/>
      <c r="D19" s="172"/>
      <c r="E19" s="172"/>
      <c r="F19" s="172"/>
      <c r="G19" s="172"/>
      <c r="H19" s="172"/>
      <c r="I19" s="172"/>
      <c r="J19" s="172"/>
      <c r="K19" s="172"/>
      <c r="L19" s="172"/>
      <c r="M19" s="172"/>
    </row>
    <row r="20" spans="1:13" ht="22.5" customHeight="1" x14ac:dyDescent="0.55000000000000004">
      <c r="A20" s="52"/>
      <c r="B20" s="172" t="s">
        <v>101</v>
      </c>
      <c r="C20" s="172"/>
      <c r="D20" s="172"/>
      <c r="E20" s="172"/>
      <c r="F20" s="172"/>
      <c r="G20" s="172"/>
      <c r="H20" s="172"/>
      <c r="I20" s="172"/>
      <c r="J20" s="172"/>
      <c r="K20" s="172"/>
      <c r="L20" s="172"/>
      <c r="M20" s="172"/>
    </row>
    <row r="21" spans="1:13" ht="22.5" customHeight="1" x14ac:dyDescent="0.55000000000000004">
      <c r="A21" s="52"/>
      <c r="B21" s="52"/>
      <c r="C21" s="51"/>
      <c r="D21" s="52"/>
      <c r="E21" s="51"/>
      <c r="F21" s="50"/>
      <c r="G21" s="47"/>
      <c r="H21" s="50"/>
      <c r="I21" s="47"/>
      <c r="J21" s="50"/>
      <c r="K21" s="47"/>
      <c r="L21" s="50"/>
      <c r="M21" s="47"/>
    </row>
    <row r="22" spans="1:13" ht="22.5" customHeight="1" x14ac:dyDescent="0.55000000000000004">
      <c r="A22" s="52" t="s">
        <v>102</v>
      </c>
      <c r="B22" s="48"/>
      <c r="C22" s="47" t="s">
        <v>86</v>
      </c>
      <c r="D22" s="48"/>
      <c r="E22" s="47" t="s">
        <v>87</v>
      </c>
      <c r="F22" s="48"/>
      <c r="G22" s="47" t="s">
        <v>88</v>
      </c>
      <c r="H22" s="50"/>
      <c r="I22" s="47"/>
      <c r="J22" s="50"/>
      <c r="K22" s="47"/>
      <c r="L22" s="50"/>
      <c r="M22" s="47"/>
    </row>
    <row r="23" spans="1:13" ht="22.5" customHeight="1" x14ac:dyDescent="0.55000000000000004">
      <c r="A23" s="52"/>
      <c r="B23" s="52"/>
      <c r="C23" s="51"/>
      <c r="D23" s="52"/>
      <c r="E23" s="51"/>
      <c r="F23" s="50"/>
      <c r="G23" s="47"/>
      <c r="H23" s="50"/>
      <c r="I23" s="47"/>
      <c r="J23" s="50"/>
      <c r="K23" s="47"/>
      <c r="L23" s="50"/>
      <c r="M23" s="47"/>
    </row>
    <row r="24" spans="1:13" ht="22.5" customHeight="1" x14ac:dyDescent="0.55000000000000004">
      <c r="A24" s="52" t="s">
        <v>103</v>
      </c>
      <c r="B24" s="49" t="s">
        <v>104</v>
      </c>
      <c r="C24" s="175"/>
      <c r="D24" s="175"/>
      <c r="E24" s="175"/>
      <c r="F24" s="50" t="s">
        <v>105</v>
      </c>
      <c r="G24" s="47"/>
      <c r="H24" s="50"/>
      <c r="I24" s="47"/>
      <c r="J24" s="50"/>
      <c r="K24" s="47"/>
      <c r="L24" s="50"/>
      <c r="M24" s="47"/>
    </row>
    <row r="25" spans="1:13" ht="22.5" customHeight="1" x14ac:dyDescent="0.55000000000000004">
      <c r="A25" s="52"/>
      <c r="B25" s="52"/>
      <c r="C25" s="51"/>
      <c r="D25" s="52"/>
      <c r="E25" s="51"/>
      <c r="F25" s="50"/>
      <c r="G25" s="47"/>
      <c r="H25" s="50"/>
      <c r="I25" s="47"/>
      <c r="J25" s="50"/>
      <c r="K25" s="47"/>
      <c r="L25" s="50"/>
      <c r="M25" s="47"/>
    </row>
    <row r="26" spans="1:13" ht="22.5" customHeight="1" x14ac:dyDescent="0.55000000000000004">
      <c r="A26" s="52" t="s">
        <v>106</v>
      </c>
      <c r="B26" s="173"/>
      <c r="C26" s="173"/>
      <c r="D26" s="173"/>
      <c r="E26" s="173"/>
      <c r="F26" s="173"/>
      <c r="G26" s="173"/>
      <c r="H26" s="173"/>
      <c r="I26" s="173"/>
      <c r="J26" s="173"/>
      <c r="K26" s="173"/>
      <c r="L26" s="173"/>
      <c r="M26" s="173"/>
    </row>
    <row r="27" spans="1:13" ht="22.5" customHeight="1" x14ac:dyDescent="0.55000000000000004">
      <c r="A27" s="52" t="s">
        <v>107</v>
      </c>
      <c r="B27" s="50"/>
      <c r="C27" s="47"/>
      <c r="D27" s="50"/>
      <c r="E27" s="47"/>
      <c r="F27" s="50"/>
      <c r="G27" s="47"/>
      <c r="H27" s="50"/>
      <c r="I27" s="47"/>
      <c r="J27" s="50"/>
      <c r="K27" s="47"/>
      <c r="L27" s="50"/>
      <c r="M27" s="47"/>
    </row>
    <row r="28" spans="1:13" x14ac:dyDescent="0.55000000000000004">
      <c r="A28" s="50"/>
      <c r="B28" s="50"/>
      <c r="C28" s="47"/>
      <c r="D28" s="50"/>
      <c r="E28" s="47"/>
      <c r="F28" s="50"/>
      <c r="G28" s="47"/>
      <c r="H28" s="50"/>
      <c r="I28" s="47"/>
      <c r="J28" s="50"/>
      <c r="K28" s="47"/>
      <c r="L28" s="50"/>
      <c r="M28" s="47"/>
    </row>
    <row r="29" spans="1:13" x14ac:dyDescent="0.55000000000000004">
      <c r="A29" s="50"/>
      <c r="B29" s="50"/>
      <c r="C29" s="47"/>
      <c r="D29" s="50"/>
      <c r="E29" s="47"/>
      <c r="F29" s="50"/>
      <c r="G29" s="47"/>
      <c r="H29" s="50"/>
      <c r="I29" s="47"/>
      <c r="J29" s="50"/>
      <c r="K29" s="47"/>
      <c r="L29" s="50"/>
      <c r="M29" s="47"/>
    </row>
    <row r="30" spans="1:13" x14ac:dyDescent="0.55000000000000004">
      <c r="A30" s="50"/>
      <c r="B30" s="50"/>
      <c r="C30" s="47"/>
      <c r="D30" s="50"/>
      <c r="E30" s="47"/>
      <c r="F30" s="50"/>
      <c r="G30" s="47"/>
      <c r="H30" s="50"/>
      <c r="I30" s="47"/>
      <c r="J30" s="50"/>
      <c r="K30" s="47"/>
      <c r="L30" s="50"/>
      <c r="M30" s="47"/>
    </row>
    <row r="31" spans="1:13" x14ac:dyDescent="0.55000000000000004">
      <c r="A31" s="50"/>
      <c r="B31" s="50"/>
      <c r="C31" s="47"/>
      <c r="D31" s="50"/>
      <c r="E31" s="47"/>
      <c r="F31" s="50"/>
      <c r="G31" s="47"/>
      <c r="H31" s="50"/>
      <c r="I31" s="47"/>
      <c r="J31" s="50"/>
      <c r="K31" s="47"/>
      <c r="L31" s="50"/>
      <c r="M31" s="47"/>
    </row>
    <row r="32" spans="1:13" x14ac:dyDescent="0.55000000000000004">
      <c r="A32" s="50"/>
      <c r="B32" s="50"/>
      <c r="C32" s="47"/>
      <c r="D32" s="50"/>
      <c r="E32" s="47"/>
      <c r="F32" s="50"/>
      <c r="G32" s="47"/>
      <c r="H32" s="50"/>
      <c r="I32" s="47"/>
      <c r="J32" s="50"/>
      <c r="K32" s="47"/>
      <c r="L32" s="50"/>
      <c r="M32" s="47"/>
    </row>
    <row r="33" spans="1:13" x14ac:dyDescent="0.55000000000000004">
      <c r="A33" s="50"/>
      <c r="B33" s="50"/>
      <c r="C33" s="47"/>
      <c r="D33" s="50"/>
      <c r="E33" s="47"/>
      <c r="F33" s="50"/>
      <c r="G33" s="47"/>
      <c r="H33" s="50"/>
      <c r="I33" s="47"/>
      <c r="J33" s="50"/>
      <c r="K33" s="47"/>
      <c r="L33" s="50"/>
      <c r="M33" s="47"/>
    </row>
    <row r="34" spans="1:13" x14ac:dyDescent="0.55000000000000004">
      <c r="A34" s="50"/>
      <c r="B34" s="50"/>
      <c r="C34" s="47"/>
      <c r="D34" s="50"/>
      <c r="E34" s="47"/>
      <c r="F34" s="50"/>
      <c r="G34" s="47"/>
      <c r="H34" s="50"/>
      <c r="I34" s="47"/>
      <c r="J34" s="50"/>
      <c r="K34" s="47"/>
      <c r="L34" s="50"/>
      <c r="M34" s="47"/>
    </row>
  </sheetData>
  <mergeCells count="15">
    <mergeCell ref="B26:M26"/>
    <mergeCell ref="B17:M17"/>
    <mergeCell ref="C8:D8"/>
    <mergeCell ref="C10:D10"/>
    <mergeCell ref="C9:D9"/>
    <mergeCell ref="C24:E24"/>
    <mergeCell ref="A14:M14"/>
    <mergeCell ref="B16:M16"/>
    <mergeCell ref="B19:M19"/>
    <mergeCell ref="B20:M20"/>
    <mergeCell ref="A1:M1"/>
    <mergeCell ref="E8:M8"/>
    <mergeCell ref="E9:M9"/>
    <mergeCell ref="E10:M10"/>
    <mergeCell ref="A12:M12"/>
  </mergeCells>
  <phoneticPr fontId="1"/>
  <conditionalFormatting sqref="H3">
    <cfRule type="containsBlanks" dxfId="19" priority="18">
      <formula>LEN(TRIM(H3))=0</formula>
    </cfRule>
  </conditionalFormatting>
  <conditionalFormatting sqref="J3">
    <cfRule type="containsBlanks" dxfId="18" priority="17">
      <formula>LEN(TRIM(J3))=0</formula>
    </cfRule>
  </conditionalFormatting>
  <conditionalFormatting sqref="L3">
    <cfRule type="containsBlanks" dxfId="17" priority="16">
      <formula>LEN(TRIM(L3))=0</formula>
    </cfRule>
  </conditionalFormatting>
  <conditionalFormatting sqref="E8:E10">
    <cfRule type="containsBlanks" dxfId="16" priority="15">
      <formula>LEN(TRIM(E8))=0</formula>
    </cfRule>
  </conditionalFormatting>
  <conditionalFormatting sqref="B22">
    <cfRule type="containsBlanks" dxfId="15" priority="7">
      <formula>LEN(TRIM(B22))=0</formula>
    </cfRule>
  </conditionalFormatting>
  <conditionalFormatting sqref="D22">
    <cfRule type="containsBlanks" dxfId="14" priority="6">
      <formula>LEN(TRIM(D22))=0</formula>
    </cfRule>
  </conditionalFormatting>
  <conditionalFormatting sqref="F22">
    <cfRule type="containsBlanks" dxfId="13" priority="5">
      <formula>LEN(TRIM(F22))=0</formula>
    </cfRule>
  </conditionalFormatting>
  <conditionalFormatting sqref="C24">
    <cfRule type="containsBlanks" dxfId="12" priority="4">
      <formula>LEN(TRIM(C24))=0</formula>
    </cfRule>
  </conditionalFormatting>
  <conditionalFormatting sqref="B26">
    <cfRule type="containsBlanks" dxfId="11" priority="1">
      <formula>LEN(TRIM(B26))=0</formula>
    </cfRule>
  </conditionalFormatting>
  <printOptions horizontalCentered="1"/>
  <pageMargins left="0.78740157480314965" right="0.23622047244094491" top="0.74803149606299213" bottom="0.74803149606299213" header="0.31496062992125984" footer="0.31496062992125984"/>
  <pageSetup paperSize="9" scale="97" orientation="portrait" r:id="rId1"/>
  <headerFooter>
    <oddHeader>&amp;R&amp;G</oddHead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AC86E2-24F6-4344-9D95-AA02FD1A5783}">
  <sheetPr codeName="Sheet20">
    <tabColor rgb="FFCC99FF"/>
    <pageSetUpPr fitToPage="1"/>
  </sheetPr>
  <dimension ref="B1:AT41"/>
  <sheetViews>
    <sheetView view="pageBreakPreview" zoomScale="55" zoomScaleNormal="55" zoomScaleSheetLayoutView="55" workbookViewId="0">
      <selection activeCell="A9" sqref="A8:E9"/>
    </sheetView>
  </sheetViews>
  <sheetFormatPr defaultColWidth="8.83203125" defaultRowHeight="13.5" customHeight="1" x14ac:dyDescent="0.55000000000000004"/>
  <cols>
    <col min="1" max="1" width="1.58203125" style="4" customWidth="1"/>
    <col min="2" max="2" width="22.08203125" style="3" customWidth="1"/>
    <col min="3" max="3" width="30.5" style="4" customWidth="1"/>
    <col min="4" max="9" width="17.5" style="4" customWidth="1"/>
    <col min="10" max="39" width="10.58203125" style="4" customWidth="1"/>
    <col min="40" max="62" width="13.08203125" style="4" customWidth="1"/>
    <col min="63" max="16384" width="8.83203125" style="4"/>
  </cols>
  <sheetData>
    <row r="1" spans="2:46" ht="21" customHeight="1" thickBot="1" x14ac:dyDescent="0.6">
      <c r="N1" s="3"/>
      <c r="O1" s="3"/>
      <c r="P1" s="3"/>
      <c r="U1" s="3"/>
      <c r="W1" s="3"/>
      <c r="X1" s="5"/>
      <c r="Y1" s="3"/>
      <c r="AB1" s="3"/>
    </row>
    <row r="2" spans="2:46" ht="54" customHeight="1" thickBot="1" x14ac:dyDescent="0.6">
      <c r="B2" s="143" t="s">
        <v>39</v>
      </c>
      <c r="C2" s="144"/>
      <c r="D2" s="145"/>
      <c r="E2" s="145"/>
      <c r="F2" s="145"/>
      <c r="G2" s="145"/>
      <c r="H2" s="145"/>
      <c r="I2" s="145"/>
      <c r="J2" s="145"/>
      <c r="K2" s="145"/>
      <c r="L2" s="145"/>
      <c r="M2" s="6" t="s">
        <v>40</v>
      </c>
      <c r="N2" s="3"/>
      <c r="O2" s="3"/>
      <c r="P2" s="3"/>
      <c r="U2" s="3"/>
      <c r="W2" s="3"/>
      <c r="X2" s="5"/>
      <c r="Y2" s="3"/>
      <c r="AB2" s="3"/>
      <c r="AI2" s="7"/>
      <c r="AK2" s="103" t="s">
        <v>108</v>
      </c>
    </row>
    <row r="3" spans="2:46" ht="10" customHeight="1" x14ac:dyDescent="0.55000000000000004">
      <c r="N3" s="3"/>
      <c r="O3" s="3"/>
      <c r="P3" s="3"/>
      <c r="U3" s="3"/>
      <c r="W3" s="3"/>
      <c r="X3" s="5"/>
      <c r="Y3" s="3"/>
      <c r="AB3" s="3"/>
    </row>
    <row r="4" spans="2:46" ht="23.15" customHeight="1" thickBot="1" x14ac:dyDescent="0.6">
      <c r="B4" s="8" t="s">
        <v>42</v>
      </c>
      <c r="O4" s="3"/>
      <c r="P4" s="8"/>
      <c r="X4" s="3"/>
      <c r="Y4" s="3"/>
      <c r="Z4" s="3"/>
      <c r="AF4" s="9"/>
      <c r="AH4" s="3"/>
      <c r="AK4" s="3"/>
      <c r="AP4" s="3"/>
      <c r="AQ4" s="3"/>
      <c r="AR4" s="3"/>
      <c r="AS4" s="3"/>
      <c r="AT4" s="3"/>
    </row>
    <row r="5" spans="2:46" s="10" customFormat="1" ht="80.5" customHeight="1" thickBot="1" x14ac:dyDescent="0.6">
      <c r="B5" s="146" t="s">
        <v>43</v>
      </c>
      <c r="C5" s="149" t="s">
        <v>44</v>
      </c>
      <c r="D5" s="178" t="s">
        <v>109</v>
      </c>
      <c r="E5" s="179"/>
      <c r="F5" s="180" t="s">
        <v>46</v>
      </c>
      <c r="G5" s="180" t="s">
        <v>110</v>
      </c>
      <c r="H5" s="183" t="s">
        <v>111</v>
      </c>
      <c r="I5" s="163" t="s">
        <v>112</v>
      </c>
      <c r="J5" s="138" t="s">
        <v>113</v>
      </c>
      <c r="K5" s="139"/>
      <c r="L5" s="139"/>
      <c r="M5" s="139"/>
      <c r="N5" s="139"/>
      <c r="O5" s="139"/>
      <c r="P5" s="139"/>
      <c r="Q5" s="139"/>
      <c r="R5" s="139"/>
      <c r="S5" s="139"/>
      <c r="T5" s="139"/>
      <c r="U5" s="139"/>
      <c r="V5" s="139"/>
      <c r="W5" s="139"/>
      <c r="X5" s="139"/>
      <c r="Y5" s="139"/>
      <c r="Z5" s="139"/>
      <c r="AA5" s="139"/>
      <c r="AB5" s="139"/>
      <c r="AC5" s="139"/>
      <c r="AD5" s="139"/>
      <c r="AE5" s="139"/>
      <c r="AF5" s="139"/>
      <c r="AG5" s="139"/>
      <c r="AH5" s="139"/>
      <c r="AI5" s="139"/>
      <c r="AJ5" s="139"/>
      <c r="AK5" s="139"/>
      <c r="AL5" s="139"/>
      <c r="AM5" s="140"/>
    </row>
    <row r="6" spans="2:46" s="10" customFormat="1" ht="32.5" customHeight="1" x14ac:dyDescent="0.55000000000000004">
      <c r="B6" s="147"/>
      <c r="C6" s="150"/>
      <c r="D6" s="186" t="s">
        <v>53</v>
      </c>
      <c r="E6" s="188" t="s">
        <v>114</v>
      </c>
      <c r="F6" s="181"/>
      <c r="G6" s="181"/>
      <c r="H6" s="184"/>
      <c r="I6" s="164"/>
      <c r="J6" s="11">
        <v>46272</v>
      </c>
      <c r="K6" s="12">
        <v>46273</v>
      </c>
      <c r="L6" s="12">
        <v>46274</v>
      </c>
      <c r="M6" s="12">
        <v>46275</v>
      </c>
      <c r="N6" s="12">
        <v>46276</v>
      </c>
      <c r="O6" s="105">
        <v>46277</v>
      </c>
      <c r="P6" s="105">
        <v>46278</v>
      </c>
      <c r="Q6" s="105">
        <v>46279</v>
      </c>
      <c r="R6" s="105">
        <v>46280</v>
      </c>
      <c r="S6" s="105">
        <v>46281</v>
      </c>
      <c r="T6" s="105">
        <v>46282</v>
      </c>
      <c r="U6" s="105">
        <v>46283</v>
      </c>
      <c r="V6" s="105">
        <v>46284</v>
      </c>
      <c r="W6" s="105">
        <v>46285</v>
      </c>
      <c r="X6" s="105">
        <v>46286</v>
      </c>
      <c r="Y6" s="105">
        <v>46287</v>
      </c>
      <c r="Z6" s="105">
        <v>46288</v>
      </c>
      <c r="AA6" s="105">
        <v>46289</v>
      </c>
      <c r="AB6" s="105">
        <v>46290</v>
      </c>
      <c r="AC6" s="105">
        <v>46291</v>
      </c>
      <c r="AD6" s="105">
        <v>46292</v>
      </c>
      <c r="AE6" s="105">
        <v>46293</v>
      </c>
      <c r="AF6" s="105">
        <v>46294</v>
      </c>
      <c r="AG6" s="105">
        <v>46295</v>
      </c>
      <c r="AH6" s="105">
        <v>46296</v>
      </c>
      <c r="AI6" s="105">
        <v>46297</v>
      </c>
      <c r="AJ6" s="105">
        <v>46298</v>
      </c>
      <c r="AK6" s="105">
        <v>46299</v>
      </c>
      <c r="AL6" s="12">
        <v>46300</v>
      </c>
      <c r="AM6" s="123">
        <v>46301</v>
      </c>
    </row>
    <row r="7" spans="2:46" s="10" customFormat="1" ht="32.5" customHeight="1" x14ac:dyDescent="0.55000000000000004">
      <c r="B7" s="148"/>
      <c r="C7" s="151"/>
      <c r="D7" s="187"/>
      <c r="E7" s="189"/>
      <c r="F7" s="182"/>
      <c r="G7" s="182"/>
      <c r="H7" s="185"/>
      <c r="I7" s="165"/>
      <c r="J7" s="14" t="s">
        <v>55</v>
      </c>
      <c r="K7" s="15" t="s">
        <v>56</v>
      </c>
      <c r="L7" s="15" t="s">
        <v>57</v>
      </c>
      <c r="M7" s="15" t="s">
        <v>58</v>
      </c>
      <c r="N7" s="15" t="s">
        <v>59</v>
      </c>
      <c r="O7" s="106" t="s">
        <v>60</v>
      </c>
      <c r="P7" s="106" t="s">
        <v>61</v>
      </c>
      <c r="Q7" s="107" t="s">
        <v>55</v>
      </c>
      <c r="R7" s="107" t="s">
        <v>56</v>
      </c>
      <c r="S7" s="107" t="s">
        <v>62</v>
      </c>
      <c r="T7" s="107" t="s">
        <v>63</v>
      </c>
      <c r="U7" s="107" t="s">
        <v>59</v>
      </c>
      <c r="V7" s="106" t="s">
        <v>60</v>
      </c>
      <c r="W7" s="106" t="s">
        <v>61</v>
      </c>
      <c r="X7" s="106" t="s">
        <v>55</v>
      </c>
      <c r="Y7" s="106" t="s">
        <v>56</v>
      </c>
      <c r="Z7" s="106" t="s">
        <v>62</v>
      </c>
      <c r="AA7" s="107" t="s">
        <v>63</v>
      </c>
      <c r="AB7" s="107" t="s">
        <v>59</v>
      </c>
      <c r="AC7" s="106" t="s">
        <v>60</v>
      </c>
      <c r="AD7" s="106" t="s">
        <v>61</v>
      </c>
      <c r="AE7" s="107" t="s">
        <v>55</v>
      </c>
      <c r="AF7" s="107" t="s">
        <v>56</v>
      </c>
      <c r="AG7" s="107" t="s">
        <v>62</v>
      </c>
      <c r="AH7" s="107" t="s">
        <v>63</v>
      </c>
      <c r="AI7" s="107" t="s">
        <v>59</v>
      </c>
      <c r="AJ7" s="106" t="s">
        <v>60</v>
      </c>
      <c r="AK7" s="106" t="s">
        <v>61</v>
      </c>
      <c r="AL7" s="15" t="s">
        <v>55</v>
      </c>
      <c r="AM7" s="124" t="s">
        <v>64</v>
      </c>
    </row>
    <row r="8" spans="2:46" ht="32.15" customHeight="1" x14ac:dyDescent="0.55000000000000004">
      <c r="B8" s="141" t="s">
        <v>65</v>
      </c>
      <c r="C8" s="17" t="s">
        <v>66</v>
      </c>
      <c r="D8" s="18"/>
      <c r="E8" s="19"/>
      <c r="F8" s="38"/>
      <c r="G8" s="38" t="str">
        <f>IF(AND(D8="", E8="", F8=""), "", IF(D8&lt;&gt;"", D8*F8, E8*F8))</f>
        <v/>
      </c>
      <c r="H8" s="18"/>
      <c r="I8" s="38" t="str">
        <f>IF(AND(G8="", H8=""), "", G8 - H8)</f>
        <v/>
      </c>
      <c r="J8" s="21"/>
      <c r="K8" s="21"/>
      <c r="L8" s="22"/>
      <c r="M8" s="22"/>
      <c r="N8" s="22"/>
      <c r="O8" s="22"/>
      <c r="P8" s="21"/>
      <c r="Q8" s="22"/>
      <c r="R8" s="22"/>
      <c r="S8" s="22"/>
      <c r="T8" s="22"/>
      <c r="U8" s="21"/>
      <c r="V8" s="22"/>
      <c r="W8" s="22"/>
      <c r="X8" s="22"/>
      <c r="Y8" s="22"/>
      <c r="Z8" s="21"/>
      <c r="AA8" s="22"/>
      <c r="AB8" s="22"/>
      <c r="AC8" s="22"/>
      <c r="AD8" s="22"/>
      <c r="AE8" s="21"/>
      <c r="AF8" s="22"/>
      <c r="AG8" s="22"/>
      <c r="AH8" s="22"/>
      <c r="AI8" s="22"/>
      <c r="AJ8" s="21"/>
      <c r="AK8" s="22"/>
      <c r="AL8" s="120"/>
      <c r="AM8" s="23"/>
    </row>
    <row r="9" spans="2:46" ht="32.15" customHeight="1" x14ac:dyDescent="0.55000000000000004">
      <c r="B9" s="142"/>
      <c r="C9" s="17" t="s">
        <v>67</v>
      </c>
      <c r="D9" s="18"/>
      <c r="E9" s="24"/>
      <c r="F9" s="39" t="str">
        <f t="shared" ref="F9:F14" si="0">IF(COUNTA($J9:$AL9)=0, "", SUM($J9:$AL9))</f>
        <v/>
      </c>
      <c r="G9" s="39" t="str">
        <f t="shared" ref="G9:G14" si="1">IF(AND(D9="", E9="", F9=""), "", IF(D9&lt;&gt;"", D9*F9, E9*F9))</f>
        <v/>
      </c>
      <c r="H9" s="18"/>
      <c r="I9" s="38" t="str">
        <f t="shared" ref="I9:I14" si="2">IF(AND(G9="", H9=""), "", G9 - H9)</f>
        <v/>
      </c>
      <c r="J9" s="92"/>
      <c r="K9" s="92"/>
      <c r="L9" s="93"/>
      <c r="M9" s="93"/>
      <c r="N9" s="93"/>
      <c r="O9" s="93"/>
      <c r="P9" s="92"/>
      <c r="Q9" s="93"/>
      <c r="R9" s="93"/>
      <c r="S9" s="93"/>
      <c r="T9" s="93"/>
      <c r="U9" s="92"/>
      <c r="V9" s="93"/>
      <c r="W9" s="93"/>
      <c r="X9" s="93"/>
      <c r="Y9" s="93"/>
      <c r="Z9" s="92"/>
      <c r="AA9" s="93"/>
      <c r="AB9" s="93"/>
      <c r="AC9" s="93"/>
      <c r="AD9" s="93"/>
      <c r="AE9" s="92"/>
      <c r="AF9" s="93"/>
      <c r="AG9" s="93"/>
      <c r="AH9" s="93"/>
      <c r="AI9" s="93"/>
      <c r="AJ9" s="92"/>
      <c r="AK9" s="93"/>
      <c r="AL9" s="121"/>
      <c r="AM9" s="94"/>
    </row>
    <row r="10" spans="2:46" ht="32.15" customHeight="1" x14ac:dyDescent="0.55000000000000004">
      <c r="B10" s="141" t="s">
        <v>68</v>
      </c>
      <c r="C10" s="17" t="s">
        <v>66</v>
      </c>
      <c r="D10" s="18"/>
      <c r="E10" s="25"/>
      <c r="F10" s="39" t="str">
        <f t="shared" si="0"/>
        <v/>
      </c>
      <c r="G10" s="95" t="str">
        <f t="shared" si="1"/>
        <v/>
      </c>
      <c r="H10" s="18"/>
      <c r="I10" s="38" t="str">
        <f t="shared" si="2"/>
        <v/>
      </c>
      <c r="J10" s="92"/>
      <c r="K10" s="92"/>
      <c r="L10" s="93"/>
      <c r="M10" s="93"/>
      <c r="N10" s="93"/>
      <c r="O10" s="93"/>
      <c r="P10" s="92"/>
      <c r="Q10" s="93"/>
      <c r="R10" s="93"/>
      <c r="S10" s="93"/>
      <c r="T10" s="93"/>
      <c r="U10" s="92"/>
      <c r="V10" s="93"/>
      <c r="W10" s="93"/>
      <c r="X10" s="93"/>
      <c r="Y10" s="93"/>
      <c r="Z10" s="92"/>
      <c r="AA10" s="93"/>
      <c r="AB10" s="93"/>
      <c r="AC10" s="93"/>
      <c r="AD10" s="93"/>
      <c r="AE10" s="92"/>
      <c r="AF10" s="93"/>
      <c r="AG10" s="93"/>
      <c r="AH10" s="93"/>
      <c r="AI10" s="93"/>
      <c r="AJ10" s="92"/>
      <c r="AK10" s="93"/>
      <c r="AL10" s="121"/>
      <c r="AM10" s="94"/>
    </row>
    <row r="11" spans="2:46" ht="32.15" customHeight="1" x14ac:dyDescent="0.55000000000000004">
      <c r="B11" s="142"/>
      <c r="C11" s="17" t="s">
        <v>69</v>
      </c>
      <c r="D11" s="18"/>
      <c r="E11" s="24"/>
      <c r="F11" s="39" t="str">
        <f t="shared" si="0"/>
        <v/>
      </c>
      <c r="G11" s="96" t="str">
        <f t="shared" si="1"/>
        <v/>
      </c>
      <c r="H11" s="18"/>
      <c r="I11" s="38" t="str">
        <f t="shared" si="2"/>
        <v/>
      </c>
      <c r="J11" s="92"/>
      <c r="K11" s="92"/>
      <c r="L11" s="93"/>
      <c r="M11" s="93"/>
      <c r="N11" s="93"/>
      <c r="O11" s="93"/>
      <c r="P11" s="92"/>
      <c r="Q11" s="93"/>
      <c r="R11" s="93"/>
      <c r="S11" s="93"/>
      <c r="T11" s="93"/>
      <c r="U11" s="92"/>
      <c r="V11" s="93"/>
      <c r="W11" s="93"/>
      <c r="X11" s="93"/>
      <c r="Y11" s="93"/>
      <c r="Z11" s="92"/>
      <c r="AA11" s="93"/>
      <c r="AB11" s="93"/>
      <c r="AC11" s="93"/>
      <c r="AD11" s="93"/>
      <c r="AE11" s="92"/>
      <c r="AF11" s="93"/>
      <c r="AG11" s="93"/>
      <c r="AH11" s="93"/>
      <c r="AI11" s="93"/>
      <c r="AJ11" s="92"/>
      <c r="AK11" s="93"/>
      <c r="AL11" s="121"/>
      <c r="AM11" s="94"/>
    </row>
    <row r="12" spans="2:46" ht="32.15" customHeight="1" x14ac:dyDescent="0.55000000000000004">
      <c r="B12" s="141" t="s">
        <v>70</v>
      </c>
      <c r="C12" s="17" t="s">
        <v>66</v>
      </c>
      <c r="D12" s="18"/>
      <c r="E12" s="25"/>
      <c r="F12" s="39" t="str">
        <f t="shared" si="0"/>
        <v/>
      </c>
      <c r="G12" s="96" t="str">
        <f t="shared" si="1"/>
        <v/>
      </c>
      <c r="H12" s="18"/>
      <c r="I12" s="38" t="str">
        <f t="shared" si="2"/>
        <v/>
      </c>
      <c r="J12" s="92"/>
      <c r="K12" s="92"/>
      <c r="L12" s="93"/>
      <c r="M12" s="93"/>
      <c r="N12" s="93"/>
      <c r="O12" s="93"/>
      <c r="P12" s="92"/>
      <c r="Q12" s="93"/>
      <c r="R12" s="93"/>
      <c r="S12" s="93"/>
      <c r="T12" s="93"/>
      <c r="U12" s="92"/>
      <c r="V12" s="93"/>
      <c r="W12" s="93"/>
      <c r="X12" s="93"/>
      <c r="Y12" s="93"/>
      <c r="Z12" s="92"/>
      <c r="AA12" s="93"/>
      <c r="AB12" s="93"/>
      <c r="AC12" s="93"/>
      <c r="AD12" s="93"/>
      <c r="AE12" s="92"/>
      <c r="AF12" s="93"/>
      <c r="AG12" s="93"/>
      <c r="AH12" s="93"/>
      <c r="AI12" s="93"/>
      <c r="AJ12" s="92"/>
      <c r="AK12" s="93"/>
      <c r="AL12" s="121"/>
      <c r="AM12" s="94"/>
    </row>
    <row r="13" spans="2:46" ht="32.15" customHeight="1" x14ac:dyDescent="0.55000000000000004">
      <c r="B13" s="142"/>
      <c r="C13" s="17" t="s">
        <v>69</v>
      </c>
      <c r="D13" s="18"/>
      <c r="E13" s="24"/>
      <c r="F13" s="39" t="str">
        <f t="shared" si="0"/>
        <v/>
      </c>
      <c r="G13" s="96" t="str">
        <f t="shared" si="1"/>
        <v/>
      </c>
      <c r="H13" s="18"/>
      <c r="I13" s="38" t="str">
        <f t="shared" si="2"/>
        <v/>
      </c>
      <c r="J13" s="92"/>
      <c r="K13" s="92"/>
      <c r="L13" s="93"/>
      <c r="M13" s="93"/>
      <c r="N13" s="93"/>
      <c r="O13" s="93"/>
      <c r="P13" s="92"/>
      <c r="Q13" s="93"/>
      <c r="R13" s="93"/>
      <c r="S13" s="93"/>
      <c r="T13" s="93"/>
      <c r="U13" s="92"/>
      <c r="V13" s="93"/>
      <c r="W13" s="93"/>
      <c r="X13" s="93"/>
      <c r="Y13" s="93"/>
      <c r="Z13" s="92"/>
      <c r="AA13" s="93"/>
      <c r="AB13" s="93"/>
      <c r="AC13" s="93"/>
      <c r="AD13" s="93"/>
      <c r="AE13" s="92"/>
      <c r="AF13" s="93"/>
      <c r="AG13" s="93"/>
      <c r="AH13" s="93"/>
      <c r="AI13" s="93"/>
      <c r="AJ13" s="92"/>
      <c r="AK13" s="93"/>
      <c r="AL13" s="121"/>
      <c r="AM13" s="94"/>
    </row>
    <row r="14" spans="2:46" ht="32.15" customHeight="1" thickBot="1" x14ac:dyDescent="0.6">
      <c r="B14" s="26" t="s">
        <v>71</v>
      </c>
      <c r="C14" s="27"/>
      <c r="D14" s="28"/>
      <c r="E14" s="29"/>
      <c r="F14" s="40" t="str">
        <f t="shared" si="0"/>
        <v/>
      </c>
      <c r="G14" s="97" t="str">
        <f t="shared" si="1"/>
        <v/>
      </c>
      <c r="H14" s="102"/>
      <c r="I14" s="40" t="str">
        <f t="shared" si="2"/>
        <v/>
      </c>
      <c r="J14" s="98"/>
      <c r="K14" s="98"/>
      <c r="L14" s="99"/>
      <c r="M14" s="99"/>
      <c r="N14" s="99"/>
      <c r="O14" s="99"/>
      <c r="P14" s="98"/>
      <c r="Q14" s="99"/>
      <c r="R14" s="99"/>
      <c r="S14" s="99"/>
      <c r="T14" s="99"/>
      <c r="U14" s="98"/>
      <c r="V14" s="99"/>
      <c r="W14" s="99"/>
      <c r="X14" s="99"/>
      <c r="Y14" s="99"/>
      <c r="Z14" s="98"/>
      <c r="AA14" s="99"/>
      <c r="AB14" s="99"/>
      <c r="AC14" s="99"/>
      <c r="AD14" s="99"/>
      <c r="AE14" s="98"/>
      <c r="AF14" s="99"/>
      <c r="AG14" s="99"/>
      <c r="AH14" s="99"/>
      <c r="AI14" s="99"/>
      <c r="AJ14" s="98"/>
      <c r="AK14" s="99"/>
      <c r="AL14" s="122"/>
      <c r="AM14" s="100"/>
    </row>
    <row r="15" spans="2:46" ht="32.15" customHeight="1" x14ac:dyDescent="0.55000000000000004">
      <c r="C15" s="30"/>
      <c r="D15" s="31"/>
      <c r="E15" s="31"/>
      <c r="F15" s="45"/>
      <c r="G15" s="45"/>
      <c r="H15" s="101" t="s">
        <v>72</v>
      </c>
      <c r="I15" s="45">
        <f>SUM(I8:I14)</f>
        <v>0</v>
      </c>
      <c r="J15" s="30"/>
      <c r="K15" s="30"/>
      <c r="L15" s="32"/>
      <c r="M15" s="3"/>
      <c r="N15" s="32"/>
      <c r="O15" s="3"/>
      <c r="P15" s="3"/>
      <c r="U15" s="3"/>
      <c r="V15" s="3"/>
      <c r="W15" s="30"/>
      <c r="X15" s="31"/>
      <c r="Y15" s="33"/>
      <c r="Z15" s="30"/>
      <c r="AA15" s="32"/>
      <c r="AB15" s="32"/>
      <c r="AC15" s="3"/>
      <c r="AD15" s="32"/>
      <c r="AE15" s="3"/>
      <c r="AF15" s="3"/>
      <c r="AN15" s="3"/>
      <c r="AQ15" s="3"/>
    </row>
    <row r="16" spans="2:46" ht="32.15" customHeight="1" x14ac:dyDescent="0.55000000000000004">
      <c r="C16" s="30"/>
      <c r="D16" s="31"/>
      <c r="E16" s="31"/>
      <c r="F16" s="45"/>
      <c r="G16" s="45"/>
      <c r="H16" s="101" t="s">
        <v>73</v>
      </c>
      <c r="I16" s="45">
        <f>ROUNDDOWN(I15*1.1,0)</f>
        <v>0</v>
      </c>
      <c r="J16" s="30"/>
      <c r="K16" s="30"/>
      <c r="L16" s="32"/>
      <c r="M16" s="3"/>
      <c r="N16" s="32"/>
      <c r="O16" s="3"/>
      <c r="P16" s="3"/>
      <c r="U16" s="3"/>
      <c r="V16" s="3"/>
      <c r="W16" s="30"/>
      <c r="X16" s="31"/>
      <c r="Y16" s="33"/>
      <c r="Z16" s="30"/>
      <c r="AA16" s="32"/>
      <c r="AB16" s="32"/>
      <c r="AC16" s="3"/>
      <c r="AD16" s="32"/>
      <c r="AE16" s="3"/>
      <c r="AF16" s="3"/>
      <c r="AN16" s="3"/>
      <c r="AQ16" s="3"/>
    </row>
    <row r="17" spans="2:46" ht="23.15" customHeight="1" thickBot="1" x14ac:dyDescent="0.6">
      <c r="B17" s="8" t="s">
        <v>74</v>
      </c>
      <c r="O17" s="3"/>
      <c r="P17" s="8"/>
      <c r="X17" s="3"/>
      <c r="Y17" s="3"/>
      <c r="Z17" s="3"/>
      <c r="AF17" s="9"/>
      <c r="AH17" s="3"/>
      <c r="AK17" s="3"/>
      <c r="AP17" s="3"/>
      <c r="AQ17" s="3"/>
      <c r="AR17" s="3"/>
      <c r="AS17" s="3"/>
      <c r="AT17" s="3"/>
    </row>
    <row r="18" spans="2:46" s="10" customFormat="1" ht="80.5" customHeight="1" thickBot="1" x14ac:dyDescent="0.6">
      <c r="B18" s="146" t="s">
        <v>43</v>
      </c>
      <c r="C18" s="149" t="s">
        <v>44</v>
      </c>
      <c r="D18" s="178" t="s">
        <v>109</v>
      </c>
      <c r="E18" s="179"/>
      <c r="F18" s="180" t="s">
        <v>46</v>
      </c>
      <c r="G18" s="180" t="s">
        <v>110</v>
      </c>
      <c r="H18" s="183" t="s">
        <v>111</v>
      </c>
      <c r="I18" s="163" t="s">
        <v>112</v>
      </c>
      <c r="J18" s="138" t="s">
        <v>115</v>
      </c>
      <c r="K18" s="139"/>
      <c r="L18" s="139"/>
      <c r="M18" s="139"/>
      <c r="N18" s="139"/>
      <c r="O18" s="139"/>
      <c r="P18" s="139"/>
      <c r="Q18" s="139"/>
      <c r="R18" s="139"/>
      <c r="S18" s="139"/>
      <c r="T18" s="139"/>
      <c r="U18" s="139"/>
      <c r="V18" s="139"/>
      <c r="W18" s="139"/>
      <c r="X18" s="139"/>
      <c r="Y18" s="139"/>
      <c r="Z18" s="139"/>
      <c r="AA18" s="139"/>
      <c r="AB18" s="140"/>
    </row>
    <row r="19" spans="2:46" s="10" customFormat="1" ht="32.5" customHeight="1" x14ac:dyDescent="0.55000000000000004">
      <c r="B19" s="147"/>
      <c r="C19" s="150"/>
      <c r="D19" s="186" t="s">
        <v>53</v>
      </c>
      <c r="E19" s="188" t="s">
        <v>54</v>
      </c>
      <c r="F19" s="181"/>
      <c r="G19" s="181"/>
      <c r="H19" s="184"/>
      <c r="I19" s="164"/>
      <c r="J19" s="12">
        <v>46304</v>
      </c>
      <c r="K19" s="105">
        <v>46305</v>
      </c>
      <c r="L19" s="105">
        <v>46306</v>
      </c>
      <c r="M19" s="105">
        <v>46307</v>
      </c>
      <c r="N19" s="105">
        <v>46308</v>
      </c>
      <c r="O19" s="105">
        <v>46309</v>
      </c>
      <c r="P19" s="105">
        <v>46310</v>
      </c>
      <c r="Q19" s="105">
        <v>46311</v>
      </c>
      <c r="R19" s="105">
        <v>46312</v>
      </c>
      <c r="S19" s="105">
        <v>46313</v>
      </c>
      <c r="T19" s="105">
        <v>46314</v>
      </c>
      <c r="U19" s="12">
        <v>46315</v>
      </c>
      <c r="V19" s="12">
        <v>46316</v>
      </c>
      <c r="W19" s="12">
        <v>46317</v>
      </c>
      <c r="X19" s="12">
        <v>46318</v>
      </c>
      <c r="Y19" s="34">
        <v>46319</v>
      </c>
      <c r="Z19" s="12">
        <v>46320</v>
      </c>
      <c r="AA19" s="104">
        <v>46321</v>
      </c>
      <c r="AB19" s="13">
        <v>46322</v>
      </c>
    </row>
    <row r="20" spans="2:46" s="10" customFormat="1" ht="32.5" customHeight="1" x14ac:dyDescent="0.55000000000000004">
      <c r="B20" s="148"/>
      <c r="C20" s="151"/>
      <c r="D20" s="187"/>
      <c r="E20" s="189"/>
      <c r="F20" s="182"/>
      <c r="G20" s="182"/>
      <c r="H20" s="185"/>
      <c r="I20" s="165"/>
      <c r="J20" s="15" t="s">
        <v>59</v>
      </c>
      <c r="K20" s="106" t="s">
        <v>60</v>
      </c>
      <c r="L20" s="106" t="s">
        <v>61</v>
      </c>
      <c r="M20" s="107" t="s">
        <v>55</v>
      </c>
      <c r="N20" s="107" t="s">
        <v>56</v>
      </c>
      <c r="O20" s="107" t="s">
        <v>62</v>
      </c>
      <c r="P20" s="107" t="s">
        <v>63</v>
      </c>
      <c r="Q20" s="107" t="s">
        <v>59</v>
      </c>
      <c r="R20" s="107" t="s">
        <v>60</v>
      </c>
      <c r="S20" s="106" t="s">
        <v>61</v>
      </c>
      <c r="T20" s="107" t="s">
        <v>55</v>
      </c>
      <c r="U20" s="15" t="s">
        <v>56</v>
      </c>
      <c r="V20" s="15" t="s">
        <v>62</v>
      </c>
      <c r="W20" s="15" t="s">
        <v>63</v>
      </c>
      <c r="X20" s="15" t="s">
        <v>59</v>
      </c>
      <c r="Y20" s="15" t="s">
        <v>60</v>
      </c>
      <c r="Z20" s="15" t="s">
        <v>61</v>
      </c>
      <c r="AA20" s="14" t="s">
        <v>55</v>
      </c>
      <c r="AB20" s="16" t="s">
        <v>56</v>
      </c>
    </row>
    <row r="21" spans="2:46" ht="32.15" customHeight="1" x14ac:dyDescent="0.55000000000000004">
      <c r="B21" s="141" t="s">
        <v>65</v>
      </c>
      <c r="C21" s="17" t="s">
        <v>66</v>
      </c>
      <c r="D21" s="18"/>
      <c r="E21" s="19"/>
      <c r="F21" s="38"/>
      <c r="G21" s="38" t="str">
        <f>IF(AND(D21="", E21="", F21=""), "", IF(D21&lt;&gt;"", D21*F21, E21*F21))</f>
        <v/>
      </c>
      <c r="H21" s="18"/>
      <c r="I21" s="38" t="str">
        <f>IF(AND(G21="", H21=""), "", G21 - H21)</f>
        <v/>
      </c>
      <c r="J21" s="22"/>
      <c r="K21" s="22"/>
      <c r="L21" s="22"/>
      <c r="M21" s="21"/>
      <c r="N21" s="22"/>
      <c r="O21" s="22"/>
      <c r="P21" s="22"/>
      <c r="Q21" s="22"/>
      <c r="R21" s="21"/>
      <c r="S21" s="22"/>
      <c r="T21" s="22"/>
      <c r="U21" s="22"/>
      <c r="V21" s="22"/>
      <c r="W21" s="21"/>
      <c r="X21" s="22"/>
      <c r="Y21" s="22"/>
      <c r="Z21" s="22"/>
      <c r="AA21" s="21"/>
      <c r="AB21" s="23"/>
    </row>
    <row r="22" spans="2:46" ht="32.15" customHeight="1" x14ac:dyDescent="0.55000000000000004">
      <c r="B22" s="142"/>
      <c r="C22" s="17" t="s">
        <v>67</v>
      </c>
      <c r="D22" s="18"/>
      <c r="E22" s="24"/>
      <c r="F22" s="39" t="str">
        <f t="shared" ref="F22:F27" si="3">IF(COUNTA($J22:$AL22)=0, "", SUM($J22:$AL22))</f>
        <v/>
      </c>
      <c r="G22" s="39" t="str">
        <f t="shared" ref="G22:G27" si="4">IF(AND(D22="", E22="", F22=""), "", IF(D22&lt;&gt;"", D22*F22, E22*F22))</f>
        <v/>
      </c>
      <c r="H22" s="18"/>
      <c r="I22" s="38" t="str">
        <f t="shared" ref="I22:I27" si="5">IF(AND(G22="", H22=""), "", G22 - H22)</f>
        <v/>
      </c>
      <c r="J22" s="93"/>
      <c r="K22" s="93"/>
      <c r="L22" s="93"/>
      <c r="M22" s="92"/>
      <c r="N22" s="93"/>
      <c r="O22" s="93"/>
      <c r="P22" s="93"/>
      <c r="Q22" s="93"/>
      <c r="R22" s="92"/>
      <c r="S22" s="93"/>
      <c r="T22" s="93"/>
      <c r="U22" s="93"/>
      <c r="V22" s="93"/>
      <c r="W22" s="92"/>
      <c r="X22" s="93"/>
      <c r="Y22" s="93"/>
      <c r="Z22" s="93"/>
      <c r="AA22" s="92"/>
      <c r="AB22" s="94"/>
    </row>
    <row r="23" spans="2:46" ht="32.15" customHeight="1" x14ac:dyDescent="0.55000000000000004">
      <c r="B23" s="141" t="s">
        <v>68</v>
      </c>
      <c r="C23" s="17" t="s">
        <v>66</v>
      </c>
      <c r="D23" s="18"/>
      <c r="E23" s="25"/>
      <c r="F23" s="39" t="str">
        <f t="shared" si="3"/>
        <v/>
      </c>
      <c r="G23" s="95" t="str">
        <f t="shared" si="4"/>
        <v/>
      </c>
      <c r="H23" s="18"/>
      <c r="I23" s="38" t="str">
        <f t="shared" si="5"/>
        <v/>
      </c>
      <c r="J23" s="93"/>
      <c r="K23" s="93"/>
      <c r="L23" s="93"/>
      <c r="M23" s="92"/>
      <c r="N23" s="93"/>
      <c r="O23" s="93"/>
      <c r="P23" s="93"/>
      <c r="Q23" s="93"/>
      <c r="R23" s="92"/>
      <c r="S23" s="93"/>
      <c r="T23" s="93"/>
      <c r="U23" s="93"/>
      <c r="V23" s="93"/>
      <c r="W23" s="92"/>
      <c r="X23" s="93"/>
      <c r="Y23" s="93"/>
      <c r="Z23" s="93"/>
      <c r="AA23" s="92"/>
      <c r="AB23" s="94"/>
    </row>
    <row r="24" spans="2:46" ht="32.15" customHeight="1" x14ac:dyDescent="0.55000000000000004">
      <c r="B24" s="142"/>
      <c r="C24" s="35" t="s">
        <v>69</v>
      </c>
      <c r="D24" s="18"/>
      <c r="E24" s="24"/>
      <c r="F24" s="39" t="str">
        <f t="shared" si="3"/>
        <v/>
      </c>
      <c r="G24" s="96" t="str">
        <f t="shared" si="4"/>
        <v/>
      </c>
      <c r="H24" s="18"/>
      <c r="I24" s="38" t="str">
        <f t="shared" si="5"/>
        <v/>
      </c>
      <c r="J24" s="93"/>
      <c r="K24" s="93"/>
      <c r="L24" s="93"/>
      <c r="M24" s="92"/>
      <c r="N24" s="93"/>
      <c r="O24" s="93"/>
      <c r="P24" s="93"/>
      <c r="Q24" s="93"/>
      <c r="R24" s="92"/>
      <c r="S24" s="93"/>
      <c r="T24" s="93"/>
      <c r="U24" s="93"/>
      <c r="V24" s="93"/>
      <c r="W24" s="92"/>
      <c r="X24" s="93"/>
      <c r="Y24" s="93"/>
      <c r="Z24" s="93"/>
      <c r="AA24" s="92"/>
      <c r="AB24" s="94"/>
    </row>
    <row r="25" spans="2:46" ht="32.15" customHeight="1" x14ac:dyDescent="0.55000000000000004">
      <c r="B25" s="141" t="s">
        <v>70</v>
      </c>
      <c r="C25" s="35" t="s">
        <v>66</v>
      </c>
      <c r="D25" s="18"/>
      <c r="E25" s="25"/>
      <c r="F25" s="39" t="str">
        <f t="shared" si="3"/>
        <v/>
      </c>
      <c r="G25" s="96" t="str">
        <f t="shared" si="4"/>
        <v/>
      </c>
      <c r="H25" s="18"/>
      <c r="I25" s="38" t="str">
        <f t="shared" si="5"/>
        <v/>
      </c>
      <c r="J25" s="93"/>
      <c r="K25" s="93"/>
      <c r="L25" s="93"/>
      <c r="M25" s="92"/>
      <c r="N25" s="93"/>
      <c r="O25" s="93"/>
      <c r="P25" s="93"/>
      <c r="Q25" s="93"/>
      <c r="R25" s="92"/>
      <c r="S25" s="93"/>
      <c r="T25" s="93"/>
      <c r="U25" s="93"/>
      <c r="V25" s="93"/>
      <c r="W25" s="92"/>
      <c r="X25" s="93"/>
      <c r="Y25" s="93"/>
      <c r="Z25" s="93"/>
      <c r="AA25" s="92"/>
      <c r="AB25" s="94"/>
    </row>
    <row r="26" spans="2:46" ht="32.15" customHeight="1" x14ac:dyDescent="0.55000000000000004">
      <c r="B26" s="142"/>
      <c r="C26" s="35" t="s">
        <v>69</v>
      </c>
      <c r="D26" s="18"/>
      <c r="E26" s="24"/>
      <c r="F26" s="39" t="str">
        <f t="shared" si="3"/>
        <v/>
      </c>
      <c r="G26" s="96" t="str">
        <f t="shared" si="4"/>
        <v/>
      </c>
      <c r="H26" s="18"/>
      <c r="I26" s="38" t="str">
        <f t="shared" si="5"/>
        <v/>
      </c>
      <c r="J26" s="93"/>
      <c r="K26" s="93"/>
      <c r="L26" s="93"/>
      <c r="M26" s="92"/>
      <c r="N26" s="93"/>
      <c r="O26" s="93"/>
      <c r="P26" s="93"/>
      <c r="Q26" s="93"/>
      <c r="R26" s="92"/>
      <c r="S26" s="93"/>
      <c r="T26" s="93"/>
      <c r="U26" s="93"/>
      <c r="V26" s="93"/>
      <c r="W26" s="92"/>
      <c r="X26" s="93"/>
      <c r="Y26" s="93"/>
      <c r="Z26" s="93"/>
      <c r="AA26" s="92"/>
      <c r="AB26" s="94"/>
    </row>
    <row r="27" spans="2:46" ht="32.15" customHeight="1" thickBot="1" x14ac:dyDescent="0.6">
      <c r="B27" s="26" t="s">
        <v>71</v>
      </c>
      <c r="C27" s="27"/>
      <c r="D27" s="28"/>
      <c r="E27" s="29"/>
      <c r="F27" s="40" t="str">
        <f t="shared" si="3"/>
        <v/>
      </c>
      <c r="G27" s="97" t="str">
        <f t="shared" si="4"/>
        <v/>
      </c>
      <c r="H27" s="102"/>
      <c r="I27" s="40" t="str">
        <f t="shared" si="5"/>
        <v/>
      </c>
      <c r="J27" s="99"/>
      <c r="K27" s="99"/>
      <c r="L27" s="99"/>
      <c r="M27" s="98"/>
      <c r="N27" s="99"/>
      <c r="O27" s="99"/>
      <c r="P27" s="99"/>
      <c r="Q27" s="99"/>
      <c r="R27" s="98"/>
      <c r="S27" s="99"/>
      <c r="T27" s="99"/>
      <c r="U27" s="99"/>
      <c r="V27" s="99"/>
      <c r="W27" s="98"/>
      <c r="X27" s="99"/>
      <c r="Y27" s="99"/>
      <c r="Z27" s="99"/>
      <c r="AA27" s="98"/>
      <c r="AB27" s="100"/>
    </row>
    <row r="28" spans="2:46" ht="32.15" customHeight="1" x14ac:dyDescent="0.55000000000000004">
      <c r="D28" s="31"/>
      <c r="E28" s="31"/>
      <c r="F28" s="45"/>
      <c r="G28" s="45"/>
      <c r="H28" s="101" t="s">
        <v>72</v>
      </c>
      <c r="I28" s="45">
        <f>SUM(I21:I27)</f>
        <v>0</v>
      </c>
      <c r="J28" s="30"/>
      <c r="K28" s="30"/>
      <c r="L28" s="32"/>
      <c r="M28" s="3"/>
      <c r="N28" s="32"/>
      <c r="O28" s="3"/>
      <c r="P28" s="3"/>
      <c r="U28" s="3"/>
      <c r="V28" s="3"/>
      <c r="W28" s="30"/>
      <c r="X28" s="31"/>
      <c r="Y28" s="33"/>
      <c r="Z28" s="30"/>
      <c r="AA28" s="32"/>
      <c r="AB28" s="32"/>
      <c r="AC28" s="3"/>
      <c r="AD28" s="32"/>
      <c r="AE28" s="3"/>
      <c r="AF28" s="3"/>
      <c r="AN28" s="3"/>
      <c r="AQ28" s="3"/>
    </row>
    <row r="29" spans="2:46" ht="32.15" customHeight="1" x14ac:dyDescent="0.55000000000000004">
      <c r="D29" s="31"/>
      <c r="E29" s="31"/>
      <c r="F29" s="45"/>
      <c r="G29" s="45"/>
      <c r="H29" s="101" t="s">
        <v>73</v>
      </c>
      <c r="I29" s="45">
        <f>ROUNDDOWN(I28*1.1,0)</f>
        <v>0</v>
      </c>
      <c r="J29" s="30"/>
      <c r="K29" s="30"/>
      <c r="L29" s="32"/>
      <c r="M29" s="3"/>
      <c r="N29" s="32"/>
      <c r="O29" s="3"/>
      <c r="P29" s="3"/>
      <c r="U29" s="3"/>
      <c r="V29" s="3"/>
      <c r="W29" s="30"/>
      <c r="X29" s="31"/>
      <c r="Y29" s="33"/>
      <c r="Z29" s="30"/>
      <c r="AA29" s="32"/>
      <c r="AB29" s="32"/>
      <c r="AC29" s="3"/>
      <c r="AD29" s="32"/>
      <c r="AE29" s="3"/>
      <c r="AF29" s="3"/>
      <c r="AN29" s="3"/>
      <c r="AQ29" s="3"/>
    </row>
    <row r="30" spans="2:46" ht="36" customHeight="1" x14ac:dyDescent="0.55000000000000004">
      <c r="V30" s="3"/>
    </row>
    <row r="31" spans="2:46" ht="36" customHeight="1" x14ac:dyDescent="0.55000000000000004">
      <c r="B31" s="36" t="s">
        <v>116</v>
      </c>
    </row>
    <row r="32" spans="2:46" ht="36" customHeight="1" x14ac:dyDescent="0.55000000000000004">
      <c r="B32" s="36"/>
    </row>
    <row r="33" spans="2:2" ht="36" customHeight="1" x14ac:dyDescent="0.55000000000000004">
      <c r="B33" s="36"/>
    </row>
    <row r="34" spans="2:2" ht="36" customHeight="1" x14ac:dyDescent="0.55000000000000004">
      <c r="B34" s="36"/>
    </row>
    <row r="35" spans="2:2" ht="36" customHeight="1" x14ac:dyDescent="0.55000000000000004">
      <c r="B35" s="44"/>
    </row>
    <row r="36" spans="2:2" ht="36" customHeight="1" x14ac:dyDescent="0.55000000000000004"/>
    <row r="37" spans="2:2" ht="36" customHeight="1" x14ac:dyDescent="0.55000000000000004"/>
    <row r="38" spans="2:2" ht="36" customHeight="1" x14ac:dyDescent="0.55000000000000004">
      <c r="B38" s="37"/>
    </row>
    <row r="39" spans="2:2" ht="36" customHeight="1" x14ac:dyDescent="0.55000000000000004"/>
    <row r="40" spans="2:2" ht="36" customHeight="1" x14ac:dyDescent="0.55000000000000004"/>
    <row r="41" spans="2:2" ht="10" customHeight="1" x14ac:dyDescent="0.55000000000000004"/>
  </sheetData>
  <sheetProtection sheet="1" objects="1" scenarios="1"/>
  <mergeCells count="28">
    <mergeCell ref="B25:B26"/>
    <mergeCell ref="H18:H20"/>
    <mergeCell ref="I18:I20"/>
    <mergeCell ref="F18:F20"/>
    <mergeCell ref="G18:G20"/>
    <mergeCell ref="J18:AB18"/>
    <mergeCell ref="B21:B22"/>
    <mergeCell ref="B23:B24"/>
    <mergeCell ref="D19:D20"/>
    <mergeCell ref="E19:E20"/>
    <mergeCell ref="B12:B13"/>
    <mergeCell ref="B18:B20"/>
    <mergeCell ref="C18:C20"/>
    <mergeCell ref="D18:E18"/>
    <mergeCell ref="B10:B11"/>
    <mergeCell ref="B8:B9"/>
    <mergeCell ref="J5:AM5"/>
    <mergeCell ref="B2:C2"/>
    <mergeCell ref="D2:L2"/>
    <mergeCell ref="B5:B7"/>
    <mergeCell ref="C5:C7"/>
    <mergeCell ref="D5:E5"/>
    <mergeCell ref="F5:F7"/>
    <mergeCell ref="G5:G7"/>
    <mergeCell ref="H5:H7"/>
    <mergeCell ref="I5:I7"/>
    <mergeCell ref="D6:D7"/>
    <mergeCell ref="E6:E7"/>
  </mergeCells>
  <phoneticPr fontId="1"/>
  <conditionalFormatting sqref="D2 D8:D14 E9 E11 E13 H8:H14 D21:D27 E22 E24 E26 H21:H27">
    <cfRule type="containsBlanks" dxfId="10" priority="6">
      <formula>LEN(TRIM(D2))=0</formula>
    </cfRule>
  </conditionalFormatting>
  <conditionalFormatting sqref="B21 B23 B25 B27">
    <cfRule type="containsBlanks" dxfId="9" priority="4">
      <formula>LEN(TRIM(B21))=0</formula>
    </cfRule>
  </conditionalFormatting>
  <conditionalFormatting sqref="J8:AM14 J21:AB27">
    <cfRule type="containsBlanks" dxfId="8" priority="7">
      <formula>LEN(TRIM(J8))=0</formula>
    </cfRule>
  </conditionalFormatting>
  <dataValidations disablePrompts="1" count="1">
    <dataValidation allowBlank="1" showInputMessage="1" showErrorMessage="1" promptTitle="注意" prompt="左右いずれかの欄に入力" sqref="D9:E9 D11:E11 D13:E13 D22:E22 D24:E24 D26:E26" xr:uid="{ACAEF16B-05F8-47FE-BC57-AC265D523523}"/>
  </dataValidations>
  <printOptions horizontalCentered="1"/>
  <pageMargins left="0.78740157480314965" right="0.23622047244094491" top="0.74803149606299213" bottom="0.74803149606299213" header="0.31496062992125984" footer="0.31496062992125984"/>
  <pageSetup paperSize="8" scale="38" orientation="landscape" r:id="rId1"/>
  <headerFooter>
    <oddHeader>&amp;R&amp;G</oddHeader>
  </headerFooter>
  <rowBreaks count="1" manualBreakCount="1">
    <brk id="29" max="38" man="1"/>
  </rowBreak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C735DE-6A90-4F83-86BE-909A6C30E3FA}">
  <sheetPr codeName="Sheet82">
    <tabColor rgb="FFCC99FF"/>
    <pageSetUpPr fitToPage="1"/>
  </sheetPr>
  <dimension ref="A1:Q38"/>
  <sheetViews>
    <sheetView view="pageBreakPreview" topLeftCell="A6" zoomScale="70" zoomScaleNormal="100" zoomScaleSheetLayoutView="70" workbookViewId="0">
      <selection activeCell="O13" sqref="O13"/>
    </sheetView>
  </sheetViews>
  <sheetFormatPr defaultColWidth="8.58203125" defaultRowHeight="14" x14ac:dyDescent="0.55000000000000004"/>
  <cols>
    <col min="1" max="1" width="11" style="110" customWidth="1"/>
    <col min="2" max="4" width="17.33203125" style="110" customWidth="1"/>
    <col min="5" max="5" width="13.25" style="110" customWidth="1"/>
    <col min="6" max="6" width="9.08203125" style="110" customWidth="1"/>
    <col min="7" max="7" width="11.75" style="110" customWidth="1"/>
    <col min="8" max="8" width="10.83203125" style="110" customWidth="1"/>
    <col min="9" max="11" width="11.08203125" style="110" customWidth="1"/>
    <col min="12" max="12" width="8.58203125" style="110"/>
    <col min="13" max="13" width="11.75" style="110" customWidth="1"/>
    <col min="14" max="14" width="10.83203125" style="110" customWidth="1"/>
    <col min="15" max="17" width="11.08203125" style="110" customWidth="1"/>
    <col min="18" max="16384" width="8.58203125" style="110"/>
  </cols>
  <sheetData>
    <row r="1" spans="1:17" x14ac:dyDescent="0.55000000000000004">
      <c r="A1" s="108"/>
      <c r="B1" s="108"/>
      <c r="C1" s="108"/>
      <c r="D1" s="109"/>
      <c r="E1" s="109"/>
      <c r="F1" s="108"/>
      <c r="P1" s="194" t="s">
        <v>117</v>
      </c>
      <c r="Q1" s="194"/>
    </row>
    <row r="2" spans="1:17" ht="15" customHeight="1" x14ac:dyDescent="0.55000000000000004">
      <c r="A2" s="190" t="s">
        <v>118</v>
      </c>
      <c r="B2" s="191"/>
      <c r="C2" s="195" t="s">
        <v>119</v>
      </c>
      <c r="D2" s="196"/>
      <c r="F2" s="197" t="s">
        <v>120</v>
      </c>
      <c r="G2" s="198" t="s">
        <v>152</v>
      </c>
      <c r="H2" s="198"/>
      <c r="I2" s="198"/>
      <c r="J2" s="198"/>
      <c r="K2" s="199" t="s">
        <v>121</v>
      </c>
      <c r="P2" s="194"/>
      <c r="Q2" s="194"/>
    </row>
    <row r="3" spans="1:17" ht="15.75" customHeight="1" x14ac:dyDescent="0.55000000000000004">
      <c r="A3" s="190" t="s">
        <v>122</v>
      </c>
      <c r="B3" s="191"/>
      <c r="C3" s="192" t="s">
        <v>153</v>
      </c>
      <c r="D3" s="193"/>
      <c r="F3" s="197"/>
      <c r="G3" s="198"/>
      <c r="H3" s="198"/>
      <c r="I3" s="198"/>
      <c r="J3" s="198"/>
      <c r="K3" s="199"/>
    </row>
    <row r="4" spans="1:17" ht="15.75" customHeight="1" x14ac:dyDescent="0.55000000000000004">
      <c r="A4" s="190" t="s">
        <v>123</v>
      </c>
      <c r="B4" s="191"/>
      <c r="C4" s="192" t="s">
        <v>154</v>
      </c>
      <c r="D4" s="193"/>
    </row>
    <row r="5" spans="1:17" ht="20.25" customHeight="1" x14ac:dyDescent="0.55000000000000004"/>
    <row r="6" spans="1:17" ht="18" x14ac:dyDescent="0.55000000000000004">
      <c r="A6" s="112" t="s">
        <v>124</v>
      </c>
      <c r="B6" s="112"/>
      <c r="C6" s="113"/>
      <c r="D6" s="113"/>
      <c r="E6" s="113"/>
      <c r="G6" s="112" t="s">
        <v>125</v>
      </c>
      <c r="H6" s="112"/>
      <c r="I6" s="113"/>
      <c r="J6" s="113"/>
      <c r="K6" s="113"/>
      <c r="M6" s="112" t="s">
        <v>125</v>
      </c>
      <c r="N6" s="112"/>
      <c r="O6" s="113"/>
      <c r="P6" s="113"/>
      <c r="Q6" s="113"/>
    </row>
    <row r="7" spans="1:17" ht="18" x14ac:dyDescent="0.55000000000000004">
      <c r="A7" s="113" t="s">
        <v>126</v>
      </c>
      <c r="B7" s="113"/>
      <c r="C7" s="113"/>
      <c r="D7" s="113"/>
      <c r="E7" s="113"/>
      <c r="G7" s="113" t="s">
        <v>164</v>
      </c>
      <c r="H7" s="113"/>
      <c r="I7" s="113"/>
      <c r="J7" s="113"/>
      <c r="K7" s="113"/>
      <c r="M7" s="113" t="s">
        <v>165</v>
      </c>
      <c r="N7" s="113"/>
      <c r="O7" s="113"/>
      <c r="P7" s="113"/>
      <c r="Q7" s="113"/>
    </row>
    <row r="8" spans="1:17" ht="18" x14ac:dyDescent="0.55000000000000004">
      <c r="A8" s="114"/>
      <c r="B8" s="115" t="s">
        <v>127</v>
      </c>
      <c r="C8" s="115" t="s">
        <v>128</v>
      </c>
      <c r="D8" s="115" t="s">
        <v>129</v>
      </c>
      <c r="E8" s="115" t="s">
        <v>130</v>
      </c>
      <c r="G8" s="114"/>
      <c r="H8" s="115" t="s">
        <v>131</v>
      </c>
      <c r="I8" s="115" t="s">
        <v>127</v>
      </c>
      <c r="J8" s="115" t="s">
        <v>128</v>
      </c>
      <c r="K8" s="115" t="s">
        <v>129</v>
      </c>
      <c r="M8" s="114"/>
      <c r="N8" s="115" t="s">
        <v>131</v>
      </c>
      <c r="O8" s="115" t="s">
        <v>127</v>
      </c>
      <c r="P8" s="115" t="s">
        <v>128</v>
      </c>
      <c r="Q8" s="115" t="s">
        <v>129</v>
      </c>
    </row>
    <row r="9" spans="1:17" ht="18" x14ac:dyDescent="0.55000000000000004">
      <c r="A9" s="118" t="s">
        <v>132</v>
      </c>
      <c r="B9" s="116" t="s">
        <v>133</v>
      </c>
      <c r="C9" s="116" t="s">
        <v>134</v>
      </c>
      <c r="D9" s="116" t="s">
        <v>135</v>
      </c>
      <c r="E9" s="119" t="s">
        <v>136</v>
      </c>
      <c r="G9" s="117">
        <v>46272</v>
      </c>
      <c r="H9" s="111"/>
      <c r="I9" s="111"/>
      <c r="J9" s="111"/>
      <c r="K9" s="111"/>
      <c r="M9" s="117">
        <v>46304</v>
      </c>
      <c r="N9" s="111" t="s">
        <v>156</v>
      </c>
      <c r="O9" s="111"/>
      <c r="P9" s="111"/>
      <c r="Q9" s="111"/>
    </row>
    <row r="10" spans="1:17" ht="18" x14ac:dyDescent="0.55000000000000004">
      <c r="A10" s="118" t="s">
        <v>137</v>
      </c>
      <c r="B10" s="116" t="s">
        <v>138</v>
      </c>
      <c r="C10" s="116" t="s">
        <v>139</v>
      </c>
      <c r="D10" s="116" t="s">
        <v>140</v>
      </c>
      <c r="E10" s="119" t="s">
        <v>141</v>
      </c>
      <c r="G10" s="117">
        <v>46273</v>
      </c>
      <c r="H10" s="111"/>
      <c r="I10" s="111"/>
      <c r="J10" s="111"/>
      <c r="K10" s="111"/>
      <c r="M10" s="117">
        <v>46305</v>
      </c>
      <c r="N10" s="111" t="s">
        <v>156</v>
      </c>
      <c r="O10" s="111"/>
      <c r="P10" s="111"/>
      <c r="Q10" s="111"/>
    </row>
    <row r="11" spans="1:17" ht="18" x14ac:dyDescent="0.55000000000000004">
      <c r="A11" s="118" t="s">
        <v>142</v>
      </c>
      <c r="B11" s="116" t="s">
        <v>143</v>
      </c>
      <c r="C11" s="116" t="s">
        <v>134</v>
      </c>
      <c r="D11" s="116" t="s">
        <v>144</v>
      </c>
      <c r="E11" s="119" t="s">
        <v>145</v>
      </c>
      <c r="G11" s="117">
        <v>46274</v>
      </c>
      <c r="H11" s="111"/>
      <c r="I11" s="111"/>
      <c r="J11" s="111"/>
      <c r="K11" s="111"/>
      <c r="M11" s="117">
        <v>46306</v>
      </c>
      <c r="N11" s="111" t="s">
        <v>157</v>
      </c>
      <c r="O11" s="111"/>
      <c r="P11" s="111"/>
      <c r="Q11" s="111"/>
    </row>
    <row r="12" spans="1:17" ht="18" x14ac:dyDescent="0.55000000000000004">
      <c r="A12" s="113"/>
      <c r="B12" s="113"/>
      <c r="C12" s="113"/>
      <c r="D12" s="113"/>
      <c r="E12" s="113"/>
      <c r="G12" s="117">
        <v>46275</v>
      </c>
      <c r="H12" s="111"/>
      <c r="I12" s="111"/>
      <c r="J12" s="111"/>
      <c r="K12" s="111"/>
      <c r="M12" s="117">
        <v>46307</v>
      </c>
      <c r="N12" s="111"/>
      <c r="O12" s="111"/>
      <c r="P12" s="111"/>
      <c r="Q12" s="111"/>
    </row>
    <row r="13" spans="1:17" ht="18" x14ac:dyDescent="0.55000000000000004">
      <c r="A13" s="113" t="s">
        <v>146</v>
      </c>
      <c r="B13" s="113"/>
      <c r="C13" s="113"/>
      <c r="D13" s="113"/>
      <c r="E13" s="113"/>
      <c r="G13" s="117">
        <v>46276</v>
      </c>
      <c r="H13" s="111"/>
      <c r="I13" s="111"/>
      <c r="J13" s="111"/>
      <c r="K13" s="111"/>
      <c r="M13" s="117">
        <v>46308</v>
      </c>
      <c r="N13" s="111"/>
      <c r="O13" s="111"/>
      <c r="P13" s="111"/>
      <c r="Q13" s="111"/>
    </row>
    <row r="14" spans="1:17" ht="18" x14ac:dyDescent="0.55000000000000004">
      <c r="A14" s="114"/>
      <c r="B14" s="115" t="s">
        <v>147</v>
      </c>
      <c r="C14" s="115" t="s">
        <v>148</v>
      </c>
      <c r="D14" s="115" t="s">
        <v>149</v>
      </c>
      <c r="E14" s="115" t="s">
        <v>130</v>
      </c>
      <c r="G14" s="117">
        <v>46277</v>
      </c>
      <c r="H14" s="111"/>
      <c r="I14" s="111"/>
      <c r="J14" s="111"/>
      <c r="K14" s="111"/>
      <c r="M14" s="117">
        <v>46309</v>
      </c>
      <c r="N14" s="111"/>
      <c r="O14" s="111"/>
      <c r="P14" s="111"/>
      <c r="Q14" s="111"/>
    </row>
    <row r="15" spans="1:17" ht="18" x14ac:dyDescent="0.55000000000000004">
      <c r="A15" s="115" t="s">
        <v>132</v>
      </c>
      <c r="B15" s="116" t="s">
        <v>133</v>
      </c>
      <c r="C15" s="116" t="s">
        <v>134</v>
      </c>
      <c r="D15" s="116" t="s">
        <v>144</v>
      </c>
      <c r="E15" s="119" t="s">
        <v>150</v>
      </c>
      <c r="G15" s="117">
        <v>46278</v>
      </c>
      <c r="H15" s="111"/>
      <c r="I15" s="111"/>
      <c r="J15" s="111"/>
      <c r="K15" s="111"/>
      <c r="M15" s="117">
        <v>46310</v>
      </c>
      <c r="N15" s="111"/>
      <c r="O15" s="111"/>
      <c r="P15" s="111"/>
      <c r="Q15" s="111"/>
    </row>
    <row r="16" spans="1:17" ht="18" x14ac:dyDescent="0.55000000000000004">
      <c r="A16" s="115" t="s">
        <v>137</v>
      </c>
      <c r="B16" s="116" t="s">
        <v>138</v>
      </c>
      <c r="C16" s="116" t="s">
        <v>139</v>
      </c>
      <c r="D16" s="116" t="s">
        <v>140</v>
      </c>
      <c r="E16" s="119" t="s">
        <v>141</v>
      </c>
      <c r="G16" s="117">
        <v>46279</v>
      </c>
      <c r="H16" s="111" t="s">
        <v>156</v>
      </c>
      <c r="I16" s="111"/>
      <c r="J16" s="111"/>
      <c r="K16" s="111"/>
      <c r="M16" s="117">
        <v>46311</v>
      </c>
      <c r="N16" s="111"/>
      <c r="O16" s="111"/>
      <c r="P16" s="111"/>
      <c r="Q16" s="111"/>
    </row>
    <row r="17" spans="1:17" ht="18" x14ac:dyDescent="0.55000000000000004">
      <c r="A17" s="115" t="s">
        <v>142</v>
      </c>
      <c r="B17" s="116" t="s">
        <v>143</v>
      </c>
      <c r="C17" s="116" t="s">
        <v>134</v>
      </c>
      <c r="D17" s="116" t="s">
        <v>144</v>
      </c>
      <c r="E17" s="119" t="s">
        <v>145</v>
      </c>
      <c r="G17" s="117">
        <v>46280</v>
      </c>
      <c r="H17" s="111" t="s">
        <v>156</v>
      </c>
      <c r="I17" s="111"/>
      <c r="J17" s="111"/>
      <c r="K17" s="111"/>
      <c r="M17" s="117">
        <v>46312</v>
      </c>
      <c r="N17" s="111"/>
      <c r="O17" s="111"/>
      <c r="P17" s="111"/>
      <c r="Q17" s="111"/>
    </row>
    <row r="18" spans="1:17" ht="18" x14ac:dyDescent="0.55000000000000004">
      <c r="A18" s="113"/>
      <c r="B18" s="113"/>
      <c r="C18" s="113"/>
      <c r="D18" s="113"/>
      <c r="E18" s="113"/>
      <c r="G18" s="117">
        <v>46281</v>
      </c>
      <c r="H18" s="111" t="s">
        <v>157</v>
      </c>
      <c r="I18" s="111"/>
      <c r="J18" s="111"/>
      <c r="K18" s="111"/>
      <c r="M18" s="117">
        <v>46313</v>
      </c>
      <c r="N18" s="111"/>
      <c r="O18" s="111"/>
      <c r="P18" s="111"/>
      <c r="Q18" s="111"/>
    </row>
    <row r="19" spans="1:17" ht="18" x14ac:dyDescent="0.55000000000000004">
      <c r="A19" s="135" t="s">
        <v>151</v>
      </c>
      <c r="G19" s="117">
        <v>46282</v>
      </c>
      <c r="H19" s="111" t="s">
        <v>158</v>
      </c>
      <c r="I19" s="111"/>
      <c r="J19" s="111"/>
      <c r="K19" s="111"/>
      <c r="M19" s="117">
        <v>46314</v>
      </c>
      <c r="N19" s="111" t="s">
        <v>159</v>
      </c>
      <c r="O19" s="111" t="s">
        <v>162</v>
      </c>
      <c r="P19" s="111"/>
      <c r="Q19" s="111" t="s">
        <v>163</v>
      </c>
    </row>
    <row r="20" spans="1:17" ht="18" x14ac:dyDescent="0.55000000000000004">
      <c r="G20" s="117">
        <v>46283</v>
      </c>
      <c r="H20" s="111" t="s">
        <v>158</v>
      </c>
      <c r="I20" s="111"/>
      <c r="J20" s="111"/>
      <c r="K20" s="111"/>
      <c r="M20" s="117">
        <v>46315</v>
      </c>
      <c r="N20" s="111" t="s">
        <v>159</v>
      </c>
      <c r="O20" s="111" t="s">
        <v>162</v>
      </c>
      <c r="P20" s="111"/>
      <c r="Q20" s="111" t="s">
        <v>163</v>
      </c>
    </row>
    <row r="21" spans="1:17" ht="18" x14ac:dyDescent="0.55000000000000004">
      <c r="G21" s="117">
        <v>46284</v>
      </c>
      <c r="H21" s="111" t="s">
        <v>158</v>
      </c>
      <c r="I21" s="111"/>
      <c r="J21" s="111"/>
      <c r="K21" s="111"/>
      <c r="M21" s="117">
        <v>46316</v>
      </c>
      <c r="N21" s="111" t="s">
        <v>159</v>
      </c>
      <c r="O21" s="111" t="s">
        <v>162</v>
      </c>
      <c r="P21" s="111"/>
      <c r="Q21" s="111" t="s">
        <v>163</v>
      </c>
    </row>
    <row r="22" spans="1:17" ht="18" x14ac:dyDescent="0.55000000000000004">
      <c r="G22" s="117">
        <v>46285</v>
      </c>
      <c r="H22" s="111" t="s">
        <v>158</v>
      </c>
      <c r="I22" s="111"/>
      <c r="J22" s="111"/>
      <c r="K22" s="111"/>
      <c r="M22" s="117">
        <v>46317</v>
      </c>
      <c r="N22" s="111" t="s">
        <v>159</v>
      </c>
      <c r="O22" s="111" t="s">
        <v>162</v>
      </c>
      <c r="P22" s="111"/>
      <c r="Q22" s="111" t="s">
        <v>163</v>
      </c>
    </row>
    <row r="23" spans="1:17" ht="18" x14ac:dyDescent="0.55000000000000004">
      <c r="G23" s="117">
        <v>46286</v>
      </c>
      <c r="H23" s="111" t="s">
        <v>158</v>
      </c>
      <c r="I23" s="111"/>
      <c r="J23" s="111"/>
      <c r="K23" s="111"/>
      <c r="M23" s="117">
        <v>46318</v>
      </c>
      <c r="N23" s="111" t="s">
        <v>159</v>
      </c>
      <c r="O23" s="111" t="s">
        <v>162</v>
      </c>
      <c r="P23" s="111"/>
      <c r="Q23" s="111" t="s">
        <v>163</v>
      </c>
    </row>
    <row r="24" spans="1:17" ht="18" x14ac:dyDescent="0.55000000000000004">
      <c r="G24" s="117">
        <v>46287</v>
      </c>
      <c r="H24" s="111" t="s">
        <v>159</v>
      </c>
      <c r="I24" s="111"/>
      <c r="J24" s="111"/>
      <c r="K24" s="111"/>
      <c r="M24" s="117">
        <v>46319</v>
      </c>
      <c r="N24" s="111"/>
      <c r="O24" s="111"/>
      <c r="P24" s="111"/>
      <c r="Q24" s="111"/>
    </row>
    <row r="25" spans="1:17" ht="18" x14ac:dyDescent="0.55000000000000004">
      <c r="G25" s="117">
        <v>46288</v>
      </c>
      <c r="H25" s="111" t="s">
        <v>159</v>
      </c>
      <c r="I25" s="111"/>
      <c r="J25" s="111"/>
      <c r="K25" s="111"/>
      <c r="M25" s="117">
        <v>46320</v>
      </c>
      <c r="N25" s="111"/>
      <c r="O25" s="111"/>
      <c r="P25" s="111"/>
      <c r="Q25" s="111"/>
    </row>
    <row r="26" spans="1:17" ht="18" x14ac:dyDescent="0.55000000000000004">
      <c r="G26" s="117">
        <v>46289</v>
      </c>
      <c r="H26" s="111" t="s">
        <v>159</v>
      </c>
      <c r="I26" s="111"/>
      <c r="J26" s="111"/>
      <c r="K26" s="111"/>
      <c r="M26" s="117">
        <v>46321</v>
      </c>
      <c r="N26" s="111" t="s">
        <v>160</v>
      </c>
      <c r="O26" s="111"/>
      <c r="P26" s="111"/>
      <c r="Q26" s="111"/>
    </row>
    <row r="27" spans="1:17" ht="18" x14ac:dyDescent="0.55000000000000004">
      <c r="G27" s="117">
        <v>46290</v>
      </c>
      <c r="H27" s="111" t="s">
        <v>159</v>
      </c>
      <c r="I27" s="111"/>
      <c r="J27" s="111"/>
      <c r="K27" s="111"/>
      <c r="M27" s="117">
        <v>46322</v>
      </c>
      <c r="N27" s="111" t="s">
        <v>161</v>
      </c>
      <c r="O27" s="111"/>
      <c r="P27" s="111"/>
      <c r="Q27" s="111"/>
    </row>
    <row r="28" spans="1:17" ht="18" x14ac:dyDescent="0.55000000000000004">
      <c r="G28" s="117">
        <v>46291</v>
      </c>
      <c r="H28" s="111" t="s">
        <v>159</v>
      </c>
      <c r="I28" s="111"/>
      <c r="J28" s="111"/>
      <c r="K28" s="111"/>
    </row>
    <row r="29" spans="1:17" ht="18" x14ac:dyDescent="0.55000000000000004">
      <c r="G29" s="117">
        <v>46292</v>
      </c>
      <c r="H29" s="111" t="s">
        <v>159</v>
      </c>
      <c r="I29" s="111"/>
      <c r="J29" s="111"/>
      <c r="K29" s="111"/>
    </row>
    <row r="30" spans="1:17" ht="18" x14ac:dyDescent="0.55000000000000004">
      <c r="G30" s="117">
        <v>46293</v>
      </c>
      <c r="H30" s="111" t="s">
        <v>160</v>
      </c>
      <c r="I30" s="111"/>
      <c r="J30" s="111"/>
      <c r="K30" s="111"/>
    </row>
    <row r="31" spans="1:17" ht="18" x14ac:dyDescent="0.55000000000000004">
      <c r="G31" s="117">
        <v>46294</v>
      </c>
      <c r="H31" s="111" t="s">
        <v>161</v>
      </c>
      <c r="I31" s="111"/>
      <c r="J31" s="111"/>
      <c r="K31" s="111"/>
    </row>
    <row r="32" spans="1:17" ht="18" x14ac:dyDescent="0.55000000000000004">
      <c r="G32" s="117">
        <v>46295</v>
      </c>
      <c r="H32" s="111"/>
      <c r="I32" s="111"/>
      <c r="J32" s="111"/>
      <c r="K32" s="111"/>
    </row>
    <row r="33" spans="7:11" ht="18" x14ac:dyDescent="0.55000000000000004">
      <c r="G33" s="117">
        <v>46296</v>
      </c>
      <c r="H33" s="111"/>
      <c r="I33" s="111"/>
      <c r="J33" s="111"/>
      <c r="K33" s="111"/>
    </row>
    <row r="34" spans="7:11" ht="18" x14ac:dyDescent="0.55000000000000004">
      <c r="G34" s="117">
        <v>46297</v>
      </c>
      <c r="H34" s="111"/>
      <c r="I34" s="111"/>
      <c r="J34" s="111"/>
      <c r="K34" s="111"/>
    </row>
    <row r="35" spans="7:11" ht="18" x14ac:dyDescent="0.55000000000000004">
      <c r="G35" s="117">
        <v>46298</v>
      </c>
      <c r="H35" s="111"/>
      <c r="I35" s="111"/>
      <c r="J35" s="111"/>
      <c r="K35" s="111"/>
    </row>
    <row r="36" spans="7:11" ht="18" x14ac:dyDescent="0.55000000000000004">
      <c r="G36" s="117">
        <v>46299</v>
      </c>
      <c r="H36" s="111"/>
      <c r="I36" s="111"/>
      <c r="J36" s="111"/>
      <c r="K36" s="111"/>
    </row>
    <row r="37" spans="7:11" ht="18" x14ac:dyDescent="0.55000000000000004">
      <c r="G37" s="117">
        <v>46300</v>
      </c>
      <c r="H37" s="111"/>
      <c r="I37" s="111"/>
      <c r="J37" s="111"/>
      <c r="K37" s="111"/>
    </row>
    <row r="38" spans="7:11" ht="18" x14ac:dyDescent="0.55000000000000004">
      <c r="G38" s="117">
        <v>46301</v>
      </c>
      <c r="H38" s="111"/>
      <c r="I38" s="111"/>
      <c r="J38" s="111"/>
      <c r="K38" s="111"/>
    </row>
  </sheetData>
  <mergeCells count="10">
    <mergeCell ref="A4:B4"/>
    <mergeCell ref="C4:D4"/>
    <mergeCell ref="P1:Q2"/>
    <mergeCell ref="A2:B2"/>
    <mergeCell ref="C2:D2"/>
    <mergeCell ref="F2:F3"/>
    <mergeCell ref="G2:J3"/>
    <mergeCell ref="K2:K3"/>
    <mergeCell ref="A3:B3"/>
    <mergeCell ref="C3:D3"/>
  </mergeCells>
  <phoneticPr fontId="1"/>
  <conditionalFormatting sqref="I9:K37">
    <cfRule type="containsBlanks" dxfId="7" priority="10">
      <formula>LEN(TRIM(I9))=0</formula>
    </cfRule>
  </conditionalFormatting>
  <conditionalFormatting sqref="C3">
    <cfRule type="containsBlanks" dxfId="6" priority="9">
      <formula>LEN(TRIM(C3))=0</formula>
    </cfRule>
  </conditionalFormatting>
  <conditionalFormatting sqref="C4">
    <cfRule type="containsBlanks" dxfId="5" priority="8">
      <formula>LEN(TRIM(C4))=0</formula>
    </cfRule>
  </conditionalFormatting>
  <conditionalFormatting sqref="H9:H15 H32:H38">
    <cfRule type="containsBlanks" dxfId="4" priority="7">
      <formula>LEN(TRIM(H9))=0</formula>
    </cfRule>
  </conditionalFormatting>
  <conditionalFormatting sqref="G2">
    <cfRule type="containsBlanks" dxfId="3" priority="4">
      <formula>LEN(TRIM(G2))=0</formula>
    </cfRule>
  </conditionalFormatting>
  <conditionalFormatting sqref="I38:K38">
    <cfRule type="containsBlanks" dxfId="2" priority="3">
      <formula>LEN(TRIM(I38))=0</formula>
    </cfRule>
  </conditionalFormatting>
  <conditionalFormatting sqref="H16:H31">
    <cfRule type="containsBlanks" dxfId="1" priority="2">
      <formula>LEN(TRIM(H16))=0</formula>
    </cfRule>
  </conditionalFormatting>
  <conditionalFormatting sqref="N9:Q27">
    <cfRule type="containsBlanks" dxfId="0" priority="1">
      <formula>LEN(TRIM(N9))=0</formula>
    </cfRule>
  </conditionalFormatting>
  <printOptions horizontalCentered="1"/>
  <pageMargins left="0.78740157480314965" right="0.23622047244094491" top="0.74803149606299213" bottom="0.74803149606299213" header="0.31496062992125984" footer="0.31496062992125984"/>
  <pageSetup paperSize="9" scale="60" orientation="landscape" r:id="rId1"/>
  <headerFooter>
    <oddHeader>&amp;R&amp;G</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4D1D68-E748-4FFA-B0BF-FCEF01D6B36F}">
  <sheetPr codeName="Sheet2">
    <tabColor rgb="FF00B050"/>
  </sheetPr>
  <dimension ref="A1:E34"/>
  <sheetViews>
    <sheetView zoomScale="70" zoomScaleNormal="70" workbookViewId="0">
      <pane ySplit="3" topLeftCell="A4" activePane="bottomLeft" state="frozen"/>
      <selection pane="bottomLeft" activeCell="A9" sqref="A9:E9"/>
    </sheetView>
  </sheetViews>
  <sheetFormatPr defaultRowHeight="18" x14ac:dyDescent="0.55000000000000004"/>
  <cols>
    <col min="1" max="1" width="28.25" customWidth="1"/>
    <col min="2" max="2" width="20.33203125" customWidth="1"/>
    <col min="3" max="3" width="17.08203125" customWidth="1"/>
    <col min="4" max="4" width="19.33203125" customWidth="1"/>
    <col min="5" max="5" width="20.58203125" customWidth="1"/>
  </cols>
  <sheetData>
    <row r="1" spans="1:5" x14ac:dyDescent="0.55000000000000004">
      <c r="A1" s="2" t="s">
        <v>0</v>
      </c>
    </row>
    <row r="3" spans="1:5" x14ac:dyDescent="0.55000000000000004">
      <c r="A3" s="1"/>
      <c r="B3" s="1" t="s">
        <v>1</v>
      </c>
      <c r="C3" s="1" t="s">
        <v>2</v>
      </c>
      <c r="D3" s="1" t="s">
        <v>3</v>
      </c>
      <c r="E3" s="1" t="s">
        <v>4</v>
      </c>
    </row>
    <row r="4" spans="1:5" x14ac:dyDescent="0.55000000000000004">
      <c r="A4" s="202" t="s">
        <v>5</v>
      </c>
      <c r="B4" s="203"/>
      <c r="C4" s="203"/>
      <c r="D4" s="203"/>
      <c r="E4" s="204"/>
    </row>
    <row r="5" spans="1:5" x14ac:dyDescent="0.55000000000000004">
      <c r="A5" s="56" t="s">
        <v>6</v>
      </c>
      <c r="B5" s="56" t="s">
        <v>7</v>
      </c>
      <c r="C5" s="56" t="s">
        <v>8</v>
      </c>
      <c r="D5" s="56" t="s">
        <v>9</v>
      </c>
      <c r="E5" s="56" t="s">
        <v>10</v>
      </c>
    </row>
    <row r="6" spans="1:5" x14ac:dyDescent="0.55000000000000004">
      <c r="A6" s="56" t="s">
        <v>11</v>
      </c>
      <c r="B6" s="56" t="s">
        <v>12</v>
      </c>
      <c r="C6" s="56" t="s">
        <v>13</v>
      </c>
      <c r="D6" s="56" t="s">
        <v>14</v>
      </c>
      <c r="E6" s="56" t="s">
        <v>10</v>
      </c>
    </row>
    <row r="7" spans="1:5" x14ac:dyDescent="0.55000000000000004">
      <c r="A7" s="56" t="s">
        <v>15</v>
      </c>
      <c r="B7" s="56" t="s">
        <v>16</v>
      </c>
      <c r="C7" s="56" t="s">
        <v>17</v>
      </c>
      <c r="D7" s="56" t="s">
        <v>18</v>
      </c>
      <c r="E7" s="56" t="s">
        <v>10</v>
      </c>
    </row>
    <row r="8" spans="1:5" x14ac:dyDescent="0.55000000000000004">
      <c r="A8" s="55" t="s">
        <v>19</v>
      </c>
      <c r="B8" s="205"/>
      <c r="C8" s="206"/>
      <c r="D8" s="55"/>
      <c r="E8" s="55"/>
    </row>
    <row r="9" spans="1:5" x14ac:dyDescent="0.55000000000000004">
      <c r="A9" s="207" t="s">
        <v>20</v>
      </c>
      <c r="B9" s="208"/>
      <c r="C9" s="208"/>
      <c r="D9" s="208"/>
      <c r="E9" s="209"/>
    </row>
    <row r="10" spans="1:5" x14ac:dyDescent="0.55000000000000004">
      <c r="A10" s="58" t="s">
        <v>21</v>
      </c>
      <c r="B10" s="58"/>
      <c r="C10" s="58"/>
      <c r="D10" s="58"/>
      <c r="E10" s="58"/>
    </row>
    <row r="11" spans="1:5" x14ac:dyDescent="0.55000000000000004">
      <c r="A11" s="58" t="s">
        <v>22</v>
      </c>
      <c r="B11" s="58"/>
      <c r="C11" s="58"/>
      <c r="D11" s="58"/>
      <c r="E11" s="58"/>
    </row>
    <row r="12" spans="1:5" x14ac:dyDescent="0.55000000000000004">
      <c r="A12" s="58"/>
      <c r="B12" s="58"/>
      <c r="C12" s="58"/>
      <c r="D12" s="58"/>
      <c r="E12" s="58"/>
    </row>
    <row r="13" spans="1:5" x14ac:dyDescent="0.55000000000000004">
      <c r="A13" s="57" t="s">
        <v>19</v>
      </c>
      <c r="B13" s="210"/>
      <c r="C13" s="211"/>
      <c r="D13" s="57" t="s">
        <v>23</v>
      </c>
      <c r="E13" s="57"/>
    </row>
    <row r="14" spans="1:5" x14ac:dyDescent="0.55000000000000004">
      <c r="A14" s="61" t="s">
        <v>24</v>
      </c>
      <c r="B14" s="200"/>
      <c r="C14" s="201"/>
      <c r="D14" s="61"/>
      <c r="E14" s="61"/>
    </row>
    <row r="15" spans="1:5" x14ac:dyDescent="0.55000000000000004">
      <c r="A15" s="61" t="s">
        <v>25</v>
      </c>
      <c r="B15" s="62"/>
      <c r="C15" s="63"/>
      <c r="D15" s="61"/>
      <c r="E15" s="61"/>
    </row>
    <row r="16" spans="1:5" x14ac:dyDescent="0.55000000000000004">
      <c r="A16" s="61" t="s">
        <v>26</v>
      </c>
      <c r="B16" s="61" t="s">
        <v>27</v>
      </c>
      <c r="C16" s="200"/>
      <c r="D16" s="201"/>
      <c r="E16" s="61" t="s">
        <v>28</v>
      </c>
    </row>
    <row r="17" spans="1:5" x14ac:dyDescent="0.55000000000000004">
      <c r="A17" s="61" t="s">
        <v>29</v>
      </c>
      <c r="B17" s="61" t="s">
        <v>30</v>
      </c>
      <c r="C17" s="200"/>
      <c r="D17" s="201"/>
      <c r="E17" s="61" t="s">
        <v>28</v>
      </c>
    </row>
    <row r="18" spans="1:5" x14ac:dyDescent="0.55000000000000004">
      <c r="A18" s="61" t="s">
        <v>31</v>
      </c>
      <c r="B18" s="61" t="s">
        <v>32</v>
      </c>
      <c r="C18" s="200"/>
      <c r="D18" s="201"/>
      <c r="E18" s="61" t="s">
        <v>28</v>
      </c>
    </row>
    <row r="19" spans="1:5" x14ac:dyDescent="0.55000000000000004">
      <c r="A19" s="64"/>
      <c r="B19" s="65"/>
      <c r="C19" s="65"/>
      <c r="D19" s="64"/>
      <c r="E19" s="64"/>
    </row>
    <row r="21" spans="1:5" x14ac:dyDescent="0.55000000000000004">
      <c r="A21" s="1"/>
      <c r="B21" s="1" t="s">
        <v>1</v>
      </c>
      <c r="C21" s="1" t="s">
        <v>2</v>
      </c>
      <c r="D21" s="1" t="s">
        <v>3</v>
      </c>
      <c r="E21" s="1" t="s">
        <v>4</v>
      </c>
    </row>
    <row r="22" spans="1:5" x14ac:dyDescent="0.55000000000000004">
      <c r="A22" s="202" t="s">
        <v>33</v>
      </c>
      <c r="B22" s="203"/>
      <c r="C22" s="203"/>
      <c r="D22" s="203"/>
      <c r="E22" s="204"/>
    </row>
    <row r="23" spans="1:5" x14ac:dyDescent="0.55000000000000004">
      <c r="A23" s="56" t="s">
        <v>34</v>
      </c>
      <c r="B23" s="56" t="s">
        <v>35</v>
      </c>
      <c r="C23" s="56"/>
      <c r="D23" s="56"/>
      <c r="E23" s="56" t="s">
        <v>10</v>
      </c>
    </row>
    <row r="24" spans="1:5" x14ac:dyDescent="0.55000000000000004">
      <c r="A24" s="72" t="s">
        <v>24</v>
      </c>
      <c r="B24" s="205"/>
      <c r="C24" s="206"/>
      <c r="D24" s="55"/>
      <c r="E24" s="55"/>
    </row>
    <row r="25" spans="1:5" x14ac:dyDescent="0.55000000000000004">
      <c r="A25" s="72" t="s">
        <v>36</v>
      </c>
      <c r="B25" s="205"/>
      <c r="C25" s="206"/>
      <c r="D25" s="55"/>
      <c r="E25" s="55"/>
    </row>
    <row r="28" spans="1:5" x14ac:dyDescent="0.55000000000000004">
      <c r="A28" s="1"/>
      <c r="B28" s="1" t="s">
        <v>1</v>
      </c>
      <c r="C28" s="1" t="s">
        <v>2</v>
      </c>
      <c r="D28" s="1" t="s">
        <v>3</v>
      </c>
      <c r="E28" s="1" t="s">
        <v>4</v>
      </c>
    </row>
    <row r="29" spans="1:5" x14ac:dyDescent="0.55000000000000004">
      <c r="A29" s="214" t="s">
        <v>37</v>
      </c>
      <c r="B29" s="215"/>
      <c r="C29" s="215"/>
      <c r="D29" s="215"/>
      <c r="E29" s="216"/>
    </row>
    <row r="30" spans="1:5" x14ac:dyDescent="0.55000000000000004">
      <c r="A30" s="60"/>
      <c r="B30" s="60"/>
      <c r="C30" s="60"/>
      <c r="D30" s="60"/>
      <c r="E30" s="60"/>
    </row>
    <row r="31" spans="1:5" x14ac:dyDescent="0.55000000000000004">
      <c r="A31" s="60"/>
      <c r="B31" s="60"/>
      <c r="C31" s="60"/>
      <c r="D31" s="60"/>
      <c r="E31" s="60"/>
    </row>
    <row r="32" spans="1:5" x14ac:dyDescent="0.55000000000000004">
      <c r="A32" s="60"/>
      <c r="B32" s="60"/>
      <c r="C32" s="60"/>
      <c r="D32" s="60"/>
      <c r="E32" s="60"/>
    </row>
    <row r="33" spans="1:5" x14ac:dyDescent="0.55000000000000004">
      <c r="A33" s="90" t="s">
        <v>24</v>
      </c>
      <c r="B33" s="212"/>
      <c r="C33" s="213"/>
      <c r="D33" s="59"/>
      <c r="E33" s="59"/>
    </row>
    <row r="34" spans="1:5" x14ac:dyDescent="0.55000000000000004">
      <c r="A34" s="90" t="s">
        <v>36</v>
      </c>
      <c r="B34" s="212"/>
      <c r="C34" s="213"/>
      <c r="D34" s="59" t="s">
        <v>38</v>
      </c>
      <c r="E34" s="59"/>
    </row>
  </sheetData>
  <mergeCells count="14">
    <mergeCell ref="B33:C33"/>
    <mergeCell ref="B34:C34"/>
    <mergeCell ref="C17:D17"/>
    <mergeCell ref="C18:D18"/>
    <mergeCell ref="A22:E22"/>
    <mergeCell ref="B24:C24"/>
    <mergeCell ref="B25:C25"/>
    <mergeCell ref="A29:E29"/>
    <mergeCell ref="C16:D16"/>
    <mergeCell ref="A4:E4"/>
    <mergeCell ref="B8:C8"/>
    <mergeCell ref="A9:E9"/>
    <mergeCell ref="B13:C13"/>
    <mergeCell ref="B14:C14"/>
  </mergeCells>
  <phoneticPr fontId="1"/>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69B7CE-6CBC-49AA-8FD3-2E8A360DE092}">
  <sheetPr codeName="Sheet3">
    <tabColor rgb="FF00B050"/>
  </sheetPr>
  <dimension ref="A1:E34"/>
  <sheetViews>
    <sheetView zoomScale="70" zoomScaleNormal="70" workbookViewId="0">
      <pane ySplit="3" topLeftCell="A4" activePane="bottomLeft" state="frozen"/>
      <selection pane="bottomLeft" activeCell="C6" sqref="C6"/>
    </sheetView>
  </sheetViews>
  <sheetFormatPr defaultColWidth="8.58203125" defaultRowHeight="18" x14ac:dyDescent="0.55000000000000004"/>
  <cols>
    <col min="1" max="1" width="28.25" style="67" customWidth="1"/>
    <col min="2" max="2" width="20.33203125" style="67" customWidth="1"/>
    <col min="3" max="3" width="17.08203125" style="67" customWidth="1"/>
    <col min="4" max="4" width="19.33203125" style="67" customWidth="1"/>
    <col min="5" max="5" width="20.58203125" style="67" customWidth="1"/>
    <col min="6" max="16384" width="8.58203125" style="67"/>
  </cols>
  <sheetData>
    <row r="1" spans="1:5" x14ac:dyDescent="0.55000000000000004">
      <c r="A1" s="66" t="s">
        <v>0</v>
      </c>
    </row>
    <row r="3" spans="1:5" x14ac:dyDescent="0.55000000000000004">
      <c r="A3" s="68"/>
      <c r="B3" s="68" t="s">
        <v>1</v>
      </c>
      <c r="C3" s="68" t="s">
        <v>2</v>
      </c>
      <c r="D3" s="68" t="s">
        <v>3</v>
      </c>
      <c r="E3" s="68" t="s">
        <v>4</v>
      </c>
    </row>
    <row r="4" spans="1:5" x14ac:dyDescent="0.55000000000000004">
      <c r="A4" s="219" t="s">
        <v>5</v>
      </c>
      <c r="B4" s="220"/>
      <c r="C4" s="220"/>
      <c r="D4" s="220"/>
      <c r="E4" s="221"/>
    </row>
    <row r="5" spans="1:5" x14ac:dyDescent="0.55000000000000004">
      <c r="A5" s="69" t="s">
        <v>6</v>
      </c>
      <c r="B5" s="70"/>
      <c r="C5" s="70"/>
      <c r="D5" s="71">
        <f>B5*C5</f>
        <v>0</v>
      </c>
      <c r="E5" s="69" t="s">
        <v>10</v>
      </c>
    </row>
    <row r="6" spans="1:5" x14ac:dyDescent="0.55000000000000004">
      <c r="A6" s="69" t="s">
        <v>11</v>
      </c>
      <c r="B6" s="70"/>
      <c r="C6" s="70"/>
      <c r="D6" s="71">
        <f t="shared" ref="D6:D7" si="0">B6*C6</f>
        <v>0</v>
      </c>
      <c r="E6" s="69" t="s">
        <v>10</v>
      </c>
    </row>
    <row r="7" spans="1:5" x14ac:dyDescent="0.55000000000000004">
      <c r="A7" s="69" t="s">
        <v>15</v>
      </c>
      <c r="B7" s="70"/>
      <c r="C7" s="70"/>
      <c r="D7" s="71">
        <f t="shared" si="0"/>
        <v>0</v>
      </c>
      <c r="E7" s="69" t="s">
        <v>10</v>
      </c>
    </row>
    <row r="8" spans="1:5" x14ac:dyDescent="0.55000000000000004">
      <c r="A8" s="72" t="s">
        <v>19</v>
      </c>
      <c r="B8" s="222"/>
      <c r="C8" s="223"/>
      <c r="D8" s="73">
        <f>SUM(D5:D7)</f>
        <v>0</v>
      </c>
      <c r="E8" s="72"/>
    </row>
    <row r="9" spans="1:5" x14ac:dyDescent="0.55000000000000004">
      <c r="A9" s="224" t="s">
        <v>20</v>
      </c>
      <c r="B9" s="225"/>
      <c r="C9" s="225"/>
      <c r="D9" s="225"/>
      <c r="E9" s="226"/>
    </row>
    <row r="10" spans="1:5" x14ac:dyDescent="0.55000000000000004">
      <c r="A10" s="74" t="s">
        <v>21</v>
      </c>
      <c r="B10" s="75"/>
      <c r="C10" s="76"/>
      <c r="D10" s="77">
        <f>B10</f>
        <v>0</v>
      </c>
      <c r="E10" s="74"/>
    </row>
    <row r="11" spans="1:5" x14ac:dyDescent="0.55000000000000004">
      <c r="A11" s="74" t="s">
        <v>22</v>
      </c>
      <c r="B11" s="75"/>
      <c r="C11" s="76"/>
      <c r="D11" s="77">
        <f t="shared" ref="D11:D12" si="1">B11</f>
        <v>0</v>
      </c>
      <c r="E11" s="74"/>
    </row>
    <row r="12" spans="1:5" x14ac:dyDescent="0.55000000000000004">
      <c r="A12" s="74"/>
      <c r="B12" s="75"/>
      <c r="C12" s="76"/>
      <c r="D12" s="77">
        <f t="shared" si="1"/>
        <v>0</v>
      </c>
      <c r="E12" s="74"/>
    </row>
    <row r="13" spans="1:5" x14ac:dyDescent="0.55000000000000004">
      <c r="A13" s="78" t="s">
        <v>19</v>
      </c>
      <c r="B13" s="227"/>
      <c r="C13" s="228"/>
      <c r="D13" s="79">
        <f>SUM(D10:D12)</f>
        <v>0</v>
      </c>
      <c r="E13" s="78"/>
    </row>
    <row r="14" spans="1:5" x14ac:dyDescent="0.55000000000000004">
      <c r="A14" s="80" t="s">
        <v>24</v>
      </c>
      <c r="B14" s="217"/>
      <c r="C14" s="218"/>
      <c r="D14" s="83">
        <f>D8+D13</f>
        <v>0</v>
      </c>
      <c r="E14" s="80"/>
    </row>
    <row r="15" spans="1:5" x14ac:dyDescent="0.55000000000000004">
      <c r="A15" s="80" t="s">
        <v>25</v>
      </c>
      <c r="B15" s="81"/>
      <c r="C15" s="82"/>
      <c r="D15" s="83">
        <f>ROUNDDOWN(D14*1.1,0)</f>
        <v>0</v>
      </c>
      <c r="E15" s="80"/>
    </row>
    <row r="16" spans="1:5" x14ac:dyDescent="0.55000000000000004">
      <c r="A16" s="80" t="s">
        <v>26</v>
      </c>
      <c r="B16" s="83" t="e">
        <f>ROUND((D5+D13/3)/C5,0)</f>
        <v>#DIV/0!</v>
      </c>
      <c r="C16" s="217"/>
      <c r="D16" s="218"/>
      <c r="E16" s="80" t="s">
        <v>28</v>
      </c>
    </row>
    <row r="17" spans="1:5" x14ac:dyDescent="0.55000000000000004">
      <c r="A17" s="80" t="s">
        <v>29</v>
      </c>
      <c r="B17" s="83" t="e">
        <f t="shared" ref="B17:B18" si="2">ROUND((D6+D14/3)/C6,0)</f>
        <v>#DIV/0!</v>
      </c>
      <c r="C17" s="217"/>
      <c r="D17" s="218"/>
      <c r="E17" s="80" t="s">
        <v>28</v>
      </c>
    </row>
    <row r="18" spans="1:5" x14ac:dyDescent="0.55000000000000004">
      <c r="A18" s="80" t="s">
        <v>31</v>
      </c>
      <c r="B18" s="83" t="e">
        <f t="shared" si="2"/>
        <v>#DIV/0!</v>
      </c>
      <c r="C18" s="217"/>
      <c r="D18" s="218"/>
      <c r="E18" s="80" t="s">
        <v>28</v>
      </c>
    </row>
    <row r="19" spans="1:5" x14ac:dyDescent="0.55000000000000004">
      <c r="A19" s="84"/>
      <c r="B19" s="85"/>
      <c r="C19" s="85"/>
      <c r="D19" s="84"/>
      <c r="E19" s="84"/>
    </row>
    <row r="21" spans="1:5" x14ac:dyDescent="0.55000000000000004">
      <c r="A21" s="68"/>
      <c r="B21" s="68" t="s">
        <v>1</v>
      </c>
      <c r="C21" s="68" t="s">
        <v>2</v>
      </c>
      <c r="D21" s="68" t="s">
        <v>3</v>
      </c>
      <c r="E21" s="68" t="s">
        <v>4</v>
      </c>
    </row>
    <row r="22" spans="1:5" x14ac:dyDescent="0.55000000000000004">
      <c r="A22" s="219" t="s">
        <v>33</v>
      </c>
      <c r="B22" s="220"/>
      <c r="C22" s="220"/>
      <c r="D22" s="220"/>
      <c r="E22" s="221"/>
    </row>
    <row r="23" spans="1:5" x14ac:dyDescent="0.55000000000000004">
      <c r="A23" s="69" t="s">
        <v>34</v>
      </c>
      <c r="B23" s="70"/>
      <c r="C23" s="70"/>
      <c r="D23" s="71">
        <f>B23*C23</f>
        <v>0</v>
      </c>
      <c r="E23" s="69" t="s">
        <v>10</v>
      </c>
    </row>
    <row r="24" spans="1:5" x14ac:dyDescent="0.55000000000000004">
      <c r="A24" s="72" t="s">
        <v>24</v>
      </c>
      <c r="B24" s="231"/>
      <c r="C24" s="232"/>
      <c r="D24" s="86">
        <f>D23</f>
        <v>0</v>
      </c>
      <c r="E24" s="72"/>
    </row>
    <row r="25" spans="1:5" x14ac:dyDescent="0.55000000000000004">
      <c r="A25" s="72" t="s">
        <v>36</v>
      </c>
      <c r="B25" s="231"/>
      <c r="C25" s="232"/>
      <c r="D25" s="86">
        <f>ROUNDDOWN(D24*1.1,0)</f>
        <v>0</v>
      </c>
      <c r="E25" s="72"/>
    </row>
    <row r="28" spans="1:5" x14ac:dyDescent="0.55000000000000004">
      <c r="A28" s="68"/>
      <c r="B28" s="68" t="s">
        <v>1</v>
      </c>
      <c r="C28" s="68" t="s">
        <v>2</v>
      </c>
      <c r="D28" s="68" t="s">
        <v>3</v>
      </c>
      <c r="E28" s="68" t="s">
        <v>4</v>
      </c>
    </row>
    <row r="29" spans="1:5" x14ac:dyDescent="0.55000000000000004">
      <c r="A29" s="233" t="s">
        <v>37</v>
      </c>
      <c r="B29" s="234"/>
      <c r="C29" s="234"/>
      <c r="D29" s="234"/>
      <c r="E29" s="235"/>
    </row>
    <row r="30" spans="1:5" x14ac:dyDescent="0.55000000000000004">
      <c r="A30" s="87"/>
      <c r="B30" s="88"/>
      <c r="C30" s="88"/>
      <c r="D30" s="89">
        <f>B30*C30</f>
        <v>0</v>
      </c>
      <c r="E30" s="87"/>
    </row>
    <row r="31" spans="1:5" x14ac:dyDescent="0.55000000000000004">
      <c r="A31" s="87"/>
      <c r="B31" s="88"/>
      <c r="C31" s="88"/>
      <c r="D31" s="89">
        <f t="shared" ref="D31:D32" si="3">B31*C31</f>
        <v>0</v>
      </c>
      <c r="E31" s="87"/>
    </row>
    <row r="32" spans="1:5" x14ac:dyDescent="0.55000000000000004">
      <c r="A32" s="87"/>
      <c r="B32" s="88"/>
      <c r="C32" s="88"/>
      <c r="D32" s="89">
        <f t="shared" si="3"/>
        <v>0</v>
      </c>
      <c r="E32" s="87"/>
    </row>
    <row r="33" spans="1:5" x14ac:dyDescent="0.55000000000000004">
      <c r="A33" s="90" t="s">
        <v>24</v>
      </c>
      <c r="B33" s="229"/>
      <c r="C33" s="230"/>
      <c r="D33" s="91">
        <f>SUM(D30:D32)</f>
        <v>0</v>
      </c>
      <c r="E33" s="90"/>
    </row>
    <row r="34" spans="1:5" x14ac:dyDescent="0.55000000000000004">
      <c r="A34" s="90" t="s">
        <v>36</v>
      </c>
      <c r="B34" s="229"/>
      <c r="C34" s="230"/>
      <c r="D34" s="91">
        <f>ROUNDDOWN(D33*1.1,0)</f>
        <v>0</v>
      </c>
      <c r="E34" s="90"/>
    </row>
  </sheetData>
  <sheetProtection sheet="1"/>
  <mergeCells count="14">
    <mergeCell ref="B33:C33"/>
    <mergeCell ref="B34:C34"/>
    <mergeCell ref="C17:D17"/>
    <mergeCell ref="C18:D18"/>
    <mergeCell ref="A22:E22"/>
    <mergeCell ref="B24:C24"/>
    <mergeCell ref="B25:C25"/>
    <mergeCell ref="A29:E29"/>
    <mergeCell ref="C16:D16"/>
    <mergeCell ref="A4:E4"/>
    <mergeCell ref="B8:C8"/>
    <mergeCell ref="A9:E9"/>
    <mergeCell ref="B13:C13"/>
    <mergeCell ref="B14:C14"/>
  </mergeCells>
  <phoneticPr fontId="1"/>
  <pageMargins left="0.7" right="0.7" top="0.75" bottom="0.75" header="0.3" footer="0.3"/>
  <pageSetup paperSize="9" orientation="portrait" verticalDpi="0"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lcf76f155ced4ddcb4097134ff3c332f xmlns="661fdd0f-6d3b-4c4d-a2e0-f8910d704cfd">
      <Terms xmlns="http://schemas.microsoft.com/office/infopath/2007/PartnerControls"/>
    </lcf76f155ced4ddcb4097134ff3c332f>
  </documentManagement>
</p:properties>
</file>

<file path=customXml/item2.xml><?xml version="1.0" encoding="utf-8"?>
<ct:contentTypeSchema xmlns:ct="http://schemas.microsoft.com/office/2006/metadata/contentType" xmlns:ma="http://schemas.microsoft.com/office/2006/metadata/properties/metaAttributes" ct:_="" ma:_="" ma:contentTypeName="ドキュメント" ma:contentTypeID="0x0101000A8EC69C17E06C4D89299D49D92D43CB" ma:contentTypeVersion="14" ma:contentTypeDescription="新しいドキュメントを作成します。" ma:contentTypeScope="" ma:versionID="a8af9a7dfe53ab0b5f49c6266adc88b9">
  <xsd:schema xmlns:xsd="http://www.w3.org/2001/XMLSchema" xmlns:xs="http://www.w3.org/2001/XMLSchema" xmlns:p="http://schemas.microsoft.com/office/2006/metadata/properties" xmlns:ns2="661fdd0f-6d3b-4c4d-a2e0-f8910d704cfd" xmlns:ns3="aff38e04-a3de-4639-9786-a3f18fa9b1fb" targetNamespace="http://schemas.microsoft.com/office/2006/metadata/properties" ma:root="true" ma:fieldsID="4949566005f43abdfae1e977b9fc6766" ns2:_="" ns3:_="">
    <xsd:import namespace="661fdd0f-6d3b-4c4d-a2e0-f8910d704cfd"/>
    <xsd:import namespace="aff38e04-a3de-4639-9786-a3f18fa9b1fb"/>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3:SharedWithUsers" minOccurs="0"/>
                <xsd:element ref="ns3:SharedWithDetails" minOccurs="0"/>
                <xsd:element ref="ns2:lcf76f155ced4ddcb4097134ff3c332f" minOccurs="0"/>
                <xsd:element ref="ns2:MediaServiceDateTaken" minOccurs="0"/>
                <xsd:element ref="ns2:MediaServiceOCR" minOccurs="0"/>
                <xsd:element ref="ns2:MediaServiceGenerationTime" minOccurs="0"/>
                <xsd:element ref="ns2:MediaServiceEventHashCode" minOccurs="0"/>
                <xsd:element ref="ns2:MediaServiceLocatio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61fdd0f-6d3b-4c4d-a2e0-f8910d704cfd"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lcf76f155ced4ddcb4097134ff3c332f" ma:index="15" nillable="true" ma:taxonomy="true" ma:internalName="lcf76f155ced4ddcb4097134ff3c332f" ma:taxonomyFieldName="MediaServiceImageTags" ma:displayName="画像タグ" ma:readOnly="false" ma:fieldId="{5cf76f15-5ced-4ddc-b409-7134ff3c332f}" ma:taxonomyMulti="true" ma:sspId="393f9746-2781-4877-9de6-add67710d559" ma:termSetId="09814cd3-568e-fe90-9814-8d621ff8fb84" ma:anchorId="fba54fb3-c3e1-fe81-a776-ca4b69148c4d" ma:open="true" ma:isKeyword="false">
      <xsd:complexType>
        <xsd:sequence>
          <xsd:element ref="pc:Terms" minOccurs="0" maxOccurs="1"/>
        </xsd:sequence>
      </xsd:complexType>
    </xsd:element>
    <xsd:element name="MediaServiceDateTaken" ma:index="16" nillable="true" ma:displayName="MediaServiceDateTaken" ma:hidden="true" ma:indexed="true" ma:internalName="MediaServiceDateTaken"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MediaServiceLocation" ma:index="20" nillable="true" ma:displayName="Location" ma:indexed="true" ma:internalName="MediaServiceLocation" ma:readOnly="true">
      <xsd:simpleType>
        <xsd:restriction base="dms:Text"/>
      </xsd:simpleType>
    </xsd:element>
    <xsd:element name="MediaLengthInSeconds" ma:index="21"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aff38e04-a3de-4639-9786-a3f18fa9b1fb" elementFormDefault="qualified">
    <xsd:import namespace="http://schemas.microsoft.com/office/2006/documentManagement/types"/>
    <xsd:import namespace="http://schemas.microsoft.com/office/infopath/2007/PartnerControls"/>
    <xsd:element name="SharedWithUsers" ma:index="12"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共有相手の詳細情報"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F947841-A40A-47E2-A5BD-A03085D53BC1}">
  <ds:schemaRefs>
    <ds:schemaRef ds:uri="http://schemas.openxmlformats.org/package/2006/metadata/core-properties"/>
    <ds:schemaRef ds:uri="http://purl.org/dc/elements/1.1/"/>
    <ds:schemaRef ds:uri="http://purl.org/dc/dcmitype/"/>
    <ds:schemaRef ds:uri="http://purl.org/dc/terms/"/>
    <ds:schemaRef ds:uri="661fdd0f-6d3b-4c4d-a2e0-f8910d704cfd"/>
    <ds:schemaRef ds:uri="http://schemas.microsoft.com/office/infopath/2007/PartnerControls"/>
    <ds:schemaRef ds:uri="http://schemas.microsoft.com/office/2006/documentManagement/types"/>
    <ds:schemaRef ds:uri="aff38e04-a3de-4639-9786-a3f18fa9b1fb"/>
    <ds:schemaRef ds:uri="http://schemas.microsoft.com/office/2006/metadata/properties"/>
    <ds:schemaRef ds:uri="http://www.w3.org/XML/1998/namespace"/>
  </ds:schemaRefs>
</ds:datastoreItem>
</file>

<file path=customXml/itemProps2.xml><?xml version="1.0" encoding="utf-8"?>
<ds:datastoreItem xmlns:ds="http://schemas.openxmlformats.org/officeDocument/2006/customXml" ds:itemID="{140135A2-7EDD-43F4-AA55-256A729E7FD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61fdd0f-6d3b-4c4d-a2e0-f8910d704cfd"/>
    <ds:schemaRef ds:uri="aff38e04-a3de-4639-9786-a3f18fa9b1f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2C9E0436-F82E-4C4D-A620-05396278D024}">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4</vt:i4>
      </vt:variant>
    </vt:vector>
  </HeadingPairs>
  <TitlesOfParts>
    <vt:vector size="10" baseType="lpstr">
      <vt:lpstr>別紙2</vt:lpstr>
      <vt:lpstr>別紙3</vt:lpstr>
      <vt:lpstr>別紙4</vt:lpstr>
      <vt:lpstr>別紙5</vt:lpstr>
      <vt:lpstr>参考）別紙2単価に含まれる内容例(ひな形）</vt:lpstr>
      <vt:lpstr>参考）別紙2単価に含まれる内容例(ひな形・数式入）</vt:lpstr>
      <vt:lpstr>別紙2!Print_Area</vt:lpstr>
      <vt:lpstr>別紙3!Print_Area</vt:lpstr>
      <vt:lpstr>別紙4!Print_Area</vt:lpstr>
      <vt:lpstr>別紙5!Print_Area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HD80454</dc:creator>
  <cp:keywords/>
  <dc:description/>
  <cp:lastModifiedBy>松本　英朗</cp:lastModifiedBy>
  <cp:revision/>
  <cp:lastPrinted>2025-07-16T05:32:01Z</cp:lastPrinted>
  <dcterms:created xsi:type="dcterms:W3CDTF">2021-07-15T06:45:44Z</dcterms:created>
  <dcterms:modified xsi:type="dcterms:W3CDTF">2026-03-27T06:07:08Z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0x0101000A8EC69C17E06C4D89299D49D92D43CB</vt:lpwstr>
  </property>
  <property fmtid="{D5CDD505-2E9C-101B-9397-08002B2CF9AE}" pid="3" name="MediaServiceImageTags">
    <vt:lpwstr/>
  </property>
</Properties>
</file>